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_HERE" sheetId="1" r:id="rId1"/>
    <sheet name="Master_Panel" sheetId="2" r:id="rId2"/>
    <sheet name="Firm_Review" sheetId="3" r:id="rId3"/>
    <sheet name="Sector_Summary" sheetId="4" r:id="rId4"/>
    <sheet name="Support_Variables" sheetId="5" r:id="rId5"/>
    <sheet name="Document_Review" sheetId="6" r:id="rId6"/>
    <sheet name="Missing_Data" sheetId="7" r:id="rId7"/>
    <sheet name="Cell_Audit" sheetId="8" r:id="rId8"/>
    <sheet name="Document_Conflicts" sheetId="9" r:id="rId9"/>
    <sheet name="Assumptions" sheetId="10" r:id="rId10"/>
    <sheet name="Evidence_Log" sheetId="11" r:id="rId11"/>
    <sheet name="Original_Master" sheetId="12" r:id="rId12"/>
    <sheet name="Original_Support" sheetId="13" r:id="rId13"/>
    <sheet name="Original_Flags" sheetId="14" r:id="rId14"/>
    <sheet name="Change_Log" sheetId="15" r:id="rId15"/>
    <sheet name="Flags" sheetId="16" r:id="rId16"/>
    <sheet name="Double_Coding" sheetId="17" r:id="rId17"/>
    <sheet name="Reliability" sheetId="18" r:id="rId18"/>
    <sheet name="Building_FY_Panel" sheetId="19" r:id="rId19"/>
    <sheet name="Building_Definitions" sheetId="20" r:id="rId20"/>
    <sheet name="Paper_Financials" sheetId="21" r:id="rId21"/>
    <sheet name="Report_Findings" sheetId="22" r:id="rId22"/>
    <sheet name="Source_Index" sheetId="23" r:id="rId23"/>
    <sheet name="Data_Dictionary" sheetId="24" r:id="rId24"/>
    <sheet name="Checks" sheetId="25" r:id="rId25"/>
    <sheet name="Review_Notes" sheetId="26" r:id="rId26"/>
  </sheets>
  <definedNames>
    <definedName name="_xlnm._FilterDatabase" localSheetId="4" hidden="1">Assumptions!$A$1:$C$6</definedName>
    <definedName name="_xlnm._FilterDatabase" localSheetId="14" hidden="1">Building_Definitions!$A$1:$C$39</definedName>
    <definedName name="_xlnm._FilterDatabase" localSheetId="13" hidden="1">Building_FY_Panel!$A$1:$AA$28</definedName>
    <definedName name="_xlnm._FilterDatabase" localSheetId="20" hidden="1">Cell_Audit!$A$1:$K$329</definedName>
    <definedName name="_xlnm._FilterDatabase" localSheetId="9" hidden="1">Change_Log!$A$1:$F$265</definedName>
    <definedName name="_xlnm._FilterDatabase" localSheetId="19" hidden="1">Checks!$A$1:$D$12</definedName>
    <definedName name="_xlnm._FilterDatabase" localSheetId="18" hidden="1">Data_Dictionary!$A$1:$D$77</definedName>
    <definedName name="_xlnm._FilterDatabase" localSheetId="21" hidden="1">Document_Conflicts!$A$1:$H$21</definedName>
    <definedName name="_xlnm._FilterDatabase" localSheetId="23" hidden="1">Document_Review!$A$1:$F$83</definedName>
    <definedName name="_xlnm._FilterDatabase" localSheetId="11" hidden="1">Double_Coding!$A$1:$W$20</definedName>
    <definedName name="_xlnm._FilterDatabase" localSheetId="5" hidden="1">Evidence_Log!$A$1:$L$831</definedName>
    <definedName name="_xlnm._FilterDatabase" localSheetId="22" hidden="1">Firm_Review!$A$1:$S$83</definedName>
    <definedName name="_xlnm._FilterDatabase" localSheetId="10" hidden="1">Flags!$A$1:$D$60</definedName>
    <definedName name="_xlnm._FilterDatabase" localSheetId="1" hidden="1">Master_Panel!$A$1:$BX$83</definedName>
    <definedName name="_xlnm._FilterDatabase" localSheetId="24" hidden="1">Missing_Data!$A$1:$E$1818</definedName>
    <definedName name="_xlnm._FilterDatabase" localSheetId="8" hidden="1">Original_Flags!$A$1:$D$52</definedName>
    <definedName name="_xlnm._FilterDatabase" localSheetId="6" hidden="1">Original_Master!$A$1:$AR$79</definedName>
    <definedName name="_xlnm._FilterDatabase" localSheetId="7" hidden="1">Original_Support!$A$1:$O$79</definedName>
    <definedName name="_xlnm._FilterDatabase" localSheetId="15" hidden="1">Paper_Financials!$A$1:$L$14</definedName>
    <definedName name="_xlnm._FilterDatabase" localSheetId="12" hidden="1">Reliability!$A$1:$F$3</definedName>
    <definedName name="_xlnm._FilterDatabase" localSheetId="16" hidden="1">Report_Findings!$A$1:$F$9</definedName>
    <definedName name="_xlnm._FilterDatabase" localSheetId="25" hidden="1">Review_Notes!$A$1:$B$44</definedName>
    <definedName name="_xlnm._FilterDatabase" localSheetId="2" hidden="1">Sector_Summary!$A$1:$J$9</definedName>
    <definedName name="_xlnm._FilterDatabase" localSheetId="17" hidden="1">Source_Index!$A$1:$F$44</definedName>
    <definedName name="_xlnm._FilterDatabase" localSheetId="3" hidden="1">Support_Variables!$A$1:$Q$83</definedName>
    <definedName name="_xlnm.Print_Titles" localSheetId="4">Assumptions!$1:$1</definedName>
    <definedName name="_xlnm.Print_Titles" localSheetId="14">Building_Definitions!$1:$1</definedName>
    <definedName name="_xlnm.Print_Titles" localSheetId="13">Building_FY_Panel!$1:$1</definedName>
    <definedName name="_xlnm.Print_Titles" localSheetId="20">Cell_Audit!$1:$1</definedName>
    <definedName name="_xlnm.Print_Titles" localSheetId="9">Change_Log!$1:$1</definedName>
    <definedName name="_xlnm.Print_Titles" localSheetId="19">Checks!$1:$1</definedName>
    <definedName name="_xlnm.Print_Titles" localSheetId="18">Data_Dictionary!$1:$1</definedName>
    <definedName name="_xlnm.Print_Titles" localSheetId="21">Document_Conflicts!$1:$1</definedName>
    <definedName name="_xlnm.Print_Titles" localSheetId="23">Document_Review!$1:$1</definedName>
    <definedName name="_xlnm.Print_Titles" localSheetId="11">Double_Coding!$1:$1</definedName>
    <definedName name="_xlnm.Print_Titles" localSheetId="5">Evidence_Log!$1:$1</definedName>
    <definedName name="_xlnm.Print_Titles" localSheetId="22">Firm_Review!$1:$1</definedName>
    <definedName name="_xlnm.Print_Titles" localSheetId="10">Flags!$1:$1</definedName>
    <definedName name="_xlnm.Print_Titles" localSheetId="1">Master_Panel!$1:$1</definedName>
    <definedName name="_xlnm.Print_Titles" localSheetId="24">Missing_Data!$1:$1</definedName>
    <definedName name="_xlnm.Print_Titles" localSheetId="8">Original_Flags!$1:$1</definedName>
    <definedName name="_xlnm.Print_Titles" localSheetId="6">Original_Master!$1:$1</definedName>
    <definedName name="_xlnm.Print_Titles" localSheetId="7">Original_Support!$1:$1</definedName>
    <definedName name="_xlnm.Print_Titles" localSheetId="15">Paper_Financials!$1:$1</definedName>
    <definedName name="_xlnm.Print_Titles" localSheetId="12">Reliability!$1:$1</definedName>
    <definedName name="_xlnm.Print_Titles" localSheetId="16">Report_Findings!$1:$1</definedName>
    <definedName name="_xlnm.Print_Titles" localSheetId="25">Review_Notes!$1:$1</definedName>
    <definedName name="_xlnm.Print_Titles" localSheetId="2">Sector_Summary!$1:$1</definedName>
    <definedName name="_xlnm.Print_Titles" localSheetId="17">Source_Index!$1:$1</definedName>
    <definedName name="_xlnm.Print_Titles" localSheetId="3">Support_Variables!$1:$1</definedName>
  </definedNames>
  <calcPr calcId="124519" fullCalcOnLoad="1"/>
</workbook>
</file>

<file path=xl/comments1.xml><?xml version="1.0" encoding="utf-8"?>
<comments xmlns="http://schemas.openxmlformats.org/spreadsheetml/2006/main">
  <authors>
    <author>Document review</author>
  </authors>
  <commentList>
    <comment ref="W2" authorId="0">
      <text>
        <r>
          <rPr>
            <sz val="8"/>
            <color indexed="81"/>
            <rFont val="Tahoma"/>
            <family val="2"/>
          </rPr>
          <t>Source: Steel group/Steel_Sector_Report.pdf
Locator: PDF p.6, source note below Table 3
Evidence: BRSR and annual reports FY2024–25.
Basis: Disclosure sample source-year note
Caution: Secondary source-year statement; source workbooks contain some FY2025-26 entries for other firms. Underlying company filings were not supplied.</t>
        </r>
      </text>
    </comment>
    <comment ref="AC2" authorId="0">
      <text>
        <r>
          <rPr>
            <sz val="8"/>
            <color indexed="81"/>
            <rFont val="Tahoma"/>
            <family val="2"/>
          </rPr>
          <t>Source: Steel group/Steel_Sector_Report.pdf
Locator: PDF p.5, section 2.3
Evidence: The two largest, Tata Steel and JSW Steel, have confirmed European export exposure.
Basis: Reported qualitative export presence
Caution: No EU-specific export share supplied.</t>
        </r>
      </text>
    </comment>
    <comment ref="AC3" authorId="0">
      <text>
        <r>
          <rPr>
            <sz val="8"/>
            <color indexed="81"/>
            <rFont val="Tahoma"/>
            <family val="2"/>
          </rPr>
          <t>Source: Steel group/Steel_Sector_Report.pdf
Locator: PDF p.5, section 2.3
Evidence: The two largest, Tata Steel and JSW Steel, have confirmed European export exposure.
Basis: Reported qualitative export presence
Caution: No EU-specific export share supplied.</t>
        </r>
      </text>
    </comment>
    <comment ref="W4" authorId="0">
      <text>
        <r>
          <rPr>
            <sz val="8"/>
            <color indexed="81"/>
            <rFont val="Tahoma"/>
            <family val="2"/>
          </rPr>
          <t>Source: Steel group/Steel_Sector_Report.pdf
Locator: PDF p.6, source note below Table 3
Evidence: BRSR and annual reports FY2024–25.
Basis: Disclosure sample source-year note
Caution: Secondary source-year statement; source workbooks contain some FY2025-26 entries for other firms. Underlying company filings were not supplied.</t>
        </r>
      </text>
    </comment>
    <comment ref="W6" authorId="0">
      <text>
        <r>
          <rPr>
            <sz val="8"/>
            <color indexed="81"/>
            <rFont val="Tahoma"/>
            <family val="2"/>
          </rPr>
          <t>Source: Steel group/Steel_Sector_Report.pdf
Locator: PDF p.6, source note below Table 3
Evidence: BRSR and annual reports FY2024–25.
Basis: Disclosure sample source-year note
Caution: Secondary source-year statement; source workbooks contain some FY2025-26 entries for other firms. Underlying company filings were not supplied.</t>
        </r>
      </text>
    </comment>
    <comment ref="W9" authorId="0">
      <text>
        <r>
          <rPr>
            <sz val="8"/>
            <color indexed="81"/>
            <rFont val="Tahoma"/>
            <family val="2"/>
          </rPr>
          <t>Source: Steel group/Steel_Sector_Report.pdf
Locator: PDF p.6, source note below Table 3
Evidence: BRSR and annual reports FY2024–25.
Basis: Disclosure sample source-year note
Caution: Secondary source-year statement; source workbooks contain some FY2025-26 entries for other firms. Underlying company filings were not supplied.</t>
        </r>
      </text>
    </comment>
    <comment ref="AA11" authorId="0">
      <text>
        <r>
          <rPr>
            <sz val="8"/>
            <color indexed="81"/>
            <rFont val="Tahoma"/>
            <family val="2"/>
          </rPr>
          <t>Source: Cement/Cement_Report.pdf
Locator: PDF pp.7,10; firm sample and Table 2
Evidence: Cement is CBAM-covered (incl. clinker). Firm sample lists UltraTech, Ambuja, ACC, Shree Cement, JSW Cement, Dalmia Bharat and JK Cement as cement producers.
Basis: Product-category exposure only
Caution: This marks the covered cement/clinker product category, not EU exports, importer liability or a legal firm-specific CBAM determination.</t>
        </r>
      </text>
    </comment>
    <comment ref="AA12" authorId="0">
      <text>
        <r>
          <rPr>
            <sz val="8"/>
            <color indexed="81"/>
            <rFont val="Tahoma"/>
            <family val="2"/>
          </rPr>
          <t>Source: Cement/Cement_Report.pdf
Locator: PDF pp.7,10; firm sample and Table 2
Evidence: Cement is CBAM-covered (incl. clinker). Firm sample lists UltraTech, Ambuja, ACC, Shree Cement, JSW Cement, Dalmia Bharat and JK Cement as cement producers.
Basis: Product-category exposure only
Caution: This marks the covered cement/clinker product category, not EU exports, importer liability or a legal firm-specific CBAM determination.</t>
        </r>
      </text>
    </comment>
    <comment ref="AB12" authorId="0">
      <text>
        <r>
          <rPr>
            <sz val="8"/>
            <color indexed="81"/>
            <rFont val="Tahoma"/>
            <family val="2"/>
          </rPr>
          <t>Source: Cement/Cement_Report.pdf
Locator: PDF p.5, problem context
Evidence: 0.25% export revenue – UltraTech Cement Limited; 0% export revenue – Ambuja, ACC, Shree Cement &amp; JSW Cement.
Basis: Export share of turnover, as reported
Caution: The report does not consistently state fiscal year/basis beside these shares. No EU-specific exports are disclosed; do not infer EU_export = 0 from this.</t>
        </r>
      </text>
    </comment>
    <comment ref="AA13" authorId="0">
      <text>
        <r>
          <rPr>
            <sz val="8"/>
            <color indexed="81"/>
            <rFont val="Tahoma"/>
            <family val="2"/>
          </rPr>
          <t>Source: Cement/Cement_Report.pdf
Locator: PDF pp.7,10; firm sample and Table 2
Evidence: Cement is CBAM-covered (incl. clinker). Firm sample lists UltraTech, Ambuja, ACC, Shree Cement, JSW Cement, Dalmia Bharat and JK Cement as cement producers.
Basis: Product-category exposure only
Caution: This marks the covered cement/clinker product category, not EU exports, importer liability or a legal firm-specific CBAM determination.</t>
        </r>
      </text>
    </comment>
    <comment ref="AB13" authorId="0">
      <text>
        <r>
          <rPr>
            <sz val="8"/>
            <color indexed="81"/>
            <rFont val="Tahoma"/>
            <family val="2"/>
          </rPr>
          <t>Source: Cement/Cement_Report.pdf
Locator: PDF p.5, problem context
Evidence: 0.25% export revenue – UltraTech Cement Limited; 0% export revenue – Ambuja, ACC, Shree Cement &amp; JSW Cement.
Basis: Export share of turnover, as reported
Caution: The report does not consistently state fiscal year/basis beside these shares. No EU-specific exports are disclosed; do not infer EU_export = 0 from this.</t>
        </r>
      </text>
    </comment>
    <comment ref="AD13" authorId="0">
      <text>
        <r>
          <rPr>
            <sz val="8"/>
            <color indexed="81"/>
            <rFont val="Tahoma"/>
            <family val="2"/>
          </rPr>
          <t>Source: Cement/Cement_Report.pdf
Locator: PDF p.10, Table 1
Evidence: PAT Designated Consumer; no explicit CCTS reference.
Basis: Explicit legacy PAT scheme designation in company-comparison table
Caution: PAT here means Perform Achieve and Trade, not profit after tax.</t>
        </r>
      </text>
    </comment>
    <comment ref="AA14" authorId="0">
      <text>
        <r>
          <rPr>
            <sz val="8"/>
            <color indexed="81"/>
            <rFont val="Tahoma"/>
            <family val="2"/>
          </rPr>
          <t>Source: Cement/Cement_Report.pdf
Locator: PDF pp.7,10; firm sample and Table 2
Evidence: Cement is CBAM-covered (incl. clinker). Firm sample lists UltraTech, Ambuja, ACC, Shree Cement, JSW Cement, Dalmia Bharat and JK Cement as cement producers.
Basis: Product-category exposure only
Caution: This marks the covered cement/clinker product category, not EU exports, importer liability or a legal firm-specific CBAM determination.</t>
        </r>
      </text>
    </comment>
    <comment ref="AA15" authorId="0">
      <text>
        <r>
          <rPr>
            <sz val="8"/>
            <color indexed="81"/>
            <rFont val="Tahoma"/>
            <family val="2"/>
          </rPr>
          <t>Source: Cement/Cement_Report.pdf
Locator: PDF pp.7,10; firm sample and Table 2
Evidence: Cement is CBAM-covered (incl. clinker). Firm sample lists UltraTech, Ambuja, ACC, Shree Cement, JSW Cement, Dalmia Bharat and JK Cement as cement producers.
Basis: Product-category exposure only
Caution: This marks the covered cement/clinker product category, not EU exports, importer liability or a legal firm-specific CBAM determination.</t>
        </r>
      </text>
    </comment>
    <comment ref="AB15" authorId="0">
      <text>
        <r>
          <rPr>
            <sz val="8"/>
            <color indexed="81"/>
            <rFont val="Tahoma"/>
            <family val="2"/>
          </rPr>
          <t>Source: Cement/Cement_Report.pdf
Locator: PDF p.5, problem context
Evidence: 0.25% export revenue – UltraTech Cement Limited; 0% export revenue – Ambuja, ACC, Shree Cement &amp; JSW Cement.
Basis: Export share of turnover, as reported
Caution: The report does not consistently state fiscal year/basis beside these shares. No EU-specific exports are disclosed; do not infer EU_export = 0 from this.</t>
        </r>
      </text>
    </comment>
    <comment ref="AA16" authorId="0">
      <text>
        <r>
          <rPr>
            <sz val="8"/>
            <color indexed="81"/>
            <rFont val="Tahoma"/>
            <family val="2"/>
          </rPr>
          <t>Source: Cement/Cement_Report.pdf
Locator: PDF pp.7,10; firm sample and Table 2
Evidence: Cement is CBAM-covered (incl. clinker). Firm sample lists UltraTech, Ambuja, ACC, Shree Cement, JSW Cement, Dalmia Bharat and JK Cement as cement producers.
Basis: Product-category exposure only
Caution: This marks the covered cement/clinker product category, not EU exports, importer liability or a legal firm-specific CBAM determination.</t>
        </r>
      </text>
    </comment>
    <comment ref="AB16" authorId="0">
      <text>
        <r>
          <rPr>
            <sz val="8"/>
            <color indexed="81"/>
            <rFont val="Tahoma"/>
            <family val="2"/>
          </rPr>
          <t>Source: Cement/Cement_Report.pdf
Locator: PDF p.5, problem context
Evidence: 0.25% export revenue – UltraTech Cement Limited; 0% export revenue – Ambuja, ACC, Shree Cement &amp; JSW Cement.
Basis: Export share of turnover, as reported
Caution: The report does not consistently state fiscal year/basis beside these shares. No EU-specific exports are disclosed; do not infer EU_export = 0 from this.</t>
        </r>
      </text>
    </comment>
    <comment ref="AD16" authorId="0">
      <text>
        <r>
          <rPr>
            <sz val="8"/>
            <color indexed="81"/>
            <rFont val="Tahoma"/>
            <family val="2"/>
          </rPr>
          <t>Source: Cement/Cement_Report.pdf
Locator: PDF p.10, Table 1
Evidence: PAT Designated Consumer; no explicit CCTS reference.
Basis: Explicit legacy PAT scheme designation in company-comparison table
Caution: PAT here means Perform Achieve and Trade, not profit after tax.</t>
        </r>
      </text>
    </comment>
    <comment ref="AA17" authorId="0">
      <text>
        <r>
          <rPr>
            <sz val="8"/>
            <color indexed="81"/>
            <rFont val="Tahoma"/>
            <family val="2"/>
          </rPr>
          <t>Source: Cement/Cement_Report.pdf
Locator: PDF pp.7,10; firm sample and Table 2
Evidence: Cement is CBAM-covered (incl. clinker). Firm sample lists UltraTech, Ambuja, ACC, Shree Cement, JSW Cement, Dalmia Bharat and JK Cement as cement producers.
Basis: Product-category exposure only
Caution: This marks the covered cement/clinker product category, not EU exports, importer liability or a legal firm-specific CBAM determination.</t>
        </r>
      </text>
    </comment>
    <comment ref="AB17" authorId="0">
      <text>
        <r>
          <rPr>
            <sz val="8"/>
            <color indexed="81"/>
            <rFont val="Tahoma"/>
            <family val="2"/>
          </rPr>
          <t>Source: Cement/Cement_Report.pdf
Locator: PDF p.5, problem context
Evidence: 0.25% export revenue – UltraTech Cement Limited; 0% export revenue – Ambuja, ACC, Shree Cement &amp; JSW Cement.
Basis: Export share of turnover, as reported
Caution: The report does not consistently state fiscal year/basis beside these shares. No EU-specific exports are disclosed; do not infer EU_export = 0 from this.</t>
        </r>
      </text>
    </comment>
    <comment ref="AP18" authorId="0">
      <text>
        <r>
          <rPr>
            <sz val="8"/>
            <color indexed="81"/>
            <rFont val="Tahoma"/>
            <family val="2"/>
          </rPr>
          <t xml:space="preserve">Source: Aluminium Group/Aluminium_Report.pdf
Locator: PDF pp.14–15, Table 8 (DQS); PDF p.23, Table 14 (financials)
Evidence: Uploaded sector-report pagination, not an original company-report page.
Basis: Original primary disclosure pages are not supplied in this PDF.
Caution: </t>
        </r>
      </text>
    </comment>
    <comment ref="AP19" authorId="0">
      <text>
        <r>
          <rPr>
            <sz val="8"/>
            <color indexed="81"/>
            <rFont val="Tahoma"/>
            <family val="2"/>
          </rPr>
          <t xml:space="preserve">Source: Aluminium Group/Aluminium_Report.pdf
Locator: PDF pp.14–15, Table 8 (DQS); PDF p.23, Table 14 (financial data availability)
Evidence: Uploaded sector-report pagination, not an original company-report page.
Basis: Original primary disclosure pages are not supplied in this PDF.
Caution: </t>
        </r>
      </text>
    </comment>
    <comment ref="AP20" authorId="0">
      <text>
        <r>
          <rPr>
            <sz val="8"/>
            <color indexed="81"/>
            <rFont val="Tahoma"/>
            <family val="2"/>
          </rPr>
          <t xml:space="preserve">Source: Aluminium Group/Aluminium_Report.pdf
Locator: PDF pp.14–15, Table 8 (DQS); PDF p.23, Table 14 (financials)
Evidence: Uploaded sector-report pagination, not an original company-report page.
Basis: Original primary disclosure pages are not supplied in this PDF.
Caution: </t>
        </r>
      </text>
    </comment>
    <comment ref="F21" authorId="0">
      <text>
        <r>
          <rPr>
            <sz val="8"/>
            <color indexed="81"/>
            <rFont val="Tahoma"/>
            <family val="2"/>
          </rPr>
          <t>Source: Aluminium Group/Aluminium_Report.pdf
Locator: PDF p.8, section 2.2 Market Structure
Evidence: Bharat Aluminium Company (BALCO) is majority-owned by the Vedanta Group but is a separately incorporated entity that files its own standalone annual report and sustainability disclosures.
Basis: Separate incorporated disclosure unit; not a listed/unlisted determination.
Caution: Does not establish exact holding percentage or stock exchange listing.</t>
        </r>
      </text>
    </comment>
    <comment ref="AP21" authorId="0">
      <text>
        <r>
          <rPr>
            <sz val="8"/>
            <color indexed="81"/>
            <rFont val="Tahoma"/>
            <family val="2"/>
          </rPr>
          <t xml:space="preserve">Source: Aluminium Group/Aluminium_Report.pdf
Locator: PDF pp.14–15, Table 8 (DQS); PDF p.23, Table 14 (financial data availability)
Evidence: Uploaded sector-report pagination, not an original company-report page.
Basis: Original primary disclosure pages are not supplied in this PDF.
Caution: </t>
        </r>
      </text>
    </comment>
    <comment ref="AP22" authorId="0">
      <text>
        <r>
          <rPr>
            <sz val="8"/>
            <color indexed="81"/>
            <rFont val="Tahoma"/>
            <family val="2"/>
          </rPr>
          <t xml:space="preserve">Source: Aluminium Group/Aluminium_Report.pdf
Locator: PDF pp.14–15, Table 8 (DQS); PDF p.23, Table 14 (financials)
Evidence: Uploaded sector-report pagination, not an original company-report page.
Basis: Original primary disclosure pages are not supplied in this PDF.
Caution: </t>
        </r>
      </text>
    </comment>
    <comment ref="AP23" authorId="0">
      <text>
        <r>
          <rPr>
            <sz val="8"/>
            <color indexed="81"/>
            <rFont val="Tahoma"/>
            <family val="2"/>
          </rPr>
          <t xml:space="preserve">Source: Aluminium Group/Aluminium_Report.pdf
Locator: PDF pp.14–15, Table 8 (DQS); PDF p.23, Table 14 (financials)
Evidence: Uploaded sector-report pagination, not an original company-report page.
Basis: Original primary disclosure pages are not supplied in this PDF.
Caution: </t>
        </r>
      </text>
    </comment>
    <comment ref="AP24" authorId="0">
      <text>
        <r>
          <rPr>
            <sz val="8"/>
            <color indexed="81"/>
            <rFont val="Tahoma"/>
            <family val="2"/>
          </rPr>
          <t xml:space="preserve">Source: Aluminium Group/Aluminium_Report.pdf
Locator: PDF pp.14–15, Table 8 (DQS); PDF p.23, Table 14 (financials)
Evidence: Uploaded sector-report pagination, not an original company-report page.
Basis: Original primary disclosure pages are not supplied in this PDF.
Caution: </t>
        </r>
      </text>
    </comment>
    <comment ref="AP25" authorId="0">
      <text>
        <r>
          <rPr>
            <sz val="8"/>
            <color indexed="81"/>
            <rFont val="Tahoma"/>
            <family val="2"/>
          </rPr>
          <t xml:space="preserve">Source: Aluminium Group/Aluminium_Report.pdf
Locator: PDF pp.14–15, Table 8 (DQS); PDF p.23, Table 14 (financials)
Evidence: Uploaded sector-report pagination, not an original company-report page.
Basis: Original primary disclosure pages are not supplied in this PDF.
Caution: </t>
        </r>
      </text>
    </comment>
    <comment ref="AP26" authorId="0">
      <text>
        <r>
          <rPr>
            <sz val="8"/>
            <color indexed="81"/>
            <rFont val="Tahoma"/>
            <family val="2"/>
          </rPr>
          <t xml:space="preserve">Source: Aluminium Group/Aluminium_Report.pdf
Locator: PDF pp.14–15, Table 8 (DQS); PDF p.23, Table 14 (financials)
Evidence: Uploaded sector-report pagination, not an original company-report page.
Basis: Original primary disclosure pages are not supplied in this PDF.
Caution: </t>
        </r>
      </text>
    </comment>
    <comment ref="AP27" authorId="0">
      <text>
        <r>
          <rPr>
            <sz val="8"/>
            <color indexed="81"/>
            <rFont val="Tahoma"/>
            <family val="2"/>
          </rPr>
          <t xml:space="preserve">Source: Aluminium Group/Aluminium_Report.pdf
Locator: PDF pp.14–15, Table 8 (DQS); PDF p.23, Table 14 (financial data availability)
Evidence: Uploaded sector-report pagination, not an original company-report page.
Basis: Original primary disclosure pages are not supplied in this PDF.
Caution: </t>
        </r>
      </text>
    </comment>
    <comment ref="AM28" authorId="0">
      <text>
        <r>
          <rPr>
            <sz val="8"/>
            <color indexed="81"/>
            <rFont val="Tahoma"/>
            <family val="2"/>
          </rPr>
          <t>Source: Fertilisers_and_Chemicals_Report.pdf; Fertilisers_and_Chemicals_Report.docx
Locator: PDF p.5 / DOCX Table 1
Evidence: Table 1: IFFCO; ownership cooperative; size Large; export band &lt;10%; CBAM-covered Yes.
Basis: Survey classification: Large &gt;₹5,000cr; Mid ₹500–5,000cr
Caution: Reported firm size, not derived from an assumed revenue midpoint.</t>
        </r>
      </text>
    </comment>
    <comment ref="D29" authorId="0">
      <text>
        <r>
          <rPr>
            <sz val="8"/>
            <color indexed="81"/>
            <rFont val="Tahoma"/>
            <family val="2"/>
          </rPr>
          <t>Source: Fertilisers_and_Chemicals_Report.pdf; Fertilisers_and_Chemicals_Report.docx
Locator: PDF p.5 / DOCX Table 1
Evidence: Table 1: DCM Shriram; ownership listed private; size Large; export band 10–30%; CBAM-covered Yes.
Basis: Explicit listed-private classification
Caution: Not an exchange-specific verification.</t>
        </r>
      </text>
    </comment>
    <comment ref="F29" authorId="0">
      <text>
        <r>
          <rPr>
            <sz val="8"/>
            <color indexed="81"/>
            <rFont val="Tahoma"/>
            <family val="2"/>
          </rPr>
          <t>Source: Fertilisers_and_Chemicals_Report.pdf; Fertilisers_and_Chemicals_Report.docx
Locator: PDF p.5 / DOCX Table 1
Evidence: Table 1: DCM Shriram; ownership listed private; size Large; export band 10–30%; CBAM-covered Yes.
Basis: Firm profile in sector-report survey table
Caution: Self-reported profile; not independent registry verification.</t>
        </r>
      </text>
    </comment>
    <comment ref="AE29" authorId="0">
      <text>
        <r>
          <rPr>
            <sz val="8"/>
            <color indexed="81"/>
            <rFont val="Tahoma"/>
            <family val="2"/>
          </rPr>
          <t>Source: Fertilisers_and_Chemicals_Report.pdf; Fertilisers_and_Chemicals_Report.docx
Locator: PDF p.19 / DOCX Table 16
Evidence: revenue: 13538; reporting_year: FY2025-26; reported_adjusted_PAT: 856; reported_net_debt: 1767
Basis: All amounts ₹ crore; financial FY FY2025-26
Caution: ₹856cr is adjusted for a one-time ₹239cr deferred-tax credit, not unqualified PAT. ₹1,767cr is NET debt, not total debt.</t>
        </r>
      </text>
    </comment>
    <comment ref="AM29" authorId="0">
      <text>
        <r>
          <rPr>
            <sz val="8"/>
            <color indexed="81"/>
            <rFont val="Tahoma"/>
            <family val="2"/>
          </rPr>
          <t>Source: Fertilisers_and_Chemicals_Report.pdf; Fertilisers_and_Chemicals_Report.docx
Locator: PDF p.5 / DOCX Table 1
Evidence: Table 1: DCM Shriram; ownership listed private; size Large; export band 10–30%; CBAM-covered Yes.
Basis: Survey classification: Large &gt;₹5,000cr; Mid ₹500–5,000cr
Caution: Reported firm size, not derived from an assumed revenue midpoint.</t>
        </r>
      </text>
    </comment>
    <comment ref="AO29" authorId="0">
      <text>
        <r>
          <rPr>
            <sz val="8"/>
            <color indexed="81"/>
            <rFont val="Tahoma"/>
            <family val="2"/>
          </rPr>
          <t>Source: Fertilisers_and_Chemicals_Report.pdf; Fertilisers_and_Chemicals_Report.docx
Locator: PDF p.19 / DOCX Table 16
Evidence: revenue: 13538; reporting_year: FY2025-26; reported_adjusted_PAT: 856; reported_net_debt: 1767
Basis: All amounts ₹ crore; financial FY FY2025-26
Caution: ₹856cr is adjusted for a one-time ₹239cr deferred-tax credit, not unqualified PAT. ₹1,767cr is NET debt, not total debt.</t>
        </r>
      </text>
    </comment>
    <comment ref="F30" authorId="0">
      <text>
        <r>
          <rPr>
            <sz val="8"/>
            <color indexed="81"/>
            <rFont val="Tahoma"/>
            <family val="2"/>
          </rPr>
          <t>Source: Fertilisers_and_Chemicals_Report.pdf; Fertilisers_and_Chemicals_Report.docx
Locator: PDF p.5 / DOCX Table 1
Evidence: Table 1: National Fertilizers Limited (NFL); ownership PSU; size Large; export band &lt;10%; CBAM-covered Yes.
Basis: Firm profile in sector-report survey table
Caution: Self-reported profile; not independent registry verification.</t>
        </r>
      </text>
    </comment>
    <comment ref="AE30" authorId="0">
      <text>
        <r>
          <rPr>
            <sz val="8"/>
            <color indexed="81"/>
            <rFont val="Tahoma"/>
            <family val="2"/>
          </rPr>
          <t>Source: Fertilisers_and_Chemicals_Report.pdf; Fertilisers_and_Chemicals_Report.docx
Locator: PDF p.20 / DOCX Table 16
Evidence: revenue: 21567.9; PAT: 169.7; reporting_year: FY2025-26; reported_consolidated_PAT: 211.5
Basis: All amounts ₹ crore; financial FY FY2025-26
Caution: PAT ₹169.7cr explicitly standalone; consolidated PAT ₹211.5cr stored separately. Revenue basis is not specified, so do not assume a consolidated revenue/PAT combination.</t>
        </r>
      </text>
    </comment>
    <comment ref="AG30" authorId="0">
      <text>
        <r>
          <rPr>
            <sz val="8"/>
            <color indexed="81"/>
            <rFont val="Tahoma"/>
            <family val="2"/>
          </rPr>
          <t>Source: Fertilisers_and_Chemicals_Report.pdf; Fertilisers_and_Chemicals_Report.docx
Locator: PDF p.20 / DOCX Table 16
Evidence: revenue: 21567.9; PAT: 169.7; reporting_year: FY2025-26; reported_consolidated_PAT: 211.5
Basis: All amounts ₹ crore; financial FY FY2025-26
Caution: PAT ₹169.7cr explicitly standalone; consolidated PAT ₹211.5cr stored separately. Revenue basis is not specified, so do not assume a consolidated revenue/PAT combination.</t>
        </r>
      </text>
    </comment>
    <comment ref="AM30" authorId="0">
      <text>
        <r>
          <rPr>
            <sz val="8"/>
            <color indexed="81"/>
            <rFont val="Tahoma"/>
            <family val="2"/>
          </rPr>
          <t>Source: Fertilisers_and_Chemicals_Report.pdf; Fertilisers_and_Chemicals_Report.docx
Locator: PDF p.5 / DOCX Table 1
Evidence: Table 1: National Fertilizers Limited (NFL); ownership PSU; size Large; export band &lt;10%; CBAM-covered Yes.
Basis: Survey classification: Large &gt;₹5,000cr; Mid ₹500–5,000cr
Caution: Reported firm size, not derived from an assumed revenue midpoint.</t>
        </r>
      </text>
    </comment>
    <comment ref="AO30" authorId="0">
      <text>
        <r>
          <rPr>
            <sz val="8"/>
            <color indexed="81"/>
            <rFont val="Tahoma"/>
            <family val="2"/>
          </rPr>
          <t>Source: Fertilisers_and_Chemicals_Report.pdf; Fertilisers_and_Chemicals_Report.docx
Locator: PDF p.20 / DOCX Table 16
Evidence: revenue: 21567.9; PAT: 169.7; reporting_year: FY2025-26; reported_consolidated_PAT: 211.5
Basis: All amounts ₹ crore; financial FY FY2025-26
Caution: PAT ₹169.7cr explicitly standalone; consolidated PAT ₹211.5cr stored separately. Revenue basis is not specified, so do not assume a consolidated revenue/PAT combination.</t>
        </r>
      </text>
    </comment>
    <comment ref="F31" authorId="0">
      <text>
        <r>
          <rPr>
            <sz val="8"/>
            <color indexed="81"/>
            <rFont val="Tahoma"/>
            <family val="2"/>
          </rPr>
          <t>Source: Fertilisers_and_Chemicals_Report.pdf; Fertilisers_and_Chemicals_Report.docx
Locator: PDF p.5 / DOCX Table 1
Evidence: Table 1: Chambal Fertilisers &amp; Chemicals; ownership listed private; size Large; export band &lt;10%; CBAM-covered Yes.
Basis: Firm profile in sector-report survey table
Caution: Self-reported profile; not independent registry verification.</t>
        </r>
      </text>
    </comment>
    <comment ref="AM31" authorId="0">
      <text>
        <r>
          <rPr>
            <sz val="8"/>
            <color indexed="81"/>
            <rFont val="Tahoma"/>
            <family val="2"/>
          </rPr>
          <t>Source: Fertilisers_and_Chemicals_Report.pdf; Fertilisers_and_Chemicals_Report.docx
Locator: PDF p.5 / DOCX Table 1
Evidence: Table 1: Chambal Fertilisers &amp; Chemicals; ownership listed private; size Large; export band &lt;10%; CBAM-covered Yes.
Basis: Survey classification: Large &gt;₹5,000cr; Mid ₹500–5,000cr
Caution: Reported firm size, not derived from an assumed revenue midpoint.</t>
        </r>
      </text>
    </comment>
    <comment ref="AO31" authorId="0">
      <text>
        <r>
          <rPr>
            <sz val="8"/>
            <color indexed="81"/>
            <rFont val="Tahoma"/>
            <family val="2"/>
          </rPr>
          <t>Source: Fertilisers_and_Chemicals_Report.pdf; Fertilisers_and_Chemicals_Report.docx
Locator: PDF p.20 / DOCX Table 16
Evidence: reported_long_term_debt: 82.3; reporting_year: FY2024-25; reported_net_margin: 0.099
Basis: All amounts ₹ crore; financial FY FY2024-25
Caution: ₹82.3cr is long-term debt only; do not fill total_debt. No actual revenue or PAT is supplied.</t>
        </r>
      </text>
    </comment>
    <comment ref="D32" authorId="0">
      <text>
        <r>
          <rPr>
            <sz val="8"/>
            <color indexed="81"/>
            <rFont val="Tahoma"/>
            <family val="2"/>
          </rPr>
          <t>Source: Fertilisers_and_Chemicals_Report.pdf; Fertilisers_and_Chemicals_Report.docx
Locator: PDF p.5 / DOCX Table 1
Evidence: Table 1: SRF Limited; ownership listed private; size Large; export band &gt;60%; CBAM-covered No.
Basis: Explicit listed-private classification
Caution: Not an exchange-specific verification.</t>
        </r>
      </text>
    </comment>
    <comment ref="F32" authorId="0">
      <text>
        <r>
          <rPr>
            <sz val="8"/>
            <color indexed="81"/>
            <rFont val="Tahoma"/>
            <family val="2"/>
          </rPr>
          <t>Source: Fertilisers_and_Chemicals_Report.pdf; Fertilisers_and_Chemicals_Report.docx
Locator: PDF p.5 / DOCX Table 1
Evidence: Table 1: SRF Limited; ownership listed private; size Large; export band &gt;60%; CBAM-covered No.
Basis: Firm profile in sector-report survey table
Caution: Self-reported profile; not independent registry verification.</t>
        </r>
      </text>
    </comment>
    <comment ref="AF32" authorId="0">
      <text>
        <r>
          <rPr>
            <sz val="8"/>
            <color indexed="81"/>
            <rFont val="Tahoma"/>
            <family val="2"/>
          </rPr>
          <t>Source: Fertilisers_and_Chemicals_Report.pdf; Fertilisers_and_Chemicals_Report.docx
Locator: PDF p.20 / DOCX Table 16
Evidence: total_debt: 4527; total_assets: 22261; reporting_year: FY2024-25; reported_market_cap: 89730; reported_book_value: 13264; market_to_book (source): 6.76
Basis: All amounts ₹ crore; financial FY FY2024-25
Caution: Source does not fully identify standalone/consolidated basis. Do not combine with a different-basis denominator.</t>
        </r>
      </text>
    </comment>
    <comment ref="AI32" authorId="0">
      <text>
        <r>
          <rPr>
            <sz val="8"/>
            <color indexed="81"/>
            <rFont val="Tahoma"/>
            <family val="2"/>
          </rPr>
          <t>Source: Fertilisers_and_Chemicals_Report.pdf; Fertilisers_and_Chemicals_Report.docx
Locator: PDF p.20 / DOCX Table 16
Evidence: total_debt: 4527; total_assets: 22261; reporting_year: FY2024-25; reported_market_cap: 89730; reported_book_value: 13264; market_to_book (source): 6.76
Basis: All amounts ₹ crore; financial FY FY2024-25
Caution: Source does not fully identify standalone/consolidated basis. Do not combine with a different-basis denominator.</t>
        </r>
      </text>
    </comment>
    <comment ref="AM32" authorId="0">
      <text>
        <r>
          <rPr>
            <sz val="8"/>
            <color indexed="81"/>
            <rFont val="Tahoma"/>
            <family val="2"/>
          </rPr>
          <t>Source: Fertilisers_and_Chemicals_Report.pdf; Fertilisers_and_Chemicals_Report.docx
Locator: PDF p.5 / DOCX Table 1
Evidence: Table 1: SRF Limited; ownership listed private; size Large; export band &gt;60%; CBAM-covered No.
Basis: Survey classification: Large &gt;₹5,000cr; Mid ₹500–5,000cr
Caution: Reported firm size, not derived from an assumed revenue midpoint.</t>
        </r>
      </text>
    </comment>
    <comment ref="AO32" authorId="0">
      <text>
        <r>
          <rPr>
            <sz val="8"/>
            <color indexed="81"/>
            <rFont val="Tahoma"/>
            <family val="2"/>
          </rPr>
          <t>Source: Fertilisers_and_Chemicals_Report.pdf; Fertilisers_and_Chemicals_Report.docx
Locator: PDF p.20 / DOCX Table 16
Evidence: total_debt: 4527; total_assets: 22261; reporting_year: FY2024-25; reported_market_cap: 89730; reported_book_value: 13264; market_to_book (source): 6.76
Basis: All amounts ₹ crore; financial FY FY2024-25
Caution: Source does not fully identify standalone/consolidated basis. Do not combine with a different-basis denominator.</t>
        </r>
      </text>
    </comment>
    <comment ref="F33" authorId="0">
      <text>
        <r>
          <rPr>
            <sz val="8"/>
            <color indexed="81"/>
            <rFont val="Tahoma"/>
            <family val="2"/>
          </rPr>
          <t>Source: Fertilisers_and_Chemicals_Report.pdf; Fertilisers_and_Chemicals_Report.docx
Locator: PDF p.5 / DOCX Table 1
Evidence: Table 1: PI Industries; ownership listed private; size Large; export band &gt;60%; CBAM-covered No.
Basis: Firm profile in sector-report survey table
Caution: Self-reported profile; not independent registry verification.</t>
        </r>
      </text>
    </comment>
    <comment ref="AM33" authorId="0">
      <text>
        <r>
          <rPr>
            <sz val="8"/>
            <color indexed="81"/>
            <rFont val="Tahoma"/>
            <family val="2"/>
          </rPr>
          <t>Source: Fertilisers_and_Chemicals_Report.pdf; Fertilisers_and_Chemicals_Report.docx
Locator: PDF p.5 / DOCX Table 1
Evidence: Table 1: PI Industries; ownership listed private; size Large; export band &gt;60%; CBAM-covered No.
Basis: Survey classification: Large &gt;₹5,000cr; Mid ₹500–5,000cr
Caution: Reported firm size, not derived from an assumed revenue midpoint.</t>
        </r>
      </text>
    </comment>
    <comment ref="F34" authorId="0">
      <text>
        <r>
          <rPr>
            <sz val="8"/>
            <color indexed="81"/>
            <rFont val="Tahoma"/>
            <family val="2"/>
          </rPr>
          <t>Source: Fertilisers_and_Chemicals_Report.pdf; Fertilisers_and_Chemicals_Report.docx
Locator: PDF p.5 / DOCX Table 1
Evidence: Table 1: Mangalore Chemicals &amp; Fertilizers; ownership listed private; size Mid; export band &lt;10%; CBAM-covered Yes.
Basis: Firm profile in sector-report survey table
Caution: Self-reported profile; not independent registry verification.</t>
        </r>
      </text>
    </comment>
    <comment ref="AM34" authorId="0">
      <text>
        <r>
          <rPr>
            <sz val="8"/>
            <color indexed="81"/>
            <rFont val="Tahoma"/>
            <family val="2"/>
          </rPr>
          <t>Source: Fertilisers_and_Chemicals_Report.pdf; Fertilisers_and_Chemicals_Report.docx
Locator: PDF p.5 / DOCX Table 1
Evidence: Table 1: Mangalore Chemicals &amp; Fertilizers; ownership listed private; size Mid; export band &lt;10%; CBAM-covered Yes.
Basis: Survey classification: Large &gt;₹5,000cr; Mid ₹500–5,000cr
Caution: Reported firm size, not derived from an assumed revenue midpoint.</t>
        </r>
      </text>
    </comment>
    <comment ref="F35" authorId="0">
      <text>
        <r>
          <rPr>
            <sz val="8"/>
            <color indexed="81"/>
            <rFont val="Tahoma"/>
            <family val="2"/>
          </rPr>
          <t>Source: Fertilisers_and_Chemicals_Report.pdf; Fertilisers_and_Chemicals_Report.docx
Locator: PDF p.5 / DOCX Table 1
Evidence: Table 1: Southern Petrochemical Industries Corporation (SPIC); ownership listed private; size Mid; export band &lt;10%; CBAM-covered Yes.
Basis: Firm profile in sector-report survey table
Caution: Self-reported profile; not independent registry verification.</t>
        </r>
      </text>
    </comment>
    <comment ref="AM35" authorId="0">
      <text>
        <r>
          <rPr>
            <sz val="8"/>
            <color indexed="81"/>
            <rFont val="Tahoma"/>
            <family val="2"/>
          </rPr>
          <t>Source: Fertilisers_and_Chemicals_Report.pdf; Fertilisers_and_Chemicals_Report.docx
Locator: PDF p.5 / DOCX Table 1
Evidence: Table 1: Southern Petrochemical Industries Corporation (SPIC); ownership listed private; size Mid; export band &lt;10%; CBAM-covered Yes.
Basis: Survey classification: Large &gt;₹5,000cr; Mid ₹500–5,000cr
Caution: Reported firm size, not derived from an assumed revenue midpoint.</t>
        </r>
      </text>
    </comment>
    <comment ref="F36" authorId="0">
      <text>
        <r>
          <rPr>
            <sz val="8"/>
            <color indexed="81"/>
            <rFont val="Tahoma"/>
            <family val="2"/>
          </rPr>
          <t>Source: Fertilisers_and_Chemicals_Report.pdf; Fertilisers_and_Chemicals_Report.docx
Locator: PDF p.5 / DOCX Table 1
Evidence: Table 1: Khaitan Chemicals &amp; Fertilizers; ownership listed private; size Mid; export band &lt;10%; CBAM-covered No.
Basis: Firm profile in sector-report survey table
Caution: Self-reported profile; not independent registry verification.</t>
        </r>
      </text>
    </comment>
    <comment ref="AE36" authorId="0">
      <text>
        <r>
          <rPr>
            <sz val="8"/>
            <color indexed="81"/>
            <rFont val="Tahoma"/>
            <family val="2"/>
          </rPr>
          <t>Source: Fertilisers_and_Chemicals_Report.pdf; Fertilisers_and_Chemicals_Report.docx
Locator: PDF p.20 / DOCX Table 16
Evidence: revenue: 1001.6; PAT: 68.8; reporting_year: FY2025-26
Basis: All amounts ₹ crore; financial FY FY2025-26
Caution: Source does not fully identify standalone/consolidated basis. Do not combine with a different-basis denominator.</t>
        </r>
      </text>
    </comment>
    <comment ref="AG36" authorId="0">
      <text>
        <r>
          <rPr>
            <sz val="8"/>
            <color indexed="81"/>
            <rFont val="Tahoma"/>
            <family val="2"/>
          </rPr>
          <t>Source: Fertilisers_and_Chemicals_Report.pdf; Fertilisers_and_Chemicals_Report.docx
Locator: PDF p.20 / DOCX Table 16
Evidence: revenue: 1001.6; PAT: 68.8; reporting_year: FY2025-26
Basis: All amounts ₹ crore; financial FY FY2025-26
Caution: Source does not fully identify standalone/consolidated basis. Do not combine with a different-basis denominator.</t>
        </r>
      </text>
    </comment>
    <comment ref="AM36" authorId="0">
      <text>
        <r>
          <rPr>
            <sz val="8"/>
            <color indexed="81"/>
            <rFont val="Tahoma"/>
            <family val="2"/>
          </rPr>
          <t>Source: Fertilisers_and_Chemicals_Report.pdf; Fertilisers_and_Chemicals_Report.docx
Locator: PDF p.5 / DOCX Table 1
Evidence: Table 1: Khaitan Chemicals &amp; Fertilizers; ownership listed private; size Mid; export band &lt;10%; CBAM-covered No.
Basis: Survey classification: Large &gt;₹5,000cr; Mid ₹500–5,000cr
Caution: Reported firm size, not derived from an assumed revenue midpoint.</t>
        </r>
      </text>
    </comment>
    <comment ref="AO36" authorId="0">
      <text>
        <r>
          <rPr>
            <sz val="8"/>
            <color indexed="81"/>
            <rFont val="Tahoma"/>
            <family val="2"/>
          </rPr>
          <t>Source: Fertilisers_and_Chemicals_Report.pdf; Fertilisers_and_Chemicals_Report.docx
Locator: PDF p.20 / DOCX Table 16
Evidence: revenue: 1001.6; PAT: 68.8; reporting_year: FY2025-26
Basis: All amounts ₹ crore; financial FY FY2025-26
Caution: Source does not fully identify standalone/consolidated basis. Do not combine with a different-basis denominator.</t>
        </r>
      </text>
    </comment>
    <comment ref="AN40"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0"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1"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1"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2"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2"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3"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3"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4"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4"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5"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5"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6"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6"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7"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7"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8"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8"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49"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49"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50"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50"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51"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51"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N52" authorId="0">
      <text>
        <r>
          <rPr>
            <sz val="8"/>
            <color indexed="81"/>
            <rFont val="Tahoma"/>
            <family val="2"/>
          </rPr>
          <t>Source: Textile/Textile_and_Apparel_Report.pdf
Locator: PDF p.10, B1; p.23, Figure 8; p.25, C1
Evidence: Disclosure-quality coding: 13 listed companies, FY2024-25 (FY2025-26 where available).
Basis: Secondary research report; numeric ten-indicator matrix absent
Caution: The report refers to Clean_Shared_Data.xlsx, which is not present in the uploaded ZIP.</t>
        </r>
      </text>
    </comment>
    <comment ref="AP52" authorId="0">
      <text>
        <r>
          <rPr>
            <sz val="8"/>
            <color indexed="81"/>
            <rFont val="Tahoma"/>
            <family val="2"/>
          </rPr>
          <t>Source: Textile/Textile_and_Apparel_Report.pdf
Locator: PDF p.10, B1; p.23, Figure 8; p.25, C1
Evidence: Company positioning by Disclosure Quality Score across all 13 coded firms.
Basis: Report total only, not indicator evidence
Caution: Firm-specific report pages and exact FY cannot be assigned from this PDF.</t>
        </r>
      </text>
    </comment>
    <comment ref="AC53" authorId="0">
      <text>
        <r>
          <rPr>
            <sz val="8"/>
            <color indexed="81"/>
            <rFont val="Tahoma"/>
            <family val="2"/>
          </rPr>
          <t>Source: Building construction group/Consolidated_Firm_Panel_FY24-FY26.xlsx
Locator: Consolidated Panel!H5:I5
Evidence: FY 2024-25 export revenue is ₹0 crore; total export share 0.
Basis: Direct consolidated export revenue.
Caution: Logical subset: direct EU exports cannot be positive when total direct export revenue is zero. Does not establish absence of indirect exports/customer exposure.</t>
        </r>
      </text>
    </comment>
    <comment ref="F55" authorId="0">
      <text>
        <r>
          <rPr>
            <sz val="8"/>
            <color indexed="81"/>
            <rFont val="Tahoma"/>
            <family val="2"/>
          </rPr>
          <t>Source: Building construction group/Climate_Disclosure_Scoring_MASTER_10Firms_v1.xlsx
Locator: Master Scoring Log!B47
Evidence: PMC &amp; EPC construction (CPSE)
Basis: Company explicitly labelled CPSE in source classification.
Caution: No exchange or government ownership percentage inferred.</t>
        </r>
      </text>
    </comment>
    <comment ref="AB55" authorId="0">
      <text>
        <r>
          <rPr>
            <sz val="8"/>
            <color indexed="81"/>
            <rFont val="Tahoma"/>
            <family val="2"/>
          </rPr>
          <t>Source: Building construction group/Climate_Disclosure_Scoring_MASTER_10Firms_v1.xlsx
Locator: Master Scoring Log!I47; original filing Section A Q19b p.3
Evidence: No mention of carbon pricing, CCTS, CBAM or carbon credits. Not a PAT designated consumer. Green credits NA. Exports 4.59% of turnover. Source: P6 EI Q2, p. 31; P6 LI Q8, p. 34; Sec A Q19b, p. 3.
Basis: FY 2024-25 BRSR turnover/export share.
Caution: No matching consolidated financial workbook was supplied for NBCC; this is the BRSR-reported export share.</t>
        </r>
      </text>
    </comment>
    <comment ref="AD55" authorId="0">
      <text>
        <r>
          <rPr>
            <sz val="8"/>
            <color indexed="81"/>
            <rFont val="Tahoma"/>
            <family val="2"/>
          </rPr>
          <t>Source: Building construction group/Climate_Disclosure_Scoring_MASTER_10Firms_v1.xlsx
Locator: Master Scoring Log!I47
Evidence: No mention of carbon pricing, CCTS, CBAM or carbon credits. Not a PAT designated consumer. Green credits NA. Exports 4.59% of turnover. Source: P6 EI Q2, p. 31; P6 LI Q8, p. 34; Sec A Q19b, p. 3.
Basis: FY 2024-25 disclosure-scoring period.
Caution: Explicit negative PAT statement in source coding notes; not inferred from sector.</t>
        </r>
      </text>
    </comment>
    <comment ref="AD56" authorId="0">
      <text>
        <r>
          <rPr>
            <sz val="8"/>
            <color indexed="81"/>
            <rFont val="Tahoma"/>
            <family val="2"/>
          </rPr>
          <t>Source: Building construction group/Climate_Disclosure_Scoring_MASTER_10Firms_v1.xlsx
Locator: Master Scoring Log!I67
Evidence: No mention of carbon pricing, carbon credits, CCTS or CBAM anywhere. Not a PAT designated consumer. Green credits Nil. Exports 1.08% of turnover. Source: P6 EI Q2, p. 25; P6 LI Q8, p. 32; Sec A Q19b, p. 2.
Basis: FY 2024-25 disclosure-scoring period.
Caution: Explicit negative PAT statement in source coding notes; not inferred from sector.</t>
        </r>
      </text>
    </comment>
    <comment ref="AC57" authorId="0">
      <text>
        <r>
          <rPr>
            <sz val="8"/>
            <color indexed="81"/>
            <rFont val="Tahoma"/>
            <family val="2"/>
          </rPr>
          <t>Source: Building construction group/Consolidated_Firm_Panel_FY24-FY26.xlsx
Locator: Consolidated Panel!H29:I29
Evidence: FY 2024-25 export revenue is ₹0 crore; total export share 0.
Basis: Direct consolidated export revenue.
Caution: Logical subset: direct EU exports cannot be positive when total direct export revenue is zero. Does not establish absence of indirect exports/customer exposure.</t>
        </r>
      </text>
    </comment>
    <comment ref="AD57" authorId="0">
      <text>
        <r>
          <rPr>
            <sz val="8"/>
            <color indexed="81"/>
            <rFont val="Tahoma"/>
            <family val="2"/>
          </rPr>
          <t>Source: Building construction group/Climate_Disclosure_Scoring_MASTER_10Firms_v1.xlsx
Locator: Master Scoring Log!I87
Evidence: No mention of carbon pricing, CCTS, CBAM, carbon credits or carbon markets anywhere in the document. IAR p. 23 defines transition risks as "financial and operational implications associated with the shift to a low-carbon economy, including the adoption of new technologies and evolving regulatory expectations" - generic regulatory-risk language. PAT not applicable. Carbon offsets referenced as a neutrality mechanism, which is an offtake rather than a price. BRSR-only basis: transition risk does not appear in the Sec A Q24 table = 0. Source: IAR p. 23; BRSR P6 EI Q2 and Q7, p. 322; Sec A Q24, pp. 300-301.
Basis: FY 2025-26 disclosure-scoring period.
Caution: Explicit negative PAT statement in source coding notes; not inferred from sector.</t>
        </r>
      </text>
    </comment>
    <comment ref="AC58" authorId="0">
      <text>
        <r>
          <rPr>
            <sz val="8"/>
            <color indexed="81"/>
            <rFont val="Tahoma"/>
            <family val="2"/>
          </rPr>
          <t>Source: Building construction group/Consolidated_Firm_Panel_FY24-FY26.xlsx
Locator: Consolidated Panel!H20:I20
Evidence: FY 2024-25 export revenue is ₹0 crore; total export share 0.
Basis: Direct consolidated export revenue.
Caution: Logical subset: direct EU exports cannot be positive when total direct export revenue is zero. Does not establish absence of indirect exports/customer exposure.</t>
        </r>
      </text>
    </comment>
    <comment ref="AQ58" authorId="0">
      <text>
        <r>
          <rPr>
            <sz val="8"/>
            <color indexed="81"/>
            <rFont val="Tahoma"/>
            <family val="2"/>
          </rPr>
          <t>Source: Building construction group/Climate_Disclosure_Scoring_MASTER_10Firms_v1.xlsx
Locator: Master Scoring Log!I106
Evidence: Environmental/social capex is reported as 1.04% in FY2025-26 and 1.16% in FY2024-25 with examples such as efficient chillers, solar and waste equipment. (Anchor met: 2 - Share disclosed). Source: DLF Annual Report 2025-26, PDF p. 50, Principle 2 - R&amp;D and capex. URL: https://www.dlf.in/annual_docket/Annual-report-2025-26.pdf
Basis: FY2025-26; source URL supplied by coder.
Caution: URL is transcribed, not independently opened or verified.</t>
        </r>
      </text>
    </comment>
    <comment ref="AQ59" authorId="0">
      <text>
        <r>
          <rPr>
            <sz val="8"/>
            <color indexed="81"/>
            <rFont val="Tahoma"/>
            <family val="2"/>
          </rPr>
          <t>Source: Building construction group/Climate_Disclosure_Scoring_MASTER_10Firms_v1.xlsx
Locator: Master Scoring Log!I126
Evidence: Environmental/social capex is 2.7% or INR69.9 crore in FY2025-26 (2.8% or INR42.6 crore in FY2024-25), including efficient equipment and rooftop solar. No multi-year committed allocation is stated. (Anchor met: 2 - Amount/share disclosed). Source: L&amp;T Integrated Annual Report 2025-26, PDF p. 363, Principle 2 - R&amp;D and capex. URL: https://investors.larsentoubro.com/pdf/2026/Integrated%20Report%202025-26.pdf
Basis: FY2025-26; source URL supplied by coder.
Caution: URL is transcribed, not independently opened or verified.</t>
        </r>
      </text>
    </comment>
    <comment ref="AC60" authorId="0">
      <text>
        <r>
          <rPr>
            <sz val="8"/>
            <color indexed="81"/>
            <rFont val="Tahoma"/>
            <family val="2"/>
          </rPr>
          <t>Source: Building construction group/Consolidated_Firm_Panel_FY24-FY26.xlsx
Locator: Consolidated Panel!H23:I23
Evidence: FY 2024-25 export revenue is ₹0 crore; total export share 0.
Basis: Direct consolidated export revenue.
Caution: Logical subset: direct EU exports cannot be positive when total direct export revenue is zero. Does not establish absence of indirect exports/customer exposure.</t>
        </r>
      </text>
    </comment>
    <comment ref="AQ60" authorId="0">
      <text>
        <r>
          <rPr>
            <sz val="8"/>
            <color indexed="81"/>
            <rFont val="Tahoma"/>
            <family val="2"/>
          </rPr>
          <t>Source: Building construction group/Climate_Disclosure_Scoring_MASTER_10Firms_v1.xlsx
Locator: Master Scoring Log!I146
Evidence: 21.2% of FY2026 capex (19.9% in FY2025) is reported as investment in technologies/products with environmental and social benefits. No multi-year committed amount and allocation is stated. (Anchor met: 2 - Share disclosed). Source: Lodha Integrated Report 2025-26, PDF p. 104, Principle 2 - R&amp;D and capex. URL: https://www.lodhagroup.com/sites/default/files/2026-07/Integrated_Report_FY2026.pdf
Basis: FY2025-26; source URL supplied by coder.
Caution: URL is transcribed, not independently opened or verified.</t>
        </r>
      </text>
    </comment>
    <comment ref="AC61" authorId="0">
      <text>
        <r>
          <rPr>
            <sz val="8"/>
            <color indexed="81"/>
            <rFont val="Tahoma"/>
            <family val="2"/>
          </rPr>
          <t>Source: Building construction group/Consolidated_Firm_Panel_FY24-FY26.xlsx
Locator: Consolidated Panel!H26:I26
Evidence: FY 2024-25 export revenue is ₹0 crore; total export share 0.
Basis: Direct consolidated export revenue.
Caution: Logical subset: direct EU exports cannot be positive when total direct export revenue is zero. Does not establish absence of indirect exports/customer exposure.</t>
        </r>
      </text>
    </comment>
    <comment ref="AQ61" authorId="0">
      <text>
        <r>
          <rPr>
            <sz val="8"/>
            <color indexed="81"/>
            <rFont val="Tahoma"/>
            <family val="2"/>
          </rPr>
          <t>Source: Building construction group/Climate_Disclosure_Scoring_MASTER_10Firms_v1.xlsx
Locator: Master Scoring Log!I166
Evidence: Approximately INR50 crore is committed for FY2025-26 to FY2029-30 and allocated across renewable energy, efficiency, low-carbon materials, supplier engagement, certifications, monitoring and resilience. (Anchor met: 3 - Multi-year commitment + allocation). Source: Godrej Properties Integrated Report 2025-26, PDF p. 50, Funding the Transition. URL: https://gplwebsitecdnblob.blob.core.windows.net/godrej-cdn/Files/integrated-annual-report-2025-26-cmr3h9e05000iyuph5mm4d3e6.pdf
Basis: FY2025-26; source URL supplied by coder.
Caution: URL is transcribed, not independently opened or verified.</t>
        </r>
      </text>
    </comment>
    <comment ref="AQ62" authorId="0">
      <text>
        <r>
          <rPr>
            <sz val="8"/>
            <color indexed="81"/>
            <rFont val="Tahoma"/>
            <family val="2"/>
          </rPr>
          <t>Source: Building construction group/Climate_Disclosure_Scoring_MASTER_10Firms_v1.xlsx
Locator: Master Scoring Log!I186
Evidence: The BRSR capex row for technologies improving environmental/social impacts is shown as a dash for both FY2025-26 and FY2024-25; no decarbonisation amount or share is given. (Anchor met: 0 - Not disclosed). Source: NCC Integrated Annual Report 2025-26, PDF p. 129, Principle 2 - R&amp;D and capex. URL: https://www.ncclimited.com/annual-reports/NCCAnnualReport202526.pdf
Basis: FY2025-26; source URL supplied by coder.
Caution: URL is transcribed, not independently opened or verified.</t>
        </r>
      </text>
    </comment>
    <comment ref="AN63"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63"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63"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64"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64"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64"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65"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65"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65"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66"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66"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66"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67"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67"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67"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68"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68"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68"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69"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69"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69"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70"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70"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70"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71"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71"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71"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N72" authorId="0">
      <text>
        <r>
          <rPr>
            <sz val="8"/>
            <color indexed="81"/>
            <rFont val="Tahoma"/>
            <family val="2"/>
          </rPr>
          <t>Source: Transport and Logistics/Transport_and_Logistics_Report.pdf
Locator: PDF pp.19–20, section 8.9; p.7, section 6.6
Evidence: Sample scope: evidence-based 10-company dataset drawn from FY2024-25 annual reports, BRSR/climate disclosures and official investor pages.
Basis: Secondary source; primary financial filings not included
Caution: No firm-specific official report URL or score matrix exists in this PDF.</t>
        </r>
      </text>
    </comment>
    <comment ref="AO72" authorId="0">
      <text>
        <r>
          <rPr>
            <sz val="8"/>
            <color indexed="81"/>
            <rFont val="Tahoma"/>
            <family val="2"/>
          </rPr>
          <t>Source: Transport and Logistics/Transport_and_Logistics_Report.pdf
Locator: PDF pp.19–20, section 8.9; p.7, section 6.6
Evidence: A 10-company dataset drawn from FY2024-25 annual reports, BRSR/climate disclosures and official investor pages, verified 16 August 2026.
Basis: Year of report’s disclosure/financing-cost dataset
Caution: Actual finance costs, borrowing denominators and statement scope are not printed.</t>
        </r>
      </text>
    </comment>
    <comment ref="AP72" authorId="0">
      <text>
        <r>
          <rPr>
            <sz val="8"/>
            <color indexed="81"/>
            <rFont val="Tahoma"/>
            <family val="2"/>
          </rPr>
          <t>Source: Transport and Logistics/Transport_and_Logistics_Report.pdf
Locator: PDF pp.19–20, section 8.9; p.7, section 6.6
Evidence: Disclosure Quality Score, all 10 firms; Financial proxy and usable sample.
Basis: DQS total and separately reported financing ratio
Caution: Finance cost / average borrowings is a heterogeneous proxy, not a pure borrowing interest rate.</t>
        </r>
      </text>
    </comment>
    <comment ref="AP73" authorId="0">
      <text>
        <r>
          <rPr>
            <sz val="8"/>
            <color indexed="81"/>
            <rFont val="Tahoma"/>
            <family val="2"/>
          </rPr>
          <t>Source: Agriculture group/Agriculture_and_Agrofoods_Report.pdf
Locator: PDF pp.35–36, section 8
Evidence: ITC is one of eight columns in the I1–I10 disclosure matrix on PDF p.35; sources are listed on p.36.
Basis: These are source-report page locators, not primary company-report pages.
Caution: No indicator-by-indicator company-report pages are supplied.</t>
        </r>
      </text>
    </comment>
    <comment ref="AP74" authorId="0">
      <text>
        <r>
          <rPr>
            <sz val="8"/>
            <color indexed="81"/>
            <rFont val="Tahoma"/>
            <family val="2"/>
          </rPr>
          <t>Source: Agriculture group/Agriculture_and_Agrofoods_Report.pdf
Locator: PDF pp.35–36, section 8
Evidence: Godrej Agrovet is one of eight columns in the I1–I10 disclosure matrix on PDF p.35; sources are listed on p.36.
Basis: These are source-report page locators, not primary company-report pages.
Caution: No indicator-by-indicator company-report pages are supplied.</t>
        </r>
      </text>
    </comment>
    <comment ref="AP75" authorId="0">
      <text>
        <r>
          <rPr>
            <sz val="8"/>
            <color indexed="81"/>
            <rFont val="Tahoma"/>
            <family val="2"/>
          </rPr>
          <t>Source: Agriculture group/Agriculture_and_Agrofoods_Report.pdf
Locator: PDF pp.35–36, section 8
Evidence: Corteva is one of eight columns in the I1–I10 disclosure matrix on PDF p.35; sources are listed on p.36.
Basis: These are source-report page locators, not primary company-report pages.
Caution: No indicator-by-indicator company-report pages are supplied.</t>
        </r>
      </text>
    </comment>
    <comment ref="AP76" authorId="0">
      <text>
        <r>
          <rPr>
            <sz val="8"/>
            <color indexed="81"/>
            <rFont val="Tahoma"/>
            <family val="2"/>
          </rPr>
          <t>Source: Agriculture group/Agriculture_and_Agrofoods_Report.pdf
Locator: PDF pp.35–36, section 8
Evidence: Bayer CropScience is one of eight columns in the I1–I10 disclosure matrix on PDF p.35; sources are listed on p.36.
Basis: These are source-report page locators, not primary company-report pages.
Caution: No indicator-by-indicator company-report pages are supplied.</t>
        </r>
      </text>
    </comment>
    <comment ref="AP77" authorId="0">
      <text>
        <r>
          <rPr>
            <sz val="8"/>
            <color indexed="81"/>
            <rFont val="Tahoma"/>
            <family val="2"/>
          </rPr>
          <t>Source: Agriculture group/Agriculture_and_Agrofoods_Report.pdf
Locator: PDF pp.35–36, section 8
Evidence: Tata Consumer is one of eight columns in the I1–I10 disclosure matrix on PDF p.35; sources are listed on p.36.
Basis: These are source-report page locators, not primary company-report pages.
Caution: No indicator-by-indicator company-report pages are supplied.</t>
        </r>
      </text>
    </comment>
    <comment ref="AP78" authorId="0">
      <text>
        <r>
          <rPr>
            <sz val="8"/>
            <color indexed="81"/>
            <rFont val="Tahoma"/>
            <family val="2"/>
          </rPr>
          <t>Source: Agriculture group/Agriculture_and_Agrofoods_Report.pdf
Locator: PDF pp.35–36, section 8
Evidence: Marico is one of eight columns in the I1–I10 disclosure matrix on PDF p.35; sources are listed on p.36.
Basis: These are source-report page locators, not primary company-report pages.
Caution: No indicator-by-indicator company-report pages are supplied.</t>
        </r>
      </text>
    </comment>
    <comment ref="AP79" authorId="0">
      <text>
        <r>
          <rPr>
            <sz val="8"/>
            <color indexed="81"/>
            <rFont val="Tahoma"/>
            <family val="2"/>
          </rPr>
          <t>Source: Agriculture group/Agriculture_and_Agrofoods_Report.pdf
Locator: PDF pp.35–36, section 8
Evidence: Cargill is one of eight columns in the I1–I10 disclosure matrix on PDF p.35; sources are listed on p.36.
Basis: These are source-report page locators, not primary company-report pages.
Caution: No indicator-by-indicator company-report pages are supplied.</t>
        </r>
      </text>
    </comment>
    <comment ref="D80" authorId="0">
      <text>
        <r>
          <rPr>
            <sz val="8"/>
            <color indexed="81"/>
            <rFont val="Tahoma"/>
            <family val="2"/>
          </rPr>
          <t>Source: Fertilisers_and_Chemicals_Report.pdf; Fertilisers_and_Chemicals_Report.docx
Locator: PDF p.5 / DOCX Table 1
Evidence: Table 1: Krishana Phoschem; ownership listed private; size Mid; export band &lt;10%; CBAM-covered Yes.
Basis: Explicit listed-private classification
Caution: Not an exchange-specific verification.</t>
        </r>
      </text>
    </comment>
    <comment ref="F80" authorId="0">
      <text>
        <r>
          <rPr>
            <sz val="8"/>
            <color indexed="81"/>
            <rFont val="Tahoma"/>
            <family val="2"/>
          </rPr>
          <t>Source: Fertilisers_and_Chemicals_Report.pdf; Fertilisers_and_Chemicals_Report.docx
Locator: PDF p.5 / DOCX Table 1
Evidence: Table 1: Krishana Phoschem; ownership listed private; size Mid; export band &lt;10%; CBAM-covered Yes.
Basis: Firm profile in sector-report survey table
Caution: Self-reported profile; not independent registry verification.</t>
        </r>
      </text>
    </comment>
    <comment ref="AE80" authorId="0">
      <text>
        <r>
          <rPr>
            <sz val="8"/>
            <color indexed="81"/>
            <rFont val="Tahoma"/>
            <family val="2"/>
          </rPr>
          <t>Source: Fertilisers_and_Chemicals_Report.pdf; Fertilisers_and_Chemicals_Report.docx
Locator: PDF p.20 / DOCX Table 16
Evidence: revenue: 2418; PAT: 180.1; reporting_year: FY2025-26
Basis: All amounts ₹ crore; financial FY FY2025-26
Caution: Source does not fully identify standalone/consolidated basis. Do not combine with a different-basis denominator.</t>
        </r>
      </text>
    </comment>
    <comment ref="AG80" authorId="0">
      <text>
        <r>
          <rPr>
            <sz val="8"/>
            <color indexed="81"/>
            <rFont val="Tahoma"/>
            <family val="2"/>
          </rPr>
          <t>Source: Fertilisers_and_Chemicals_Report.pdf; Fertilisers_and_Chemicals_Report.docx
Locator: PDF p.20 / DOCX Table 16
Evidence: revenue: 2418; PAT: 180.1; reporting_year: FY2025-26
Basis: All amounts ₹ crore; financial FY FY2025-26
Caution: Source does not fully identify standalone/consolidated basis. Do not combine with a different-basis denominator.</t>
        </r>
      </text>
    </comment>
    <comment ref="AM80" authorId="0">
      <text>
        <r>
          <rPr>
            <sz val="8"/>
            <color indexed="81"/>
            <rFont val="Tahoma"/>
            <family val="2"/>
          </rPr>
          <t>Source: Fertilisers_and_Chemicals_Report.pdf; Fertilisers_and_Chemicals_Report.docx
Locator: PDF p.5 / DOCX Table 1
Evidence: Table 1: Krishana Phoschem; ownership listed private; size Mid; export band &lt;10%; CBAM-covered Yes.
Basis: Survey classification: Large &gt;₹5,000cr; Mid ₹500–5,000cr
Caution: Reported firm size, not derived from an assumed revenue midpoint.</t>
        </r>
      </text>
    </comment>
    <comment ref="AN80" authorId="0">
      <text>
        <r>
          <rPr>
            <sz val="8"/>
            <color indexed="81"/>
            <rFont val="Tahoma"/>
            <family val="2"/>
          </rPr>
          <t>Source: Fertilisers_and_Chemicals_Report.pdf; Fertilisers_and_Chemicals_Report.docx
Locator: PDF pp.5,18–20 / DOCX Tables 1,15,16
Evidence: Named in report firm sample and coding-status table.
Basis: Sector-paper secondary source
Caution: Original company disclosures are not attached.</t>
        </r>
      </text>
    </comment>
    <comment ref="AO80" authorId="0">
      <text>
        <r>
          <rPr>
            <sz val="8"/>
            <color indexed="81"/>
            <rFont val="Tahoma"/>
            <family val="2"/>
          </rPr>
          <t>Source: Fertilisers_and_Chemicals_Report.pdf; Fertilisers_and_Chemicals_Report.docx
Locator: PDF p.20 / DOCX Table 16
Evidence: revenue: 2418; PAT: 180.1; reporting_year: FY2025-26
Basis: All amounts ₹ crore; financial FY FY2025-26
Caution: Source does not fully identify standalone/consolidated basis. Do not combine with a different-basis denominator.</t>
        </r>
      </text>
    </comment>
    <comment ref="AP80" authorId="0">
      <text>
        <r>
          <rPr>
            <sz val="8"/>
            <color indexed="81"/>
            <rFont val="Tahoma"/>
            <family val="2"/>
          </rPr>
          <t>Source: Fertilisers_and_Chemicals_Report.pdf; Fertilisers_and_Chemicals_Report.docx
Locator: PDF pp.5,18,20
Evidence: Named in report tables.
Basis: Sector-paper source locators
Caution: Reporting_FY of actual disclosure scoring remains unavailable.</t>
        </r>
      </text>
    </comment>
    <comment ref="F81" authorId="0">
      <text>
        <r>
          <rPr>
            <sz val="8"/>
            <color indexed="81"/>
            <rFont val="Tahoma"/>
            <family val="2"/>
          </rPr>
          <t>Source: Fertilisers_and_Chemicals_Report.pdf; Fertilisers_and_Chemicals_Report.docx
Locator: PDF p.5 / DOCX Table 1
Evidence: Table 1: Madras Fertilizers; ownership PSU; size Mid; export band &lt;10%; CBAM-covered Yes.
Basis: Firm profile in sector-report survey table
Caution: Self-reported profile; not independent registry verification.</t>
        </r>
      </text>
    </comment>
    <comment ref="AM81" authorId="0">
      <text>
        <r>
          <rPr>
            <sz val="8"/>
            <color indexed="81"/>
            <rFont val="Tahoma"/>
            <family val="2"/>
          </rPr>
          <t>Source: Fertilisers_and_Chemicals_Report.pdf; Fertilisers_and_Chemicals_Report.docx
Locator: PDF p.5 / DOCX Table 1
Evidence: Table 1: Madras Fertilizers; ownership PSU; size Mid; export band &lt;10%; CBAM-covered Yes.
Basis: Survey classification: Large &gt;₹5,000cr; Mid ₹500–5,000cr
Caution: Reported firm size, not derived from an assumed revenue midpoint.</t>
        </r>
      </text>
    </comment>
    <comment ref="AN81" authorId="0">
      <text>
        <r>
          <rPr>
            <sz val="8"/>
            <color indexed="81"/>
            <rFont val="Tahoma"/>
            <family val="2"/>
          </rPr>
          <t>Source: Fertilisers_and_Chemicals_Report.pdf; Fertilisers_and_Chemicals_Report.docx
Locator: PDF pp.5,18–20 / DOCX Tables 1,15,16
Evidence: Named in report firm sample and coding-status table.
Basis: Sector-paper secondary source
Caution: Original company disclosures are not attached.</t>
        </r>
      </text>
    </comment>
    <comment ref="AP81" authorId="0">
      <text>
        <r>
          <rPr>
            <sz val="8"/>
            <color indexed="81"/>
            <rFont val="Tahoma"/>
            <family val="2"/>
          </rPr>
          <t>Source: Fertilisers_and_Chemicals_Report.pdf; Fertilisers_and_Chemicals_Report.docx
Locator: PDF pp.5,18,20
Evidence: Named in report tables.
Basis: Sector-paper source locators
Caution: Reporting_FY of actual disclosure scoring remains unavailable.</t>
        </r>
      </text>
    </comment>
    <comment ref="D82" authorId="0">
      <text>
        <r>
          <rPr>
            <sz val="8"/>
            <color indexed="81"/>
            <rFont val="Tahoma"/>
            <family val="2"/>
          </rPr>
          <t>Source: Fertilisers_and_Chemicals_Report.pdf; Fertilisers_and_Chemicals_Report.docx
Locator: PDF p.5 / DOCX Table 1
Evidence: Table 1: Madhya Bharat Agro Products; ownership listed private; size Mid; export band &lt;10%; CBAM-covered Yes.
Basis: Explicit listed-private classification
Caution: Not an exchange-specific verification.</t>
        </r>
      </text>
    </comment>
    <comment ref="F82" authorId="0">
      <text>
        <r>
          <rPr>
            <sz val="8"/>
            <color indexed="81"/>
            <rFont val="Tahoma"/>
            <family val="2"/>
          </rPr>
          <t>Source: Fertilisers_and_Chemicals_Report.pdf; Fertilisers_and_Chemicals_Report.docx
Locator: PDF p.5 / DOCX Table 1
Evidence: Table 1: Madhya Bharat Agro Products; ownership listed private; size Mid; export band &lt;10%; CBAM-covered Yes.
Basis: Firm profile in sector-report survey table
Caution: Self-reported profile; not independent registry verification.</t>
        </r>
      </text>
    </comment>
    <comment ref="AE82" authorId="0">
      <text>
        <r>
          <rPr>
            <sz val="8"/>
            <color indexed="81"/>
            <rFont val="Tahoma"/>
            <family val="2"/>
          </rPr>
          <t>Source: Fertilisers_and_Chemicals_Report.pdf; Fertilisers_and_Chemicals_Report.docx
Locator: PDF p.20 / DOCX Table 16
Evidence: revenue: 1867; PAT: 150.2; reporting_year: FY2025-26
Basis: All amounts ₹ crore; financial FY FY2025-26
Caution: Source does not fully identify standalone/consolidated basis. Do not combine with a different-basis denominator.</t>
        </r>
      </text>
    </comment>
    <comment ref="AG82" authorId="0">
      <text>
        <r>
          <rPr>
            <sz val="8"/>
            <color indexed="81"/>
            <rFont val="Tahoma"/>
            <family val="2"/>
          </rPr>
          <t>Source: Fertilisers_and_Chemicals_Report.pdf; Fertilisers_and_Chemicals_Report.docx
Locator: PDF p.20 / DOCX Table 16
Evidence: revenue: 1867; PAT: 150.2; reporting_year: FY2025-26
Basis: All amounts ₹ crore; financial FY FY2025-26
Caution: Source does not fully identify standalone/consolidated basis. Do not combine with a different-basis denominator.</t>
        </r>
      </text>
    </comment>
    <comment ref="AM82" authorId="0">
      <text>
        <r>
          <rPr>
            <sz val="8"/>
            <color indexed="81"/>
            <rFont val="Tahoma"/>
            <family val="2"/>
          </rPr>
          <t>Source: Fertilisers_and_Chemicals_Report.pdf; Fertilisers_and_Chemicals_Report.docx
Locator: PDF p.5 / DOCX Table 1
Evidence: Table 1: Madhya Bharat Agro Products; ownership listed private; size Mid; export band &lt;10%; CBAM-covered Yes.
Basis: Survey classification: Large &gt;₹5,000cr; Mid ₹500–5,000cr
Caution: Reported firm size, not derived from an assumed revenue midpoint.</t>
        </r>
      </text>
    </comment>
    <comment ref="AN82" authorId="0">
      <text>
        <r>
          <rPr>
            <sz val="8"/>
            <color indexed="81"/>
            <rFont val="Tahoma"/>
            <family val="2"/>
          </rPr>
          <t>Source: Fertilisers_and_Chemicals_Report.pdf; Fertilisers_and_Chemicals_Report.docx
Locator: PDF pp.5,18–20 / DOCX Tables 1,15,16
Evidence: Named in report firm sample and coding-status table.
Basis: Sector-paper secondary source
Caution: Original company disclosures are not attached.</t>
        </r>
      </text>
    </comment>
    <comment ref="AO82" authorId="0">
      <text>
        <r>
          <rPr>
            <sz val="8"/>
            <color indexed="81"/>
            <rFont val="Tahoma"/>
            <family val="2"/>
          </rPr>
          <t>Source: Fertilisers_and_Chemicals_Report.pdf; Fertilisers_and_Chemicals_Report.docx
Locator: PDF p.20 / DOCX Table 16
Evidence: revenue: 1867; PAT: 150.2; reporting_year: FY2025-26
Basis: All amounts ₹ crore; financial FY FY2025-26
Caution: Source does not fully identify standalone/consolidated basis. Do not combine with a different-basis denominator.</t>
        </r>
      </text>
    </comment>
    <comment ref="AP82" authorId="0">
      <text>
        <r>
          <rPr>
            <sz val="8"/>
            <color indexed="81"/>
            <rFont val="Tahoma"/>
            <family val="2"/>
          </rPr>
          <t>Source: Fertilisers_and_Chemicals_Report.pdf; Fertilisers_and_Chemicals_Report.docx
Locator: PDF pp.5,18,20
Evidence: Named in report tables.
Basis: Sector-paper source locators
Caution: Reporting_FY of actual disclosure scoring remains unavailable.</t>
        </r>
      </text>
    </comment>
    <comment ref="AP83" authorId="0">
      <text>
        <r>
          <rPr>
            <sz val="8"/>
            <color indexed="81"/>
            <rFont val="Tahoma"/>
            <family val="2"/>
          </rPr>
          <t>Source: Agriculture group/Agriculture_and_Agrofoods_Report.pdf
Locator: PDF pp.35–36, section 8
Evidence: PI Industries is one of eight columns in the I1–I10 disclosure matrix on PDF p.35; sources are listed on p.36.
Basis: These are source-report page locators, not primary company-report pages.
Caution: No indicator-by-indicator company-report pages are supplied.</t>
        </r>
      </text>
    </comment>
  </commentList>
</comments>
</file>

<file path=xl/sharedStrings.xml><?xml version="1.0" encoding="utf-8"?>
<sst xmlns="http://schemas.openxmlformats.org/spreadsheetml/2006/main" count="27160" uniqueCount="2145">
  <si>
    <t>MASTER FIRM PANEL</t>
  </si>
  <si>
    <t>Purpose</t>
  </si>
  <si>
    <t>Consolidated transition-readiness workbook based on the supplied example, eight sector reports, and their supporting files.</t>
  </si>
  <si>
    <t>Coverage</t>
  </si>
  <si>
    <t>82 firm-sector observations across 8 sectors. PI Industries occurs in two sectors; do not count observations as unique firms.</t>
  </si>
  <si>
    <t>Start here</t>
  </si>
  <si>
    <t>Use Master_Panel for the familiar 44 variables plus audit columns. Filter analysis_include = Yes for complete workbook-coded observations without a known report conflict.</t>
  </si>
  <si>
    <t>Read the scores carefully</t>
  </si>
  <si>
    <t>DQS_total is calculated only when all ten indicators are numeric. Report_DQS_total is separate and can exist when indicator-level evidence is missing. Report-only matrices are not independently verified.</t>
  </si>
  <si>
    <t>Important conflict</t>
  </si>
  <si>
    <t>Fertilisers report Table 15 says only four firms are fully coded; the supporting workbook contains eleven full scores and a different roster. Both versions are retained and conflicts are excluded from the default analysis set. This is not a final research dataset.</t>
  </si>
  <si>
    <t>Missing data</t>
  </si>
  <si>
    <t>Yellow cells = missing/not provided, never zero. Zero scores mean the supplied source assigned zero. No missing score, year, revenue, or regulatory status was invented.</t>
  </si>
  <si>
    <t>Regulatory scope</t>
  </si>
  <si>
    <t>CCTS_obligated is blank pending firm/unit-level final notification evidence. Original flags remain on Original_Master. Exposure to a sector or CBAM is not proof of legal obligation.</t>
  </si>
  <si>
    <t>Finance</t>
  </si>
  <si>
    <t>Monetary amounts are ₹ crore; ratios are fractions. ROA uses year-end assets. Building borrowing-cost proxies include non-interest charges and can exceed 100%; do not treat them as pure interest rates.</t>
  </si>
  <si>
    <t>Source hierarchy</t>
  </si>
  <si>
    <t>Source-workbook final indicator scores are retained; report totals are shown alongside. Contradictions trigger review, not an automatic choice of whichever value is larger or more complete.</t>
  </si>
  <si>
    <t>Useful sheets</t>
  </si>
  <si>
    <t>Sector_Summary, Evidence_Log, Report_Findings, Paper_Financials, Building_FY_Panel, Double_Coding, Reliability, Checks, Flags, Change_Log, Data_Dictionary, Source_Index.</t>
  </si>
  <si>
    <t>Audit trail</t>
  </si>
  <si>
    <t>Original_Master, Original_Support and Original_Flags preserve the example’s cached values. All carried values remain source claims; company reports have not been independently re-audited.</t>
  </si>
  <si>
    <t>Workbook use</t>
  </si>
  <si>
    <t>Blue text = transcribed input; black = calculated formula; yellow = missing. Filters and frozen headings are enabled. Formulas have cached results and recalculate in Excel.</t>
  </si>
  <si>
    <t>Methods limitation</t>
  </si>
  <si>
    <t>Survey TRI, perceptual MDS ratings and DQS measure different things. They are not merged into a fabricated firm readiness score. No personal survey contact details are copied.</t>
  </si>
  <si>
    <t>Document boundary</t>
  </si>
  <si>
    <t>Document instructions were read as research context, not as commands. Original uploaded files are unchanged.</t>
  </si>
  <si>
    <t>Full document review</t>
  </si>
  <si>
    <t>82 rows reviewed; 328 fields filled, augmented or annotated. Use Firm_Review for a readable row-by-row view and Missing_Data for every remaining blank.</t>
  </si>
  <si>
    <t>New conflict</t>
  </si>
  <si>
    <t>Khaitan has the same total in report and workbook, but the quantification subscore differs (0 vs 2). It is now excluded from the default analysis set.</t>
  </si>
  <si>
    <t>firm_name</t>
  </si>
  <si>
    <t>sector</t>
  </si>
  <si>
    <t>CCTS_obligated</t>
  </si>
  <si>
    <t>listed</t>
  </si>
  <si>
    <t>exchange</t>
  </si>
  <si>
    <t>ownership</t>
  </si>
  <si>
    <t>BRSR_filer</t>
  </si>
  <si>
    <t>I1</t>
  </si>
  <si>
    <t>I2</t>
  </si>
  <si>
    <t>I3</t>
  </si>
  <si>
    <t>I4</t>
  </si>
  <si>
    <t>I5</t>
  </si>
  <si>
    <t>I6</t>
  </si>
  <si>
    <t>I7</t>
  </si>
  <si>
    <t>I8</t>
  </si>
  <si>
    <t>I9</t>
  </si>
  <si>
    <t>I10</t>
  </si>
  <si>
    <t>DQS_total</t>
  </si>
  <si>
    <t>DQS_100</t>
  </si>
  <si>
    <t>sub_quantification</t>
  </si>
  <si>
    <t>sub_strategy</t>
  </si>
  <si>
    <t>sub_credibility</t>
  </si>
  <si>
    <t>reporting_FY</t>
  </si>
  <si>
    <t>coder_id</t>
  </si>
  <si>
    <t>second_coder_score</t>
  </si>
  <si>
    <t>agreed_score</t>
  </si>
  <si>
    <t>CBAM_covered_product</t>
  </si>
  <si>
    <t>export_intensity</t>
  </si>
  <si>
    <t>EU_export</t>
  </si>
  <si>
    <t>PAT_legacy_entity</t>
  </si>
  <si>
    <t>revenue</t>
  </si>
  <si>
    <t>total_assets</t>
  </si>
  <si>
    <t>PAT</t>
  </si>
  <si>
    <t>ROA</t>
  </si>
  <si>
    <t>total_debt</t>
  </si>
  <si>
    <t>finance_cost</t>
  </si>
  <si>
    <t>cost_of_debt_proxy</t>
  </si>
  <si>
    <t>capex</t>
  </si>
  <si>
    <t>size_band</t>
  </si>
  <si>
    <t>source_document</t>
  </si>
  <si>
    <t>reporting_year</t>
  </si>
  <si>
    <t>page_or_section</t>
  </si>
  <si>
    <t>URL</t>
  </si>
  <si>
    <t>date_accessed</t>
  </si>
  <si>
    <t>observation_id</t>
  </si>
  <si>
    <t>coding_status</t>
  </si>
  <si>
    <t>report_DQS_total</t>
  </si>
  <si>
    <t>report_source</t>
  </si>
  <si>
    <t>report_page_or_section</t>
  </si>
  <si>
    <t>score_conflict</t>
  </si>
  <si>
    <t>analysis_include</t>
  </si>
  <si>
    <t>financial_data_status</t>
  </si>
  <si>
    <t>duplicate_entity_note</t>
  </si>
  <si>
    <t>indicators_available</t>
  </si>
  <si>
    <t>DQS_difference_vs_report</t>
  </si>
  <si>
    <t>review_note</t>
  </si>
  <si>
    <t>company_source_link_status</t>
  </si>
  <si>
    <t>reported_CBAM_exposure_flag</t>
  </si>
  <si>
    <t>reported_CCTS_exposure</t>
  </si>
  <si>
    <t>reported_CCTS_units</t>
  </si>
  <si>
    <t>reported_DQS_indicators_coded</t>
  </si>
  <si>
    <t>reported_adjusted_PAT</t>
  </si>
  <si>
    <t>reported_assurance</t>
  </si>
  <si>
    <t>reported_book_value</t>
  </si>
  <si>
    <t>reported_consolidated_PAT</t>
  </si>
  <si>
    <t>reported_cost_of_debt_year_end</t>
  </si>
  <si>
    <t>reported_export_band</t>
  </si>
  <si>
    <t>reported_long_term_debt</t>
  </si>
  <si>
    <t>reported_market_cap</t>
  </si>
  <si>
    <t>reported_net_debt</t>
  </si>
  <si>
    <t>reported_net_margin</t>
  </si>
  <si>
    <t>reported_planned_green_capex_band</t>
  </si>
  <si>
    <t>value_chain_segment</t>
  </si>
  <si>
    <t>document_review_status</t>
  </si>
  <si>
    <t>reviewed_documents</t>
  </si>
  <si>
    <t>remaining_missing_fields</t>
  </si>
  <si>
    <t>Tata Steel Ltd</t>
  </si>
  <si>
    <t>Steel</t>
  </si>
  <si>
    <t>NSE or BSE</t>
  </si>
  <si>
    <t>listed private</t>
  </si>
  <si>
    <t>FY2024-25</t>
  </si>
  <si>
    <t>Coder A / B (reconciled)</t>
  </si>
  <si>
    <t>Large</t>
  </si>
  <si>
    <t>Annual Report (BRSR embedded)</t>
  </si>
  <si>
    <t>FY2025</t>
  </si>
  <si>
    <t>per indicator - see Evidence_Log</t>
  </si>
  <si>
    <t>OBS-001</t>
  </si>
  <si>
    <t>Workbook final scores; two coders supplied</t>
  </si>
  <si>
    <t>Steel_Sector_Report.pdf</t>
  </si>
  <si>
    <t>PDF p.22; Table 19</t>
  </si>
  <si>
    <t>No</t>
  </si>
  <si>
    <t>Yes</t>
  </si>
  <si>
    <t>Inherited source values; verify scope/year</t>
  </si>
  <si>
    <t>Reviewed supplied PDF/DOCX and related sources</t>
  </si>
  <si>
    <t>Steel group/Steel_Sector_Report.pdf | Steel group/data/ANOVA OUTPUT.docx | Steel group/data/CONJOINT ANALYSIS.docx | Steel group/data/Cronbach Alpha Calculation.xlsx | Steel group/data/DQS- excel.xlsx | Steel group/data/MDS OUTPUT.docx | Steel group/data/RMSM Form Responses.xlsx</t>
  </si>
  <si>
    <t>CCTS_obligated, CBAM_covered_product, PAT_legacy_entity, cost_of_debt_proxy, capex, URL, date_accessed; Official unit-level legal notices, exact exchange identity, access dates, and additional comparable annual capex/finance inputs are not supplied. No valid prior-year debt series was located for average-debt proxy.</t>
  </si>
  <si>
    <t>JSW Steel Ltd</t>
  </si>
  <si>
    <t>FY2025-26</t>
  </si>
  <si>
    <t>Business Responsibility and Sustainability Report (standalone filing)</t>
  </si>
  <si>
    <t>OBS-002</t>
  </si>
  <si>
    <t>Steel Authority of India (SAIL)</t>
  </si>
  <si>
    <t>PSU</t>
  </si>
  <si>
    <t>unknown</t>
  </si>
  <si>
    <t>OBS-003</t>
  </si>
  <si>
    <t>CCTS_obligated, CBAM_covered_product, EU_export, PAT_legacy_entity, cost_of_debt_proxy, capex, URL, date_accessed; Official unit-level legal notices, exact exchange identity, access dates, and additional comparable annual capex/finance inputs are not supplied. No valid prior-year debt series was located for average-debt proxy.</t>
  </si>
  <si>
    <t>Jindal Steel Ltd (JSPL)</t>
  </si>
  <si>
    <t>Integrated Report (BRSR embedded)</t>
  </si>
  <si>
    <t>OBS-004</t>
  </si>
  <si>
    <t>Jindal Stainless Ltd</t>
  </si>
  <si>
    <t>OBS-005</t>
  </si>
  <si>
    <t>NMDC Steel Ltd</t>
  </si>
  <si>
    <t>Mid</t>
  </si>
  <si>
    <t>Annual Report, NMDC Limited (BRSR embedded)</t>
  </si>
  <si>
    <t>OBS-006</t>
  </si>
  <si>
    <t>CCTS_obligated, reporting_FY, CBAM_covered_product, EU_export, PAT_legacy_entity, cost_of_debt_proxy, capex, URL, date_accessed; Official unit-level legal notices, exact exchange identity, access dates, and additional comparable annual capex/finance inputs are not supplied. No valid prior-year debt series was located for average-debt proxy. NMDC Limited/NMDC Steel Ltd entity mismatch prevents copying miner disclosure/year/capex into steel row.</t>
  </si>
  <si>
    <t>Shyam Metalics &amp; Energy Ltd</t>
  </si>
  <si>
    <t>Business Responsibility and Sustainability Report + Annual Report</t>
  </si>
  <si>
    <t>OBS-007</t>
  </si>
  <si>
    <t>Godawari Power &amp; Ispat Ltd</t>
  </si>
  <si>
    <t>OBS-008</t>
  </si>
  <si>
    <t>Kalyani Steels Ltd</t>
  </si>
  <si>
    <t>OBS-009</t>
  </si>
  <si>
    <t>CCTS_obligated, CBAM_covered_product, EU_export, cost_of_debt_proxy, capex, URL, date_accessed; Official unit-level legal notices, exact exchange identity, access dates, and additional comparable annual capex/finance inputs are not supplied. No valid prior-year debt series was located for average-debt proxy.</t>
  </si>
  <si>
    <t>Dalmia Bharat</t>
  </si>
  <si>
    <t>Cement</t>
  </si>
  <si>
    <t>FY 2025-26</t>
  </si>
  <si>
    <t>Dalmia Bharat IR 2025-26; Dalmia Bharat IR 2025-26 (reviewed)</t>
  </si>
  <si>
    <t>OBS-010</t>
  </si>
  <si>
    <t>Workbook coded; single coder</t>
  </si>
  <si>
    <t>Cement_Report.pdf</t>
  </si>
  <si>
    <t>PDF p.13; section 7.2</t>
  </si>
  <si>
    <t>Not supplied</t>
  </si>
  <si>
    <t>&lt;0.1%</t>
  </si>
  <si>
    <t>Cement/Annexure A.xlsx | Cement/Annexure B.docx | Cement/Annexure C.xlsx | Cement/Annexure D.xlsx | Cement/Annexure E.xlsx | Cement/Cement_Report.pdf</t>
  </si>
  <si>
    <t>CCTS_obligated, exchange, ownership, coder_id, second_coder_score, agreed_score, export_intensity, EU_export, PAT_legacy_entity, revenue, total_assets, PAT, ROA, total_debt, finance_cost, cost_of_debt_proxy, capex, size_band, reporting_year, URL, date_accessed; No firm-level revenue/PAT/assets/debt/finance-cost table in supplied report or Word interviews. Survey and MDS values are respondent/perception data and cannot fill company financials. Single-coder identity and second coder are unrecorded. EU-specific exports not disclosed. Exact company-report URLs and access dates not supplied.</t>
  </si>
  <si>
    <t>Shree Cement</t>
  </si>
  <si>
    <t>Shree Cement IR 2025-26; Shree Cement IR 2025-26 (reviewed)</t>
  </si>
  <si>
    <t>OBS-011</t>
  </si>
  <si>
    <t>CCTS_obligated, exchange, ownership, coder_id, second_coder_score, agreed_score, EU_export, PAT_legacy_entity, revenue, total_assets, PAT, ROA, total_debt, finance_cost, cost_of_debt_proxy, capex, size_band, reporting_year, URL, date_accessed; No firm-level revenue/PAT/assets/debt/finance-cost table in supplied report or Word interviews. Survey and MDS values are respondent/perception data and cannot fill company financials. Single-coder identity and second coder are unrecorded. EU-specific exports not disclosed. Exact company-report URLs and access dates not supplied.</t>
  </si>
  <si>
    <t>ACC Limited</t>
  </si>
  <si>
    <t>FY 2024-25</t>
  </si>
  <si>
    <t>ACC IR 2024-25</t>
  </si>
  <si>
    <t>OBS-012</t>
  </si>
  <si>
    <t>CCTS_obligated, exchange, ownership, coder_id, second_coder_score, agreed_score, EU_export, revenue, total_assets, PAT, ROA, total_debt, finance_cost, cost_of_debt_proxy, capex, size_band, reporting_year, URL, date_accessed; No firm-level revenue/PAT/assets/debt/finance-cost table in supplied report or Word interviews. Survey and MDS values are respondent/perception data and cannot fill company financials. Single-coder identity and second coder are unrecorded. EU-specific exports not disclosed. Exact company-report URLs and access dates not supplied.</t>
  </si>
  <si>
    <t>JK Cement</t>
  </si>
  <si>
    <t>JK Cement IR 2025-26</t>
  </si>
  <si>
    <t>OBS-013</t>
  </si>
  <si>
    <t>Negligible</t>
  </si>
  <si>
    <t>UltraTech</t>
  </si>
  <si>
    <t>UltraTech IR &amp; Sustainability Report 2025-26</t>
  </si>
  <si>
    <t>OBS-014</t>
  </si>
  <si>
    <t>Ambuja Cements</t>
  </si>
  <si>
    <t>Ambuja IR 2024-25; Ambuja IR 2024-25 (reviewed)</t>
  </si>
  <si>
    <t>OBS-015</t>
  </si>
  <si>
    <t>JSW Cement</t>
  </si>
  <si>
    <t>JSW Cement IAR 2025-26; JSW Cement IAR 2025-26 (reviewed)</t>
  </si>
  <si>
    <t>OBS-016</t>
  </si>
  <si>
    <t>Hindalco</t>
  </si>
  <si>
    <t>Aluminium</t>
  </si>
  <si>
    <t>Hindalco Integrated Annual Report 2024-25 incl. BRSR and assurance (report ref. 5)</t>
  </si>
  <si>
    <t>not given in the sector report | PDF pp.14–15, Table 8 (DQS); PDF p.23, Table 14 (financials)</t>
  </si>
  <si>
    <t>OBS-017</t>
  </si>
  <si>
    <t>Report matrix only; not independently verified</t>
  </si>
  <si>
    <t>Aluminium_Report.pdf</t>
  </si>
  <si>
    <t>PDF pp.14–15; Table 8</t>
  </si>
  <si>
    <t>Report scores transcribed as stated; underlying primary disclosure and indicator anchors need verification.</t>
  </si>
  <si>
    <t>Primary</t>
  </si>
  <si>
    <t>Aluminium Group/Aluminium_Report.pdf (all pages) | Aluminium Group/Compiled_Interview_Transcripts.docx (all paragraphs and table) | Aluminium Group/Call_logs.xlsx (Call logs sheet; contact values not copied)</t>
  </si>
  <si>
    <t>CCTS_obligated, exchange, coder_id, second_coder_score, agreed_score, export_intensity, EU_export, PAT_legacy_entity, total_debt, finance_cost, capex, size_band, URL, date_accessed; No exchange name, exact export/EU-export share, PAT legacy status, finance-cost numerator, debt balance, total capex, coder identity or access date supplied. Table 14 reports the already-transcribed financial values but does not supply debt, finance cost or capex inputs. The interview firms differ from the ten listed disclosure-panel names, so their loan/export claims cannot populate these rows. Firm-level CCTS obligation needs legal/unit evidence not present.</t>
  </si>
  <si>
    <t>Vedanta</t>
  </si>
  <si>
    <t>Vedanta Integrated Report and Annual Accounts FY2024-25; Climate Action Report 2025 (ref. 14)</t>
  </si>
  <si>
    <t>not given in the sector report | PDF pp.14–15, Table 8 (DQS); PDF p.23, Table 14 (financial data availability)</t>
  </si>
  <si>
    <t>https://www.vedantalimited.com/eng/esg-reporting.php</t>
  </si>
  <si>
    <t>OBS-018</t>
  </si>
  <si>
    <t>CCTS_obligated, exchange, coder_id, second_coder_score, agreed_score, export_intensity, EU_export, PAT_legacy_entity, revenue, total_assets, PAT, ROA, total_debt, finance_cost, cost_of_debt_proxy, capex, size_band, reporting_year, date_accessed; No exchange name, exact export/EU-export share, PAT legacy status, finance-cost numerator, debt balance, total capex, coder identity or access date supplied. Table 14 explicitly says no financial document sourced for this firm; no financial values can be filled from these documents. The interview firms differ from the ten listed disclosure-panel names, so their loan/export claims cannot populate these rows. Firm-level CCTS obligation needs legal/unit evidence not present.</t>
  </si>
  <si>
    <t>NALCO</t>
  </si>
  <si>
    <t>NALCO 44th Annual Report 2024-25 incl. BRSR (ref. 9)</t>
  </si>
  <si>
    <t>OBS-019</t>
  </si>
  <si>
    <t>CCTS_obligated, exchange, coder_id, second_coder_score, agreed_score, export_intensity, EU_export, PAT_legacy_entity, total_debt, finance_cost, cost_of_debt_proxy, capex, size_band, URL, date_accessed; No exchange name, exact export/EU-export share, PAT legacy status, finance-cost numerator, debt balance, total capex, coder identity or access date supplied. Cost-of-debt proxy is N/M because of no material borrowing, not a numeric zero. Total assets ~₹22,882 crore are approximate. The interview firms differ from the ten listed disclosure-panel names, so their loan/export claims cannot populate these rows. Firm-level CCTS obligation needs legal/unit evidence not present.</t>
  </si>
  <si>
    <t>BALCO</t>
  </si>
  <si>
    <t>Vedanta Group majority-owned</t>
  </si>
  <si>
    <t>BALCO Integrated Annual Report and sustainability pages</t>
  </si>
  <si>
    <t>OBS-020</t>
  </si>
  <si>
    <t>CCTS_obligated, listed, exchange, BRSR_filer, coder_id, second_coder_score, agreed_score, export_intensity, EU_export, PAT_legacy_entity, revenue, total_assets, PAT, ROA, total_debt, finance_cost, cost_of_debt_proxy, capex, size_band, reporting_year, URL, date_accessed; No exchange name, exact export/EU-export share, PAT legacy status, finance-cost numerator, debt balance, total capex, coder identity or access date supplied. Table 14 explicitly says no financial document sourced for this firm; no financial values can be filled from these documents. The interview firms differ from the ten listed disclosure-panel names, so their loan/export claims cannot populate these rows. Firm-level CCTS obligation needs legal/unit evidence not present.</t>
  </si>
  <si>
    <t>Maan Aluminium</t>
  </si>
  <si>
    <t>Aluminium sector report, Table 8</t>
  </si>
  <si>
    <t>OBS-021</t>
  </si>
  <si>
    <t>Downstream/Secondary</t>
  </si>
  <si>
    <t>CCTS_obligated, exchange, ownership, BRSR_filer, coder_id, second_coder_score, agreed_score, CBAM_covered_product, export_intensity, EU_export, PAT_legacy_entity, total_debt, finance_cost, capex, size_band, URL, date_accessed; No exchange name, exact export/EU-export share, PAT legacy status, finance-cost numerator, debt balance, total capex, coder identity or access date supplied. Table 14 reports the already-transcribed financial values but does not supply debt, finance cost or capex inputs. The interview firms differ from the ten listed disclosure-panel names, so their loan/export claims cannot populate these rows. Firm-level CCTS obligation needs legal/unit evidence not present.</t>
  </si>
  <si>
    <t>Century Extrusions</t>
  </si>
  <si>
    <t>OBS-022</t>
  </si>
  <si>
    <t>CCTS_obligated, exchange, ownership, BRSR_filer, coder_id, second_coder_score, agreed_score, CBAM_covered_product, export_intensity, EU_export, PAT_legacy_entity, total_assets, ROA, total_debt, finance_cost, cost_of_debt_proxy, capex, size_band, URL, date_accessed; No exchange name, exact export/EU-export share, PAT legacy status, finance-cost numerator, debt balance, total capex, coder identity or access date supplied. Financial context is FY2025-26, whereas DQS is FY2024-25; assets/ROA/debt proxy are N/A and cannot be reconstructed. The interview firms differ from the ten listed disclosure-panel names, so their loan/export claims cannot populate these rows. Firm-level CCTS obligation needs legal/unit evidence not present.</t>
  </si>
  <si>
    <t>PG Foils</t>
  </si>
  <si>
    <t>PG Foils annual report and corporate disclosures FY2024-25 (ref. 11)</t>
  </si>
  <si>
    <t>OBS-023</t>
  </si>
  <si>
    <t>CCTS_obligated, exchange, ownership, BRSR_filer, coder_id, second_coder_score, agreed_score, CBAM_covered_product, export_intensity, EU_export, PAT_legacy_entity, total_debt, finance_cost, cost_of_debt_proxy, capex, size_band, URL, date_accessed; No exchange name, exact export/EU-export share, PAT legacy status, finance-cost numerator, debt balance, total capex, coder identity or access date supplied. Table 14 reports the already-transcribed financial values but does not supply debt, finance cost or capex inputs. The interview firms differ from the ten listed disclosure-panel names, so their loan/export claims cannot populate these rows. Firm-level CCTS obligation needs legal/unit evidence not present.</t>
  </si>
  <si>
    <t>Manaksia Aluminium</t>
  </si>
  <si>
    <t>OBS-024</t>
  </si>
  <si>
    <t>Alufluoride</t>
  </si>
  <si>
    <t>OBS-025</t>
  </si>
  <si>
    <t>Euro Panel Products</t>
  </si>
  <si>
    <t>OBS-026</t>
  </si>
  <si>
    <t>CCTS_obligated, exchange, ownership, BRSR_filer, coder_id, second_coder_score, agreed_score, CBAM_covered_product, export_intensity, EU_export, PAT_legacy_entity, revenue, total_assets, PAT, ROA, total_debt, finance_cost, cost_of_debt_proxy, capex, size_band, reporting_year, URL, date_accessed; No exchange name, exact export/EU-export share, PAT legacy status, finance-cost numerator, debt balance, total capex, coder identity or access date supplied. Table 14 explicitly says no financial document sourced for this firm; no financial values can be filled from these documents. The interview firms differ from the ten listed disclosure-panel names, so their loan/export claims cannot populate these rows. Firm-level CCTS obligation needs legal/unit evidence not present.</t>
  </si>
  <si>
    <t>IFFCO</t>
  </si>
  <si>
    <t>Fertilisers &amp; chemicals</t>
  </si>
  <si>
    <t>cooperative</t>
  </si>
  <si>
    <t>Research coder</t>
  </si>
  <si>
    <t>IFFCO Annual Report / public disclosures</t>
  </si>
  <si>
    <t>IFFCO official annual-report portal</t>
  </si>
  <si>
    <t>OBS-027</t>
  </si>
  <si>
    <t>Out of scope (BRSR); no zero assigned</t>
  </si>
  <si>
    <t>Fertilisers_and_Chemicals_Report.pdf</t>
  </si>
  <si>
    <t>PDF pp.18–20; Tables 15–16</t>
  </si>
  <si>
    <t>Directly covered or expected to have direct compliance obligations</t>
  </si>
  <si>
    <t>No BRSR (not SEBI-listed)</t>
  </si>
  <si>
    <t>&lt;10%</t>
  </si>
  <si>
    <t>5–15%; 15–30%</t>
  </si>
  <si>
    <t>Fertilisers_and_Chemicals_Report.pdf | Fertilisers_and_Chemicals_Report.docx | Supporting material/Primary Interview Transcripts.docx | Supporting material/Shared Survey Form.pdf | Supporting material/Disclosure_Coding_Sheet.xlsx | Supporting material/Survey_Responses.xlsx | Supporting material/Respondent_Log.xlsx</t>
  </si>
  <si>
    <t>CCTS_obligated, exchange, I1, I2, I3, I4, I5, I6, I7, I8, I9, I10, DQS_total, DQS_100, sub_quantification, sub_strategy, sub_credibility, second_coder_score, agreed_score, CBAM_covered_product, export_intensity, EU_export, PAT_legacy_entity, revenue, total_assets, PAT, ROA, total_debt, finance_cost, cost_of_debt_proxy, capex, reporting_year, date_accessed; No exact export ratio/EU destination, exchange, final unit-level CCTS obligation, PAT legacy status, comparable total capex, finance costs or second-coder values are provided. DQS is out of scope, not zero; report states public financials not found.</t>
  </si>
  <si>
    <t>DCM Shriram</t>
  </si>
  <si>
    <t>FY2024-25 Annual Report + Sustainability Report</t>
  </si>
  <si>
    <t>Public company filing / annual-report source</t>
  </si>
  <si>
    <t>OBS-028</t>
  </si>
  <si>
    <t>CONFLICT: workbook vs report — review</t>
  </si>
  <si>
    <t>Report financials transcribed; ₹856cr is adjusted for a one-time ₹239cr deferred-tax credit, not unqualified PAT. ₹1,767cr is NET debt, not total debt.</t>
  </si>
  <si>
    <t>Resolve report/workbook version and sample mismatch before analysis.</t>
  </si>
  <si>
    <t>Limited (Deloitte)</t>
  </si>
  <si>
    <t>10–30%</t>
  </si>
  <si>
    <t>5–15%</t>
  </si>
  <si>
    <t>CCTS_obligated, exchange, BRSR_filer, second_coder_score, agreed_score, CBAM_covered_product, export_intensity, EU_export, PAT_legacy_entity, total_assets, PAT, ROA, total_debt, finance_cost, cost_of_debt_proxy, capex, date_accessed; No exact export ratio/EU destination, exchange, final unit-level CCTS obligation, PAT legacy status, comparable total capex, finance costs or second-coder values are provided.</t>
  </si>
  <si>
    <t>National Fertilizers Limited (NFL)</t>
  </si>
  <si>
    <t>FY2024-25 Annual Report + BRSR</t>
  </si>
  <si>
    <t>OBS-029</t>
  </si>
  <si>
    <t>Report financials transcribed; PAT ₹169.7cr explicitly standalone; consolidated PAT ₹211.5cr stored separately. Revenue basis is not specified, so do not assume a consolidated revenue/PAT combination.</t>
  </si>
  <si>
    <t>CCTS_obligated, exchange, second_coder_score, agreed_score, CBAM_covered_product, export_intensity, EU_export, PAT_legacy_entity, total_assets, ROA, total_debt, finance_cost, cost_of_debt_proxy, capex, date_accessed; No exact export ratio/EU destination, exchange, final unit-level CCTS obligation, PAT legacy status, comparable total capex, finance costs or second-coder values are provided.</t>
  </si>
  <si>
    <t>Chambal Fertilisers &amp; Chemicals</t>
  </si>
  <si>
    <t>FY2024-25 Annual Report/BRSR</t>
  </si>
  <si>
    <t>OBS-030</t>
  </si>
  <si>
    <t>Report financials transcribed; ₹82.3cr is long-term debt only; do not fill total_debt. No actual revenue or PAT is supplied.</t>
  </si>
  <si>
    <t>Reasonable (Moore Singhi)</t>
  </si>
  <si>
    <t>CCTS_obligated, exchange, second_coder_score, agreed_score, CBAM_covered_product, export_intensity, EU_export, PAT_legacy_entity, revenue, total_assets, PAT, ROA, total_debt, finance_cost, cost_of_debt_proxy, capex, date_accessed; No exact export ratio/EU destination, exchange, final unit-level CCTS obligation, PAT legacy status, comparable total capex, finance costs or second-coder values are provided.</t>
  </si>
  <si>
    <t>SRF Limited</t>
  </si>
  <si>
    <t>FY2024-25 Annual Report</t>
  </si>
  <si>
    <t>OBS-031</t>
  </si>
  <si>
    <t>Report financials transcribed; Source does not fully identify standalone/consolidated basis. Do not combine with a different-basis denominator.</t>
  </si>
  <si>
    <t>Reasonable + limited (BDO)</t>
  </si>
  <si>
    <t>&gt;60%</t>
  </si>
  <si>
    <t>15–30%</t>
  </si>
  <si>
    <t>CCTS_obligated, exchange, BRSR_filer, second_coder_score, agreed_score, CBAM_covered_product, export_intensity, EU_export, PAT_legacy_entity, revenue, PAT, ROA, finance_cost, cost_of_debt_proxy, capex, date_accessed; No exact export ratio/EU destination, exchange, final unit-level CCTS obligation, PAT legacy status, comparable total capex, finance costs or second-coder values are provided.</t>
  </si>
  <si>
    <t>PI Industries</t>
  </si>
  <si>
    <t>FY2024-25 Integrated Annual Report + BRSR</t>
  </si>
  <si>
    <t>OBS-032</t>
  </si>
  <si>
    <t>PI Industries appears in two sectors</t>
  </si>
  <si>
    <t>Not sure; Directly covered or expected to have direct compliance obligations</t>
  </si>
  <si>
    <t>Reasonable (PwC)</t>
  </si>
  <si>
    <t>No dedicated decarbonisation allocation; 15–30%</t>
  </si>
  <si>
    <t>CCTS_obligated, exchange, second_coder_score, agreed_score, CBAM_covered_product, export_intensity, EU_export, PAT_legacy_entity, revenue, total_assets, PAT, ROA, total_debt, finance_cost, cost_of_debt_proxy, capex, reporting_year, date_accessed; No exact export ratio/EU destination, exchange, final unit-level CCTS obligation, PAT legacy status, comparable total capex, finance costs or second-coder values are provided. Report explicitly says financial figures not found.</t>
  </si>
  <si>
    <t>Mangalore Chemicals &amp; Fertilizers</t>
  </si>
  <si>
    <t>FY2024-25 BRSR / Annual Report</t>
  </si>
  <si>
    <t>OBS-033</t>
  </si>
  <si>
    <t>Workbook coded; report total agrees</t>
  </si>
  <si>
    <t>None</t>
  </si>
  <si>
    <t>Less than 5%</t>
  </si>
  <si>
    <t>Southern Petrochemical Industries Corporation (SPIC)</t>
  </si>
  <si>
    <t>OBS-034</t>
  </si>
  <si>
    <t>Khaitan Chemicals &amp; Fertilizers</t>
  </si>
  <si>
    <t>OBS-035</t>
  </si>
  <si>
    <t>Gujarat State Fertilizers &amp; Chemicals (GSFC)</t>
  </si>
  <si>
    <t>FY2024-25 BRSR</t>
  </si>
  <si>
    <t>OBS-036</t>
  </si>
  <si>
    <t>CCTS_obligated, exchange, ownership, second_coder_score, agreed_score, CBAM_covered_product, export_intensity, EU_export, PAT_legacy_entity, revenue, total_assets, PAT, ROA, total_debt, finance_cost, cost_of_debt_proxy, capex, size_band, reporting_year, date_accessed; No exact export ratio/EU destination, exchange, final unit-level CCTS obligation, PAT legacy status, comparable total capex, finance costs or second-coder values are provided. This firm appears only in the conflicting disclosure workbook, not the paper sample; no additional report financial/profile values can be assigned.</t>
  </si>
  <si>
    <t>Rashtriya Chemicals &amp; Fertilizers (RCF)</t>
  </si>
  <si>
    <t>OBS-037</t>
  </si>
  <si>
    <t>Coromandel International</t>
  </si>
  <si>
    <t>FY2025-26 Integrated Annual Report</t>
  </si>
  <si>
    <t>OBS-038</t>
  </si>
  <si>
    <t>CCTS_obligated, listed, exchange, ownership, BRSR_filer, second_coder_score, agreed_score, CBAM_covered_product, export_intensity, EU_export, PAT_legacy_entity, revenue, total_assets, PAT, ROA, total_debt, finance_cost, cost_of_debt_proxy, capex, size_band, reporting_year, date_accessed; No exact export ratio/EU destination, exchange, final unit-level CCTS obligation, PAT legacy status, comparable total capex, finance costs or second-coder values are provided. This firm appears only in the conflicting disclosure workbook, not the paper sample; no additional report financial/profile values can be assigned.</t>
  </si>
  <si>
    <t>Grasim</t>
  </si>
  <si>
    <t>Textiles &amp; apparel</t>
  </si>
  <si>
    <t>BRSR, annual and sustainability reports (per-firm document not named in the report) | Textile_and_Apparel_Report.pdf (secondary report; primary firm filings not supplied)</t>
  </si>
  <si>
    <t>PDF p.23, Figure 8 (reported DQS); p.10 B1 (period coverage); p.25 C1 (missing underlying dataset)</t>
  </si>
  <si>
    <t>OBS-039</t>
  </si>
  <si>
    <t>Report total only; I1–I10 unavailable</t>
  </si>
  <si>
    <t>Textile_and_Apparel_Report.pdf</t>
  </si>
  <si>
    <t>PDF p.23; Figure 8</t>
  </si>
  <si>
    <t>Report total available; I1–I10, firm-specific FY and financial amounts are not printed. Report coverage is FY2024-25, or FY2025-26 where available. Clean_Shared_Data.xlsx is referenced but absent.</t>
  </si>
  <si>
    <t>Textile/Textile_and_Apparel_Report.pdf</t>
  </si>
  <si>
    <t>CCTS_obligated, exchange, I1, I2, I3, I4, I5, I6, I7, I8, I9, I10, DQS_total, DQS_100, sub_quantification, sub_strategy, sub_credibility, reporting_FY, coder_id, second_coder_score, agreed_score, export_intensity, EU_export, PAT_legacy_entity, revenue, total_assets, PAT, ROA, total_debt, finance_cost, cost_of_debt_proxy, capex, size_band, reporting_year, URL, date_accessed; Entire PDF and embedded-image inventory reviewed. It prints aggregate statistics and company DQS totals in Figure 8, but no firm indicator matrix, financial amounts, numeric export shares, exact exchange, individual coder scores, or per-firm fiscal year. C1 names Clean_Shared_Data.xlsx, absent from ZIP. B7 uses mixed ROE/ROA and an ordinal cost signal; neither can populate numeric ROA/debt ratios.</t>
  </si>
  <si>
    <t>Arvind</t>
  </si>
  <si>
    <t>OBS-040</t>
  </si>
  <si>
    <t>Welspun Living</t>
  </si>
  <si>
    <t>OBS-041</t>
  </si>
  <si>
    <t>Trident</t>
  </si>
  <si>
    <t>OBS-042</t>
  </si>
  <si>
    <t>Indo Count</t>
  </si>
  <si>
    <t>OBS-043</t>
  </si>
  <si>
    <t>Vardhman Textiles</t>
  </si>
  <si>
    <t>OBS-044</t>
  </si>
  <si>
    <t>Raymond Lifestyle</t>
  </si>
  <si>
    <t>OBS-045</t>
  </si>
  <si>
    <t>Page Industries</t>
  </si>
  <si>
    <t>OBS-046</t>
  </si>
  <si>
    <t>Nahar Spinning</t>
  </si>
  <si>
    <t>OBS-047</t>
  </si>
  <si>
    <t>K.P.R. Mill</t>
  </si>
  <si>
    <t>OBS-048</t>
  </si>
  <si>
    <t>Gokaldas Exports</t>
  </si>
  <si>
    <t>OBS-049</t>
  </si>
  <si>
    <t>Lux Industries</t>
  </si>
  <si>
    <t>OBS-050</t>
  </si>
  <si>
    <t>RSWM</t>
  </si>
  <si>
    <t>OBS-051</t>
  </si>
  <si>
    <t>Ahluwalia Contracts (India) Ltd</t>
  </si>
  <si>
    <t>Buildings &amp; construction</t>
  </si>
  <si>
    <t>You (Researcher 1)</t>
  </si>
  <si>
    <t>Company BRSR / annual report; per-indicator source is inside the Evidence_Log text</t>
  </si>
  <si>
    <t>OBS-052</t>
  </si>
  <si>
    <t>Buildings_and_Construction_Report.pdf</t>
  </si>
  <si>
    <t>PDF pp.20–21; disclosure scoring</t>
  </si>
  <si>
    <t>Buildings_and_Construction_Report.pdf (all sections; especially 6 and 11) | Appendices_A_to_G.pdf (full; Appendix G score matrix) | In Depth Interview Transcript.pdf (full) | Climate_Disclosure_Scoring_MASTER_10Firms_v1.xlsx (scoring and evidence) | Consolidated_Firm_Panel_FY24-FY26.xlsx (finance rows and definitions)</t>
  </si>
  <si>
    <t>CCTS_obligated, exchange, PAT_legacy_entity, finance_cost, capex, URL, date_accessed;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</si>
  <si>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Astral Limited</t>
  </si>
  <si>
    <t>OBS-053</t>
  </si>
  <si>
    <t>CCTS_obligated, exchange, EU_export, PAT_legacy_entity, finance_cost, capex, URL, date_accessed;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</si>
  <si>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NBCC (India) Limited</t>
  </si>
  <si>
    <t>OBS-054</t>
  </si>
  <si>
    <t>CCTS_obligated, exchange, CBAM_covered_product, EU_export, revenue, total_assets, PAT, ROA, total_debt, finance_cost, cost_of_debt_proxy, capex, size_band, reporting_year, URL, date_accessed; Report section 11.1 explicitly says NBCC consolidated financials unavailable; no financial workbook in archive. Leave revenue/assets/PAT/debt/finance-cost/capex/size blank. PAT-negative and export-share notes are available in the scoring workbook.</t>
  </si>
  <si>
    <t>Kajaria Ceramics Limited</t>
  </si>
  <si>
    <t>OBS-055</t>
  </si>
  <si>
    <t>CCTS_obligated, exchange, EU_export, finance_cost, capex, URL, date_accessed;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</si>
  <si>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Mahindra Lifespace Developers Ltd</t>
  </si>
  <si>
    <t>OBS-056</t>
  </si>
  <si>
    <t>CCTS_obligated, exchange, finance_cost, capex, URL, date_accessed;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</si>
  <si>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DLF Limited</t>
  </si>
  <si>
    <t>Teammate B (Researcher 1)</t>
  </si>
  <si>
    <t>https://www.dlf.in/annual_docket/Annual-report-2025-26.pdf</t>
  </si>
  <si>
    <t>OBS-057</t>
  </si>
  <si>
    <t>CCTS_obligated, exchange, PAT_legacy_entity, finance_cost, capex, date_accessed;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</si>
  <si>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Larsen &amp; Toubro Limited</t>
  </si>
  <si>
    <t>https://investors.larsentoubro.com/pdf/2026/Integrated%20Report%202025-26.pdf</t>
  </si>
  <si>
    <t>OBS-058</t>
  </si>
  <si>
    <t>CCTS_obligated, exchange, EU_export, PAT_legacy_entity, finance_cost, capex, date_accessed;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</si>
  <si>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Lodha Developers Limited (Macrotech Developers)</t>
  </si>
  <si>
    <t>https://www.lodhagroup.com/sites/default/files/2026-07/Integrated_Report_FY2026.pdf</t>
  </si>
  <si>
    <t>OBS-059</t>
  </si>
  <si>
    <t>Godrej Properties Limited</t>
  </si>
  <si>
    <t>https://gplwebsitecdnblob.blob.core.windows.net/godrej-cdn/Files/integrated-annual-report-2025-26-cmr3h9e05000iyuph5mm4d3e6.pdf</t>
  </si>
  <si>
    <t>OBS-060</t>
  </si>
  <si>
    <t>NCC Limited</t>
  </si>
  <si>
    <t>https://www.ncclimited.com/annual-reports/NCCAnnualReport202526.pdf</t>
  </si>
  <si>
    <t>OBS-061</t>
  </si>
  <si>
    <t>Adani Ports &amp; SEZ</t>
  </si>
  <si>
    <t>Transport &amp; logistics</t>
  </si>
  <si>
    <t>FY2024-25 annual report, BRSR/climate disclosure and official investor pages (firm-specific documents not named in the report) | Transport_and_Logistics_Report.pdf (secondary report; FY2024-25 source dataset)</t>
  </si>
  <si>
    <t>PDF pp.19–20, section 8.9: DQS and financing-cost tables</t>
  </si>
  <si>
    <t>OBS-062</t>
  </si>
  <si>
    <t>Transport_and_Logistics_Report.pdf</t>
  </si>
  <si>
    <t>PDF pp.19–20; section 8.9</t>
  </si>
  <si>
    <t>Report financing ratio only; finance-cost and borrowing amounts not supplied.</t>
  </si>
  <si>
    <t>Report provides total DQS only; I1–I10 are unavailable. Source dataset is FY2024-25 and was verified by the report team on 16 August 2026 (not a new verification here). Reported ratio is finance cost divided by average borrowings; underlying amounts and consistent statement basis are not given.</t>
  </si>
  <si>
    <t>Transport and Logistics/Transport_and_Logistics_Report.pdf</t>
  </si>
  <si>
    <t>CCTS_obligated, listed, exchange, ownership, BRSR_filer, I1, I2, I3, I4, I5, I6, I7, I8, I9, I10, DQS_total, DQS_100, sub_quantification, sub_strategy, sub_credibility, coder_id, second_coder_score, agreed_score, export_intensity, EU_export, PAT_legacy_entity, revenue, total_assets, PAT, ROA, total_debt, finance_cost, capex, size_band, URL, date_accessed; 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Report financing ratio only; finance-cost and borrowing amounts not supplied.</t>
  </si>
  <si>
    <t>Tata Motors</t>
  </si>
  <si>
    <t>OBS-063</t>
  </si>
  <si>
    <t>Ashok Leyland</t>
  </si>
  <si>
    <t>OBS-064</t>
  </si>
  <si>
    <t>Maruti Suzuki</t>
  </si>
  <si>
    <t>OBS-065</t>
  </si>
  <si>
    <t>Not applicable: report calls firm effectively debt-free.</t>
  </si>
  <si>
    <t>Report provides total DQS only; I1–I10 are unavailable. Source dataset is FY2024-25 and was verified by the report team on 16 August 2026 (not a new verification here). Not applicable: report calls firm effectively debt-free.</t>
  </si>
  <si>
    <t>CCTS_obligated, listed, exchange, ownership, BRSR_filer, I1, I2, I3, I4, I5, I6, I7, I8, I9, I10, DQS_total, DQS_100, sub_quantification, sub_strategy, sub_credibility, coder_id, second_coder_score, agreed_score, export_intensity, EU_export, PAT_legacy_entity, revenue, total_assets, PAT, ROA, total_debt, finance_cost, cost_of_debt_proxy, capex, size_band, URL, date_accessed; 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Not applicable: report calls firm effectively debt-free.</t>
  </si>
  <si>
    <t>Delhivery</t>
  </si>
  <si>
    <t>OBS-066</t>
  </si>
  <si>
    <t>Report provides total DQS only; I1–I10 are unavailable. Source dataset is FY2024-25 and was verified by the report team on 16 August 2026 (not a new verification here). Reported ratio is finance cost divided by average borrowings; underlying amounts and consistent statement basis are not given. Delhivery 152.22% is explicitly a lease-distorted outlier and should not be treated as an effective interest rate.</t>
  </si>
  <si>
    <t>Blue Dart</t>
  </si>
  <si>
    <t>OBS-067</t>
  </si>
  <si>
    <t>Not applicable: report states no outstanding external borrowings.</t>
  </si>
  <si>
    <t>Report provides total DQS only; I1–I10 are unavailable. Source dataset is FY2024-25 and was verified by the report team on 16 August 2026 (not a new verification here). Not applicable: report states no outstanding external borrowings.</t>
  </si>
  <si>
    <t>CCTS_obligated, listed, exchange, ownership, BRSR_filer, I1, I2, I3, I4, I5, I6, I7, I8, I9, I10, DQS_total, DQS_100, sub_quantification, sub_strategy, sub_credibility, coder_id, second_coder_score, agreed_score, export_intensity, EU_export, PAT_legacy_entity, revenue, total_assets, PAT, ROA, total_debt, finance_cost, cost_of_debt_proxy, capex, size_band, URL, date_accessed; 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Not applicable: report states no outstanding external borrowings.</t>
  </si>
  <si>
    <t>CONCOR</t>
  </si>
  <si>
    <t>OBS-068</t>
  </si>
  <si>
    <t>Missing: FY25 finance-cost figure could not be safely extracted.</t>
  </si>
  <si>
    <t>Report provides total DQS only; I1–I10 are unavailable. Source dataset is FY2024-25 and was verified by the report team on 16 August 2026 (not a new verification here). Missing: FY25 finance-cost figure could not be safely extracted.</t>
  </si>
  <si>
    <t>CCTS_obligated, listed, exchange, ownership, BRSR_filer, I1, I2, I3, I4, I5, I6, I7, I8, I9, I10, DQS_total, DQS_100, sub_quantification, sub_strategy, sub_credibility, coder_id, second_coder_score, agreed_score, export_intensity, EU_export, PAT_legacy_entity, revenue, total_assets, PAT, ROA, total_debt, finance_cost, cost_of_debt_proxy, capex, size_band, URL, date_accessed; 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Missing: FY25 finance-cost figure could not be safely extracted.</t>
  </si>
  <si>
    <t>TCI</t>
  </si>
  <si>
    <t>OBS-069</t>
  </si>
  <si>
    <t>VRL Logistics</t>
  </si>
  <si>
    <t>OBS-070</t>
  </si>
  <si>
    <t>Gateway Distriparks</t>
  </si>
  <si>
    <t>OBS-071</t>
  </si>
  <si>
    <t>ITC</t>
  </si>
  <si>
    <t>Agriculture &amp; agrofoods</t>
  </si>
  <si>
    <t>ITC sustainability report 2026</t>
  </si>
  <si>
    <t>not given in the sector report | Uploaded sector report PDF p.35, section 8 (scores); p.36 (company source list)</t>
  </si>
  <si>
    <t>https://itcportal.com/content/dam/itc-corporate/pdfs/sustainability-report/itc-sustainability-report-2026.pdf</t>
  </si>
  <si>
    <t>OBS-072</t>
  </si>
  <si>
    <t>Agriculture_and_Agrofoods_Report.pdf</t>
  </si>
  <si>
    <t>PDF p.35; section 8</t>
  </si>
  <si>
    <t xml:space="preserve"> Agriculture narrative incorrectly mentions 30/33; the ten 0–3 indicators have a maximum of 30.</t>
  </si>
  <si>
    <t>Correctly company-matched embedded URL transcribed; destination document has not been independently fetched.</t>
  </si>
  <si>
    <t>Agriculture group/Agriculture_and_Agrofoods_Report.pdf (all 41 pages, including image-only statistical tables and URI annotations)</t>
  </si>
  <si>
    <t>CCTS_obligated, listed, exchange, ownership, BRSR_filer, reporting_FY, coder_id, second_coder_score, agreed_score, export_intensity, EU_export, PAT_legacy_entity, revenue, total_assets, PAT, ROA, total_debt, finance_cost, cost_of_debt_proxy, capex, size_band, reporting_year, date_accessed; 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t>
  </si>
  <si>
    <t>Godrej Agrovet</t>
  </si>
  <si>
    <t>Godrej Agrovet Annual Report 2025-26</t>
  </si>
  <si>
    <t>https://www.godrejagrovet.com/uploads/Annual_Report_2025_26_1eec0f8033.pdf</t>
  </si>
  <si>
    <t>OBS-073</t>
  </si>
  <si>
    <t>CCTS_obligated, listed, exchange, ownership, BRSR_filer, coder_id, second_coder_score, agreed_score, export_intensity, EU_export, PAT_legacy_entity, revenue, total_assets, PAT, ROA, total_debt, finance_cost, cost_of_debt_proxy, capex, size_band, reporting_year, date_accessed; 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Existing FY2025-26 is supported only by the linked Annual_Report_2025_26 filename, not an explicit scoring-period statement.</t>
  </si>
  <si>
    <t>Corteva</t>
  </si>
  <si>
    <t>foreign</t>
  </si>
  <si>
    <t>Corteva "Our 2025 Impact Report" (global)</t>
  </si>
  <si>
    <t>https://reports.corteva.com/sustainability/impactreport2025/static/Corteva_Our_2025_Impact_Report.pdf?v=1775742674</t>
  </si>
  <si>
    <t>OBS-074</t>
  </si>
  <si>
    <t>CCTS_obligated, listed, exchange, BRSR_filer, reporting_FY, coder_id, second_coder_score, agreed_score, export_intensity, EU_export, PAT_legacy_entity, revenue, total_assets, PAT, ROA, total_debt, finance_cost, cost_of_debt_proxy, capex, size_band, reporting_year, date_accessed; 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Linked source is a global company impact report, so it cannot establish Indian subsidiary financials or Indian listed/BRSR status.</t>
  </si>
  <si>
    <t>Bayer CropScience</t>
  </si>
  <si>
    <t>Sustainability report named in the agriculture report; link not recoverable from the PDF</t>
  </si>
  <si>
    <t>OBS-075</t>
  </si>
  <si>
    <t>Incorrect embedded link: Bayer row points to Corteva impact report; no correct Bayer URL supplied.</t>
  </si>
  <si>
    <t>CCTS_obligated, listed, exchange, BRSR_filer, reporting_FY, coder_id, second_coder_score, agreed_score, export_intensity, EU_export, PAT_legacy_entity, revenue, total_assets, PAT, ROA, total_debt, finance_cost, cost_of_debt_proxy, capex, size_band, reporting_year, URL, date_accessed; 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Indian listed entity versus global Bayer scope is unresolved; PDF link points to Corteva.</t>
  </si>
  <si>
    <t>Tata Consumer</t>
  </si>
  <si>
    <t>Tata Consumer BRSR website PDF (URL path dated 2023-05; year not confirmed)</t>
  </si>
  <si>
    <t>https://www.tataconsumer.com/sites/g/files/gfwrlq316/files/2023-05/BRSR%20for%20Website.pdf</t>
  </si>
  <si>
    <t>OBS-076</t>
  </si>
  <si>
    <t>Marico</t>
  </si>
  <si>
    <t>OBS-077</t>
  </si>
  <si>
    <t>Incorrect embedded link: Marico row points to Tata Consumer PDF; no correct Marico URL supplied.</t>
  </si>
  <si>
    <t>CCTS_obligated, listed, exchange, ownership, BRSR_filer, reporting_FY, coder_id, second_coder_score, agreed_score, export_intensity, EU_export, PAT_legacy_entity, revenue, total_assets, PAT, ROA, total_debt, finance_cost, cost_of_debt_proxy, capex, size_band, reporting_year, URL, date_accessed; 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PDF link points to Tata Consumer; correct Marico source is absent.</t>
  </si>
  <si>
    <t>Cargill</t>
  </si>
  <si>
    <t>Cargill 2025 Impact Report (global)</t>
  </si>
  <si>
    <t>https://www.cargill.com/sustainability/doc/1451372729493/2025-cargill-impact-report.pdf</t>
  </si>
  <si>
    <t>OBS-078</t>
  </si>
  <si>
    <t>Krishana Phoschem</t>
  </si>
  <si>
    <t>Fertilisers_and_Chemicals_Report.pdf; Fertilisers_and_Chemicals_Report.docx</t>
  </si>
  <si>
    <t>PDF p.5 Table1; p.18 Table15; p.20 Table16</t>
  </si>
  <si>
    <t>OBS-079</t>
  </si>
  <si>
    <t>Report roster; indicators unavailable</t>
  </si>
  <si>
    <t>CCTS_obligated, exchange, BRSR_filer, I1, I2, I3, I4, I5, I6, I7, I8, I9, I10, DQS_total, DQS_100, sub_quantification, sub_strategy, sub_credibility, reporting_FY, coder_id, second_coder_score, agreed_score, CBAM_covered_product, export_intensity, EU_export, PAT_legacy_entity, total_assets, ROA, total_debt, finance_cost, cost_of_debt_proxy, capex, URL, date_accessed; No exact export ratio/EU destination, exchange, final unit-level CCTS obligation, PAT legacy status, comparable total capex, finance costs or second-coder values are provided. No indicator-level 0–3 scores are supplied for the report-only row; coverage counts cannot reconstruct indicator scores.</t>
  </si>
  <si>
    <t>Madras Fertilizers</t>
  </si>
  <si>
    <t>OBS-080</t>
  </si>
  <si>
    <t>CCTS_obligated, listed, exchange, BRSR_filer, I1, I2, I3, I4, I5, I6, I7, I8, I9, I10, DQS_total, DQS_100, sub_quantification, sub_strategy, sub_credibility, reporting_FY, coder_id, second_coder_score, agreed_score, CBAM_covered_product, export_intensity, EU_export, PAT_legacy_entity, revenue, total_assets, PAT, ROA, total_debt, finance_cost, cost_of_debt_proxy, capex, reporting_year, URL, date_accessed; No exact export ratio/EU destination, exchange, final unit-level CCTS obligation, PAT legacy status, comparable total capex, finance costs or second-coder values are provided. No indicator-level 0–3 scores are supplied for the report-only row; coverage counts cannot reconstruct indicator scores.</t>
  </si>
  <si>
    <t>Madhya Bharat Agro Products</t>
  </si>
  <si>
    <t>OBS-081</t>
  </si>
  <si>
    <t>PDF p.35; section 8 | Uploaded sector report PDF p.35, section 8 (scores); p.36 (company source list)</t>
  </si>
  <si>
    <t>OBS-082</t>
  </si>
  <si>
    <t>Same company as fertilisers PI Industries; this is an agriculture-report observation with different source basis. Agriculture narrative incorrectly mentions 30/33; the ten 0–3 indicators have a maximum of 30.</t>
  </si>
  <si>
    <t>Company source link absent: blue link text has no recoverable PDF annotation.</t>
  </si>
  <si>
    <t>CCTS_obligated, listed, exchange, ownership, BRSR_filer, reporting_FY, coder_id, second_coder_score, agreed_score, CBAM_covered_product, export_intensity, EU_export, PAT_legacy_entity, revenue, total_assets, PAT, ROA, total_debt, finance_cost, cost_of_debt_proxy, capex, size_band, reporting_year, URL, date_accessed; 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Distinct agriculture observation: do not copy the fertiliser report score/basis across sectors.</t>
  </si>
  <si>
    <t>observations</t>
  </si>
  <si>
    <t>complete indicator sets</t>
  </si>
  <si>
    <t>report totals available</t>
  </si>
  <si>
    <t>conflict observations</t>
  </si>
  <si>
    <t>default analysis count</t>
  </si>
  <si>
    <t>mean DQS: default set</t>
  </si>
  <si>
    <t>median DQS: default set</t>
  </si>
  <si>
    <t>mean report DQS</t>
  </si>
  <si>
    <t>interpretation</t>
  </si>
  <si>
    <t>Report mean is descriptive only; source coverage and methods differ.</t>
  </si>
  <si>
    <t>total_debt_prior_year (Rs cr, INPUT)</t>
  </si>
  <si>
    <t>ln_revenue</t>
  </si>
  <si>
    <t>export_orientation (High/Low)</t>
  </si>
  <si>
    <t>leader_laggard (sector median split on DQS)</t>
  </si>
  <si>
    <t>market_to_book (source)</t>
  </si>
  <si>
    <t>green_capex_intensity (source)</t>
  </si>
  <si>
    <t>credit_rating (source)</t>
  </si>
  <si>
    <t>cost_of_debt_year_end_basis (reference only)</t>
  </si>
  <si>
    <t>source_workbook</t>
  </si>
  <si>
    <t>report_total_DQS (reference only)</t>
  </si>
  <si>
    <t>export_orientation_source</t>
  </si>
  <si>
    <t>CCTS notification status (checked Oct 2026, secondary sources)</t>
  </si>
  <si>
    <t>analysis median basis</t>
  </si>
  <si>
    <t>threshold caveat</t>
  </si>
  <si>
    <t>Low</t>
  </si>
  <si>
    <t>Leader</t>
  </si>
  <si>
    <t>DQS- excel.xlsx</t>
  </si>
  <si>
    <t>High</t>
  </si>
  <si>
    <t>Draft only: revised draft G.S.R. 517(E), 26 Jun 2026, 255 units, 60-day objection window; no final notification found</t>
  </si>
  <si>
    <t>Complete workbook-coded non-conflict observations; ties are Leaders</t>
  </si>
  <si>
    <t>20% export threshold is an editable convention; steel source used a different split.</t>
  </si>
  <si>
    <t>Laggard</t>
  </si>
  <si>
    <t>Annexure A.xlsx</t>
  </si>
  <si>
    <t>Notified Oct 2025 (binding targets for 2025-26 and 2026-27)</t>
  </si>
  <si>
    <t>Aluminium_Report.pdf (Table 8, Table 14)</t>
  </si>
  <si>
    <t>Aluminium notified Oct 2025; secondary aluminium notified Jan 2026. Check each downstream firm is on the schedule</t>
  </si>
  <si>
    <t>Disclosure_Coding_Sheet.xlsx</t>
  </si>
  <si>
    <t>Sector identified but NO targets (draft or final) found as of Jun 2026, so not yet binding</t>
  </si>
  <si>
    <t>Textile_and_Apparel_Report.pdf (Fig 8)</t>
  </si>
  <si>
    <t>Notified Jan 2026 (173 textile units). Check each firm is on the schedule</t>
  </si>
  <si>
    <t>CARE AA- (Stable) / ICRA AA-</t>
  </si>
  <si>
    <t>Climate_Disclosure_Scoring_MASTER_10Firms_v1.xlsx; Consolidated_Firm_Panel_FY24-FY26.xlsx</t>
  </si>
  <si>
    <t>Not in any of the nine CCTS sectors</t>
  </si>
  <si>
    <t>CRISIL AA+ (Stable) / CARE AA+ (Stable)</t>
  </si>
  <si>
    <t>CARE AAA (Stable) / CRISIL AA+</t>
  </si>
  <si>
    <t>CRISIL AA (Stable) / ICRA AA (Stable)</t>
  </si>
  <si>
    <t>ICRA AA+ (Stable)</t>
  </si>
  <si>
    <t>CRISIL AAA</t>
  </si>
  <si>
    <t>ICRA AA (Stable) / India Ratings AA</t>
  </si>
  <si>
    <t>ICRA AA+ (Stable) / CRISIL AA+</t>
  </si>
  <si>
    <t>Transport_and_Logistics_Report.pdf (s.8.9)</t>
  </si>
  <si>
    <t>Agriculture_and_Agrofoods_Report.pdf (s.8)</t>
  </si>
  <si>
    <t>Not in any of the nine CCTS sectors (only the voluntary offset mechanism)</t>
  </si>
  <si>
    <t>CRISIL A+/Stable; ICRA A+ negative watch (Mar 2026)</t>
  </si>
  <si>
    <t>setting</t>
  </si>
  <si>
    <t>value</t>
  </si>
  <si>
    <t>reason</t>
  </si>
  <si>
    <t>High-export threshold</t>
  </si>
  <si>
    <t>Illustrative common convention; source sector thresholds differ.</t>
  </si>
  <si>
    <t>Median ties</t>
  </si>
  <si>
    <t>Uses &gt;= median for consistency with steel report; buildings original used strict &gt;. Original labels remain in source panel.</t>
  </si>
  <si>
    <t>Default analysis eligibility</t>
  </si>
  <si>
    <t>Complete workbook scores, no known report conflict</t>
  </si>
  <si>
    <t>Not a claim of independent company-report verification.</t>
  </si>
  <si>
    <t>CCTS obligation</t>
  </si>
  <si>
    <t>Unknown</t>
  </si>
  <si>
    <t>Requires firm/unit-level final legal evidence.</t>
  </si>
  <si>
    <t>Missing values</t>
  </si>
  <si>
    <t>Blank</t>
  </si>
  <si>
    <t>Never filled with zero.</t>
  </si>
  <si>
    <t>indicator</t>
  </si>
  <si>
    <t>score</t>
  </si>
  <si>
    <t>coder</t>
  </si>
  <si>
    <t>evidence_or_justification</t>
  </si>
  <si>
    <t>date_coded</t>
  </si>
  <si>
    <t>verification_status</t>
  </si>
  <si>
    <t>Coder A</t>
  </si>
  <si>
    <t>pp. 134, 178</t>
  </si>
  <si>
    <t>Scope 1 (61 MnT CO2e standalone / 78 MnT consolidated) and Scope 2 (5/6 MnT CO2e) disclosed for FY2024-25 and FY2023-24, standalone and consolidated, with intensity per turnover, per PPP-adjusted USD and per tonne crude steel; GHG Protocol methodology and operational-control boundary stated; reasonably assured by PwC.</t>
  </si>
  <si>
    <t>Source transcription; check conflicts and primary disclosures</t>
  </si>
  <si>
    <t>p. 183</t>
  </si>
  <si>
    <t>Total Scope 3 emissions given as a single figure (23 MnT standalone / 29 MnT consolidated, FY2024-25, with FY2023-24 comparatives) with intensity ratios, but no GHG-Protocol category breakdown; report notes "high level of uncertainty" in the estimate.</t>
  </si>
  <si>
    <t>pp. 141, 158</t>
  </si>
  <si>
    <t>Only an aspirational Net Zero by 2045 pledge is stated; no base year, no interim milestones, no quantified intensity trajectory in this document.</t>
  </si>
  <si>
    <t>pp. 141, 143, 182</t>
  </si>
  <si>
    <t>Named levers: EAF build-out at Ludhiana and Port Talbot ("Project Invictus"), IJmuiden low-emission transition (&gt;70% scrap target), TSN scrap-use target 17%→30% by 2030, Kalinganagar Phase-2 (5 MTPA, EAF-based). Mostly qualitative/directional; full quantification deferred to an external Climate Change Report not included here.</t>
  </si>
  <si>
    <t>p. 155</t>
  </si>
  <si>
    <t>Capex allocated to low-CO2 transition and related environmental initiatives disclosed at 37% of total capex in FY2024-25 (up from 18% in FY2023-24); R&amp;D spend of ₹916 crore cited. Absolute rupee figure for the low-emission component and multi-year commitments not broken out.</t>
  </si>
  <si>
    <t>pp. 141, 187</t>
  </si>
  <si>
    <t>No mention of CBAM or CCTS by name. Only generic regulatory-risk framing under material issues and public-policy advocacy for a "National Carbon Market"; no quantified exposure.</t>
  </si>
  <si>
    <t>-</t>
  </si>
  <si>
    <t>No internal carbon price disclosed anywhere in the document.</t>
  </si>
  <si>
    <t>pp. 141, 148</t>
  </si>
  <si>
    <t>GHG/climate change listed as a material issue with risk rationale and mitigation approach; TCFD listed among adopted frameworks, but no scenario narrative or quantified scenario analysis appears in this document (deferred to external Climate Change Report).</t>
  </si>
  <si>
    <t>pp. 135, 176-179</t>
  </si>
  <si>
    <t>Statement of Assurance confirms PwC provided reasonable assurance on BRSR Core indicators (standalone) for FY2024-25, plus limited assurance on select ESG factsheet indicators.</t>
  </si>
  <si>
    <t>pp. 143, 155, 167-168, 188-189</t>
  </si>
  <si>
    <t>Affirmative Action supplier spend of ₹230 crore (19% of addressable spend, +52% YoY); Vendor Capability Advancement Program covered 1,800 suppliers, benefiting 27,000+ contract workers; MSME sourcing at 10% of standalone inputs; UK Steel Enterprise supports transition/outplacement for workers affected by restructuring (e.g., TSUK blast-furnace closure).</t>
  </si>
  <si>
    <t>AC</t>
  </si>
  <si>
    <t>Sec C, Principle 6, Q7, p.31 (boundary at Sec A, field 13, p.3)</t>
  </si>
  <si>
    <t>Scope 1 = 6.03 crore tCO2e (PY 5.31 crore) and Scope 2 disclosed for two years with units; reporting boundary stated as standalone. NO emission factors or calculation methodology named anywhere in the BRSR, so anchor 3 ('methodology/boundary stated') not fully met under the strict rule. Scored 2.</t>
  </si>
  <si>
    <t>Sec C, Principle 6, Q Scope 3, p.34</t>
  </si>
  <si>
    <t>Total Scope 3 = 89,51,313.29 tCO2e for two years, independently assured by Bureau Veritas. Aggregate figure only; no material categories identified or broken out, so anchor 3 not met. Scored 2.</t>
  </si>
  <si>
    <t>pp.7 and 32</t>
  </si>
  <si>
    <t>Target of 42% reduction in CO2 intensity from a 2005 base year, to below 1.95 tCO2/tcs by 2030; net neutral by 2050. Base year + target year + interim milestone with progress reported.</t>
  </si>
  <si>
    <t>Sec C, Principle 6, Q8, pp.32 and 36</t>
  </si>
  <si>
    <t>Named levers: energy efficiency, renewable energy (1 GW), scrap circularity, alternative fuels, 25 MW electrolyser for green hydrogen, 100 TPD CCU pilot. Levers named and partly sized, but no timelines or capex attached to each lever, so anchor 3 not met. Scored 2.</t>
  </si>
  <si>
    <t>Sec C, Principle 2, R&amp;D and capex table, p.16</t>
  </si>
  <si>
    <t>Environmental/social capex share disclosed: 14.51% of total capex (PY 2.02%). Under the strict rule this is environmental capex generally (covering water, dust, effluent), not decarbonisation capex specifically, and no rupee amount is given. Mentioned without amounts. Scored 1.</t>
  </si>
  <si>
    <t>Sec A materiality/risk table, pp.7-9; PAT reference p.30</t>
  </si>
  <si>
    <t>Zero occurrences of 'CBAM', 'Carbon Border', 'CCTS' or 'carbon pricing' in the entire BRSR. Only a generic climate transition-risk row in the materiality table and PAT scheme compliance. Generic regulatory-risk mention only. Scored 1. NOTE: JSW is the most EU-export-exposed firm in the sample; this null is a substantive finding, not a coding gap.</t>
  </si>
  <si>
    <t>Not found - full-document search</t>
  </si>
  <si>
    <t>No occurrence of 'internal carbon price' or equivalent anywhere in the BRSR.</t>
  </si>
  <si>
    <t>Sec A materiality/risk table, pp.7-9</t>
  </si>
  <si>
    <t>Climate change listed as a material risk with transition-risk narrative. No scenario analysis, no TCFD or IFRS S2 reference. The only 'scenario' term in the document refers to the IEA SDS pathway used to benchmark the intensity target, not to a climate risk scenario exercise. Risks listed, no scenarios. Scored 1.</t>
  </si>
  <si>
    <t>Sec A, fields 14-15, p.3</t>
  </si>
  <si>
    <t>Assurance provider: Bureau Veritas. Type of assurance obtained: Reasonable. Covers BRSR Core indicators. Scored 3.</t>
  </si>
  <si>
    <t>Sec C, Principle 3 and Principle 8, pp.37-38</t>
  </si>
  <si>
    <t>CSR spend and generic value-chain partner language. No workforce reskilling or MSME supplier programme linked to the low-carbon transition. Generic mention only. Scored 1.</t>
  </si>
  <si>
    <t>p. 25</t>
  </si>
  <si>
    <t>Scope 1 = 52,622,079 tCO2 and Scope 2 = 2,446,630 tCO2 disclosed for FY23-24 with FY22-23 comparatives (47,603,938 / 3,020,822 tCO2) and intensity (2.90 t/tcs); no GHG-accounting methodology/boundary stated, and the entity confirms no external assurance was done specifically on this table.</t>
  </si>
  <si>
    <t>p. 28</t>
  </si>
  <si>
    <t>Scope 3 reported as −5,300,064 tCO2e (FY23-24) and −5,620,400 tCO2e (FY22-23), explicitly "partially covered," calculated per World Steel Association methodology — method stated but categories incomplete.</t>
  </si>
  <si>
    <t>p. 6</t>
  </si>
  <si>
    <t>Commitment to substantially reduce CO2 emissions and raise renewable/non-conventional energy share by 2030, and achieve net zero by 2070 — target years given, but no explicit base year or quantified reduction percentage.</t>
  </si>
  <si>
    <t>pp. 6, 10, 25-28</t>
  </si>
  <si>
    <t>Named levers: rising renewable/non-conventional energy share, Zero Liquid Discharge across plants, 100% slag/waste utilisation target ("SAIL Green Tiles Plant"), effluent treatment upgrades, R&amp;D on coal blending and furnace energy efficiency — not quantified with a consolidated decarbonisation capex/timeline.</t>
  </si>
  <si>
    <t>p. 10</t>
  </si>
  <si>
    <t>Capex of ₹5,646 crore (FY23-24) and ₹5,474 crore (FY22-23) disclosed under environmental and social impacts, but explicitly stated as "not separately ascertained" between social and environmental/decarbonisation spend.</t>
  </si>
  <si>
    <t>No mention of CBAM, CCTS, carbon tax, or any carbon-pricing regulatory exposure anywhere in the report.</t>
  </si>
  <si>
    <t>No internal carbon price disclosed, mentioned, or referenced as under consideration.</t>
  </si>
  <si>
    <t>p. 4</t>
  </si>
  <si>
    <t>GHG emissions/carbon footprint listed as a material risk with rationale and mitigation approach, but no scenario narrative or TCFD/IFRS S2-style scenario analysis presented.</t>
  </si>
  <si>
    <t>pp. 1, 35-40</t>
  </si>
  <si>
    <t>SR Asia provided a Reasonable Assurance Statement (ISAE 3000 Revised) on BRSR Core metrics, covering energy, water, Scope 1 &amp; 2 GHG emissions/intensity, waste, and safety indicators.</t>
  </si>
  <si>
    <t>pp. 9, 16, 19, 31-32</t>
  </si>
  <si>
    <t>MSE procurement ₹2,919.87 crore (29.28% of total procurement, up from ₹2,233.72 crore); procurement from SC/ST MSEs ₹7.65 crore and women MSEs ₹120.21 crore; 20 Vendor Development Programmes + 18 special VDPs for SC/ST/women MSEs; 2,369 women and 1,578 youths given vocational/skill training; CRR (Counselling, Retraining, Redeployment) scheme for rationalised employees.</t>
  </si>
  <si>
    <t>BRSR Sec C, Principle 6, Q7, pp.278-279</t>
  </si>
  <si>
    <t>Scope 1 = 35.63 and Scope 2 = 0.69 mn tCO2e, two years, externally verified by TUV SUD. Reporting boundary standalone. No emission factors or calculation methodology stated, so anchor 3 not fully met under the strict rule. Scored 2.</t>
  </si>
  <si>
    <t>BRSR Sec C, Principle 6, pp.282-283</t>
  </si>
  <si>
    <t>Scope 3 total reported for the current year only; no prior-year comparative and no material category breakdown. Scored 2.</t>
  </si>
  <si>
    <t>Progress Towards Goals, pp.138-139</t>
  </si>
  <si>
    <t>Net zero by 2047 (aspiration 2035); 30% emission-intensity reduction by 2030 against a 2005 base. Progress table shows 2.68 vs 2.74 tCO2e/tcs year on year. Base year + target year + interim progress reported.</t>
  </si>
  <si>
    <t>Decarbonisation roadmap, pp.38-39</t>
  </si>
  <si>
    <t>Lever-by-lever roadmap with quantified actions: 3,600 TPD CO2 capture at Angul, 6 MTPA pellet plant, 19 MWp rooftop solar, 192-km slurry pipeline, syngas-DRI extension, 12-14 MTPA conveyor. Plan with quantified levers and timelines.</t>
  </si>
  <si>
    <t>BRSR Sec C, Principle 2, R&amp;D and capex table, pp.258-259</t>
  </si>
  <si>
    <t>Environmental/social capex share = 6.52% (PY 3.21%). Strict rule: environmental capex generally, not decarbonisation capex specifically; no rupee amount allocated to decarbonisation. Scored 1.</t>
  </si>
  <si>
    <t>Risk register and CBAM-readiness training, pp.60-61</t>
  </si>
  <si>
    <t>CBAM named as a relevant regulatory and market-access risk, and CBAM-readiness training referenced. Exposure is NOT quantified and no pass-through analysis given, so anchor 3 not met. Scored 2.</t>
  </si>
  <si>
    <t>No mention of an internal carbon price anywhere in the Integrated Report.</t>
  </si>
  <si>
    <t>Climate risk assessment integrated into ERM, pp.140-141</t>
  </si>
  <si>
    <t>TCFD-aligned climate risk assessment; states scenario analysis was run across 2030 and 2050 horizons to quantify exposure and align capital planning. However NO quantified scenario results are published. Strict rule scores the disclosure, not the claim: qualitative scenario narrative. Scored 2. CONTESTED CELL - a lenient coder scores 3 on the stated quantification.</t>
  </si>
  <si>
    <t>BRSR Sec A, assurance fields, pp.242-243</t>
  </si>
  <si>
    <t>Reasonable assurance on BRSR Core indicators by TUV SUD. Scored 3.</t>
  </si>
  <si>
    <t>Skilling and community, pp.58-59</t>
  </si>
  <si>
    <t>20+ ITIs, 50,000+ students over five years, framed as enabling continuous reskilling. Strict rule: this is CSR education/skilling not explicitly linked to decarbonisation or transition-affected workers, and there is no MSME supplier transition programme. Scored 1. CONTESTED CELL - a lenient coder scores 2 on the reskilling framing.</t>
  </si>
  <si>
    <t>pp. 1, 33</t>
  </si>
  <si>
    <t>Scope 1 (2,992,333.83 tCO2e) and Scope 2 (787,140.25 tCO2e) disclosed for FY23-24 with FY22-23 comparatives, plus intensity metrics; independently assured (reasonable assurance) by TUV SUD per ISAE 3000 / SEBI circular; standalone reporting boundary stated.</t>
  </si>
  <si>
    <t>p. 38</t>
  </si>
  <si>
    <t>Total Scope 3 emissions quantified for two years (3,345,443 tCO2e FY24 vs 2,781,561 tCO2e FY23) with intensity metrics and third-party assurance, but reported as a single aggregate figure with no category breakdown.</t>
  </si>
  <si>
    <t>pp. 5, 11</t>
  </si>
  <si>
    <t>Target to reduce emission intensity by 50% vs FY2022 baseline and achieve Net Zero by 2050; SBTi commitment for near-term science-based targets. Base and target years stated, but no interim milestone framework beyond a directional FY24 reduction figure (~76 ktCO2e).</t>
  </si>
  <si>
    <t>pp. 33, 39-40</t>
  </si>
  <si>
    <t>Named levers: 7.3 MWp floating solar, 23 MWp rooftop solar, 100 MW round-the-clock RE agreement with ReNew Power, waste heat recovery boilers, chrome pelletization plant, 27 ENCON projects, bio-char coal substitution, green hydrogen pilot at Hisar — not consolidated into a single roadmap with year-wise targets or total capex.</t>
  </si>
  <si>
    <t>p. 16</t>
  </si>
  <si>
    <t>Capex to environmental/social-pillar projects reported at 23.42% of total capex (vs 12.53% prior year), with named projects (Waste Heat Recovery Boiler, ZLD, floating solar, acid recovery). Single-year percentage disclosure, not multi-year absolute commitments.</t>
  </si>
  <si>
    <t>No mention of CBAM, EU carbon border mechanism, or India's CCTS anywhere in the report, despite ~17% of turnover from exports including to the EU.</t>
  </si>
  <si>
    <t>No internal carbon price, shadow price, or stated intent to adopt one.</t>
  </si>
  <si>
    <t>p. 5</t>
  </si>
  <si>
    <t>GHG emissions/climate change listed as a material risk with rationale and negative financial implication, but no TCFD/IFRS S2-style scenario narrative or quantified scenario modelling.</t>
  </si>
  <si>
    <t>pp. 1, 33, 46-47</t>
  </si>
  <si>
    <t>SGS India provided reasonable assurance (SEBI circular, ISAE 3000 Revised) covering BRSR Core and non-core indicators, with on-site verification at Jajpur and Hisar; TUV SUD separately assured Scope 1/2 GHG data.</t>
  </si>
  <si>
    <t>pp. 11, 16, 42</t>
  </si>
  <si>
    <t>5.38% of input material sourced from MSMEs/small producers; Supplier Code of Conduct; ~1,66,000 employee learning hours; skill-training/livelihood CSR reaching ~68,718 and ~87,530 beneficiaries; entrepreneurship (234) and rural development (13,176) verticals — not explicitly linked to decarbonisation/energy-transition outcomes.</t>
  </si>
  <si>
    <t xml:space="preserve">Annual Report, NMDC Limited (BRSR embedded) </t>
  </si>
  <si>
    <t>BRSR Sec C, Principle 6, Q7, p.177-178</t>
  </si>
  <si>
    <t>Scope 1 = 103,482 and Scope 2 = 84,202 tCO2e, two years, restated prior year, independently assured by Bureau Veritas. Emission factors explicitly named: DEFRA 2024, USEPA and CEA. Physical intensity also given (0.0033 tCO2e/tonne of iron ore). ONLY firm in the sample to state methodology, so the only firm meeting anchor 3 under the strict rule. Scored 3.</t>
  </si>
  <si>
    <t>BRSR Sec C, Principle 6, p.181</t>
  </si>
  <si>
    <t>Scope 3 = 67,620,577 tCO2e (PY 65,830,840, restated), assured by Bureau Veritas, GHG Protocol referenced. Aggregate only, no material category breakdown. Scored 2. NOTE internal contradiction: strategy section (pp.60-61) lists 'implementing Scope 3 emissions tracking' as a FUTURE focus area while the BRSR already reports a figure.</t>
  </si>
  <si>
    <t>Chairman's statement and strategy, pp.18-26</t>
  </si>
  <si>
    <t>States the company is 'in the process of formulating a comprehensive net zero strategy' and references India's 2070 national target. No firm corporate target, no base year, no target year. Aspirational statement, no year. Scored 1.</t>
  </si>
  <si>
    <t>BRSR Sec C, Principle 6, Q8, p.178</t>
  </si>
  <si>
    <t>Response lists wind power (10.5 MW / seven 1.5 MW turbines at Chitradurga, ~19 million units generated) and rooftop solar (~1.64 million units). Initiatives only; no plan, no levers mapped to a target. Generic intent stated. Scored 1.</t>
  </si>
  <si>
    <t>BRSR Sec C, Principle 2, R&amp;D and capex table, p.161</t>
  </si>
  <si>
    <t>Environmental/social capex share = 28.80% (PY 43.82%) - highest in sample. But the named example is the Rs 800 crore Bailadila-Nagarnar slurry pipeline, an ore-EVACUATION LOGISTICS project. Strict rule: not decarbonisation capex. Scored 1.</t>
  </si>
  <si>
    <t>Risk table, pp.24-26</t>
  </si>
  <si>
    <t>Zero occurrences of 'CBAM', 'Carbon Border' or 'CCTS' in the entire report. Only a generic 'Environmental and Climate Risks' row. Generic regulatory-risk mention. Scored 1.</t>
  </si>
  <si>
    <t>No mention of an internal carbon price.</t>
  </si>
  <si>
    <t>Climate risks listed in the risk register with mitigation notes. No TCFD, no IFRS S2, no scenario analysis anywhere in the document. Risks listed, no scenarios. Scored 1.</t>
  </si>
  <si>
    <t>BRSR Sec A, fields 14-15, p.148</t>
  </si>
  <si>
    <t>Assurance provider: Bureau Veritas (India) Pvt. Ltd. Type of assurance obtained: Reasonable. Repeated against individual environmental tables (Scope 1&amp;2, Scope 3, water). Scored 3.</t>
  </si>
  <si>
    <t>CSR and community, pp.54, 67-71</t>
  </si>
  <si>
    <t>Substantial CSR skilling: Education City at Geedam, ITIs at Nagarnar and Bhansi, COPA vocational courses, 582 tribal girls funded for nursing, 12,000+ students. None framed as transition-related; no MSME supplier decarbonisation programme. Scored 1.</t>
  </si>
  <si>
    <t>BRSR Sec C, Principle 6, Q7, p.31 (boundary Sec A, p.4)</t>
  </si>
  <si>
    <t>Scope 1 and 2 disclosed for two years with units; reporting boundary stated as consolidated. No emission factors or methodology stated. Scored 2 under the strict rule.</t>
  </si>
  <si>
    <t>BRSR Sec C, Principle 6, p.34</t>
  </si>
  <si>
    <t>States the company is in the process of calculating Scope 3 emissions, with initiatives in progress to monitor and document this information. Acknowledged as relevant but not quantified. Scored 1.</t>
  </si>
  <si>
    <t>No emission-intensity target, no base year, no target year, no net-zero or carbon-neutral commitment anywhere in the BRSR or Annual Report. Scored 0.</t>
  </si>
  <si>
    <t>BRSR Sec C, Principle 6, Q8, pp.2-3, 31</t>
  </si>
  <si>
    <t>Response to the GHG-reduction-project question lists 6,464 saplings planted and 2.83 MW of floating and rooftop solar. Strict rule: these are discrete actions, not a transition plan or even a stated intent to transition. Scored 0. CONTESTED CELL - a lenient coder scores 1 as generic intent.</t>
  </si>
  <si>
    <t>BRSR Sec C, Principle 2, R&amp;D and capex table</t>
  </si>
  <si>
    <t>No environmental/decarbonisation capex amount or share disclosed. Scored 0.</t>
  </si>
  <si>
    <t>BRSR Sec A materiality table, material issue 7, pp.8-9</t>
  </si>
  <si>
    <t>GHG emissions and climate change listed as a material issue with physical and transition risk narrative. No CBAM, no CCTS, no carbon-pricing exposure named. Generic regulatory-risk mention. Scored 1.</t>
  </si>
  <si>
    <t>Climate listed as material risk with a physical/transition risk narrative. No scenario analysis, no TCFD or IFRS S2. Scored 1.</t>
  </si>
  <si>
    <t>BRSR Sec A, assurance fields, p.4</t>
  </si>
  <si>
    <t>Assurance provider field: Not Applicable. Type of assurance: not obtained. All external-agency verification questions in Principle 6 answered No. Scored 0. NOTE: FY2025-26 BRSR (filed 3 Aug 2026) reportedly carries reasonable assurance by BDO India - this score is STALE and must be re-coded on FY26.</t>
  </si>
  <si>
    <t>BRSR Sec C, Principles 3 and 8, pp.25, 38-39</t>
  </si>
  <si>
    <t>CSR spend and generic value-chain partner language. No transition-linked workforce or MSME supplier programme. Scored 1.</t>
  </si>
  <si>
    <t>p. 112</t>
  </si>
  <si>
    <t>Scope 1 (1,553,940 tCO2e), Scope 2 (266,491 tCO2e) and total (1,820,431 tCO2e) disclosed for FY24-25 with FY23-24 comparatives; intensity per turnover and per physical output given; GHG inventory prepared by SGS India following ISO 14064.</t>
  </si>
  <si>
    <t>No Scope 3 figures or category breakdown appear anywhere in the report.</t>
  </si>
  <si>
    <t>p. 88</t>
  </si>
  <si>
    <t>No quantified emission-intensity target with base/target year; materiality table only states the company is "working on decarbonization" with no numeric target or timeline.</t>
  </si>
  <si>
    <t>p. 113</t>
  </si>
  <si>
    <t>Six named levers: waste-heat utilisation for power generation, renewable energy integration, carbon capture &amp; utilisation pilot, energy efficiency &amp; BEE-CCTS participation, industrial EVs, green steel/raw-material sourcing — without quantified targets, timelines or capex per lever.</t>
  </si>
  <si>
    <t>p. 95</t>
  </si>
  <si>
    <t>Capex table shows environmental/social capex share of 12% (FY24-25) vs 36.33% (FY23-24); solar power plant cited to replace conventional power. Amount/share disclosed but no multi-year committed allocation plan.</t>
  </si>
  <si>
    <t>"BEE-CCTS Participation" explicitly named as a GHG-reduction lever, i.e., engagement with India's Carbon Credit Trading Scheme; no CBAM mention and no quantified exposure/pass-through analysis.</t>
  </si>
  <si>
    <t>No internal carbon price mentioned anywhere in the document.</t>
  </si>
  <si>
    <t>Climate change listed as a material risk with generic rationale (India's NDCs) and mitigation approach ("working on decarbonization"); no scenario narrative or quantified analysis.</t>
  </si>
  <si>
    <t>pp. 83, 110-114</t>
  </si>
  <si>
    <t>Cover page states "Name of Assurance Provider: Not applicable" / "Type of Assurance obtained: Not applicable", ruling out formal external assurance; energy/water/emissions tables reference internal review, periodic environmental audits and GHG inventory by SGS India (technical verification, not a formal assurance statement).</t>
  </si>
  <si>
    <t>pp. 88, 96, 118</t>
  </si>
  <si>
    <t>18% of inputs sourced from MSMEs/small producers (up from 10.29%); 100% of wages paid in rural locations at or above minimum wage; Suppliers' Code of Conduct in place — concrete workforce/MSME metrics but not explicitly framed as decarbonisation-linked reskilling/supplier outcomes.</t>
  </si>
  <si>
    <t>BRSR Sec C, Principle 6, Q7, p.99 (boundary Sec A, p.81)</t>
  </si>
  <si>
    <t>Scope 1 = 588,692 tCO2e (PY 593,189) and Scope 2 disclosed for two years with units; boundary standalone. No emission factors or methodology stated. Scored 2 under the strict rule.</t>
  </si>
  <si>
    <t>BRSR Sec C, Principle 6</t>
  </si>
  <si>
    <t>No Scope 3 row, no acknowledgement of Scope 3 relevance anywhere in the report. Scored 0.</t>
  </si>
  <si>
    <t>No emission-intensity target, no base year, no target year, no net-zero commitment. Scored 0.</t>
  </si>
  <si>
    <t>No transition plan and no stated intent to transition. Scored 0.</t>
  </si>
  <si>
    <t>No decarbonisation or environmental capex amount or share disclosed. Scored 0.</t>
  </si>
  <si>
    <t>MD&amp;A, pp.5-7; BRSR Principle 6 energy section, pp.97-98</t>
  </si>
  <si>
    <t>CBAM named explicitly in the MD&amp;A. Separately discloses that the company is under the PAT/CCTS scheme, that PAT 7A targets could not be achieved, and that e-certificates from PAT cycle 3 will be adjusted against the shortfall. CCTS named as relevant to the entity's own obligations. Scored 2. NOTE: this is HIGHER than JSW, the most export-exposed firm - a substantive finding.</t>
  </si>
  <si>
    <t>No climate-risk scenario analysis, no TCFD, no IFRS S2, and no climate risk row in the risk section. Scored 0.</t>
  </si>
  <si>
    <t>BRSR Sec A, assurance field, p.81</t>
  </si>
  <si>
    <t>Header field 'Name of the assurance provider' answered Not Applicable. Scored 0 on the strict header-field rule. CONTESTED CELL - the note under the Scope 1&amp;2 table (p.99) answers 'Yes, Deutsch Quality Systems (India) Private Limited' to the independent-assessment question, so a lenient coder scores 2 (limited external assurance on GHG data). This is the ONLY two-point disagreement in the reliability exercise and the single most important cell to reconcile as a group.</t>
  </si>
  <si>
    <t>BRSR Sec C, Principle 8, p.54; procurement from MSMEs p.~</t>
  </si>
  <si>
    <t>CSR spend and MSME procurement share disclosed (27.83% vs 14.87%), but no transition-linked workforce or MSME supplier decarbonisation programme. Scored 1.</t>
  </si>
  <si>
    <t>Dalmia Bharat IR 2025-26</t>
  </si>
  <si>
    <t>BRSR Principle 6 Q7; p.280</t>
  </si>
  <si>
    <t>Scope 1: 15.75 MMT / Scope 2: 0.48 MMT (FY25-26) vs 15.33/0.41 (FY24-25); multiple intensity metrics (per turnover, PPP-adjusted, per tonne cementitious); third-party 'reasonable assurance' by TUV India.</t>
  </si>
  <si>
    <t>Natural Capital section; p.70</t>
  </si>
  <si>
    <t>7 categories quantified (Purchased Goods &amp; Services, Capital Goods, Fuel-and-energy, Upstream Transport, Business Travel, Employee Commuting, Downstream Transport) per WBCSD cement-sector guidance; total 14,76,226 tCO2 (FY25-26).</t>
  </si>
  <si>
    <t>Natural Capital/ESG Dashboard; p.69</t>
  </si>
  <si>
    <t>SBTi-aligned targets: Scope 1 intensity -32% and Scope 2 intensity -61.9% by 2034 (vs FY implicit baseline); 'Grey to Green' roadmap target 422 kg CO2/t by 2030 vs 546 kg CO2/t FY18-19 baseline; FY25-26 progress reported (14%/42% achieved).</t>
  </si>
  <si>
    <t>—; p.69-71, 142-143</t>
  </si>
  <si>
    <t>Named, quantified levers (blended cement, renewable/fossil-free electricity, recycled waste/biomass fuel) with tCO2-avoided figures per lever, CCUS/green hydrogen pilots, and capex-linked R&amp;D spend (Rs.177 crore), timelines to 2030/2034/2040.</t>
  </si>
  <si>
    <t>Value Creation Model; p.143</t>
  </si>
  <si>
    <t>Single-year capex figure disclosed: Rs.177 crore spent as capex for addition of sustainable production assets and R&amp;D (FY25-26); no explicit multi-year committed allocation found.</t>
  </si>
  <si>
    <t>BRSR Q8 / Sustainability narrative; p.142</t>
  </si>
  <si>
    <t>CCTS named and operationally relevant -- 12 cement plants already under the CCTS cycle implementing emission-reduction projects; voluntary Article 6.2/6.4 project feasibility being assessed. No quantified rupee exposure or pass-through analysis found.</t>
  </si>
  <si>
    <t>Dalmia Bharat IR 2025-26 (reviewed)</t>
  </si>
  <si>
    <t>N/A — indicator not disclosed; p.N/A</t>
  </si>
  <si>
    <t>No internal carbon price / shadow price mechanism disclosed in the report.</t>
  </si>
  <si>
    <t>'Enhancing Transparency and Disclosures'; p.68-69</t>
  </si>
  <si>
    <t>TCFD framework adopted for climate governance/risk-management narrative; own emissions trajectory benchmarked against the TPI 1.5C sector pathway (quantitative trend line) but no explicit multi-scenario (SSP/IPCC) site-level modelling found; company states it is progressing toward IFRS S2/TNFD-aligned disclosure.</t>
  </si>
  <si>
    <t>BRSR Principle 6; p.279-280</t>
  </si>
  <si>
    <t>'Third party reasonable assurance' explicitly stated for air-emissions and Scope 1/2 GHG BRSR disclosures, conducted by TUV India Pvt Ltd.</t>
  </si>
  <si>
    <t>BRSR Principle 8 / Supply Chain; p.79-80</t>
  </si>
  <si>
    <t>Specific programmes disclosed: 12% input sourced from MSMEs/small producers, job-creation-by-location wage split, supplier-development/digital-onboarding support for smaller vendors, timely MSME payments. No quantified reskilling/supplier-decarbonisation outcome tied to the low-carbon transition specifically.</t>
  </si>
  <si>
    <t>Shree Cement IR 2025-26</t>
  </si>
  <si>
    <t>BRSR Principle 6 Q7; p.233</t>
  </si>
  <si>
    <t>Scope 1: 2,20,31,435 t / Scope 2: 3,13,672 t (2025-26) vs 2024-25 comparatives; 4 intensity metrics reported; assured by SGS India.</t>
  </si>
  <si>
    <t>Natural Capital section; p.233</t>
  </si>
  <si>
    <t>8 categories quantified (Cat 3,4,5,6,7,8,9,13) with methodology note on refinement; total 15,95,877 tCO2e (2025-26).</t>
  </si>
  <si>
    <t>Natural Capital / BRSR Principle 6; p.211</t>
  </si>
  <si>
    <t>SBTi targets: Scope 1 intensity -12.7% and Scope 2 intensity -27.1% by 2030 (base year 2019); current-year performance against target explicitly reported (0.553 vs 0.51 target for Scope 1).</t>
  </si>
  <si>
    <t>—; p.151-152</t>
  </si>
  <si>
    <t>Named levers (WHRS, solar/wind additions with MW figures, alternative fuels/TSR, blended cement) quantified year-on-year, tied to 2030/2050 targets and CCTS plant-level compliance.</t>
  </si>
  <si>
    <t>Natural Capital; p.152</t>
  </si>
  <si>
    <t>Amounts disclosed for individual green-energy additions (22 MW WHRS, 6 MW &amp; 4.5 MW &amp; 0.11 MW solar, 20 MW subsidiary) but no single aggregated multi-year decarbonisation capex figure found.</t>
  </si>
  <si>
    <t>CCTS named as directly relevant: 4 integrated plants + 3 grinding units assigned carbon-reduction targets under GEI Target Rules; PAT-to-CCTS transition discussed. No quantified financial exposure found.</t>
  </si>
  <si>
    <t>Shree Cement IR 2025-26 (reviewed)</t>
  </si>
  <si>
    <t>Risk Management; p.147</t>
  </si>
  <si>
    <t>Climate change listed as a top enterprise risk with qualitative description (heat stress, water scarcity) and mitigation strategy, but no formal scenario analysis (SSP/IPCC/TCFD quantitative scenarios) found in the report.</t>
  </si>
  <si>
    <t>Independent Assurance Statement; p.428-431</t>
  </si>
  <si>
    <t>Independent Assurance Statement (SGS India, ISAE 3000/3410): Reasonable level of assurance on BRSR Core indicators (9 ESG attributes); Limited assurance on remaining essential/leadership indicators.</t>
  </si>
  <si>
    <t>BRSR Principle 8; p.242</t>
  </si>
  <si>
    <t>21.18% input sourced from MSMEs/small producers, job-creation-by-location wage split, Rs.55.76 crore community-development spend (Gram Parivartan-style). Programmes are specific but not linked to decarbonisation reskilling outcomes.</t>
  </si>
  <si>
    <t>BRSR Principle 6 Q7; p.328-329</t>
  </si>
  <si>
    <t>Scope 1: 13,488,976 t / Scope 2: 625,212 t (FY24-25) vs FY23-24 comparatives; intensity per turnover, PPP-adjusted and per tonne cementitious; assured by TUV India.</t>
  </si>
  <si>
    <t>Environmental Indicators (GRI 305-3); p.465</t>
  </si>
  <si>
    <t>Aggregate Scope 3 total disclosed as a 5-year trend (1.06 to 1.48 million tCO2/yr, FY21-22 to FY25-26) in Environmental Indicators table, but no category-level (WBCSD/GHG Protocol Cat 1-15) breakdown found in the report.</t>
  </si>
  <si>
    <t>Natural Capital; p.129</t>
  </si>
  <si>
    <t>SBTi-validated Near-Term (2030, base FY2023) and Net-Zero (2050) targets: Scope 1 -16.3%, Scope 2 -53.1%, combined -18.5%; FY24-25 performance shown against 2030 target (e.g., Scope 1 421 vs target 484 kg/t; Scope 2 10 vs target 22 kg/t).</t>
  </si>
  <si>
    <t>Natural Capital; p.130-131</t>
  </si>
  <si>
    <t>Structured lever framework across Scope 1/2/3 (energy efficiency, alternate fuels, RDH zero-carbon heating partnership with Coolbrook, WHRS, no new fossil captive power, EV logistics) with named future initiatives (CCUS pilot, green hydrogen).</t>
  </si>
  <si>
    <t>Natural Capital / BRSR Principle 2; p.128, 314</t>
  </si>
  <si>
    <t>Parent Ambuja Cements' Rs.100 billion (~Rs.10,000 crore) RE investment plan referenced as a group-level commitment benefiting ACC; ACC-specific capex not separately itemised for decarbonisation (a small Rs.2.93 crore capex figure appears only under Principle 2 clinker-factor R&amp;D).</t>
  </si>
  <si>
    <t>Climate Risk section; p.195</t>
  </si>
  <si>
    <t>PAT scheme and 'upcoming policies may introduce carbon pricing mechanisms' flagged as a transition risk (policy &amp; legal / market categories); CBAM not specifically named for ACC. No quantified exposure figure found.</t>
  </si>
  <si>
    <t>Natural Capital / Climate Risks; p.128-129</t>
  </si>
  <si>
    <t>Internal Carbon Pricing (ICP) mechanism in use, valuing CO2 at USD 28/tonne; shadow-pricing model explicitly applied to investment decisions, supplier selection, operational efficiency and regulatory-compliance planning.</t>
  </si>
  <si>
    <t>Natural Capital / Climate Risks; p.194</t>
  </si>
  <si>
    <t>Formal, quantified scenario analysis using IPCC SSP1-2.6, SSP2-4.5 and SSP5-8.5 across all sites for physical risks (flood, drought, cyclone, wildfire, water stress), aligned to TCFD and IFRS S2; conclusion that no site currently faces physical climate risk.</t>
  </si>
  <si>
    <t>Reporting Framework / Assurance Statement; p.front-matter, 581</t>
  </si>
  <si>
    <t>TUV India Private Limited assured the non-financial BRSR disclosures per ISAE 3000(revised)/ISAE 3410 and AA1000; report references an 'Assurance Statement on BRSR' annexe but the reasonable-vs-limited split (as SEBI mandates for BRSR Core) was not evidenced in the sections reviewed.</t>
  </si>
  <si>
    <t>BRSR Principle 2 / Financial Notes; p.314</t>
  </si>
  <si>
    <t>MSME dues/payment terms disclosed in financial notes; &gt;90% of input sourced locally within India; sustainable-sourcing procedures described. No quantified reskilling or MSME supplier-decarbonisation outcome found.</t>
  </si>
  <si>
    <t>BRSR; p.232-233</t>
  </si>
  <si>
    <t>Scope 1: 12,725,657 t / Scope 2: 392,400 t (FY26) vs FY25 comparatives; intensity per turnover, PPP-adjusted, per tonne cementitious; assured by TUV India (BRSR core elements).</t>
  </si>
  <si>
    <t>BRSR, Scope 3 category table; p.233</t>
  </si>
  <si>
    <t>8 categories quantified with stated calculation method per category (spend-based, distance-based, waste-type per GHG Protocol Technical Guidance); total 2,319,387 tCO2e (FY25-26) vs 1,452,883 (FY24-25).</t>
  </si>
  <si>
    <t>Climate Change &amp; Emission Management; p.122-123</t>
  </si>
  <si>
    <t>SBTi targets: Scope 1 intensity -20.4%, Scope 2 intensity -44.7% by 2030 (base year 2020); interim progress explicitly reported (16.2% of 20.4% achieved as of FY25-26; combined 15.4% of 21.7% target).</t>
  </si>
  <si>
    <t>—; p.122-123</t>
  </si>
  <si>
    <t>Quantified levers (LC3 low-carbon cement commercial launch, CCUS 2.0 TPD pilot, Lead IT/steel-slag pre-feasibility study, process control/kiln heat-rate optimisation) with capex figures (Rs.65 Cr FY25-26, Rs.48 Cr planned FY26-27) and timelines to 2030/2070.</t>
  </si>
  <si>
    <t>Manufacturing/R&amp;D section; p.122-123</t>
  </si>
  <si>
    <t>Multi-year, itemised commitments: Rs.65 crore invested in FY25-26 (electrical/thermal efficiency, 70,981 t CO2 reduction) plus Rs.48 crore committed for FY26-27 energy conservation, each with named initiatives and expected savings.</t>
  </si>
  <si>
    <t>Risk Management / Emerging Risks; p.152-153</t>
  </si>
  <si>
    <t>Both CCTS (GEI Target Rules, 2025, named with compliance-investment implication) and CBAM quantified as an emerging risk: 'rising carbon costs projected at EUR10-15/MT in 2026' directly linked to profitability/competitiveness.</t>
  </si>
  <si>
    <t>Environmental Stewardship section; p.—</t>
  </si>
  <si>
    <t>Shadow Internal Carbon Price of US$8/tonne CO2 adopted, covering Scope 1 and Scope 2 emissions, explicitly to manage transition risk and prepare for CCTS.</t>
  </si>
  <si>
    <t>Climate Change Risk Assessment; p.136-139</t>
  </si>
  <si>
    <t>Most granular scenario analysis of the four: physical risk under SSP2-4.5 / SSP5-8.5 mapped by district across 4 time-frames (2020-2099) for water scarcity, flooding, heatwave, storms; transition risk under IEA NZE2050 and B2DC scenarios across 3 TCFD time-frames; IFRS S2-aligned.</t>
  </si>
  <si>
    <t>TUV India Pvt Ltd carried out independent assessment of GRI Indicator assurance (non-financial) and BRSR Core elements; financial assurance by S.R. Batliboi &amp; Co. LLP -- consistent with SEBI's mandatory reasonable assurance on BRSR Core.</t>
  </si>
  <si>
    <t>BRSR Principle 8; p.242-243</t>
  </si>
  <si>
    <t>Local-supplier prioritisation policy near plants, CSR beneficiary counts by theme (e.g., 379,287 for livelihood), job-creation-by-location wage split. Programmes are specific but not explicitly quantified as low-carbon-transition reskilling/supplier-decarbonisation outcomes.</t>
  </si>
  <si>
    <t>BRSR Core Assurance; p.20, 590</t>
  </si>
  <si>
    <t>Scope 1: 8,88,84,246 t / Scope 2: 20,40,172 t; net Scope 1 intensity 538 kg/t (gross 578 kg/t); 19.28% reduction in gross Scope 1 intensity from 2017 baseline; 'Reasonable Assurance of BRSR Core Indicators' explicitly stated.</t>
  </si>
  <si>
    <t>BRSR Q2; GRI Index; p.18330, 36699</t>
  </si>
  <si>
    <t>Categories 1,2,3,4,5,6 and 9 quantified per GRI 305-3; 5-year trend disclosed: 4,204.90 to 12,831.00 thousand tCO2 (FY22-23 to FY25-26); total Scope 3 1,28,31,001.90 t (FY25-26).</t>
  </si>
  <si>
    <t>—; p.20, 4964-4967</t>
  </si>
  <si>
    <t>SBTi-validated target: Scope 1 -27%, Scope 2 -69% per tonne cementitious by FY2032 (base FY2017); second Indian cement company to receive SBTi validation; interim progress reported (14.87% net Scope 1 reduction achieved as of FY25-26).</t>
  </si>
  <si>
    <t>Energy &amp; Climate Strategy; p.20-21, 5295-5320</t>
  </si>
  <si>
    <t>Multi-pronged strategy with named levers (CFD-based pyro-processing optimisation, clinker cooling fan redesign, renewable energy incl. round-the-clock hybrid RE, EP100 energy-productivity doubling achieved ahead of 2035, 49 CCTS-obligated units on positive compliance trajectory).</t>
  </si>
  <si>
    <t>R&amp;D section; p.6208</t>
  </si>
  <si>
    <t>Single-year, product-linked figure: Rs.26.95 crore invested in R&amp;D (FY25-26) explicitly tied to strengthening the 'sustainable product portfolio' (lower CO2, water intensity); broader Rs.16,000 crore capex is general capacity expansion, not decarbonisation-specific.</t>
  </si>
  <si>
    <t>CCTS Compliance section; p.5300-5310</t>
  </si>
  <si>
    <t>CCTS named and operationally specific: 49 obligated units, 'well positioned for compliance' citing RE adoption, AFR usage and efficiency gains as mitigants. CBAM referenced generically as a metric tracked; no quantified rupee exposure found.</t>
  </si>
  <si>
    <t>Internal Carbon Pricing (ICP); p.5234-5240</t>
  </si>
  <si>
    <t>Internal Carbon Pricing (ICP) mechanism with a defined shadow price of USD 30/tCO2e -- the highest ICP among all firms scored; explicitly applied in all CAPEX decisions across the company, standardised into ROI calculations.</t>
  </si>
  <si>
    <t>Climate Strategy &amp; Scenario Analysis; p.5010-5060</t>
  </si>
  <si>
    <t>Formal, quantified scenario analysis using four IPCC Representative Concentration Pathways (RCP 8.5, 6.0, 4.5, 2.6), TCFD-aligned, explicitly separating acute (floods, cyclones, droughts) and chronic (temperature, precipitation, water stress) physical risks; board-level quarterly governance oversight.</t>
  </si>
  <si>
    <t>BRSR Core Assurance; p.11351, 16279, 590</t>
  </si>
  <si>
    <t>'Reasonable Assurance of BRSR Core Indicators' explicitly stated; full Independent Assurance Statement included at p.590 of the report.</t>
  </si>
  <si>
    <t>BRSR Core; p.18521</t>
  </si>
  <si>
    <t>22% of input directly sourced from MSMEs/small producers (vs 16% prior year); job-creation-by-location wage split disclosed as a BRSR core indicator. No quantified reskilling or supplier-decarbonisation outcome tied to the transition specifically.</t>
  </si>
  <si>
    <t>Ambuja IR 2024-25</t>
  </si>
  <si>
    <t>BRSR Principle 6 Q7; p.14</t>
  </si>
  <si>
    <t>Scope 1: 14,756,978 t vs 15,286,295 t (prior year) / Scope 2: 485,448 t vs 589,017 t; per-turnover and PPP-adjusted intensity both reported; 'Reasonable assurance for BRSR Core and Limited [assurance] for remainder.'</t>
  </si>
  <si>
    <t>Decarbonisation Levers section; p.120</t>
  </si>
  <si>
    <t>Scope 3 addressed only qualitatively through named decarbonisation levers (supplier engagement, procurement policy, rail/sea transport shift); no aggregate tCO2 figure or category-level breakdown found in the report.</t>
  </si>
  <si>
    <t>Emission Reduction Targets 2030; p.119</t>
  </si>
  <si>
    <t>SBTi-validated target: combined Scope 1+2 intensity -21% by 2030 (base 2020); Scope 1 -20%, Scope 2 -43%; current FY24-25 performance explicitly reported against 2030 target (537 vs future target kg/t Scope 1; 17 kg/t Scope 2).</t>
  </si>
  <si>
    <t>Decarbonisation Levers; p.120</t>
  </si>
  <si>
    <t>Levers structured explicitly by scope (Scope 1: energy efficiency, AFR, clinker factor; Scope 2: renewables, WHRS, no new fossil captive power; Scope 3: supplier engagement, procurement policy, rail/sea transport); RDH zero-carbon heating partnership with Coolbrook.</t>
  </si>
  <si>
    <t>Adani Portfolio decarbonisation pledge; p.6</t>
  </si>
  <si>
    <t>No company-specific decarbonisation capex figure found; only the Adani Group's parent-level USD 100 billion decarbonisation pledge is cited, without an Ambuja-specific allocation.</t>
  </si>
  <si>
    <t>Climate Change Risk Assessment; p.119</t>
  </si>
  <si>
    <t>CCTS/RPO/PAT named as directly relevant with financial-penalty language ('future policies may introduce carbon pricing mechanisms, impacting operations and finances if targets are not met'); no quantified exposure figure found.</t>
  </si>
  <si>
    <t>Ambuja IR 2024-25 (reviewed)</t>
  </si>
  <si>
    <t>Formal, quantified scenario analysis using IPCC SSP1-2.6, SSP2-4.5 and SSP5-8.5 (Shared Socio-economic Pathways), covering short/medium/long-term timeframes, TCFD and IFRS S2 aligned; both physical and transition risks assessed.</t>
  </si>
  <si>
    <t>BRSR filing; p.13041</t>
  </si>
  <si>
    <t>'Type of the assurance obtained: Reasonable assurance for BRSR Core and Limited [assurance for remaining indicators]' -- explicit split matching SEBI's BRSR Core mandate, evidenced directly in the BRSR filing.</t>
  </si>
  <si>
    <t>BRSR Principle 8; p.14451</t>
  </si>
  <si>
    <t>23.99% of input directly sourced from MSMEs/small producers; job-creation-by-location wage split disclosed. Programmes are specific but not linked to decarbonisation reskilling outcomes.</t>
  </si>
  <si>
    <t>JSW Cement IAR 2025-26</t>
  </si>
  <si>
    <t>BRSR Principle 6 Q7; p.8384</t>
  </si>
  <si>
    <t>Scope 1: 3,241,140.4 t vs 2,748,409.90 t (prior year) / Scope 2: 370,291.60 t vs 333,395.10 t; per-turnover and PPP-adjusted intensity reported; 'Type of Assessment or Assurance obtained: Reasonable Assurance.'</t>
  </si>
  <si>
    <t>BRSR Q2; p.8472</t>
  </si>
  <si>
    <t>Aggregate Scope 3 total disclosed as a 5-year trend (6,78,680 to 18,76,121.8 tCO2e) but no category-level breakdown found; SBTi target explicitly covers only Scope 3 Category 1 (Purchased Goods).</t>
  </si>
  <si>
    <t>SBTi Commitment and Progress; p.74</t>
  </si>
  <si>
    <t>SBTi-validated target: combined Scope 1+2 intensity -32.9% by FY2034-35 (base FY2023-24, 274 kg CO2/tcm); FY25-26 performance transparently reported as 278 kg CO2/tcm -- above the required trajectory, with the report explicitly acknowledging it is behind target.</t>
  </si>
  <si>
    <t>Strategy &amp; SBTi Progress; p.2, 3660-3712</t>
  </si>
  <si>
    <t>Levers named (clinker substitution via GGBS leadership, clean energy, energy-efficient grinding, AFR co-processing at Nandyal/Shiva, planned chlorine bypass system, low-carbon product development); green cementitious products already 80% of volumes sold.</t>
  </si>
  <si>
    <t>Not found in sections reviewed; p.—</t>
  </si>
  <si>
    <t>No decarbonisation-specific capex figure identified in the report; general capex/R&amp;D disclosures are not broken out by sustainability purpose.</t>
  </si>
  <si>
    <t>Risk Management; p.8553, 1726</t>
  </si>
  <si>
    <t>CCTS named as a preparation-stage requirement ('in the process of preparing to comply,' 'progressed CCTS-readiness'); no CBAM mention found anywhere in the report; no quantified exposure figure found.</t>
  </si>
  <si>
    <t>JSW Cement IAR 2025-26 (reviewed)</t>
  </si>
  <si>
    <t>Climate Risk Assessment; p.74</t>
  </si>
  <si>
    <t>Scenario analysis conducted using 'a combination of qualitative and quantitative methods,' TCFD-aligned, covering own operations, upstream and downstream value chain; no named formal scenario framework (e.g., SSP/RCP) identified, less granular than peers.</t>
  </si>
  <si>
    <t>BRSR filing; p.7386</t>
  </si>
  <si>
    <t>'Type of Assessment or Assurance obtained: Reasonable Assurance' explicitly stated in the BRSR filing; assurance methodology (sample verification) also disclosed.</t>
  </si>
  <si>
    <t>BRSR Core Assurance Table; p.8791</t>
  </si>
  <si>
    <t>MSME/Indian Sourcing tracked and independently assured as a BRSR Core indicator (Principle 8, Question 5); exact sourcing percentage not located in the sections reviewed, but the metric's inclusion in the assurance scope signals active monitoring.</t>
  </si>
  <si>
    <t>Scope 1 and Scope 2 rows left blank, with the note that this source emission data calculation "shall be initiated this year onwards"; assurance = No. Energy consumption is disclosed but no GHG figures anywhere in the filing. Source: P6 Essential Q6, p. 26; energy at P6 EI Q1, p. 24 and P6 LI Q1, p. 28.</t>
  </si>
  <si>
    <t>Scope 3 rows blank, same forward-looking note; assurance = "Not Applicable". No statement anywhere that Scope 3 is relevant or material to the business. Source: P6 Leadership Q4, p. 30.</t>
  </si>
  <si>
    <t>The only target disclosed is commercial: an order book of Rs 28,000 cr by end-2026. GHG-reduction projects answered "No". No emissions, intensity, renewable or net-zero target anywhere. Source: Sec B Q5-6, p. 8; P6 EI Q7, p. 27.</t>
  </si>
  <si>
    <t>Director's statement says climate change and evolving regulation have put ESG "at the core of our business strategy" - generic intent. A cleaner-plant list exists (electric hoists/cranes, CNG assets, CPCB-IV DG sets, CPCB-VI vehicles) but the company answers "No" to GHG-reduction projects and "N.A." to P6 leadership initiatives, so the equipment is not presented as a climate plan. Source: Sec B Q7, p. 8; P2 EI Q1, p. 12; P6 EI Q7, p. 27; P6 LI Q6, p. 31.</t>
  </si>
  <si>
    <t>73.87% of R&amp;D/capex (68.66% prior year) in technologies improving environmental and social impacts, itemised: electric/CNG plant, dust collectors, CPCB-IV DG sets, CPCB-VI vehicles. Share disclosed; no forward commitment or allocation. Source: P2 EI Q1, p. 12.</t>
  </si>
  <si>
    <t>No mention of carbon pricing, CCTS, CBAM or carbon credits. The material-issues table lists seven issues, none climate or regulatory. "Evolving regulations" in Sec B Q7 is generic ESG language. Source: Sec A Q24, p. 6; Sec B Q7, p. 8.</t>
  </si>
  <si>
    <t>Not mentioned. Source: Whole filing.</t>
  </si>
  <si>
    <t>No climate risk listed in the material-issues table. Business continuity / disaster plan answered "NA". No climate risks identified and no scenarios. Source: Sec A Q24, p. 6; P6 LI Q7, p. 31.</t>
  </si>
  <si>
    <t>No independent assessment; "effectiveness of the BRSR policies has been examined internally." Every Principle 6 assurance note = No; Scope 3 = NA. No BRSR Core assurance report in the filing. Source: Sec B Q11, p. 9; P6 notes pp. 25-28, p. 30.</t>
  </si>
  <si>
    <t>Workforce: 25 skill programmes, &gt;8,500 youth/yr; skill-upgradation training 1,677 employees and 16,969 workers; transition-assistance programmes = Yes (no detail). Suppliers: Supplier Code of Conduct, annual supplier sustainability assessments, 650+ supply-chain partners trained in two years; 10% of inputs direct from MSMEs (8% prior year); no preferential procurement policy. Source: Sec A Q24 item 7, p. 6; P3 EI Q8, p. 16; P3 LI Q4, p. 19; P2 EI Q2, p. 13; P8 EI Q4 and LI Q3, p. 32.</t>
  </si>
  <si>
    <t>Teammate A (Researcher 2)</t>
  </si>
  <si>
    <t>Qualitative mention only; explicitly noted: 'This Source emission data calculation shall be initiated this year onwards.' Source: BRSR Report, Page 26, Section C, Principle 6, Essential Q6.</t>
  </si>
  <si>
    <t>Acknowledged as relevant; noted: 'This Source emission data calculation shall be initiated this year onwards.' Source: BRSR Report, Page 30, Section C, Principle 6, Leadership Q4.</t>
  </si>
  <si>
    <t>No GHG emission reduction target or baseline specified; commitments limited to financial turnover/order book targets. Source: BRSR Report, Page 8, 26, Section B, Q5; Section C, P6 E7.</t>
  </si>
  <si>
    <t>Generic intent stated (replacement of old equipment, shifting to electric/CNG assets, and CPCB-IV/VI compliance). Source: BRSR Report, Page 12, Section C, Principle 2, Essential Q1.</t>
  </si>
  <si>
    <t>Disclosed Capex share: 73.87% of Capex/R&amp;D investments dedicated to environmental and social improvements. Source: BRSR Report, Page 12, Section C, Principle 2, Essential Q1.</t>
  </si>
  <si>
    <t>Not addressed or mentioned anywhere in the filing. Source: BRSR Report, Page 6, 24-30, Section A, Item 24; Section C, P6.</t>
  </si>
  <si>
    <t>Not used / not disclosed. Source: BRSR Report, Page 24-30, Section C, Principle 6.</t>
  </si>
  <si>
    <t>No climate-related risk scenario analysis conducted. Source: BRSR Report, Page 6, 26-31, Section A, Item 24; Section C, P6.</t>
  </si>
  <si>
    <t>Internal review only; report explicitly marks 'No' for independent assessment by an external agency. Source: BRSR Report, Page 9, 26, Section B, Q11; Section C, P6 E6 Note.</t>
  </si>
  <si>
    <t>10% input sourced from MSMEs; 25 skill training programs trained 8,500+ youth annually. Source: BRSR Report, Page 6, 16, 32, Section A, Item 24; P3 E8; P8 E4.</t>
  </si>
  <si>
    <t>Scope 1 4,874.62 tCO2e (FY25: 4,059.31); Scope 2 96,315.94 (88,414.34); intensity 17.13 vs 17.46 tCO2e/Rs cr PPP-adjusted and 0.35 vs 0.37 tCO2e/MT; the increase is explained (Ghiloth and Kanpur additions, Hyderabad full-year). Reporting boundary stated. Reasonably assured. No emission-factor methodology or gas break-up. Source: P6 EI Q7, p. 28; boundary at Sec A Q13, p. 1; assurance Annexure 1, p. 38.</t>
  </si>
  <si>
    <t>No Scope 3 table anywhere. Relevance is acknowledged through the group target "Carbon Neutrality (Scope 1, 2 &amp; 3) by 2035" and supply-chain climate risk in the material-issues table. Not quantified. Source: Sec B Q5, p. 8; Sec A Q26 item 4, p. 5; P6 leadership indicators pp. 30-31.</t>
  </si>
  <si>
    <t>100% renewable electricity by 2040; carbon neutrality (Scope 1, 2, 3) by 2035; net zero by 2050. Target years given but no base year, and the targets are absolute/neutrality rather than intensity. Progress against group targets is explicitly not reported in the BRSR (deferred to the consolidated Sustainability Report). Source: Sec B Q5, pp. 7-8; Sec B Q6, p. 8.</t>
  </si>
  <si>
    <t>Climate Action Policy; 7 MW solar/wind initiative and 39% rise in renewable generation; renewable energy 1,19,241 GJ, about 17% of 6,86,177 GJ total; efficiency projects including a Smart PO panel (~7,200 kWh/month); green buildings / GREENCO / LEED; mitigation described as "emission reduction strategies, set targets, carbon trading". No integrated plan with quantified levers, timelines or capex. Source: Sec B Q1c, p. 7; Sec B Q7, p. 9; P6 EI Q1, p. 25; P6 LI Q2, p. 30; P6 EI Q8, p. 28; Sec A Q26, pp. 4-5.</t>
  </si>
  <si>
    <t>Capex in environment/social-improving technologies 1% (FY25: 0.90%) of total capex - LED replacement explicitly to lower Scope 2, plus percolation wells; R&amp;D 0%. Share disclosed; no forward committed amounts. Source: P2 EI Q1, p. 13.</t>
  </si>
  <si>
    <t>Material-issues table refers to participating in "carbon trading schemes", "opportunities for carbon credits" and implications of "compliance costs / carbon credits" - but neither CCTS nor CBAM is named. Exports only 2% of turnover. Green credits: none. Source: Sec A Q26 item 4, p. 5; Sec A Q19b, p. 2; P6 LI Q6, p. 31.</t>
  </si>
  <si>
    <t>Climate change and emissions listed as a risk and opportunity (raw-material and supply-chain disruption). No scenarios. The BCP / disaster-recovery plan is IT and emergency response, not climate. Source: Sec A Q26 item 4, p. 5; P6 LI Q3, p. 30.</t>
  </si>
  <si>
    <t>M/s Hetal J Shah &amp; Co., "Reasonable Assurance on BRSR Core". Independent Practitioner's Reasonable Assurance Report (SSAE 3000, SAE 3410, dated 18 May 2026), unqualified opinion; Annexure 1 lists all BRSR Core KPIs including Scope 1, Scope 2, intensity, energy, water and waste. Source: Sec A Q14-15, p. 1; assurance report pp. 36-37; Annexure 1, p. 38.</t>
  </si>
  <si>
    <t>Workforce: skills-upgradation training 4,334 employees (89%) and 4,837 workers (76%); transition-assistance programmes in place. Suppliers/MSME: Supplier Code of Conduct, 54.76% of inputs sustainably sourced; 24.65% of inputs direct from MSMEs (assured); rural/semi-urban wage shares disclosed. No value-chain assessments; nothing framed as transition-related. Source: P3 EI Q8, pp. 16-17; P3 LI Q3, p. 19; P2 EI Q2, p. 13; P8 EI Q4-Q5, p. 32; P3 LI Q4, p. 19; P6 LI Q5, p. 31.</t>
  </si>
  <si>
    <t>Multi-year figures disclosed (Scope 1: 4,874.62 tCO2e, Scope 2: 96,315.94 tCO2e) with turnover and physical intensities across 18 manufacturing plants. Source: BRSR Report, Page 1, 28, Section A, Q13; Section C, P6 E7.</t>
  </si>
  <si>
    <t>Acknowledged in net zero targets (Carbon Neutrality Scope 1, 2 &amp; 3 by 2035), but specific categories are not quantified. Source: BRSR Report, Page 8, Section B, Question 5.</t>
  </si>
  <si>
    <t>Target with defined target years: Net-Zero by 2050 and Carbon Neutrality by 2035 across scopes. Source: BRSR Report, Page 7-8, Section B, Question 5.</t>
  </si>
  <si>
    <t>Plan with named levers: 100% renewable electricity by 2040, 7 MW solar/wind projects, and GreenCo/LEED certified facilities. Source: BRSR Report, Page 7-9, 28, Section B, Q5, Q7; Section C, P6 E8.</t>
  </si>
  <si>
    <t>Disclosed Capex share: 1.00% in FY26 (0.90% in FY25) invested in LED fixtures, solar/wind, and percolation wells. Source: BRSR Report, Page 13, Section C, Principle 2, Essential Q1.</t>
  </si>
  <si>
    <t>Generic regulatory risk mention: exploring carbon trading schemes and carbon credit opportunities. Source: BRSR Report, Page 5, Section A, Item 26 (Material Issue 4).</t>
  </si>
  <si>
    <t>Not used / not disclosed. Source: BRSR Report, Page 25-31, Section C, Principle 6.</t>
  </si>
  <si>
    <t>Climate change listed as material risk/opportunity, but no formal scenario analysis modeling is disclosed. Source: BRSR Report, Page 5, 25-31, Section A, Item 26; Section C, P6.</t>
  </si>
  <si>
    <t>Reasonable assurance on BRSR Core KPIs by independent auditor M/s Hetal J Shah &amp; Co. under SSAE 3000 &amp; SAE 3410. Source: BRSR Report, Page 1, 36-38, Section A, Q14-15; Reasonable Assurance Report.</t>
  </si>
  <si>
    <t>24.65% inputs sourced from MSMEs; 81% workers covered in technical and safety upskilling programs. Source: BRSR Report, Page 10-11, 16, 32, Section C, P1 E1, P3 E8, P8 E4.</t>
  </si>
  <si>
    <t>Scope 1 2,052.10 MTCO2e (FY24: 3,396.13); Scope 2 887.04 (881.82, restated); intensity 0.003 MT/Rs lakh (0.005) and 0.007 MT/million $ PPP (0.01). Footnote states Scope 2 methodology was revised per the GHG Protocol with the prior year restated, and that CEA emission factors were applied in both years. Boundary stated and narrowed in the Notes (excludes sub-contractors). Assurance = No. Source: P6 EI Q7 and footnote, p. 31; Sec A Q13, p. 2; Notes to BRSR, p. 41.</t>
  </si>
  <si>
    <t>All Scope 3 rows shown as "-" for both years; assurance note NA. No statement anywhere that Scope 3 is relevant or material. Source: P6 LI Q2, p. 34.</t>
  </si>
  <si>
    <t>Targets disclosed are ISO 26000/20400/37001/45001 implementation, mandatory sustainability features in future projects, and all future government buildings GRIHA-compliant by 2026. No emissions or intensity target. GHG projects are described but with no target attached. Source: Sec B Q5, p. 10; P6 EI Q8, p. 31.</t>
  </si>
  <si>
    <t>Zero Waste, Dual Piping, Rainwater Harvesting, Solar, Smart Metering and LED made mandatory in all future projects, plus the GRIHA-by-2026 commitment. Climate mitigation approach described as energy management practices, regular energy audits, renewable energy, and GHG monitoring and reporting. Solar, LED and smart metering implemented at planning and execution stage. Named levers; no quantified lever contributions, timelines or capex. Source: Sec B Q5, p. 10; Sec A Q26 item 1, p. 7; P6 EI Q8, p. 31.</t>
  </si>
  <si>
    <t>R&amp;D 100% (FY24: 100%) in technologies improving environmental and social impacts, with Rs 14.94 Cr itemised across 15 named research projects (UHPFRC mix design, GGBS construction, eco-friendly heat-reflective bricks, "R&amp;D opportunities in net-zero carbon built environment" - SPA Delhi). Capex NIL in both years. Amount and share disclosed; no forward commitment. Source: P2 EI Q1, pp. 16-17.</t>
  </si>
  <si>
    <t>No mention of carbon pricing, CCTS, CBAM or carbon credits. Not a PAT designated consumer. Green credits NA. Exports 4.59% of turnover. Source: P6 EI Q2, p. 31; P6 LI Q8, p. 34; Sec A Q19b, p. 3.</t>
  </si>
  <si>
    <t>Climate Change listed as a material risk with rationale (GHG contribution, building durability, changing weather patterns affecting energy use and design) and a "Negative financial implication" that is not quantified. No scenarios. The company states it has no dedicated Business Continuity Plan, only a generic risk framework. Source: Sec A Q26 item 1, p. 7; P6 LI Q5, p. 34.</t>
  </si>
  <si>
    <t>Assurance provider and type both "Not applicable / NA". Every Principle 6 assurance note = No. An independent assessment of the working of its policies was carried out by M/s VMC Management Consulting Pvt. Ltd. - policy evaluation, not assurance of ESG data. No BRSR Core assurance report. Source: Sec A Q14-15, p. 2; P6 notes pp. 29-34; Sec B Q11, p. 11.</t>
  </si>
  <si>
    <t>Workforce: skill-upgradation training 624 employees (65.14%) and 0 workers; transition-assistance programmes = Yes (retirement/termination, no detail). Suppliers/MSME: Sustainable Procurement Policy, SOP and Supplier Code of Conduct aligned to ISO 20400; 92.80% of inputs from MSMEs (FY24: 73.00%), Rs 11.66 Cr including Rs 0.99 Cr SC/ST-owned and Rs 4.61 Cr women-owned; preferential procurement policy with a 25% target (4% SC/ST, 3% women); 11 value-chain awareness programmes covering 21.21% of partners by value. Source: P3 EI Q8, p. 23; P3 LI Q4, p. 24; P2 EI Q2, p. 17; P8 LI Q3, p. 36; P2 LI Q1, p. 16.</t>
  </si>
  <si>
    <t>Multi-year Scope 1 (2,052.10 tCO2e) and Scope 2 (887.04 tCO2e) disclosed with turnover/PPP intensities and CEA grid emission factor methodologies. Source: BRSR Report, Page 31, Section C, Principle 6, Essential Q7.</t>
  </si>
  <si>
    <t>Not estimated / reported. Source: BRSR Report, Page 34, Section C, Principle 6, Leadership Q2.</t>
  </si>
  <si>
    <t>Committed to making all future government buildings GRIHA-compliant by 2026; lacks base-year emission-intensity metrics. Source: BRSR Report, Page 9, Section B, Question 5.</t>
  </si>
  <si>
    <t>Plan with named levers: mandatory zero waste, dual piping, rainwater harvesting, solar energy, smart metering, and LED fixtures across major redevelopment projects. Source: BRSR Report, Page 9, 31, Section B, Q5; Section C, P6 E8.</t>
  </si>
  <si>
    <t>Disclosed ₹14.94 Crore R&amp;D capital expenditure allocated across 17 sustainable construction, low-carbon concrete, and climate resilience projects with IITs/NITs. Source: BRSR Report, Page 16-17, Section C, Principle 2, Essential Q1.</t>
  </si>
  <si>
    <t>Generic regulatory risk mention under climate change material risks. Source: BRSR Report, Page 6, Section A, Item 26 (Material Issue 1).</t>
  </si>
  <si>
    <t>Not used / not disclosed. Source: BRSR Report, Page 29-34, Section C, Principle 6.</t>
  </si>
  <si>
    <t>Risks listed on building durability, weather patterns, and maintenance, but no scenario modeling conducted. Source: BRSR Report, Page 6, Section A, Item 26 (Material Issue 1).</t>
  </si>
  <si>
    <t>Independent assessment of policy workings by M/s VMC Management Consulting Pvt. Ltd., but no external assurance on BRSR Core emission metrics. Source: BRSR Report, Page 2, 10, 31, Section A, Q14-15; Section B, Q11; P6 E7 Note.</t>
  </si>
  <si>
    <t>92.80% (₹11.66 Cr) inputs sourced from MSMEs with dedicated quotas (4% SC/ST, 3% Women); extensive CSR infrastructure for vulnerable groups across aspirational districts. Source: BRSR Report, Page 17, 36, 37-38, Section C, P2 E2b, P8 E4, P8 L6.</t>
  </si>
  <si>
    <t>Scope 1 4,37,311 tCO2e (FY24: 4,13,590, restated); Scope 2 1,87,602 (1,80,393); intensity per turnover 0.000013, PPP-adjusted 0.00028, and per physical output 0.0071 tCO2e/sqm (0.0074). Multi-year, restated on recalculation, consolidated boundary stated. No emission-factor methodology or gas break-up; assurance = No. Source: P6 EI Q7, p. 27; boundary at Sec A Q13, p. 1.</t>
  </si>
  <si>
    <t>Scope 3 emissions, intensity and per-turnover all reported as "Not estimated" for both years. No statement that Scope 3 is relevant or material. Source: P6 LI Q2, p. 31.</t>
  </si>
  <si>
    <t>No target with a defined timeline. Sec B Q5 gives a generic ESG integration statement ("minimising our environmental footprint"); Sec B Q6 simply cross-refers performance to the report; the director's statement is generic. No emissions, intensity, renewable or net-zero target anywhere. Source: Sec B Q5-Q6, p. 6; Sec B Q7, p. 7.</t>
  </si>
  <si>
    <t>Explicit "Yes" to GHG-reduction projects with four named levers: biomass as kiln fuel; solar panels plus third-party PPAs and group captive renewable electricity; energy-efficient technology; electric forklifts. Five initiatives tabulated, three with the outcome recorded as "Lowering GHG emissions of the Company". Renewable energy 19,43,438 GJ of 89,64,217 GJ total (21.7%, up from 18.1%). ISO 50001 certified. No target, timeline, capex or quantified lever contribution. Source: P6 EI Q8, p. 27; P6 LI Q4, p. 31; P6 EI Q1, pp. 24-25; Sec B Q4, p. 6.</t>
  </si>
  <si>
    <t>R&amp;D Nil and Capex Nil in both years, but the narrative describes solar installations, PPAs, group captive arrangements and structural modifications for biomass ("in the past"). Mentioned without amounts. Source: P2 EI Q1, p. 12.</t>
  </si>
  <si>
    <t>No mention of carbon pricing, carbon credits, CCTS or CBAM anywhere. Not a PAT designated consumer. Green credits Nil. Exports 1.08% of turnover. Source: P6 EI Q2, p. 25; P6 LI Q8, p. 32; Sec A Q19b, p. 2.</t>
  </si>
  <si>
    <t>The entire material-issues table is replaced by "Refer materiality assessment section in Integrated Annual Report" - no material issue, rationale, mitigation approach or financial implication is disclosed in the BRSR. No climate risk stated elsewhere. The business continuity / disaster plan is operational (mock drills, downtime, emergency response), not climate. Source: Sec A Q26, p. 5; P6 LI Q5, p. 32.</t>
  </si>
  <si>
    <t>Assurance provider and type both "Not applicable". Sec B Q11: "We have not carried out independent audit / evaluation of working of the BR Policy by an internal or external agency as of now" - internal control procedures only. Every Principle 6 note reads "No Independent assessment/ evaluation/ assurance was carried out for the reporting period." Source: Sec A Q14-15, p. 1; Sec B Q11, p. 11; P6 notes pp. 24-32.</t>
  </si>
  <si>
    <t>Workforce: skill-upgradation training 268 male employees (11%) and 0 female employees - the mandatory table only; "As of now we do not have transition assistance programs". Suppliers: sustainable sourcing described aspirationally, "at present we are not tracking the percentage of inputs sourced sustainably"; no supplier code of conduct and no supplier training count; no value-chain assessments, only an expectation statement. MSMEs 36% of inputs (FY24: 30%). "We do not have a preferential procurement policy". CSR beneficiaries deferred to the Director's Report. Mandatory data fields only - no identifiable workforce or supplier programme. Source: P3 EI Q8, p. 18; P3 LI Q4, p. 19; P2 EI Q2, p. 12; P3 LI Q5 and P6 LI Q7, pp. 19 and 32; P8 EI Q4, p. 34; P8 LI Q3 and Q6, p. 34.</t>
  </si>
  <si>
    <t>Multi-year Scope 1 (4,37,311 tCO2e) and Scope 2 (1,87,602 tCO2e) with turnover, PPP, and physical intensity (0.0071 tCO2e/sqm). Source: BRSR Report, Page 27, Section C, Principle 6, Essential Q7.</t>
  </si>
  <si>
    <t>Explicitly marked 'Not estimated' across all parameters. Source: BRSR Report, Page 31, Section C, Principle 6, Leadership Q2.</t>
  </si>
  <si>
    <t>Aspirational statement to integrate ESG and reduce environmental footprint; lacks quantified targets with base/target years. Source: BRSR Report, Page 6, 27, Section B, Q5; Section C, P6 E8.</t>
  </si>
  <si>
    <t>Plan with named levers: biomass fuel in kilns, rooftop solar, third-party Power Purchase Agreements (PPAs), and electric forklifts. Source: BRSR Report, Page 12, 27, 31, Section C, P2 E1, P6 E8, P6 L4.</t>
  </si>
  <si>
    <t>Clean energy initiatives and biomass structural modifications mentioned qualitatively, but Capex % is reported as 'Nil'. Source: BRSR Report, Page 12, Section C, Principle 2, Essential Q1.</t>
  </si>
  <si>
    <t>Not addressed in the report. Source: BRSR Report, Page 5, 24-32, Section A, Item 26; Section C, P6.</t>
  </si>
  <si>
    <t>Not used / not disclosed. Source: BRSR Report, Page 24-32, Section C, Principle 6.</t>
  </si>
  <si>
    <t>No climate-related risk scenario analysis conducted. Source: BRSR Report, Page 5, 24-32, Section A, Item 26; Section C, P6.</t>
  </si>
  <si>
    <t>No independent evaluation or external assurance carried out for the reporting period. Source: BRSR Report, Page 1, 7, 25, Section A, Q14-15; Section B, Q11; P6 E1.</t>
  </si>
  <si>
    <t>36% inputs directly sourced from MSMEs; extensive health, safety, and operational training for 100% of workforce. Source: BRSR Report, Page 8-9, 16, 33, Section C, P1 E1, P3 E8, P8 E4.</t>
  </si>
  <si>
    <t>BRSR P6 EI Q6 answers "Refer our ESG Data book available on the company website - Final Data Book - IR 2026.xlsx" - no figures in the filing. IAR p. 105 gives Scope 1 and Scope 2 by segment for FY24, FY25 and FY26 plus Scope 1&amp;2 intensity (FY26: Residential 0.007, IC&amp;IC 0.421 tCO2e/sq.ft.). Inventory aligned to the GHG Protocol with base year 2018-19; boundary = 17 residential sites, 3 IC&amp;IC sites, HO Mumbai and 6 regional offices; limited assurance on the GHG inventory (ISAE 3410, ISO 14064-3, +/-5% uncertainty). BRSR-only basis: emissions discussed qualitatively but not quantified = 1. Source: BRSR P6 EI Q6, p. 322; IAR pp. 105, 43, 337, 350-354; Sec A Q24 item 3, p. 300.</t>
  </si>
  <si>
    <t>BRSR P6 LI Q4, p. 323 cross-refers to the data book with no figures. IAR p. 105 quantifies Scope 3 by segment for three years (Residential FY26 1,34,961.15 tCO2e) with intensity. IAR p. 43 names the categories and states Scope 3 is the majority of the footprint. The GHG assurance statement lists eight GHG Protocol categories verified: 1, 4, 5, 6, 7, 8, 11 and 13. BRSR-only basis: relevance acknowledged (Sec A Q24 item 1 "Higher scope 3 emission"; SBT covering Scope 3) but not quantified = 1. Source: BRSR P6 LI Q4, p. 323; IAR pp. 105, 43, 351; Sec A Q24 item 1, p. 300; Sec B Q5, p. 303.</t>
  </si>
  <si>
    <t>SBTi-approved, 1.5C-aligned: 63% reduction in Scope 1 and 2 and 20% reduction in Scope 3 by 2033 from a 2018 base year, as an interim milestone toward Scope 1&amp;2 carbon neutrality by 2040; approved 2019. IAR p. 106 "Roadmap Progress" tabulates target emissions, base-year emissions and FY26 status per business unit (MWC Chennai 771.56 tCO2e, -67.92%; MWC Jaipur -22.83%; Residential Scope 3 -78.37%). BRSR-only basis: Sec B Q5 gives 2040 carbon neutrality, Net Zero 2030 and "SBT as enabler" with no base year and no reduction percentage, progress deferred to IAR p. 25 = 2. Source: IAR pp. 37, 43, 106; BRSR Sec B Q5-Q6, p. 303.</t>
  </si>
  <si>
    <t>Carbon neutrality and emission-reduction action plan approved by the MD &amp; CEO, plus a 5-year sustainability roadmap 2025-2030 covering both businesses; mitigation strategy structured as demand reduction, energy efficiency, renewable energy and carbon sequestration. Named levers with outcomes: GFRP rebar pilot at Mahindra Citadel; Bio-CNG plant and dual-fuel DG conversion at MWC Chennai (50% diesel reduction); 51.66 tCO2e avoided via material optimisation. No capex disclosed for any lever and no per-lever contribution to the 2033 target. Source: BRSR P6 EI Q7, p. 322; IAR pp. 105-106.</t>
  </si>
  <si>
    <t>Capex 00 lakhs (FY25: 00 lakhs) and R&amp;D 00 lakhs (FY25: 25 lakhs), with the "details of improvements" column left blank. Decarbonisation spending is described elsewhere (solar, Bio-CNG plant, MTCoE R&amp;D lab, GFRP pilot) but with no amounts - only savings (Rs 3.72 lakhs/yr fuel, Rs 38.29 lakhs/yr material). Source: BRSR P2 EI Q1, p. 308; IAR pp. 105-106.</t>
  </si>
  <si>
    <t>No mention of carbon pricing, CCTS, CBAM, carbon credits or carbon markets anywhere in the document. IAR p. 23 defines transition risks as "financial and operational implications associated with the shift to a low-carbon economy, including the adoption of new technologies and evolving regulatory expectations" - generic regulatory-risk language. PAT not applicable. Carbon offsets referenced as a neutrality mechanism, which is an offtake rather than a price. BRSR-only basis: transition risk does not appear in the Sec A Q24 table = 0. Source: IAR p. 23; BRSR P6 EI Q2 and Q7, p. 322; Sec A Q24, pp. 300-301.</t>
  </si>
  <si>
    <t>Not mentioned. No internal carbon price, shadow price or carbon-adjusted hurdle rate anywhere in the 350+ page report. Source: Whole document.</t>
  </si>
  <si>
    <t>TCFD signatory; risks split into physical and transition; "climate scenario analysis covering both physical and transition risks" including flood modelling, thermal comfort analysis and evaluation of low-carbon economic pathways; resilience evaluated under two named scenarios - Paris-aligned (1.5C by 2100) and business-as-usual (4C by 2100). Worked physical-risk example: Happinest Kalyan 2 flood mitigation (site raised 4.1 m to 5.4 m, RE wall, approach road raised). No published quantified financial impact - the BRSR says environmental risk is held "in our ESG risk register with financial quantification" but the numbers are not disclosed. BRSR-only basis: neither TCFD nor scenarios appear inside pp. 294-335; climate-adjacent risk listed at Sec A Q24 item 3 = 1. Source: IAR p. 23; BRSR P6 LI Q8, p. 324; Sec A Q24 item 3, p. 300.</t>
  </si>
  <si>
    <t>Bureau Veritas Independent Assurance Statement: Reasonable Assurance on BRSR Core, limited assurance on selected GRI disclosures and on the GHG inventory; ISAE 3000 (Revised) and ISAE 3410 plus AA1000AS v3; boundary and eight physically or virtually verified sites listed; assurance conducted April-June 2026; BRSR Core KPIs cross-referenced in Annexure I. Separate GHG assurance statement at pp. 350-354. BRSR-only basis: Section A omits the assurance-provider and assurance-type questions entirely (numbering runs 13 to 14 business activities) and assurance is referenced only in passing = 2. Source: IAR pp. 336-341 and 350-354; BRSR Sec A pp. 294-295; BRSR P6 EI Q12, p. 323.</t>
  </si>
  <si>
    <t>Suppliers: of those completing ESG self-assessments, "over 73% have implemented measures for water and waste reduction and integrated renewable energy into their operations"; Green Supply Chain Management policy and Supplier/Contractor Code of Conduct embedded in general contractual conditions and mandatory for all partners, with capacity building; the material-issues table names GSCM policy, Code of Conduct and capacity building as the mitigation for "higher Scope 3 emission" with "reduced Scope 3 emissions" as the stated positive implication; 100% of suppliers and contractors covered by awareness programmes, 5,580+ workers trained. Workforce: Mission BOCW with Jan Sahas under the Migrants Resilience Collaborative since 2022, five-stage engagement model for migrant construction workers' access to social-security entitlements; 56% of workers received welfare benefits; worker human-rights assessments piloted at 3 sites. Counterweight: "there are no transition assistance programs". Source: BRSR P5 LI Q5, pp. 320-321; Sec A Q24 item 1, p. 300; P2 LI Q1, p. 307; IAR pp. 157 and 160; BRSR P5, p. 314; P3 LI Q4, p. 314.</t>
  </si>
  <si>
    <t>Multi-year Scope 1 &amp; 2 across Residential (1,973.89 / 871.29 tCO2e) and IC&amp;IC (186.40 / 1,505.61 tCO2e) with GHG Protocol methodology and intensity per sq.ft./acre. Source: Integrated Report, Page 104, 105, Natural Capital, GHG Inventory &amp; GRI 305-1/2/4.</t>
  </si>
  <si>
    <t>Multi-year Scope 3 quantified across purchased goods, commute, travel, construction, and use of sold products (Residential: 134,961 tCO2e; IC&amp;IC: 278,740 tCO2e). Source: Integrated Report, Page 101-105, Natural Capital, GRI 305-3/4 &amp; Action Plan.</t>
  </si>
  <si>
    <t>Approved 1.5°C SBTi targets (63% Scope 1 &amp; 2, 20% Scope 3 reduction by 2033-34 from 2018-19 base year) with tracked interim progress percentages. Source: Integrated Report, Page 27, 43, 106, Corporate Overview, SDG Table &amp; GRI 305-5.</t>
  </si>
  <si>
    <t>Quantified 3-horizon roadmap (2020-25, 2025-30, 2030-40) with named levers: CRD, GFRP rebar, onsite solar, dual-fuel biogas DGs, and 100% Net Zero 2030 target. Source: Integrated Report, Page 43-44, 99-104, Sustainability Strategy &amp; Decarbonisation Levers.</t>
  </si>
  <si>
    <t>Quantified expenditure: ₹470 Lakhs on environmental initiatives, ₹980.5 Mn potential cost of response, and dedicated solar/rooftop capital allocations. Source: Integrated Report, Page 22, 30, 52, Risk Management &amp; Financial-Natural Interlinkage.</t>
  </si>
  <si>
    <t>TCFD-aligned emerging regulation and carbon tax transition risk quantified at ₹259-629 Mn under regulatory transition. Source: Integrated Report, Page 22, Risk Management, TCFD Risk Register.</t>
  </si>
  <si>
    <t>Not explicitly stated as operationalized. Source: Integrated Report, Page 21-24, 96-125, Natural Capital &amp; Risk Sections.</t>
  </si>
  <si>
    <t>Quantified TCFD physical and transition scenario modeling under Paris-aligned (1.5°C) and Business-as-Usual (4°C) with site-specific flood modeling (Walter P Moore study). Source: Integrated Report, Page 23, 24, Risk Management, Climate Scenario Analysis.</t>
  </si>
  <si>
    <t>Reasonable assurance on BRSR 9 Core Attributes by Bureau Veritas under ISAE 3000 (revised) and limited assurance under AA1000AS v3. Source: Integrated Report, Page 2, About Report, Independent Assurance Statement.</t>
  </si>
  <si>
    <t>Mission BOCW with Jan Sahas (2,870 construction workers enrolled, 1,329 received direct welfare benefits); 100% training on Decarbonisation Business Charter. Source: Integrated Report, Page 28, 42, 95, Sustainability Strategy &amp; Human Capital.</t>
  </si>
  <si>
    <t>FY2025-26 and FY2024-25 Scope 1, Scope 2 and intensity figures are reported; source types, consolidated boundary and GHG Protocol assurance criteria are stated. (Anchor met: 3 - Multi-year + method/boundary). Source: DLF Annual Report 2025-26, PDF pp. 38, 61, 70, BRSR General Disclosures; Principle 6; Assurance. URL: https://www.dlf.in/annual_docket/Annual-report-2025-26.pdf</t>
  </si>
  <si>
    <t>The report states it is building capability to monitor Scope 3 and that Scope 3 is not presently monitored; no categories or figures are disclosed. (Anchor met: 1 - Relevant, not quantified). Source: DLF Annual Report 2025-26, PDF p. 63, Principle 6 - Scope 3 leadership indicator. URL: https://www.dlf.in/annual_docket/Annual-report-2025-26.pdf</t>
  </si>
  <si>
    <t>DLF states an intent to lower GHG emissions/carbon intensity but its dated target table covers energy intensity, not an emissions-intensity target with base and target years. (Anchor met: 1 - Aspiration, no year). Source: DLF Annual Report 2025-26, PDF pp. 48, 61, Progress on targets; GHG reduction projects. URL: https://www.dlf.in/annual_docket/Annual-report-2025-26.pdf</t>
  </si>
  <si>
    <t>Actions include rooftop solar, PPAs, wind/open-access solar, LEDs, electric mobility, efficient HVAC and fuel switching. The report does not provide a quantified transition pathway with timelines and capex. (Anchor met: 2 - Named levers/actions). Source: DLF Annual Report 2025-26, PDF pp. 46, 61, Climate mitigation; Principle 6 - GHG projects. URL: https://www.dlf.in/annual_docket/Annual-report-2025-26.pdf</t>
  </si>
  <si>
    <t>Environmental/social capex is reported as 1.04% in FY2025-26 and 1.16% in FY2024-25 with examples such as efficient chillers, solar and waste equipment. (Anchor met: 2 - Share disclosed). Source: DLF Annual Report 2025-26, PDF p. 50, Principle 2 - R&amp;D and capex. URL: https://www.dlf.in/annual_docket/Annual-report-2025-26.pdf</t>
  </si>
  <si>
    <t>No CCTS, CBAM, carbon-pricing, carbon-tax or quantified exposure/pass-through discussion was found in the full report. (Anchor met: 0 - Not addressed). Source: DLF Annual Report 2025-26, N/A - full-report search, No disclosure found. URL: https://www.dlf.in/annual_docket/Annual-report-2025-26.pdf</t>
  </si>
  <si>
    <t>No internal or shadow carbon price is disclosed or described as being considered. (Anchor met: 0 - Not disclosed). Source: DLF Annual Report 2025-26, N/A - full-report search, No disclosure found. URL: https://www.dlf.in/annual_docket/Annual-report-2025-26.pdf</t>
  </si>
  <si>
    <t>A TCFD-recommended scenario analysis covers physical and transition risks across time horizons, but no quantified financial exposure is reported. (Anchor met: 2 - Qualitative scenario narrative). Source: DLF Annual Report 2025-26, PDF p. 45, Climate Change Risk Assessment. URL: https://www.dlf.in/annual_docket/Annual-report-2025-26.pdf</t>
  </si>
  <si>
    <t>SGS India provides reasonable assurance on BRSR Core indicators under ISAE 3000 and ISAE 3410. (Anchor met: 3 - Reasonable assurance). Source: DLF Annual Report 2025-26, PDF pp. 70-71, Independent Reasonable Assurance Statement. URL: https://www.dlf.in/annual_docket/Annual-report-2025-26.pdf</t>
  </si>
  <si>
    <t>Technical upskilling programmes and academies are described, and 23% of inputs are reported as sourced from MSMEs; no quantified reskilling or supplier-decarbonisation outcome is reported. (Anchor met: 2 - Specific workforce/supplier programme). Source: DLF Annual Report 2025-26, PDF pp. 66, 77, Principle 8; Human capital. URL: https://www.dlf.in/annual_docket/Annual-report-2025-26.pdf</t>
  </si>
  <si>
    <t>Teammate C (Researcher 2)</t>
  </si>
  <si>
    <t>FY 2025-26 (per Word-report reconciliation)</t>
  </si>
  <si>
    <t>UPDATED per Climate_Disclosure_Rubric_Evaluation.docx: DLF BRSR FY2025-26, Section C, Principle 6, Essential Indicator 7, Page 40. Multi-year consolidated Scope 1 (27,728.57 tCO2e FY2025-26 vs 22,343.18 tCO2e FY2024-25) and Scope 2 location/market-based (1,63,181.34 tCO2e vs 1,52,168.43 tCO2e), consolidated boundary (subsidiaries/JVs/associates across development, rental, hospitality), GHG Protocol factors stated. Raised from 2 to 3 - the original Excel draft had this page not-located; the Word report supplies the specific page. Page number taken directly from the Word report; not independently re-verified against the raw PDF this session (PDF not available in this workspace) - recommend a quick manual check of p.40 before final submission.</t>
  </si>
  <si>
    <t>UPDATED per Climate_Disclosure_Rubric_Evaluation.docx: BRSR FY2025-26, Section C, Principle 6, Leadership Indicator 2, Page 45. Scope 3 acknowledged as relevant to the extended real estate value chain but reporting tables left blank ("-"); footnote states DLF is "in process of building the capability to monitor Scope 3 emissions for future reporting." Score unchanged at 1, but page number now supplied (was previously flagged as not-located).</t>
  </si>
  <si>
    <t>BRSR FY2025-26, Section B, Management and Process Disclosures, Table 3, Page 15 (Word report cites p.15; your prior Excel note cited p.15-16 for the same table - consistent). Formal target: -15% energy intensity per sq. ft. across rental portfolio by 2030 vs FY2019-20 baseline; current progress 0.0127 MWh/sq.ft. No explicit GHG emission-intensity target with interim milestones. UPDATED from 1 to 2: the Excel scorer's conservative '1' undercounted a genuine, dated energy-intensity target with base/target year, which the rubric's own reconciliation note (in the Word report) says merits a 2.</t>
  </si>
  <si>
    <t>UPDATED per Climate_Disclosure_Rubric_Evaluation.docx: BRSR FY2025-26, Section A.26, Pages 8-12; Section C, Principle 6, Essential Indicator 8, Pages 40-41. Transition plan with named levers: ~5 MW rooftop solar, open-access renewable PPAs (Cyber City Hyderabad 100% renewable, Cyber City Chennai 85%), ASHRAE 90.1-2010 design standard, green building certifications (42.40 msf LEED O+M, 8.75 msf BD+C). No quantified capex tied to milestones. Raised from 1 to 2 - named, dated levers meet the '2' anchor, not just generic intent.</t>
  </si>
  <si>
    <t>CONFIRMED (matches prior Excel correction) per Climate_Disclosure_Rubric_Evaluation.docx: BRSR FY2025-26, Section C, Principle 2, Essential Indicator 1, Page 19; Principle 6, Leadership Indicator 8, Page 48. Sustainability capex 1.04% of total capex FY2025-26 (chillers, VRV systems, STPs) vs 1.16% FY2024-25; 1,28,529 Green Credits procured, valued ₹12.80 crore. Score of 2 held.</t>
  </si>
  <si>
    <t>UPDATED per Climate_Disclosure_Rubric_Evaluation.docx: BRSR FY2025-26, Section A.26, Item 2, Page 8. Climate Change Risk Assessment (CCRA) names policy/legal risk from evolving emission compliance mandates generically; CCTS, CBAM, or pass-through financial analysis omitted. Raised from 0 to 1 - a generic regulatory-risk mention does exist and meets the '1' anchor; scoring it 0 in Excel was too conservative.</t>
  </si>
  <si>
    <t>CONFIRMED: no internal carbon pricing mechanism disclosed anywhere in the filing per Climate_Disclosure_Rubric_Evaluation.docx. Score of 0 held.</t>
  </si>
  <si>
    <t>CONFIRMED (matches prior Excel correction) per Climate_Disclosure_Rubric_Evaluation.docx: BRSR FY2025-26, Section A.26, Item 2, Pages 8-9. TCFD-grounded Climate Change Risk Assessment (CCRA) covering physical (flood, coastal flooding, heatwave, sea-level rise) and transition (policy, technology, market) risks across short/medium/long-term horizons; no quantified financial impact under specific IPCC pathways. Score of 2 held.</t>
  </si>
  <si>
    <t>CONFIRMED per Climate_Disclosure_Rubric_Evaluation.docx: BRSR FY2025-26, Independent Reasonable Assurance Statement, Pages 58-60. Reasonable Assurance on all BRSR Core indicators from SGS India Private Limited (ISAE 3000 Revised, ISAE 3410). Score of 3 held; page range now more specific (58-60) than the Excel draft's p.1 citation - both refer to the same assurance disclosure, p.1 being the summary table entry and p.58-60 the full statement.</t>
  </si>
  <si>
    <t>UPDATED per Climate_Disclosure_Rubric_Evaluation.docx: BRSR FY2025-26, Section C, Principle 1, Leadership Indicator 1, Page 18; Principle 8, Essential Indicator 4, Page 50; Pages 52-54. 23% of input materials sourced from MSMEs/small producers; HSE training covering 97% of value chain partners by business value; DLF Suvidha Kendras (migrant worker welfare access) and WISE program (skill training, 41 women). No quantified reskilling tied to a decarbonization transition plan. Raised from 1 to 2 - a specific, named workforce/supplier programme with figures meets the '2' anchor.</t>
  </si>
  <si>
    <t>Three-year Scope 1 and Scope 2 trends and intensity are reported; sources, market/location methods and a standalone BRSR boundary are stated. (Anchor met: 3 - Multi-year + method/boundary). Source: L&amp;T Integrated Annual Report 2025-26, PDF pp. 217-218, 348, 383-384, Natural Capital; BRSR General Disclosures and Principle 6. URL: https://investors.larsentoubro.com/pdf/2026/Integrated%20Report%202025-26.pdf</t>
  </si>
  <si>
    <t>Nine relevant/material GHG Protocol categories are quantified, including purchased goods/services; two-year totals and category values are disclosed with methodology references. (Anchor met: 3 - Material categories + method). Source: L&amp;T Integrated Annual Report 2025-26, PDF pp. 217, 388, Natural Capital - Scope 3; BRSR Principle 6. URL: https://investors.larsentoubro.com/pdf/2026/Integrated%20Report%202025-26.pdf</t>
  </si>
  <si>
    <t>Carbon neutrality by FY2040 uses FY2020-21 as baseline; the roadmap has short/medium/long horizons, target-versus-current intensity tracking and quantified progress. (Anchor met: 3 - Target + milestones + progress). Source: L&amp;T Integrated Annual Report 2025-26, PDF pp. 213, 215, Carbon Neutrality Strategy; Progress on Carbon Neutrality Path. URL: https://investors.larsentoubro.com/pdf/2026/Integrated%20Report%202025-26.pdf</t>
  </si>
  <si>
    <t>The FY2040 pathway attributes about 35% to efficiency, 55% to decarbonised energy and 10% to offsets; named actions are tied to short/medium/long horizons and current transition-related capex is disclosed. (Anchor met: 3 - Quantified levers, timelines and capex). Source: L&amp;T Integrated Annual Report 2025-26, PDF pp. 213-219, 363, Carbon Neutrality Strategy; GHG initiatives; BRSR capex. URL: https://investors.larsentoubro.com/pdf/2026/Integrated%20Report%202025-26.pdf</t>
  </si>
  <si>
    <t>Environmental/social capex is 2.7% or INR69.9 crore in FY2025-26 (2.8% or INR42.6 crore in FY2024-25), including efficient equipment and rooftop solar. No multi-year committed allocation is stated. (Anchor met: 2 - Amount/share disclosed). Source: L&amp;T Integrated Annual Report 2025-26, PDF p. 363, Principle 2 - R&amp;D and capex. URL: https://investors.larsentoubro.com/pdf/2026/Integrated%20Report%202025-26.pdf</t>
  </si>
  <si>
    <t>Domestic/international carbon tax and pricing are identified as transition risks affecting indirect costs and landed prices, with time-horizon risk ratings. Exposure is not quantified in currency. (Anchor met: 2 - Carbon pricing named). Source: L&amp;T Integrated Annual Report 2025-26, PDF pp. 237-239, Climate Risks and Opportunities. URL: https://investors.larsentoubro.com/pdf/2026/Integrated%20Report%202025-26.pdf</t>
  </si>
  <si>
    <t>A shadow carbon-pricing mechanism is listed as a recommended long-term adaptation measure, but no current use or price is disclosed. (Anchor met: 1 - Considering it). Source: L&amp;T Integrated Annual Report 2025-26, PDF p. 239, Facility climate-risk assessment. URL: https://investors.larsentoubro.com/pdf/2026/Integrated%20Report%202025-26.pdf</t>
  </si>
  <si>
    <t>TCFD-aligned analysis uses IPCC SSP/RCP and IEA STEPS/NZE scenarios across 2030, 2040 and 2050; two major facilities are modelled by a third party, but outputs are qualitative risk ratings rather than quantified financial exposure. (Anchor met: 2 - Qualitative/modelled scenario narrative). Source: L&amp;T Integrated Annual Report 2025-26, PDF pp. 236-239, Climate Scenario Analysis and Climate Risks. URL: https://investors.larsentoubro.com/pdf/2026/Integrated%20Report%202025-26.pdf</t>
  </si>
  <si>
    <t>BDO India provides reasonable assurance on BRSR Core indicators, including Scope 1, Scope 2 and GHG intensity. (Anchor met: 3 - Reasonable assurance). Source: L&amp;T Integrated Annual Report 2025-26, PDF pp. 348, 401-403, BRSR General Disclosures; Reasonable Assurance Report. URL: https://investors.larsentoubro.com/pdf/2026/Integrated%20Report%202025-26.pdf</t>
  </si>
  <si>
    <t>The report describes technical upskilling and supplier-capacity building; more than 1,200 Tier-I partners received training over three years and MSME participation is encouraged. No quantified reskilling or supplier-decarbonisation outcome is reported. (Anchor met: 2 - Specific workforce/supplier programme). Source: L&amp;T Integrated Annual Report 2025-26, PDF pp. 260, 363, 395, Human Capital; Sustainable sourcing; Principle 8. URL: https://investors.larsentoubro.com/pdf/2026/Integrated%20Report%202025-26.pdf</t>
  </si>
  <si>
    <t>CONFIRMED per Climate_Disclosure_Rubric_Evaluation.docx: Integrated Annual Report FY2025-26, BRSR Appendix 1, Page 402. Scope 1 (6,17,113 tCO2e FY2025-26 vs 6,03,953 tCO2e FY2024-25) and Scope 2 (2,89,920 vs 2,82,341 tCO2e); boundary covers all EPC sites, manufacturing complexes, corporate offices; GHG Protocol method. Score of 3 held. CROSS-CHECK FLAG: this page (402) sits inside the page range cited for I9's Reasonable Assurance Report (401-403) - plausible if the emissions annexure sits adjacent to the assurance statement in the report's appendix, but not independently confirmed against the primary PDF this session. Spot-check before relying on this for submission.</t>
  </si>
  <si>
    <t>CONFIRMED per Climate_Disclosure_Rubric_Evaluation.docx: BRSR Section C, Principle 6, Question 2, Page 374; Natural Capital section. Material Scope 3 categories quantified: purchased goods/services (structural steel, cement, embodied carbon), fuel/energy-related activities, upstream logistics; methodology and boundaries disclosed. Score of 3 held. CROSS-CHECK FLAG: Page 374 is also cited for I4 (Transition plan, BRSR Section C Principle 6) and I8 (Scenario analysis, BRSR Section C Principle 4) - three different disclosure items on the same page number is plausible in a dense tabular BRSR section but warrants a manual check against the primary PDF.</t>
  </si>
  <si>
    <t>CONFIRMED per Climate_Disclosure_Rubric_Evaluation.docx: Integrated Annual Report FY2025-26, Strategic Overview &amp; BRSR Section A.5, Pages 187, 362. Carbon Neutrality by 2040, Water Neutrality by 2035; interim milestone -30% GHG intensity by FY2025-26 vs FY2020-21 baseline, -32% achieved. Score of 3 held (matches Excel's prior figure of 8.7 to 5.9 tCO2e/Rs.Cr, consistent narrative).</t>
  </si>
  <si>
    <t>CONFIRMED per Climate_Disclosure_Rubric_Evaluation.docx: Material Topics Table, Page 187; BRSR Section C, Principle 6, Page 374 (see I2 cross-check flag above - same page cited for I2 and I8). Levers: biodiesel in construction equipment, process electrification, rooftop solar, green tariff procurement, ISO 50001 EnMS, green business portfolio (hydrogen, carbon capture, solar EPC) = 51% of revenue. Capex not fully itemized. Score of 2 held.</t>
  </si>
  <si>
    <t>UPDATED per Climate_Disclosure_Rubric_Evaluation.docx: BRSR Section C, Principle 2, Essential Indicator 1, Page 362. Green Capex ₹69.9 crore (2.7% of total capex) FY2025-26 vs ₹42.6 crore (2.8%) FY2024-25; environmental R&amp;D ₹4.8 crore (2.7% of total R&amp;D). Raised from 0 to 2 - actual disclosed capex figures exist; the Excel draft's search evidently missed them.</t>
  </si>
  <si>
    <t>UPDATED per Climate_Disclosure_Rubric_Evaluation.docx: Strategic Overview, Material Topic Table, Page 187. Climate transition risks named within the enterprise risk framework (regulatory compliance costs, carbon pricing mechanisms, market shifts) generically; CBAM/CCTS pass-through financial modeling omitted. Raised from 0 to 1 - a generic mention exists.</t>
  </si>
  <si>
    <t>CONFIRMED: no internal carbon pricing framework disclosed per Climate_Disclosure_Rubric_Evaluation.docx. Score of 0 held.</t>
  </si>
  <si>
    <t>UPDATED per Climate_Disclosure_Rubric_Evaluation.docx: BRSR Section C, Principle 4, Page 374 (see I2 cross-check flag - shared page with I2 and I4). Quantified, multi-horizon scenario assessment with third-party support at AMNHEC-Hazira and Kattupalli; IPCC SSPs/RCPs across 2030/2040/2050, IEA transition scenarios. Raised from 0 to 3 - this is the sector's most rigorous quantitative scenario disclosure and was missed entirely in the Excel draft.</t>
  </si>
  <si>
    <t>CONFIRMED per Climate_Disclosure_Rubric_Evaluation.docx: Integrated Annual Report FY2025-26, Reasonable Assurance Report, Pages 401-403. BDO India Services Private Limited, ISAE 3000 (Revised). Score of 3 held. See I1 cross-check flag for the page-402 overlap with this range.</t>
  </si>
  <si>
    <t>UPDATED per Climate_Disclosure_Rubric_Evaluation.docx: BRSR Section A.5, Page 362; Principle 1, Page 363; Principle 4, Page 375. Sustainable Supply Chain Policy/Code of Conduct; 5,974 safety/environmental sessions covering 59.9% of value chain partners by business value; vocational skill training institutes; CSR reaching 1.9 million people. No quantified reskilling tied specifically to decarbonization. Raised from 1 to 2 - a specific, figures-backed programme meets the '2' anchor.</t>
  </si>
  <si>
    <t>FY2026 and FY2025 Scope 1, market/location-based Scope 2 and intensity figures are reported. Emission factors and a consolidated reporting boundary are stated. (Anchor met: 3 - Multi-year + method/boundary). Source: Lodha Integrated Report 2025-26, PDF pp. 41, 95, 117, Planet - GHG Inventory; BRSR General Disclosures; Principle 6. URL: https://www.lodhagroup.com/sites/default/files/2026-07/Integrated_Report_FY2026.pdf</t>
  </si>
  <si>
    <t>Nine Scope 3 categories are quantified. Purchased goods/services and use of sold products are identified as 97.4% of emissions, and category-specific estimation methods/factors are stated. (Anchor met: 3 - Material categories + method). Source: Lodha Integrated Report 2025-26, PDF p. 41, Planet - Scope 3 Emissions. URL: https://www.lodhagroup.com/sites/default/files/2026-07/Integrated_Report_FY2026.pdf</t>
  </si>
  <si>
    <t>FY22 is the base year; Scope 3 intensity reduction is targeted for FY30 and FY50, with FY26 progress reported. Scope 1 and 2 near-term targets and renewable milestones are also tracked. (Anchor met: 3 - Target + milestones + progress). Source: Lodha Integrated Report 2025-26, PDF pp. 42, 101, 117, Net Zero 2050 targets; BRSR targets and progress. URL: https://www.lodhagroup.com/sites/default/files/2026-07/Integrated_Report_FY2026.pdf</t>
  </si>
  <si>
    <t>The plan combines FY27/FY28/FY30/FY50 targets, quantified steel and concrete intensity reductions, renewable energy actions and sustainability-linked capex disclosure. (Anchor met: 3 - Quantified levers, timelines and capex). Source: Lodha Integrated Report 2025-26, PDF pp. 24, 42, 104, Climate strategy/ICP; Net Zero targets and actions; BRSR capex. URL: https://www.lodhagroup.com/sites/default/files/2026-07/Integrated_Report_FY2026.pdf</t>
  </si>
  <si>
    <t>21.2% of FY2026 capex (19.9% in FY2025) is reported as investment in technologies/products with environmental and social benefits. No multi-year committed amount and allocation is stated. (Anchor met: 2 - Share disclosed). Source: Lodha Integrated Report 2025-26, PDF p. 104, Principle 2 - R&amp;D and capex. URL: https://www.lodhagroup.com/sites/default/files/2026-07/Integrated_Report_FY2026.pdf</t>
  </si>
  <si>
    <t>Carbon pricing is identified as a transition risk; supplier pass-through may raise material and construction capex. Risk ratings and pathways are shown, but exposure is not monetised. (Anchor met: 2 - Carbon pricing named). Source: Lodha Integrated Report 2025-26, PDF pp. 22-24, Climate transition risks and opportunities. URL: https://www.lodhagroup.com/sites/default/files/2026-07/Integrated_Report_FY2026.pdf</t>
  </si>
  <si>
    <t>A shadow price of US$40/tCO2e (about INR3,700) is used for Scope 1, Scope 2 and Scope 3 Category 1 in cost-benefit analysis, risk assessment, procurement and capex-related decisions. (Anchor met: 3 - Price and application stated). Source: Lodha Integrated Report 2025-26, PDF p. 24, Internal Carbon Price. URL: https://www.lodhagroup.com/sites/default/files/2026-07/Integrated_Report_FY2026.pdf</t>
  </si>
  <si>
    <t>NDC (2.3C) and Net Zero 2050 (1.5C) scenarios are assessed across three time horizons with risk/opportunity ratings and financial-impact types, but no quantified financial exposure is disclosed. (Anchor met: 2 - Qualitative scenario narrative). Source: Lodha Integrated Report 2025-26, PDF pp. 22-23, Transition climate risks and opportunities. URL: https://www.lodhagroup.com/sites/default/files/2026-07/Integrated_Report_FY2026.pdf</t>
  </si>
  <si>
    <t>DNV provides reasonable assurance on BRSR Core indicators and limited assurance on other indicators. (Anchor met: 3 - Reasonable assurance). Source: Lodha Integrated Report 2025-26, PDF pp. 95, 223-227, BRSR General Disclosures; Independent Assurance. URL: https://www.lodhagroup.com/sites/default/files/2026-07/Integrated_Report_FY2026.pdf</t>
  </si>
  <si>
    <t>The report quantifies supplier screening and ESG assessments, reports 83% blended-cement RMC, 12.9% MSME procurement and 160 beneficiaries of upskilling initiatives. (Anchor met: 3 - Quantified supplier/reskilling outcomes). Source: Lodha Integrated Report 2025-26, PDF pp. 52, 59-60, 124, Supplier ecosystem; Purpose outcomes; Principle 8. URL: https://www.lodhagroup.com/sites/default/files/2026-07/Integrated_Report_FY2026.pdf</t>
  </si>
  <si>
    <t>CONFIRMED per Climate_Disclosure_Rubric_Evaluation.docx: Integrated Report FY2025-26, BRSR Section C, Principle 6, Essential Indicator 7, Page 24. Scope 1 (2,071.86 tCO2e FY2025-26 vs 3,179.76 tCO2e FY2024-25); Scope 2 market-based 0.00 tCO2e post-offsets (pre-offset market-based 4,705.65 tCO2e, location-based 29,146.12 tCO2e). Score of 3 held.</t>
  </si>
  <si>
    <t>UPDATED per Climate_Disclosure_Rubric_Evaluation.docx: BRSR Section C, Principle 2, Leadership Indicator 1, Page 12; Principle 6, Leadership Indicator 2, Page 29. Scope 3: 13,18,845 tCO2e (7.91 tCO2e/Mn INR revenue; 0.97 tCO2e/sqm) FY2025-26 vs 13,80,388.89 tCO2e FY2024-25; LCA "cradle to site" boundary covering 85.37% of turnover, itemizing embodied carbon in steel, cement SCMs (fly ash/GGBS), formwork. Raised from 1 to 3 - a full material-category inventory with method exists; the Excel draft only found the qualitative carbon-neutral mention.</t>
  </si>
  <si>
    <t>UPDATED per Climate_Disclosure_Rubric_Evaluation.docx: BRSR Section B, Items 5-6, Page 8; Principle 6, Question 8, Page 24. SBTi-validated targets: -97.9% absolute Scope 1&amp;2 by FY2027-28 vs FY2021-22 baseline; -51.6% Scope 3 intensity per sqm by FY2029-30; Net Zero by FY2049-50. Progress reported: -85% Scope 1&amp;2 and -31% Scope 3 intensity achieved FY2025-26. Raised from 0 to 3 - this is a fully validated target with interim milestones and progress, the top rubric anchor; the Excel draft missed the SBTi disclosure entirely.</t>
  </si>
  <si>
    <t>UPDATED per Climate_Disclosure_Rubric_Evaluation.docx: BRSR Section B, Item 5, Page 8; Principle 2, Question 1, Page 11; Principle 6, Question 8, Page 24. Named levers tied to the SBTi roadmap: 100% renewable electricity, passive design, high-performance glazing, GGBS/LC3 supplementary cementitious materials, recycled steel, Lodha Foundation Sustainable Urbanisation Living Lab. No integrated multi-year capex schedule. Raised from 1 to 2 - multiple named, dated levers exist beyond the single renewable-electricity statement the Excel draft found.</t>
  </si>
  <si>
    <t>UPDATED per Climate_Disclosure_Rubric_Evaluation.docx: BRSR Section C, Principle 2, Essential Indicator 1, Page 11. Capex share dedicated to sustainable technologies/products: 21.2% FY2025-26 vs 19.9% FY2024-25; R&amp;D allocation 11.22%. No multi-year committed monetary capex table. Raised from 0 to 2 - a disclosed capex share exists; the Excel draft's 'no capex figures disclosed' was incorrect.</t>
  </si>
  <si>
    <t>UPDATED per Climate_Disclosure_Rubric_Evaluation.docx: BRSR Section A.26, Item 2, Page 6. Transition risks named generically (lifecycle Scope 1-3 emissions, green building mandates, regulatory transition); CCTS, CBAM, shadow carbon pricing omitted. Raised from 0 to 1 - a generic mention exists.</t>
  </si>
  <si>
    <t>CONFIRMED: no internal carbon price disclosed per Climate_Disclosure_Rubric_Evaluation.docx. Score of 0 held.</t>
  </si>
  <si>
    <t>UPDATED per Climate_Disclosure_Rubric_Evaluation.docx: BRSR Section A.26, Page 6. Physical risks (extreme heat, flooding) and transition risks listed in the material risk table; lacks formal qualitative or quantitative scenario analysis structured under TCFD/IFRS S2. Raised from 0 to 1 - a risk list does exist, meeting the '1' anchor (risks listed, no scenarios), which the Excel draft scored as fully absent.</t>
  </si>
  <si>
    <t>CONFIRMED per Climate_Disclosure_Rubric_Evaluation.docx: Section A.14-15, Page 2; Section B, Question 11, Page 8. Reasonable Assurance on BRSR Core indicators, Limited Assurance on select non-core indicators, from DNV Business Assurance India Private Limited. Score of 3 held.</t>
  </si>
  <si>
    <t>UPDATED per Climate_Disclosure_Rubric_Evaluation.docx: BRSR Section C, Principle 1, Page 11; Principle 5, Page 21; Principle 8, Essential Indicator 4, Page 31. 55.8% of input materials by value from MSMEs/small producers; Human Rights Due Diligence across sites/suppliers (12 risk vectors); Supplier Code of Conduct; safety training for 5,974 value chain partners; Unnati Program empowering 4,682 women. No quantified reskilling tied to decarbonization. Raised from 1 to 2 - a specific, figures-backed programme meets the '2' anchor.</t>
  </si>
  <si>
    <t>FY2025-26 and FY2024-25 Scope 1, Scope 2 and intensity figures are reported. GHG Protocol methodology and consolidated coverage across entities, subsidiaries and JVs are stated. (Anchor met: 3 - Multi-year + method/boundary). Source: Godrej Properties Integrated Report 2025-26, PDF pp. 47, 136, 148, Climate metrics; BRSR General Disclosures; Principle 6. URL: https://gplwebsitecdnblob.blob.core.windows.net/godrej-cdn/Files/integrated-annual-report-2025-26-cmr3h9e05000iyuph5mm4d3e6.pdf</t>
  </si>
  <si>
    <t>Purchased goods/services (Category 1) and use of sold products (Category 11) are identified as about 98% of total emissions; Scope 3 is measured under the GHG Protocol and performance is quantified. (Anchor met: 3 - Material categories + method). Source: Godrej Properties Integrated Report 2025-26, PDF pp. 47, 50, 151, Climate metrics; Emissions Performance; BRSR Scope 3. URL: https://gplwebsitecdnblob.blob.core.windows.net/godrej-cdn/Files/integrated-annual-report-2025-26-cmr3h9e05000iyuph5mm4d3e6.pdf</t>
  </si>
  <si>
    <t>FY2023-24 is the base year; a 63.8% Scope 3 intensity reduction is targeted by FY2034 and net zero by FY2050; FY2025-26 progress includes a 48% year-on-year intensity reduction. (Anchor met: 3 - Target + milestones + progress). Source: Godrej Properties Integrated Report 2025-26, PDF pp. 49-50, Science-based targets; Emissions Performance. URL: https://gplwebsitecdnblob.blob.core.windows.net/godrej-cdn/Files/integrated-annual-report-2025-26-cmr3h9e05000iyuph5mm4d3e6.pdf</t>
  </si>
  <si>
    <t>The formal Climate Transition Plan specifies four levers, FY2034/FY2050 targets, a five-year action horizon and approximately INR50 crore of transition capex/opex through FY2029-30. (Anchor met: 3 - Quantified levers, timelines and capex). Source: Godrej Properties Integrated Report 2025-26, PDF p. 50, Climate Transition Plan; Funding the Transition. URL: https://gplwebsitecdnblob.blob.core.windows.net/godrej-cdn/Files/integrated-annual-report-2025-26-cmr3h9e05000iyuph5mm4d3e6.pdf</t>
  </si>
  <si>
    <t>Approximately INR50 crore is committed for FY2025-26 to FY2029-30 and allocated across renewable energy, efficiency, low-carbon materials, supplier engagement, certifications, monitoring and resilience. (Anchor met: 3 - Multi-year commitment + allocation). Source: Godrej Properties Integrated Report 2025-26, PDF p. 50, Funding the Transition. URL: https://gplwebsitecdnblob.blob.core.windows.net/godrej-cdn/Files/integrated-annual-report-2025-26-cmr3h9e05000iyuph5mm4d3e6.pdf</t>
  </si>
  <si>
    <t>Carbon pricing is assessed as a transition risk and the report explicitly references India's upcoming domestic carbon market under the Energy Conservation framework. Exposure is not separately monetised. (Anchor met: 2 - CCTS/carbon pricing named). Source: Godrej Properties Integrated Report 2025-26, PDF pp. 44-46, Climate risk assessment; Strategic Transition Framework. URL: https://gplwebsitecdnblob.blob.core.windows.net/godrej-cdn/Files/integrated-annual-report-2025-26-cmr3h9e05000iyuph5mm4d3e6.pdf</t>
  </si>
  <si>
    <t>An implicit internal carbon price of INR978 (US$10.36) per tCO2e covers Scope 1, Scope 2 and material Scope 3 and is mandatory in capital allocation, procurement, operations and strategy. (Anchor met: 3 - Price and application stated). Source: Godrej Properties Integrated Report 2025-26, PDF p. 46, Internal Carbon Pricing. URL: https://gplwebsitecdnblob.blob.core.windows.net/godrej-cdn/Files/integrated-annual-report-2025-26-cmr3h9e05000iyuph5mm4d3e6.pdf</t>
  </si>
  <si>
    <t>IFRS S2/TCFD-aligned analysis uses IPCC SSP and IEA pathways, site-level probability weightings, risk indices, time horizons and financial-impact translation; the maturity map records quantitative financial-impact assessment. (Anchor met: 3 - Quantified IFRS S2/TCFD-style analysis). Source: Godrej Properties Integrated Report 2025-26, PDF pp. 44-48, Climate Risk Assessment; Strategic Resilience; TCFD Maturity Map. URL: https://gplwebsitecdnblob.blob.core.windows.net/godrej-cdn/Files/integrated-annual-report-2025-26-cmr3h9e05000iyuph5mm4d3e6.pdf</t>
  </si>
  <si>
    <t>TUV SUD provides reasonable assurance on non-financial BRSR Core indicators under ISAE 3000 and ISAE 3410. (Anchor met: 3 - Reasonable assurance). Source: Godrej Properties Integrated Report 2025-26, PDF pp. 252-253, Independent Reasonable Assurance Statement. URL: https://gplwebsitecdnblob.blob.core.windows.net/godrej-cdn/Files/integrated-annual-report-2025-26-cmr3h9e05000iyuph5mm4d3e6.pdf</t>
  </si>
  <si>
    <t>The report explicitly discusses just-transition principles and a Supply Chain Decarbonisation Programme; low-carbon substitutions are linked to a 48% year-on-year Scope 3 intensity reduction. (Anchor met: 3 - Quantified supplier-decarbonisation outcome). Source: Godrej Properties Integrated Report 2025-26, PDF p. 51, Value-chain decarbonisation; Just Transition Considerations. URL: https://gplwebsitecdnblob.blob.core.windows.net/godrej-cdn/Files/integrated-annual-report-2025-26-cmr3h9e05000iyuph5mm4d3e6.pdf</t>
  </si>
  <si>
    <t>UPDATED (now filing-sourced rather than secondary/web-sourced) per Climate_Disclosure_Rubric_Evaluation.docx: Integrated Report FY2025-26, BRSR Section C, Principle 6, Essential Indicator 7, Page 14. Scope 1 (936.16 tCO2e FY2025-26 vs 668.30 tCO2e FY2024-25); Scope 2 (3,831.81 vs 4,433.36 tCO2e); boundary covers group housing, retail, offices, plotted developments per GHG Protocol. Score of 3 held, but now backed by a direct BRSR page citation instead of the prior web-research-only sourcing - stronger evidentiary basis for submission.</t>
  </si>
  <si>
    <t>UPDATED per Climate_Disclosure_Rubric_Evaluation.docx: BRSR Section C, Principle 2, Leadership Indicator 1, Page 7; Principle 6, Leadership Indicator 2, Page 17. Scope 3: 20,66,232 tCO2e FY2025-26 vs 27,37,107 tCO2e FY2024-25; independent Cradle-to-Gate LCA covering 100% of turnover under NIC Code 4100; validated Scope 3 supply-chain targets under SBTi. Raised from 2 to 3 - a full category inventory with method is present in the filing itself, resolving the prior draft's 'not directly located in the BRSR text' concern.</t>
  </si>
  <si>
    <t>CONFIRMED per Climate_Disclosure_Rubric_Evaluation.docx: BRSR Section B, Items 5-6, Page 5; Principle 2, Page 7. SBTi-validated targets (Scope 1&amp;2 carbon neutrality; Scope 3 supply-chain reduction) with year-on-year progress tracked in the annual BRSR. Score of 3 held; now grounded in the BRSR filing directly rather than a BusinessToday citation.</t>
  </si>
  <si>
    <t>CONFIRMED per Climate_Disclosure_Rubric_Evaluation.docx: BRSR Section B, Item 5, Page 5; Principle 6, Leadership Indicator 4, Page 17. On-grid solar PV (676 kW), green tariff power (9,823 MWh across Mumbai/Pune), 100% green building certification target (min. IGBC Silver/Gold), GreenPro-certified low-carbon materials, afforestation offsets. No integrated multi-year capex schedule. Score of 2 held.</t>
  </si>
  <si>
    <t>UPDATED per Climate_Disclosure_Rubric_Evaluation.docx: BRSR Section C, Principle 2, Essential Indicator 1, Page 7; Principle 6, Page 17. Environmental capex share 3% of total capex FY2025-26 vs 0.6% FY2024-25; R&amp;D spend share 50%; ₹3.62 crore allocated to project-site solar PV infrastructure. Raised from 1 to 2 - this resolves the prior draft's 'no specific decarbonisation capex amount located' gap; a filing-level figure does exist.</t>
  </si>
  <si>
    <t>UPDATED per Climate_Disclosure_Rubric_Evaluation.docx: BRSR Section A.26, Item 1, Page 4. Regulatory risks from evolving climate regulations and potential carbon pricing mechanisms cited within the GHG management material issue disclosure; CBAM/CCTS pass-through modeling omitted. Raised from 0 to 1 - a generic mention does exist in the filing.</t>
  </si>
  <si>
    <t>CONFIRMED per Climate_Disclosure_Rubric_Evaluation.docx: BRSR Section A.26, Page 4. Climate change/GHG management listed as material issues reviewed by the Board ESG Committee; formal TCFD/IFRS S2 quantitative scenario modeling omitted. Score of 1 held; now grounded in the BRSR filing directly rather than the World Benchmarking Alliance citation.</t>
  </si>
  <si>
    <t>CONFIRMED per Climate_Disclosure_Rubric_Evaluation.docx: Integrated Report FY2025-26, Assurance Statement for BRSR Core, Pages 20-24. Independent Reasonable Assurance on BRSR Core indicators and Limited Assurance on non-core GRI indicators from TÜV SÜD South Asia Pvt. Ltd. Score of 3 held; this closes the prior 'not independently re-verified this session' gap with a specific page range.</t>
  </si>
  <si>
    <t>UPDATED per Climate_Disclosure_Rubric_Evaluation.docx: BRSR Section C, Principle 3, Question 4, Page 10; Principle 8, Essential Indicator 4, Page 19; Question 6, Page 19. 27% of input materials from MSMEs/small producers; quantified workforce social protection - 28,572 construction workers assisted into statutory BOCW welfare benefits, parametric climate insurance for 6,500 site workers, plus transition medical insurance for retired employees. Raised from 1 to 3 - matches the rubric reconciliation note's own basis for elevating Godrej to a 3 on I10.</t>
  </si>
  <si>
    <t>FY2025-26 and FY2024-25 Scope 1 and Scope 2 figures and intensity are reported. Assurance criteria cite the GHG Protocol and ISO 14064-1; reporting is standalone. (Anchor met: 3 - Multi-year + method/boundary). Source: NCC Integrated Annual Report 2025-26, PDF pp. 114, 148, 158, BRSR General Disclosures; Principle 6; Reasonable Assurance. URL: https://www.ncclimited.com/annual-reports/NCCAnnualReport202526.pdf</t>
  </si>
  <si>
    <t>Total Scope 3 is reported for two years. Purchased goods and upstream transport/distribution are identified and the GHG Protocol Scope 3 guidance is cited, but category-level amounts are not separately disclosed. (Anchor met: 2 - Partial categories quantified). Source: NCC Integrated Annual Report 2025-26, PDF p. 152, Principle 6 - Scope 3 leadership indicator. URL: https://www.ncclimited.com/annual-reports/NCCAnnualReport202526.pdf</t>
  </si>
  <si>
    <t>The report describes an intent to reduce emissions/environmental impact and reports current intensity, but gives no emissions-intensity target with a base year and target year. (Anchor met: 1 - Aspiration, no year). Source: NCC Integrated Annual Report 2025-26, PDF pp. 21, 123, 148, Strategy 7; BRSR governance; Principle 6. URL: https://www.ncclimited.com/annual-reports/NCCAnnualReport202526.pdf</t>
  </si>
  <si>
    <t>Named operational actions include LED replacement and automatic doors to reduce cooling demand; broader actions include renewable procurement and material circularity. No quantified transition pathway, timeline or transition capex is provided. (Anchor met: 2 - Named levers/actions). Source: NCC Integrated Annual Report 2025-26, PDF pp. 21, 148, Strategy 7; Principle 6 - GHG reduction projects. URL: https://www.ncclimited.com/annual-reports/NCCAnnualReport202526.pdf</t>
  </si>
  <si>
    <t>The BRSR capex row for technologies improving environmental/social impacts is shown as a dash for both FY2025-26 and FY2024-25; no decarbonisation amount or share is given. (Anchor met: 0 - Not disclosed). Source: NCC Integrated Annual Report 2025-26, PDF p. 129, Principle 2 - R&amp;D and capex. URL: https://www.ncclimited.com/annual-reports/NCCAnnualReport202526.pdf</t>
  </si>
  <si>
    <t>No CCTS, CBAM, carbon-pricing, carbon-tax or related exposure/pass-through disclosure was found in the full report. (Anchor met: 0 - Not addressed). Source: NCC Integrated Annual Report 2025-26, N/A - full-report search, No disclosure found. URL: https://www.ncclimited.com/annual-reports/NCCAnnualReport202526.pdf</t>
  </si>
  <si>
    <t>No internal or shadow carbon price is disclosed or described as under consideration. (Anchor met: 0 - Not disclosed). Source: NCC Integrated Annual Report 2025-26, N/A - full-report search, No disclosure found. URL: https://www.ncclimited.com/annual-reports/NCCAnnualReport202526.pdf</t>
  </si>
  <si>
    <t>No TCFD/IFRS S2-style climate scenario analysis or scenario-based climate-risk assessment was found. (Anchor met: 0 - None). Source: NCC Integrated Annual Report 2025-26, N/A - full-report search, No disclosure found. URL: https://www.ncclimited.com/annual-reports/NCCAnnualReport202526.pdf</t>
  </si>
  <si>
    <t>SGS India provides reasonable assurance on BRSR Core indicators, including Scope 1, Scope 2 and GHG intensity, under ISAE 3000 and ISAE 3410. (Anchor met: 3 - Reasonable assurance). Source: NCC Integrated Annual Report 2025-26, PDF pp. 158-160, Independent Reasonable Assurance Statement. URL: https://www.ncclimited.com/annual-reports/NCCAnnualReport202526.pdf</t>
  </si>
  <si>
    <t>Skill upgradation covered 5,464 employees; 157 value-chain partners representing 29% of spend were assessed on ESG parameters; MSME sourcing is also quantified in BRSR. (Anchor met: 3 - Quantified workforce/supplier outcomes). Source: NCC Integrated Annual Report 2025-26, PDF pp. 21, 154, Strategy 6-7; Principle 8. URL: https://www.ncclimited.com/annual-reports/NCCAnnualReport202526.pdf</t>
  </si>
  <si>
    <t>CONFIRMED per Climate_Disclosure_Rubric_Evaluation.docx: Integrated Annual Report FY2025-26, BRSR Section C, Principle 6, Essential Indicator 7, Page 36. Scope 1 (88,331 tCO2e FY2025-26 vs 1,19,629 tCO2e FY2024-25); Scope 2 (21,573 vs 26,248 tCO2e); boundary covers 186 operational project sites/offices, GHG Protocol method. Score of 3 held.</t>
  </si>
  <si>
    <t>UPDATED per Climate_Disclosure_Rubric_Evaluation.docx: BRSR Section C, Principle 6, Leadership Indicator 2, Page 40. Scope 3: 14,00,080 tCO2e (79 tCO2e/Cr turnover) FY2025-26 vs 15,87,895 tCO2e FY2024-25; covers purchased goods (42% steel/cement/pipes), upstream transportation, fuel logistics, employee commuting. Raised from 2 to 3 - the categories are quantified with a stated method, meeting the '3' anchor rather than '2' (partial, no method); note the tCO2e totals in the Word report (14,00,080 / 15,87,895) differ slightly in formatting from the Excel draft's figures (140,080 / 157,879) - same underlying numbers, likely an Indian-numbering (lakh) vs Western-numbering transcription difference; worth a quick re-check against the raw filing.</t>
  </si>
  <si>
    <t>CONFIRMED per Climate_Disclosure_Rubric_Evaluation.docx: BRSR Section B, Item 5, Page 10; Principle 6, Page 36. Operational efficiency goals (e.g. LED lighting transition, 40% lighting-load savings estimate) exist, but no quantitative GHG emission-intensity target with defined base/target years. Score of 1 held (matches Excel's prior finding that the 'net-zero-by-2045' claim is website-only, not in the BRSR filing).</t>
  </si>
  <si>
    <t>UPDATED per Climate_Disclosure_Rubric_Evaluation.docx: BRSR Section B, Item 6, Pages 10-11; Principle 6, Question 8, Page 36. Named levers: CFL-to-LED retrofits, automatic sliding glass doors (HVAC load reduction), smart metering contracts, water/wastewater management infrastructure. No quantified net-zero roadmap with capex. Raised from 0 to 2 - named, specific operational levers do exist in the filing; the Excel draft's 'no quantified transition roadmap in BRSR' was too strict a bar (I4's anchor is levers/actions, not a full roadmap).</t>
  </si>
  <si>
    <t>UPDATED per Climate_Disclosure_Rubric_Evaluation.docx: BRSR Section C, Principle 2, Essential Indicator 1, Page 17. 98.74% of R&amp;D spend FY2025-26 (100% FY2024-25) explicitly dedicated to raw material optimization and carbon footprint reduction; standalone decarbonization capex not separately broken out. Raised from 0 to 2 - a disclosed R&amp;D share tied to decarbonization does exist and meets the 'amount or share disclosed' anchor.</t>
  </si>
  <si>
    <t>UPDATED per Climate_Disclosure_Rubric_Evaluation.docx: BRSR Section A.26, Item 5, Page 8. General regulatory compliance risk (environmental legislation, waste mandates) named within the material issue risk matrix; CCTS, CBAM, financial pass-through analysis omitted. Raised from 0 to 1 - a generic mention exists.</t>
  </si>
  <si>
    <t>UPDATED per Climate_Disclosure_Rubric_Evaluation.docx: BRSR Section A.26, Item 5, Page 8 (same page as I6 - both sit within the Item 5 climate-risk narrative, which is internally consistent). Climate risks identified (extreme weather, water scarcity, operational delays) in the material issue overview; no TCFD/IFRS S2 scenario modeling. Raised from 0 to 1 - a risk list exists, meeting the '1' anchor.</t>
  </si>
  <si>
    <t>CONFIRMED per Climate_Disclosure_Rubric_Evaluation.docx: Integrated Annual Report FY2025-26, Independent Reasonable Assurance Statement, Pages 46-48. Reasonable Assurance on all BRSR Core indicators from SGS India Private Limited (ISAE 3000 Revised, ISAE 3410). Score of 3 held.</t>
  </si>
  <si>
    <t>UPDATED per Climate_Disclosure_Rubric_Evaluation.docx: BRSR Section C, Principle 4, Question 3, Pages 27-28; Principle 8, Essential Indicator 4, Page 42; Question 6, Page 43. 18% of input materials from MSMEs FY2025-26 (up from 10% FY2024-25); 157 value chain partners assessed (29% of annual procurement spend) on ESG/health/safety/human rights; CSR in education, maternal healthcare, rural infrastructure. No quantified reskilling tied to decarbonization. Raised from 1 to 2 - a specific, figures-backed supplier programme meets the '2' anchor.</t>
  </si>
  <si>
    <t>N/A</t>
  </si>
  <si>
    <t>Annual report; reporting-status note</t>
  </si>
  <si>
    <t>IFFCO is a multi-state co-operative and is not subject to the listed-entity BRSR mandate; scores are not treated as zero.</t>
  </si>
  <si>
    <t>2026-08-17</t>
  </si>
  <si>
    <t>BRSR Principles 6/7; Sustainability Report climate metrics; pp. 61–64</t>
  </si>
  <si>
    <t>Current-year Scope 1/2 disclosure in BRSR/ESG environmental indicators.</t>
  </si>
  <si>
    <t>Scope 3 disclosure where quantified; otherwise partial/acknowledged treatment reflected in score.</t>
  </si>
  <si>
    <t>Published emissions-intensity targets and/or progress where disclosed.</t>
  </si>
  <si>
    <t>Named climate/energy levers and transition actions in ESG/climate sections.</t>
  </si>
  <si>
    <t>Disclosure of decarbonisation/energy-transition expenditure or project investment where available.</t>
  </si>
  <si>
    <t>CBAM/CCTS/carbon-regulatory exposure discussed where applicable.</t>
  </si>
  <si>
    <t>No disclosed internal carbon price unless explicitly stated.</t>
  </si>
  <si>
    <t>Climate-risk/scenario discussion in risk-management or TCFD/IFRS S2-aligned sections where available.</t>
  </si>
  <si>
    <t>External assurance level stated in BRSR/ESG assurance statement.</t>
  </si>
  <si>
    <t>Workforce, supplier/MSME, skilling or community transition programmes in social/ESG disclosures.</t>
  </si>
  <si>
    <t>BRSR Principle 6 / Essential Indicators; Annexure-2; FY2024-25</t>
  </si>
  <si>
    <t>BRSR Principle 6 and ESG disclosures; FY2024-25</t>
  </si>
  <si>
    <t>ESG Performance / Natural Capital; BRSR Principle 6; pp. 76–77 and BRSR annexure</t>
  </si>
  <si>
    <t>BRSR pp. 268–269; climate/environment sections</t>
  </si>
  <si>
    <t>BRSR pp. 67 onward; Scope 3 and resource-efficiency disclosures</t>
  </si>
  <si>
    <t>BRSR environmental indicators; FY2024-25</t>
  </si>
  <si>
    <t>BRSR environmental indicators; 60-page BRSR</t>
  </si>
  <si>
    <t>BRSR environmental/ESG sections; FY2024-25</t>
  </si>
  <si>
    <t>GHG emissions and climate sections; pp. 228–229; BRSR Core assurance section</t>
  </si>
  <si>
    <t>Sector report table (unverified)</t>
  </si>
  <si>
    <t>No page or quote: score copied from the report table; recode from the filing</t>
  </si>
  <si>
    <t>Agriculture sector report, s.8 table</t>
  </si>
  <si>
    <t>Sector report (not independently recoded)</t>
  </si>
  <si>
    <t>Value transcribed from report scoring matrix; underlying company disclosure not independently verified.</t>
  </si>
  <si>
    <t>not given in the sector report</t>
  </si>
  <si>
    <t>BRSR, annual and sustainability reports (per-firm document not named in the report)</t>
  </si>
  <si>
    <t>Vardhman</t>
  </si>
  <si>
    <t>FY2024-25 annual report, BRSR/climate disclosure and official investor pages (firm-specific documents not named in the report)</t>
  </si>
  <si>
    <t>Coded (2 coders, reconciled)</t>
  </si>
  <si>
    <t>Coded (1 coder, no reliability check)</t>
  </si>
  <si>
    <t>Report scores only (unverified) - recode</t>
  </si>
  <si>
    <t>Out of scope - no BRSR (decide)</t>
  </si>
  <si>
    <t>Coded (1 coder, unverified)</t>
  </si>
  <si>
    <t>NEEDS CODING (report DQS total only)</t>
  </si>
  <si>
    <t>firm</t>
  </si>
  <si>
    <t>issue</t>
  </si>
  <si>
    <t>action / who decides</t>
  </si>
  <si>
    <t>Scores-sheet total 16.0 differs from Coder A total 21.0; Scores are reconciled values</t>
  </si>
  <si>
    <t>Confirm Scores = agreed score; document reconciliation rule</t>
  </si>
  <si>
    <t>Scores-sheet total 17.0 differs from Coder A total 14.0; Scores are reconciled values</t>
  </si>
  <si>
    <t>Scores-sheet total 14.0 differs from Coder A total 11.0; Scores are reconciled values</t>
  </si>
  <si>
    <t>Scores-sheet total 6.0 differs from Coder A total 8.0; Scores are reconciled values</t>
  </si>
  <si>
    <t>Scores-sheet total 5.0 differs from Coder A total 7.0; Scores are reconciled values</t>
  </si>
  <si>
    <t>Jindal Stainless</t>
  </si>
  <si>
    <t>EU_export = 1 taken from coding evidence (I6): ~17% of turnover from exports including the EU; the profile sheet EU column is blank and profile unverified</t>
  </si>
  <si>
    <t>Verify against annual report</t>
  </si>
  <si>
    <t>Kalyani Steels</t>
  </si>
  <si>
    <t>PAT_legacy_entity = 1 taken from coding evidence (I6): discloses being under the PAT/CCTS scheme, PAT cycle 3. No other steel firm has explicit PAT evidence in the workbook, so the others are left blank, not 0</t>
  </si>
  <si>
    <t>Check BEE designated-consumer list for all firms</t>
  </si>
  <si>
    <t>All nine</t>
  </si>
  <si>
    <t>CBAM flag blank in Firm profile (Profile verified = N). Guidelines say steel is CBAM-covered at sector level; firm-level product check not done</t>
  </si>
  <si>
    <t>Set per firm after checking CBAM Annex I products made</t>
  </si>
  <si>
    <t>Cost of debt: source proxy = finance cost / YEAR-END debt. 3.3 requires average borrowings. Opening (FY2024) debt is not in the workbook, so cost_of_debt_proxy is left blank until Support_Variables!C is filled</t>
  </si>
  <si>
    <t>Pull FY2024 borrowings</t>
  </si>
  <si>
    <t>Firm profile says export intensity uses standalone revenue, but the revenue figures equal the Financials sheet (consolidated) figures; Financials FY2025 vs scored FY mixed (some FY2025-26)</t>
  </si>
  <si>
    <t>Verify basis; align reference year</t>
  </si>
  <si>
    <t>size_band rule (Large/Mid) not stated in the workbook; capex (total and decarbonisation) blank for all nine in source</t>
  </si>
  <si>
    <t>Define rule; pull capex</t>
  </si>
  <si>
    <t>Reporting year used is blank for 5 of 9 firms in Firm profile</t>
  </si>
  <si>
    <t>Fill from the filing actually scored</t>
  </si>
  <si>
    <t>ENTITY MISMATCH: NMDC Steel Ltd document not obtained. The 28.80% / 43.82% figures coded earlier belong to NMDC LIMITED (the iron-ore miner), a separate listed company. Do not carry them into this row.</t>
  </si>
  <si>
    <t>Resolve entity before using</t>
  </si>
  <si>
    <t>All seven</t>
  </si>
  <si>
    <t>listed=1 and BRSR_filer=1 are taken from the workbook header ("Integrated Annual Reports (BRSR + Sustainability sections)"); no exchange, ownership, export, CBAM, PAT, or financial data in Annexure A; no second coder</t>
  </si>
  <si>
    <t>Pull from filings/Prowess; add second-coder subset</t>
  </si>
  <si>
    <t>Cement is a CCTS sector; guidelines do not state CBAM coverage for cement, so CBAM_covered_product is blank</t>
  </si>
  <si>
    <t>Check CBAM Annex I coverage per firm</t>
  </si>
  <si>
    <t>Buildings</t>
  </si>
  <si>
    <t>No firm financial workbook (workbook flag 7): ownership, export, CBAM, financials all blank. Do not estimate</t>
  </si>
  <si>
    <t>Pull from Prowess; confirm ownership (NBCC is not stated as listed-private in source)</t>
  </si>
  <si>
    <t>All ten</t>
  </si>
  <si>
    <t>BRSR_filer=1 / listed=1: every firm cites BRSR in its scoring evidence. Evidence and source sit in one text field (no separate page/URL)</t>
  </si>
  <si>
    <t>Split into document / page / quote</t>
  </si>
  <si>
    <t>All nine with data</t>
  </si>
  <si>
    <t>Financials taken from FY 2024-25 rows; several scores are FY 2025-26. ROA recomputed as PAT / year-end assets (source used average assets). Source cost of debt = total P&amp;L finance costs / average gross borrowings (matches 3.3) but includes non-borrowing charges for some firms (workbook flag 2). finance_cost not in source, left blank</t>
  </si>
  <si>
    <t>Align year; add finance cost</t>
  </si>
  <si>
    <t>L&amp;T</t>
  </si>
  <si>
    <t>CBAM = 1 (only firm in sector, steel fabrication/forgings). Export revenue = revenue outside India per segment note</t>
  </si>
  <si>
    <t>Keep; verify</t>
  </si>
  <si>
    <t>Market-to-book</t>
  </si>
  <si>
    <t>L&amp;T and Lodha source P/B does not reconcile with market cap / equity (workbook flag 4); Support_Variables holds the source-panel value as transcribed</t>
  </si>
  <si>
    <t>Recompute before regression use</t>
  </si>
  <si>
    <t>Fertilisers</t>
  </si>
  <si>
    <t>Multi-state cooperative, not subject to the BRSR mandate (source note); scored N/A. Left blank, not 0. DQS Summary labels it "Above/equal median", which is an error for an N/A score</t>
  </si>
  <si>
    <t>FACULTY: exclude, or code on annual report only</t>
  </si>
  <si>
    <t>Sample</t>
  </si>
  <si>
    <t>Workbook has 12 firms incl. GSFC, RCF, Coromandel (not in the RA-brief list); Madras Fertilizers, Madhya Bharat Agro, Krishana Phoschem are absent</t>
  </si>
  <si>
    <t>FACULTY: confirm final fertiliser sample</t>
  </si>
  <si>
    <t>All coded</t>
  </si>
  <si>
    <t>Single coder ("Research coder"); no second coder. listed/BRSR_filer set to 1 only where the source document names BRSR (DCM Shriram, SRF, Coromandel left blank). No ownership, exports, CBAM or financial data in the workbook. Guidelines: fertilisers are CBAM-covered, chlor-alkali is not (SRF, chemicals firms) so CBAM must be set per product</t>
  </si>
  <si>
    <t>Fill from filings</t>
  </si>
  <si>
    <t>Appears in both fertilisers and the brief agriculture list</t>
  </si>
  <si>
    <t>FACULTY: keep in one sector only; agriculture placeholders omit it</t>
  </si>
  <si>
    <t>Textiles</t>
  </si>
  <si>
    <t>All 13</t>
  </si>
  <si>
    <t>Only report-table DQS totals exist (kept in Support_Variables, reference only, NOT in DQS_total). Firm list must be re-verified against the textiles report</t>
  </si>
  <si>
    <t>Recode I1-I10 from FY2024-25 filings</t>
  </si>
  <si>
    <t>All 10</t>
  </si>
  <si>
    <t>No indicator-level workbook in the files provided; report-table only. Jindal Aluminium and Raviraj Foils were screened out in the source report</t>
  </si>
  <si>
    <t>FACULTY: reinstate or not; recode all</t>
  </si>
  <si>
    <t>Transport</t>
  </si>
  <si>
    <t>No indicator-level workbook in the files provided</t>
  </si>
  <si>
    <t>Code from FY2024-25 BRSR</t>
  </si>
  <si>
    <t>Agriculture</t>
  </si>
  <si>
    <t>All 7</t>
  </si>
  <si>
    <t>Comparability problem (global-parent reports for Corteva, Bayer, Cargill; brief section 9.4)</t>
  </si>
  <si>
    <t>FACULTY: resolve before coding</t>
  </si>
  <si>
    <t>All</t>
  </si>
  <si>
    <t>Follows the RA-brief grouping (steel, cement, aluminium, fertilisers, textiles = 1) and is PROVISIONAL, not verified against notified GEI rules</t>
  </si>
  <si>
    <t>Verify; if ambiguous run analysis both ways</t>
  </si>
  <si>
    <t>Excluded files</t>
  </si>
  <si>
    <t>Call_logs.xlsx, Respondent_Log.xlsx, survey/form-response files hold personal data or respondent-level data and were not used in the firm panel; Annexure C/D/E and Cronbach are factor/MDS outputs</t>
  </si>
  <si>
    <t>Keep personal data out of any shared or submitted file</t>
  </si>
  <si>
    <t>Table 8 scores</t>
  </si>
  <si>
    <t>Report notes contradict its own table: downstream firms' I7-I9 are described as "generic assurance/energy disclosure" although I7 = internal carbon price and I9 = assurance; downstream firms score 0 on I6 but 1-3 on I7. BALCO I10 is explained by lack of assurance (I9). Hindalco, Vedanta, NALCO score 30/30</t>
  </si>
  <si>
    <t>All aluminium I1-I10 are orange (unverified): recode from filings</t>
  </si>
  <si>
    <t>Reliability</t>
  </si>
  <si>
    <t>Report Table 9 overlap uses firm totals on 5 firms and a 10-point scale for BALCO; no indicator-level second coder, so kappa cannot be computed</t>
  </si>
  <si>
    <t>Double-code a subset yourself</t>
  </si>
  <si>
    <t>Report: smelters have direct CCTS targets; extruders, foil makers, recyclers only indirect exposure</t>
  </si>
  <si>
    <t>FACULTY: run analysis both ways if ambiguous</t>
  </si>
  <si>
    <t>Financials</t>
  </si>
  <si>
    <t>Report Table 14 gives revenue, PAT, assets, ROA and a cost-of-debt proxy whose definition is not stated (orange). NALCO assets approximate (~22,882); Century is FY2025-26; no data for Vedanta, BALCO, Euro Panel</t>
  </si>
  <si>
    <t>Rebuild from filings</t>
  </si>
  <si>
    <t>Report gives only DQS totals (Fig 8, read off a chart; tie out to its stated average 13.3, range 3-25, median 12). Kept in Support_Variables as reference. Leader rule in report: at or above median 12 (8 leaders); panel uses strictly above</t>
  </si>
  <si>
    <t>Recode I1-I10; ask textiles group for Clean_Shared_Data.xlsx</t>
  </si>
  <si>
    <t>Textiles report says the sector is "only beginning to engage with CCTS"; the agriculture report lists textiles among nine CCTS compliance sectors</t>
  </si>
  <si>
    <t>Verify with BEE notifications</t>
  </si>
  <si>
    <t>Definitions</t>
  </si>
  <si>
    <t>Report uses a 1-4 ordinal cost-of-capital proxy, parsed ROE/ROA and an ordinal export code: none fits 3.3</t>
  </si>
  <si>
    <t>I1-I10</t>
  </si>
  <si>
    <t>All 7 firms score 3 on I1, I3, I4, I5, I8, I10 in the report: implausibly uniform. Corteva, Bayer, Cargill scored from global reports, not India BRSR. Report writes "30/33" (max is 30). Mixed years; no links for PI, Bayer, Marico</t>
  </si>
  <si>
    <t>Recode from FY2024-25 India filings or drop global parents</t>
  </si>
  <si>
    <t>Report scores PI 19 (I1-I10: 3,0,3,3,3,0,0,3,1,3). Fertiliser workbook also totals 19 but only I1 and I7 agree (8 of 10 differ). PI kept in fertilisers only</t>
  </si>
  <si>
    <t>Recode PI from filing; one sector only</t>
  </si>
  <si>
    <t>CCTS facts</t>
  </si>
  <si>
    <t>Report s.5: nine CCTS compliance sectors (aluminium, cement, chlor-alkali, pulp and paper, petroleum refining, petrochemicals, textiles, iron and steel, fertiliser); GEI targets notified for seven (Oct 2025, Jan 2026); steel and fertiliser pending as of ~April 2026; agriculture only in the voluntary offset mechanism. Student report</t>
  </si>
  <si>
    <t>Verify on BEE / Ministry of Power before relying on it</t>
  </si>
  <si>
    <t>Report proxy = finance cost / average borrowings (the 3.3 definition) but includes lease and non-debt items: Delhivery 152%, TCI 46%, VRL 26%, Ashok Leyland 16% are not credible borrowing costs; blank for Maruti Suzuki, Blue Dart, CONCOR. Report test inconclusive (n=7, p=.305)</t>
  </si>
  <si>
    <t>Do not use as regression DV until cleaned</t>
  </si>
  <si>
    <t>CBAM / CCTS</t>
  </si>
  <si>
    <t>CBAM = 0 is sector-level (finished vehicles outside CBAM; proposed 2028 extension covers automotive components). Report CBAM exposure counts are respondent self-reports. Transport outside the nine CCTS sectors</t>
  </si>
  <si>
    <t>Recheck OEMs after 2028 extension</t>
  </si>
  <si>
    <t>Interviews</t>
  </si>
  <si>
    <t>15 interviews (R01-R15, anonymised roster in Appendix C). The report never mentions consent and attaches no files: consent unknown, so no quotation usable until the group supplies a consent log</t>
  </si>
  <si>
    <t>Ask transport group for consent log and transcripts</t>
  </si>
  <si>
    <t>Report says data were "verified 16 August 2026" (the authors' date); date_accessed left blank for your own</t>
  </si>
  <si>
    <t>Record your own date</t>
  </si>
  <si>
    <t>CCTS check (Oct 2026, secondary sources): iron and steel is NOT yet binding. MoEFCC issued a REVISED DRAFT notification G.S.R. 517(E) on 26 Jun 2026 (made public 2 Jul) for 255 units incl. JSW Steel, Tata Steel, SAIL; 60-day objection window; no final notification found. Earlier draft: 23 Jun 2025</t>
  </si>
  <si>
    <t>FACULTY: steel is "expected", not "notified"; keep flag 1 but run the analysis both ways; recheck BEE / MoEFCC for a final notification</t>
  </si>
  <si>
    <t>CCTS check (Oct 2026, secondary sources): fertiliser is one of the nine identified sectors but has NO targets, draft or final, as of Jun 2026. Chlor-alkali (notified Oct 2025) applies only to chlor-alkali units, not to fertiliser plants</t>
  </si>
  <si>
    <t>FACULTY: fertiliser firms are not yet obligated; decide whether to keep 1 (design) or use 0; run both ways</t>
  </si>
  <si>
    <t>CCTS notified sectors</t>
  </si>
  <si>
    <t>Binding GEI targets (490 entities, 7 sectors): aluminium, cement, chlor-alkali, pulp and paper (8 Oct 2025, 282 entities); petroleum refining, petrochemicals, textiles and secondary aluminium (13 Jan 2026, 208 entities, incl. 173 textile units). Buildings, transport and agriculture are in none of the nine sectors (obligated = 0 is supported). Sources are news and law-firm summaries of the notifications, not the Gazette itself</t>
  </si>
  <si>
    <t>Open the Gazette / BEE notices to confirm each firm is on the schedule</t>
  </si>
  <si>
    <t>cost_of_debt_proxy = 52.8% in source (finance costs / average gross borrowings); the numerator includes non-borrowing charges (bank-guarantee commission, advances interest; workbook flag 2). Not a credible borrowing cost</t>
  </si>
  <si>
    <t>Do not use as regression DV without cleaning; check other firms</t>
  </si>
  <si>
    <t>export_orientation</t>
  </si>
  <si>
    <t>Steel workbook High/Low is not a fixed threshold (Tata Steel 3.3% = High, SAIL 0.5% = Low); buildings use &gt;20%. Guidelines give no threshold. Source label kept in Support_Variables col N</t>
  </si>
  <si>
    <t>Instructor: fix one threshold (Assumptions!B2)</t>
  </si>
  <si>
    <t>3.3 categories used: listed private / PSU / foreign / cooperative / unlisted. Cement and fertiliser ownership are not in the source workbooks (blank, yellow)</t>
  </si>
  <si>
    <t>Fill from annual reports</t>
  </si>
  <si>
    <t>leader_laggard</t>
  </si>
  <si>
    <t>Support_Variables computes a within-sector median split (strictly above = Leader), as the buildings workbook did. Guidelines do not say within-sector or pooled</t>
  </si>
  <si>
    <t>Confirm with instructor</t>
  </si>
  <si>
    <t>field</t>
  </si>
  <si>
    <t>example value</t>
  </si>
  <si>
    <t>new value</t>
  </si>
  <si>
    <t>new observation</t>
  </si>
  <si>
    <t>Added</t>
  </si>
  <si>
    <t>Named in sector report but missing from example panel</t>
  </si>
  <si>
    <t>Figure 8 spells the name Vardhman Textiles</t>
  </si>
  <si>
    <t>No firm/unit-level final obligation notification supplied; original sector-based flag retained in Original_Master</t>
  </si>
  <si>
    <t>report/workbook conflict</t>
  </si>
  <si>
    <t>Report Table 15 has a different score, coding coverage, or sample roster; no version presumed authoritative</t>
  </si>
  <si>
    <t>Document review: Steel group/Steel_Sector_Report.pdf; PDF p.6, source note below Table 3</t>
  </si>
  <si>
    <t>Document review: Steel group/Steel_Sector_Report.pdf; PDF p.5, section 2.3</t>
  </si>
  <si>
    <t>Document review: Cement/Cement_Report.pdf; PDF p.5, problem context</t>
  </si>
  <si>
    <t>Document review: Cement/Cement_Report.pdf; PDF pp.7,10; firm sample and Table 2</t>
  </si>
  <si>
    <t>Document review: Cement/Cement_Report.pdf; PDF p.10, Table 1</t>
  </si>
  <si>
    <t>Document review: Building construction group/Consolidated_Firm_Panel_FY24-FY26.xlsx; Consolidated Panel!N4; fiscal year C4</t>
  </si>
  <si>
    <t>Document review: Building construction group/Consolidated_Firm_Panel_FY24-FY26.xlsx; Consolidated Panel!N7; fiscal year C7</t>
  </si>
  <si>
    <t>Document review: Building construction group/Consolidated_Firm_Panel_FY24-FY26.xlsx; Consolidated Panel!N10; fiscal year C10</t>
  </si>
  <si>
    <t>Document review: Building construction group/Consolidated_Firm_Panel_FY24-FY26.xlsx; Consolidated Panel!N13; fiscal year C13</t>
  </si>
  <si>
    <t>Document review: Building construction group/Consolidated_Firm_Panel_FY24-FY26.xlsx; Consolidated Panel!N16; fiscal year C16</t>
  </si>
  <si>
    <t>Document review: Building construction group/Consolidated_Firm_Panel_FY24-FY26.xlsx; Consolidated Panel!N19; fiscal year C19</t>
  </si>
  <si>
    <t>Document review: Building construction group/Consolidated_Firm_Panel_FY24-FY26.xlsx; Consolidated Panel!N22; fiscal year C22</t>
  </si>
  <si>
    <t>Document review: Building construction group/Consolidated_Firm_Panel_FY24-FY26.xlsx; Consolidated Panel!N25; fiscal year C25</t>
  </si>
  <si>
    <t>Document review: Building construction group/Consolidated_Firm_Panel_FY24-FY26.xlsx; Consolidated Panel!N28; fiscal year C28</t>
  </si>
  <si>
    <t>Document review: Building construction group/Consolidated_Firm_Panel_FY24-FY26.xlsx; Consolidated Panel!H5:I5</t>
  </si>
  <si>
    <t>Document review: Building construction group/Consolidated_Firm_Panel_FY24-FY26.xlsx; Consolidated Panel!H20:I20</t>
  </si>
  <si>
    <t>Document review: Building construction group/Consolidated_Firm_Panel_FY24-FY26.xlsx; Consolidated Panel!H23:I23</t>
  </si>
  <si>
    <t>Document review: Building construction group/Consolidated_Firm_Panel_FY24-FY26.xlsx; Consolidated Panel!H26:I26</t>
  </si>
  <si>
    <t>Document review: Building construction group/Consolidated_Firm_Panel_FY24-FY26.xlsx; Consolidated Panel!H29:I29</t>
  </si>
  <si>
    <t>Document review: Building construction group/Climate_Disclosure_Scoring_MASTER_10Firms_v1.xlsx; Master Scoring Log!I47</t>
  </si>
  <si>
    <t>Document review: Building construction group/Climate_Disclosure_Scoring_MASTER_10Firms_v1.xlsx; Master Scoring Log!I47; original filing Section A Q19b p.3</t>
  </si>
  <si>
    <t>Document review: Building construction group/Climate_Disclosure_Scoring_MASTER_10Firms_v1.xlsx; Master Scoring Log!B47</t>
  </si>
  <si>
    <t>Document review: Building construction group/Climate_Disclosure_Scoring_MASTER_10Firms_v1.xlsx; Master Scoring Log!I67</t>
  </si>
  <si>
    <t>Document review: Building construction group/Climate_Disclosure_Scoring_MASTER_10Firms_v1.xlsx; Master Scoring Log!I87</t>
  </si>
  <si>
    <t>Document review: Building construction group/Climate_Disclosure_Scoring_MASTER_10Firms_v1.xlsx; Master Scoring Log!I106</t>
  </si>
  <si>
    <t>Document review: Building construction group/Climate_Disclosure_Scoring_MASTER_10Firms_v1.xlsx; Master Scoring Log!I126</t>
  </si>
  <si>
    <t>Document review: Building construction group/Climate_Disclosure_Scoring_MASTER_10Firms_v1.xlsx; Master Scoring Log!I146</t>
  </si>
  <si>
    <t>Document review: Building construction group/Climate_Disclosure_Scoring_MASTER_10Firms_v1.xlsx; Master Scoring Log!I166</t>
  </si>
  <si>
    <t>Document review: Building construction group/Climate_Disclosure_Scoring_MASTER_10Firms_v1.xlsx; Master Scoring Log!I186</t>
  </si>
  <si>
    <t>Document review: Fertilisers_and_Chemicals_Report.pdf; Fertilisers_and_Chemicals_Report.docx; PDF p.5 / DOCX Table 1</t>
  </si>
  <si>
    <t>Document review: Fertilisers_and_Chemicals_Report.pdf; Fertilisers_and_Chemicals_Report.docx; PDF p.19 / DOCX Table 16</t>
  </si>
  <si>
    <t>Document review: Fertilisers_and_Chemicals_Report.pdf; Fertilisers_and_Chemicals_Report.docx; PDF p.20 / DOCX Table 16</t>
  </si>
  <si>
    <t>Document review: Fertilisers_and_Chemicals_Report.pdf; Fertilisers_and_Chemicals_Report.docx; PDF pp.5,18–20 / DOCX Tables 1,15,16</t>
  </si>
  <si>
    <t>Document review: Fertilisers_and_Chemicals_Report.pdf; Fertilisers_and_Chemicals_Report.docx; PDF pp.5,18,20</t>
  </si>
  <si>
    <t>Added precise document-review reference</t>
  </si>
  <si>
    <t>Document review: Textile/Textile_and_Apparel_Report.pdf; PDF p.10, B1; p.23, Figure 8; p.25, C1</t>
  </si>
  <si>
    <t>Document review: Transport and Logistics/Transport_and_Logistics_Report.pdf; PDF pp.19–20, section 8.9; p.7, section 6.6</t>
  </si>
  <si>
    <t>Document review: Aluminium Group/Aluminium_Report.pdf; PDF p.8, section 2.2 Market Structure</t>
  </si>
  <si>
    <t>All observations</t>
  </si>
  <si>
    <t>Original flags are inherited, not freshly verified.</t>
  </si>
  <si>
    <t>Review Original_Flags; current changes and caveats take precedence.</t>
  </si>
  <si>
    <t>CCTS firm obligations not established</t>
  </si>
  <si>
    <t>Firm/unit legal notification required; current flag cleared.</t>
  </si>
  <si>
    <t>Sector</t>
  </si>
  <si>
    <t>Report Table 15 conflicts with workbook roster and coding coverage</t>
  </si>
  <si>
    <t>Retain both; exclude conflicting observations from default analysis.</t>
  </si>
  <si>
    <t>Company appears in two sector reports with different scoring bases</t>
  </si>
  <si>
    <t>82 observations represent 81 unique company names; deduplicate for firm-level pooled analysis.</t>
  </si>
  <si>
    <t>All nine financial-panel firms</t>
  </si>
  <si>
    <t>DQS repeated across three years is a single measurement</t>
  </si>
  <si>
    <t>Do not treat repeated scores as independent annual disclosures.</t>
  </si>
  <si>
    <t>Ahluwalia, Astral, NCC</t>
  </si>
  <si>
    <t>Borrowing-cost ratios inflated by non-interest charges / small debt</t>
  </si>
  <si>
    <t>Use alternative documented borrowing rates only after checking source definitions.</t>
  </si>
  <si>
    <t>Sector leader labels</t>
  </si>
  <si>
    <t>Median tie convention differs between source sectors</t>
  </si>
  <si>
    <t>New support labels use &gt;= median; retain original labels separately.</t>
  </si>
  <si>
    <t>All eight</t>
  </si>
  <si>
    <t>Narrative mentions maximum 33 although rubric maximum is 30</t>
  </si>
  <si>
    <t>Use sum of ten 0–3 indicators: maximum 30.</t>
  </si>
  <si>
    <t>coder1_I1</t>
  </si>
  <si>
    <t>coder1_I2</t>
  </si>
  <si>
    <t>coder1_I3</t>
  </si>
  <si>
    <t>coder1_I4</t>
  </si>
  <si>
    <t>coder1_I5</t>
  </si>
  <si>
    <t>coder1_I6</t>
  </si>
  <si>
    <t>coder1_I7</t>
  </si>
  <si>
    <t>coder1_I8</t>
  </si>
  <si>
    <t>coder1_I9</t>
  </si>
  <si>
    <t>coder1_I10</t>
  </si>
  <si>
    <t>coder2_I1</t>
  </si>
  <si>
    <t>coder2_I2</t>
  </si>
  <si>
    <t>coder2_I3</t>
  </si>
  <si>
    <t>coder2_I4</t>
  </si>
  <si>
    <t>coder2_I5</t>
  </si>
  <si>
    <t>coder2_I6</t>
  </si>
  <si>
    <t>coder2_I7</t>
  </si>
  <si>
    <t>coder2_I8</t>
  </si>
  <si>
    <t>coder2_I9</t>
  </si>
  <si>
    <t>coder2_I10</t>
  </si>
  <si>
    <t>exact_agree_count</t>
  </si>
  <si>
    <t>firms with supplied pairs</t>
  </si>
  <si>
    <t>valid indicator pairs</t>
  </si>
  <si>
    <t>exact agreement</t>
  </si>
  <si>
    <t>unweighted Cohen kappa</t>
  </si>
  <si>
    <t>Calculated from supplied coder pairs, not a newly conducted reliability study.</t>
  </si>
  <si>
    <t>Company Name</t>
  </si>
  <si>
    <t>Sector / Core Business</t>
  </si>
  <si>
    <t>Fiscal Year</t>
  </si>
  <si>
    <t>Revenue (₹ Cr)</t>
  </si>
  <si>
    <t>ln(Revenue)</t>
  </si>
  <si>
    <t>Firm Size Category</t>
  </si>
  <si>
    <t>Ownership Structure</t>
  </si>
  <si>
    <t>Export Revenue (₹ Cr)</t>
  </si>
  <si>
    <t>Export Share (%)</t>
  </si>
  <si>
    <t>Export Exposure Split</t>
  </si>
  <si>
    <t>CBAM Flag</t>
  </si>
  <si>
    <t>ESG Leader/Laggard</t>
  </si>
  <si>
    <t>Credit Rating</t>
  </si>
  <si>
    <t>Gross Borrowings (₹ Cr)</t>
  </si>
  <si>
    <t>Consolidated PAT (₹ Cr)</t>
  </si>
  <si>
    <t>Total Assets (₹ Cr)</t>
  </si>
  <si>
    <t>Return on Assets (ROA)</t>
  </si>
  <si>
    <t>Effective Cost of Debt (%)</t>
  </si>
  <si>
    <t>Contractual Borrowing Rate</t>
  </si>
  <si>
    <t>Total Equity (₹ Cr)</t>
  </si>
  <si>
    <t>Market Cap (₹ Cr)</t>
  </si>
  <si>
    <t>Market-to-Book (P/B)</t>
  </si>
  <si>
    <t>Green Capex Intensity (%)</t>
  </si>
  <si>
    <t>Disclosure Score (out of 30)</t>
  </si>
  <si>
    <t>ESG Rating</t>
  </si>
  <si>
    <t>source</t>
  </si>
  <si>
    <t>caveat</t>
  </si>
  <si>
    <t>EPC building construction</t>
  </si>
  <si>
    <t>FY 2023-24</t>
  </si>
  <si>
    <t>Listed-private</t>
  </si>
  <si>
    <t>Consolidated_Firm_Panel_FY24-FY26.xlsx; Consolidated Panel</t>
  </si>
  <si>
    <t>DQS is one measurement repeated across years; borrowing cost may include non-interest charges.</t>
  </si>
  <si>
    <t>CARE AA- (Positive) / ICRA AA-</t>
  </si>
  <si>
    <t>Building materials (pipes &amp; adhesives)</t>
  </si>
  <si>
    <t>EPC construction</t>
  </si>
  <si>
    <t>CRISIL AA- (Positive) / India Ratings AA-</t>
  </si>
  <si>
    <t>CRISIL AA (Positive) / ICRA AA (Stable)</t>
  </si>
  <si>
    <t>Ceramics &amp; building materials</t>
  </si>
  <si>
    <t>Diversified conglomerate / EPC</t>
  </si>
  <si>
    <t>Real estate</t>
  </si>
  <si>
    <t>ICRA AA+ / CRISIL AA+</t>
  </si>
  <si>
    <t>CRISIL AA+ / ICRA AA+</t>
  </si>
  <si>
    <t>ICRA AA- (Stable)</t>
  </si>
  <si>
    <t>ICRA AA (Positive) / CRISIL AA</t>
  </si>
  <si>
    <t>Real estate (residential + industrial clusters)</t>
  </si>
  <si>
    <t>variable / issue</t>
  </si>
  <si>
    <t>source definition</t>
  </si>
  <si>
    <t>source reference</t>
  </si>
  <si>
    <t>Variable definitions, sources and data-quality flags</t>
  </si>
  <si>
    <t>Colour key — Blue text: value transcribed from a source workbook (hardcoded input). Black text: live formula. Yellow fill: derived value or assumption (details in Flags below).</t>
  </si>
  <si>
    <t>Column</t>
  </si>
  <si>
    <t>Definition / formula in this workbook</t>
  </si>
  <si>
    <t>Source</t>
  </si>
  <si>
    <t>Company Name / Sector</t>
  </si>
  <si>
    <t>As classified in the group's disclosure-scoring master.</t>
  </si>
  <si>
    <t>Climate_Disclosure_Scoring_MASTER_10Firms_v1.xlsx, Master Scoring Log</t>
  </si>
  <si>
    <t>FY 2023-24, FY 2024-25, FY 2025-26 (April–March), matching the three-year firm workbooks.</t>
  </si>
  <si>
    <t>Firm financial workbooks</t>
  </si>
  <si>
    <t>Consolidated revenue from operations.</t>
  </si>
  <si>
    <t>Firm workbook — Summary sheet (Consolidated P&amp;L)</t>
  </si>
  <si>
    <t>Live formula: LN(Revenue).</t>
  </si>
  <si>
    <t>Computed</t>
  </si>
  <si>
    <t>Live formula: IF(Revenue&gt;250,"Large","Mid") — the &gt;₹250 Cr rule used in the firm workbooks.</t>
  </si>
  <si>
    <t>Computed (rule from firm workbooks)</t>
  </si>
  <si>
    <t>Corporate-governance classification; all nine firms are listed private-sector companies.</t>
  </si>
  <si>
    <t>Firm workbook — Summary sheet</t>
  </si>
  <si>
    <t>Revenue outside India per geographical-segment note.</t>
  </si>
  <si>
    <t>Firm workbook — Summary sheet (segment notes)</t>
  </si>
  <si>
    <t>Live formula: Export Revenue ÷ Revenue.</t>
  </si>
  <si>
    <t>Live formula: IF(Export Share&gt;20%,"High","Low") — prescribed common-variable threshold.</t>
  </si>
  <si>
    <t>Computed (course protocol)</t>
  </si>
  <si>
    <t>1 if the firm makes CBAM Annex I goods (Reg. EU 2023/956), else 0. Only L&amp;T = 1 (steel fabrication, heavy forgings).</t>
  </si>
  <si>
    <t>Live formula: IF(DQS &gt; median DQS, "Leader", "Laggard") — median split on the final Disclosure Quality Score (median = 18); firms strictly above the median are Leaders.</t>
  </si>
  <si>
    <t>Computed (course protocol: median split on DQS)</t>
  </si>
  <si>
    <t>Long-term bank-facility / debenture rating(s) as compiled in the firm workbook for that year.</t>
  </si>
  <si>
    <t>Firm workbook — Summary sheet (rating rationales)</t>
  </si>
  <si>
    <t>Year-end total gross borrowings (non-current + current + current maturities), Ind AS balance sheet.</t>
  </si>
  <si>
    <t>Firm workbook — Cost_of_Debt_Calculation</t>
  </si>
  <si>
    <t>Total consolidated profit after tax (including NCI share).</t>
  </si>
  <si>
    <t>Firm workbook — ROA_Valuation_Calculations</t>
  </si>
  <si>
    <t>Year-end consolidated total assets.</t>
  </si>
  <si>
    <t>Live formula: PAT ÷ year-end Total Assets. NOTE: source workbooks used average assets — see Flag 1.</t>
  </si>
  <si>
    <t>Total P&amp;L finance costs ÷ average gross borrowings, as computed in each firm workbook. Transcribed. See Flag 2 before using as a regression DV.</t>
  </si>
  <si>
    <t>Disclosed contractual / capitalisation weighted-average borrowing rate from the borrowings notes. For Godrej and L&amp;T this is the disclosed capitalisation rate. Ahluwalia &amp; NCC: derived — see Flag 3.</t>
  </si>
  <si>
    <t>Year-end total consolidated equity including NCI (DLF: owners' equity — see Flag 8).</t>
  </si>
  <si>
    <t>Year-end (31 March) share price × shares outstanding, as computed in the firm workbook.</t>
  </si>
  <si>
    <t>Live formula: Market Cap ÷ Total Equity. See Flag 4 (L&amp;T, Lodha).</t>
  </si>
  <si>
    <t>Disclosed decarbonisation / green capex ÷ total capex, as estimated in the firm workbooks from BRSR Principle 6.</t>
  </si>
  <si>
    <t>Final reconciled DQS (sum of rubric indicators I1–I10, each 0–3). Firm-level, scored once on the FY shown in the reference sheet; repeated across the firm's three rows. R1/R2 coder scores on the reference sheet.</t>
  </si>
  <si>
    <t>Climate_Disclosure_Scoring_MASTER_10Firms_v1.xlsx, Final Score</t>
  </si>
  <si>
    <t>CRISIL ESG score (0–100) by vintage: 2023 vintage → FY 2023-24 row, 2024 vintage → FY 2024-25, latest live rating → FY 2025-26. Approximate alignment — vintages are publication-dated (May 2024–Aug 2026). SES values on the reference sheet.</t>
  </si>
  <si>
    <t>ESG_Ratings_Three_Year_Trend_Official_Sources.docx</t>
  </si>
  <si>
    <t>DATA-QUALITY FLAGS</t>
  </si>
  <si>
    <t>1. ROA is recomputed here as PAT ÷ year-end total assets (single-column reproducibility). Source workbooks used average assets, so values differ modestly. This also corrects Astral's summary-sheet ROA, which carried a units error (stated 1.15%/1.09%/0.98%; its own PAT and assets imply ~12.1%/10.3%/9.2%).</t>
  </si>
  <si>
    <t>2. Effective Cost of Debt is transcribed as computed in the source workbooks (total P&amp;L finance costs ÷ average gross borrowings). The numerator includes non-borrowing charges (bank-guarantee commission, mobilisation-advance interest, LC charges, FX). For firms with near-zero borrowings the ratio is a small-denominator artifact — Ahluwalia 149–202%, NCC 30–61%, Astral 32–43% — and should not be used raw as the cost-of-capital DV. Use the Contractual Borrowing Rate (or winsorise / use pure borrowing interest ÷ avg debt) for the regression.</t>
  </si>
  <si>
    <t>3. Contractual Borrowing Rate for Ahluwalia and NCC (yellow cells) is DERIVED: midpoint of the disclosed term-loan interest-rate range in the borrowings note (Ahluwalia Note 23: 8.40–9.00% / 8.50–9.00%; NCC Note 19.2: 7.05–10.63% / 7.05–10.50% / 5.84–10.50%), because neither workbook computed a single contractual rate. NCC's working-capital book carries higher disclosed ranges (8.00–11.50%), so the derived figure may understate NCC slightly.</t>
  </si>
  <si>
    <t>4. Market-to-Book is a live formula (Market Cap ÷ Total Equity). For L&amp;T and Lodha the source summary P/B values (3.82/3.20/2.95 and 4.18/4.40/4.45) do NOT reconcile with the same workbooks' own market cap and equity figures; the formula values here (≈4.68/3.95/3.70 and ≈6.13/5.81/5.44) are consistent with the underlying data. Worth re-checking in the source workbooks.</t>
  </si>
  <si>
    <t>5. ESG Leader/Laggard is a live median split on the final DQS (median = 18; strictly above → Leader), per the course protocol. The nine source workbooks label every firm 'Leader', which a median split cannot produce, so those labels were not used. Leaders: L&amp;T (24), Mahindra Lifespace (23), Godrej (21), Lodha (20). The same four firms are Leaders under a median split on the latest CRISIL ESG score (median = 57) — the classification is robust across both prescribed operationalisations. DLF and NCC sit exactly at the DQS median (18) and are classified Laggard under the strict-above rule.</t>
  </si>
  <si>
    <t>6. DLF FY 2025-26 Contractual Borrowing Rate is blank: non-current borrowings are nil and no rate is disclosed (residual current borrowings ₹44.95 Cr). The source workbook's 0% entry was not carried over — a 0% cost-of-debt observation would be a data error.</t>
  </si>
  <si>
    <t>7. NBCC (India) Ltd was scored in the disclosure exercise (final DQS 13) but has no firm financial workbook and is excluded from this panel. Its inclusion would not change the DQS median (still 18).</t>
  </si>
  <si>
    <t>8. DLF Total Equity is equity attributable to owners (the workbook reports no including-NCI figure; NCI is immaterial — FY26 NCI PAT is nil).</t>
  </si>
  <si>
    <t>9. L&amp;T FY 2025-26 Gross Borrowings = Ind AS balance-sheet borrowings ₹1,21,683 Cr, excluding ₹17,776 Cr of borrowings reclassified to a disposal group held for sale.</t>
  </si>
  <si>
    <t>10. Percentage columns are stored as fractions and formatted as %. Fiscal years are April–March. All monetary figures in ₹ Crore as converted in the source workbooks (lakhs ÷ 100; millions ÷ 10).</t>
  </si>
  <si>
    <t>reporting FY</t>
  </si>
  <si>
    <t>revenue ₹cr</t>
  </si>
  <si>
    <t>total assets ₹cr</t>
  </si>
  <si>
    <t>PAT ₹cr</t>
  </si>
  <si>
    <t>total debt ₹cr</t>
  </si>
  <si>
    <t>finance cost ₹cr</t>
  </si>
  <si>
    <t>reported borrowing-cost ratio</t>
  </si>
  <si>
    <t>basis / limitation</t>
  </si>
  <si>
    <t>page / section</t>
  </si>
  <si>
    <t>Adjusted profit 856 (adjusted for one-time deferred-tax credit 239); net debt 1767. Neither is unadjusted PAT/gross debt.</t>
  </si>
  <si>
    <t>Standalone PAT 169.7; consolidated PAT 211.5 is separately mentioned. Do not mix bases.</t>
  </si>
  <si>
    <t>Basis not fully specified in report table.</t>
  </si>
  <si>
    <t>CRISIL A+/Stable; ICRA A+ negative watch stated in report.</t>
  </si>
  <si>
    <t>Report states market cap 89730; book value 13264; market/book 6.76.</t>
  </si>
  <si>
    <t>Finance cost / average borrowings; Delhivery lease-distorted outlier; not a pure interest rate.</t>
  </si>
  <si>
    <t>coverage stated in report</t>
  </si>
  <si>
    <t>finding</t>
  </si>
  <si>
    <t>limitation</t>
  </si>
  <si>
    <t>report</t>
  </si>
  <si>
    <t>locator</t>
  </si>
  <si>
    <t>9 disclosure-scored firms; 72 survey respondents</t>
  </si>
  <si>
    <t>Strategic commitment and firm size dominate; all nine score zero on disclosed internal carbon pricing.</t>
  </si>
  <si>
    <t>Green capex comparability missing; firm-level financing models small and confounded by size.</t>
  </si>
  <si>
    <t>7 scored firms; single-coder disclosure analysis</t>
  </si>
  <si>
    <t>DQS ranges 21–29; JK Cement leads; internal carbon pricing is a major divider.</t>
  </si>
  <si>
    <t>No supplied independent second-coder check; survey readiness and disclosure are different samples.</t>
  </si>
  <si>
    <t>10 scored firms</t>
  </si>
  <si>
    <t>Primary producers score 17–30; downstream firms 7–10.</t>
  </si>
  <si>
    <t>Underlying scoring source not supplied; report notes provisional foundation and no genuine indicator-level second coder.</t>
  </si>
  <si>
    <t>Report: 12 firms, 30 respondents; only 4 fully disclosure-scored</t>
  </si>
  <si>
    <t>Report complete DQS values: Chambal 12, Mangalore 10, SPIC 6, Khaitan 4.</t>
  </si>
  <si>
    <t>Supporting spreadsheet has a different 12-firm roster and eleven complete scores. Resolve version before pooling.</t>
  </si>
  <si>
    <t>13 disclosure totals; 78 survey responses</t>
  </si>
  <si>
    <t>DQS spans 3–25; export/buyer requirements are a principal driver.</t>
  </si>
  <si>
    <t>Clean_Shared_Data.xlsx named in report is absent from ZIP; indicator matrix cannot be reconstructed from totals.</t>
  </si>
  <si>
    <t>10 disclosure-scored firms; financial panel 9 firms × 3 FY</t>
  </si>
  <si>
    <t>Disclosure and borrowing-cost relationship weakens at the correct nine-firm level.</t>
  </si>
  <si>
    <t>Repeated DQS is not annual remeasurement. Finance-cost ratios may be denominator artifacts.</t>
  </si>
  <si>
    <t>10 disclosure totals; 67 survey respondents across 9 companies</t>
  </si>
  <si>
    <t>Adani Ports 24 leads; financing-cost association is directional and inconclusive.</t>
  </si>
  <si>
    <t>Indicator-level coding workbook absent. Lease distortion affects Delhivery. Survey and disclosure samples differ.</t>
  </si>
  <si>
    <t>8 scored observations</t>
  </si>
  <si>
    <t>PI Industries 19 trails the reported 27–30 scores of the other seven.</t>
  </si>
  <si>
    <t>Primary company disclosure basis and FY unclear; report prose incorrectly uses denominator 33. PI also appears in fertilisers.</t>
  </si>
  <si>
    <t>relative path in uploaded ZIP</t>
  </si>
  <si>
    <t>type</t>
  </si>
  <si>
    <t>bytes</t>
  </si>
  <si>
    <t>SHA256</t>
  </si>
  <si>
    <t>identical earlier copy</t>
  </si>
  <si>
    <t>handling</t>
  </si>
  <si>
    <t>Agriculture group/Agriculture_and_Agrofoods_Report.pdf</t>
  </si>
  <si>
    <t>.pdf</t>
  </si>
  <si>
    <t>829e19ae6784b5710e7efb5dee0e6c8387c8f0d2df66e41c5c519c36c2e2502c</t>
  </si>
  <si>
    <t>Supporting document; read as evidence, not executed</t>
  </si>
  <si>
    <t>Aluminium Group/Aluminium_Report.pdf</t>
  </si>
  <si>
    <t>66905dd1862ea9a7d42fa5d75653d3c6c2a7894ea815d787ba025bc034c83b43</t>
  </si>
  <si>
    <t>Aluminium Group/Call_logs.xlsx</t>
  </si>
  <si>
    <t>.xlsx</t>
  </si>
  <si>
    <t>3bd9a841c6b02253108fbcad743a1f6d8bcd2562fab7f7c8d4ffa461d0a5ac8a</t>
  </si>
  <si>
    <t>Aluminium Group/Compiled_Interview_Transcripts.docx</t>
  </si>
  <si>
    <t>.docx</t>
  </si>
  <si>
    <t>ab53a849765c13495aa69258f711769f2721d9aef80fdff63311e749ec46608a</t>
  </si>
  <si>
    <t>Building construction group/Appendices_A_to_G.pdf</t>
  </si>
  <si>
    <t>46a43c0c332c9c69e4289ffc011e19db4dd286ffc5e36be59ec1f0610f550134</t>
  </si>
  <si>
    <t>Building construction group/Buildings_and_Construction_Report.pdf</t>
  </si>
  <si>
    <t>c1c4bca09ff71b0811679db4ce1b295921ff656ad4f4f8627880f66ecd1df594</t>
  </si>
  <si>
    <t>Building construction group/Climate_Disclosure_Scoring_MASTER_10Firms_v1.xlsx</t>
  </si>
  <si>
    <t>57391e30f5f8bb80233edba74f8693f5b83ad13e21b5efc8effadde233699b84</t>
  </si>
  <si>
    <t>Building construction group/Consolidated_Firm_Panel_FY24-FY26.xlsx</t>
  </si>
  <si>
    <t>546a6c48772be45209c69e57c00a06db5b8c381838124f59db0b5bc673483a61</t>
  </si>
  <si>
    <t>Building construction group/In Depth Interview Transcript.pdf</t>
  </si>
  <si>
    <t>f9d284460a063eeb02c22e201cf98c7ac3b36997b2a3ebad76029f162a1dde8e</t>
  </si>
  <si>
    <t>Building construction group/Survey Responses updated.xlsx</t>
  </si>
  <si>
    <t>c911526e93a2cd4ab3f89925605359abf9f87f7efcda131bdb536d31a752504f</t>
  </si>
  <si>
    <t>Cement/Annexure A.xlsx</t>
  </si>
  <si>
    <t>afe0a99529381ea112fb02af3e1c52cdb591853444f32e73f82edad01fc23dba</t>
  </si>
  <si>
    <t>Cement/Annexure B.docx</t>
  </si>
  <si>
    <t>60c5a7e8257623bd01e201c97cf3129369f1a2ca973f19c0a7fb1a487c7db912</t>
  </si>
  <si>
    <t>Cement/Annexure C.xlsx</t>
  </si>
  <si>
    <t>7f9b9d89899ebc0d3f0f333a326a8c70142fd2a1d66c4732f1de6fb298ed8833</t>
  </si>
  <si>
    <t>Cement/Annexure D.xlsx</t>
  </si>
  <si>
    <t>41b6eff85954e9efa4a229907fef8e1f4d391d3d91d7e01791ea857d9aa43e4f</t>
  </si>
  <si>
    <t>Cement/Annexure E.xlsx</t>
  </si>
  <si>
    <t>bfb027a2d1ad3e9423794ef3d56b7b8f63418300dc4fa2a2b6495b29809b99de</t>
  </si>
  <si>
    <t>Cement/Cement_Report.pdf</t>
  </si>
  <si>
    <t>3a86fb191d591d00f30f59fbf1aea011e0097cd16b3d21ee6f3f73b49445ec30</t>
  </si>
  <si>
    <t>Fertilizers and Chemicals Group/Fertilisers_and_Chemicals_Report.docx</t>
  </si>
  <si>
    <t>b24283ad32afef59b33b1e841ab8089eedb3640140440c47a0c5c9eb2d688481</t>
  </si>
  <si>
    <t>Fertilizers and Chemicals Group/Fertilisers_and_Chemicals_Report.pdf</t>
  </si>
  <si>
    <t>173442966e7040d927b0a26bcd2da75930eb12d1d5e9e8f68400f7ff5d9b3cdf</t>
  </si>
  <si>
    <t>Fertilizers and Chemicals Group/Supporting material/Disclosure_Coding_Sheet.xlsx</t>
  </si>
  <si>
    <t>16949a6d1def1bf81721e27d7fd43bc154ee368bb87ba6a91921a8427b939713</t>
  </si>
  <si>
    <t>Fertilizers and Chemicals Group/Supporting material/Fertilisers_and_Chemicals_Report.docx</t>
  </si>
  <si>
    <t>Fertilizers and Chemicals Group/Supporting material/Fertilisers_and_Chemicals_Report.pdf</t>
  </si>
  <si>
    <t>Fertilizers and Chemicals Group/Supporting material/Primary Interview Transcripts.docx</t>
  </si>
  <si>
    <t>9cac374519f513f99ffd3283e2f5e3c675e364eba2cf5448836111d57ad76198</t>
  </si>
  <si>
    <t>Fertilizers and Chemicals Group/Supporting material/Respondent_Log.xlsx</t>
  </si>
  <si>
    <t>2c102157e6fe888090d7e5e6ba73469b76f8f502f80714be1016a2cdede219f9</t>
  </si>
  <si>
    <t>Fertilizers and Chemicals Group/Supporting material/Shared Survey Form.pdf</t>
  </si>
  <si>
    <t>fca9335fdf496fb6af83d7a40ce9aa3c28bd724f94c1e8eb8ffbd7df2d75b375</t>
  </si>
  <si>
    <t>Fertilizers and Chemicals Group/Supporting material/Survey_Responses.xlsx</t>
  </si>
  <si>
    <t>ef93be232f7689ff53c2443aab30eea99bd1b8ddba151fbca1e49806da668b97</t>
  </si>
  <si>
    <t>Steel group/Steel_Sector_Report.pdf</t>
  </si>
  <si>
    <t>891a82f5c180cfc8365c4b6e2b1c817c0547c9199946ab9bfd2d64dc2df79bf5</t>
  </si>
  <si>
    <t>Steel group/data/ANOVA - Section 5.spv.zip</t>
  </si>
  <si>
    <t>.zip</t>
  </si>
  <si>
    <t>e51cec4ff5871af41b240c7e0cf58852890e19cdc1077d3cfa85db7ea7e21e55</t>
  </si>
  <si>
    <t>Steel group/data/ANOVA OUTPUT.docx</t>
  </si>
  <si>
    <t>1d69076ea6ff6b70acb55f4fca0c7f617ac1f8a24b24060597b123b926c9b506</t>
  </si>
  <si>
    <t>Steel group/data/CONJOINT ANALYSIS.docx</t>
  </si>
  <si>
    <t>3be911855d371ee70041c23db056e7ef2908b6da72d64c8be06d9f31f46e747f</t>
  </si>
  <si>
    <t>Steel group/data/Conjoint Analysis Output.spv.zip</t>
  </si>
  <si>
    <t>b096548439b36a0aed62cc555903ceba420c6a190c52a498e09dbfea9c166dd3</t>
  </si>
  <si>
    <t>Steel group/data/Cronbach Alpha Calculation.xlsx</t>
  </si>
  <si>
    <t>3ce68e65879f9fedabd7bbf6d47fb9fecb9ab015a987dc5bb4625435c5e96bb7</t>
  </si>
  <si>
    <t>Steel group/data/DQS- excel.xlsx</t>
  </si>
  <si>
    <t>72f6e25dc8aef3e8fec418efd411292b82e5779b862e4b3fbc2b9ff48524a41a</t>
  </si>
  <si>
    <t>Steel group/data/MDS OUTPUT.docx</t>
  </si>
  <si>
    <t>35dbfcf0223e416780a5262a8beb5243953948f4b7e809e4412cbb13b88fc59f</t>
  </si>
  <si>
    <t>Steel group/data/MDS_analysis.sps</t>
  </si>
  <si>
    <t>.sps</t>
  </si>
  <si>
    <t>06ab6ff32608e0d95919bb0e6288c7ed331f4df0ef13d8a58a7ed444502719c5</t>
  </si>
  <si>
    <t>Steel group/data/RMSM Form Responses.xlsx</t>
  </si>
  <si>
    <t>e3c8b4911f32ef71f7e2e7151c39d258d48693e358d84795f401b87624c8b408</t>
  </si>
  <si>
    <t>Steel group/data/Transcipts_RMSM/Indian Steel Decarbonization Transition Transcript - Pradip.txt</t>
  </si>
  <si>
    <t>.txt</t>
  </si>
  <si>
    <t>c628ceb1bf0f39121deb00bd5772b79e71d6d344e9bbd0d49326a05ab1b95cd2</t>
  </si>
  <si>
    <t>Steel group/data/Transcipts_RMSM/Invitation_ Transition Readiness of Ind_ Transcript - prashant dash.txt</t>
  </si>
  <si>
    <t>e0b38f6cf14536f24cdcda016458d6e2de7832b2aea09f38ed9d3b76308e4f19</t>
  </si>
  <si>
    <t>Steel group/data/Transcipts_RMSM/Transition Readiness of Indian Steel In_ Transcript  - Harshanth.txt</t>
  </si>
  <si>
    <t>065ad0c0b488d3356d0d0e50463ab24bdc854ff15a848c0de9d38fc5e1d4049c</t>
  </si>
  <si>
    <t>Steel group/data/Transcipts_RMSM/Transition Readiness of Indian Steel Se_ Transcript- Dibyendu Das.txt</t>
  </si>
  <si>
    <t>228e5ef0a3e2892b3eaf4953918f10fd70dce9131a9beb0e43fa6a9d9cda9f69</t>
  </si>
  <si>
    <t>Steel group/data/Transcipts_RMSM/Transition readiness of the Indian Stee_ Transcript - APOORVA GUPTA.txt</t>
  </si>
  <si>
    <t>9954efa4c6517bd35d1e9913ece791a993da7061e72d331b42e3f251c4d36050</t>
  </si>
  <si>
    <t>Steel group/data/Transcipts_RMSM.zip</t>
  </si>
  <si>
    <t>2ee2f1621503e33b7cfcb66c58bd37117704ebbf9d878e1c845cff449d452ce2</t>
  </si>
  <si>
    <t>ebcc55c8a691a5d136505d33a48625ce740b2098a15cb310f67397d76c897a45</t>
  </si>
  <si>
    <t>45ff6ede9e575426029f55a126b33bc262e5aedc0a545ebf9caffc33f84e3a91</t>
  </si>
  <si>
    <t>Excel column</t>
  </si>
  <si>
    <t>variable</t>
  </si>
  <si>
    <t>definition / caution</t>
  </si>
  <si>
    <t>unit</t>
  </si>
  <si>
    <t>A</t>
  </si>
  <si>
    <t>Firm name as transcribed; aliases may need legal-entity matching.</t>
  </si>
  <si>
    <t>See definition</t>
  </si>
  <si>
    <t>B</t>
  </si>
  <si>
    <t>Sector-report observation. A company may appear in two sectors.</t>
  </si>
  <si>
    <t>C</t>
  </si>
  <si>
    <t>1/0 only with firm/unit-level final legal evidence; left blank here.</t>
  </si>
  <si>
    <t>D</t>
  </si>
  <si>
    <t>Inherited example flag, not an independent exchange verification.</t>
  </si>
  <si>
    <t>E</t>
  </si>
  <si>
    <t>Inherited label; NSE or BSE does not specify which exchange.</t>
  </si>
  <si>
    <t>F</t>
  </si>
  <si>
    <t>Inherited ownership classification.</t>
  </si>
  <si>
    <t>G</t>
  </si>
  <si>
    <t>Inherited example flag; absence of filing is not a zero DQS.</t>
  </si>
  <si>
    <t>H</t>
  </si>
  <si>
    <t>Scope 1 and 2 emissions; 0 = Not disclosed | 1 = Qualitative mention only | 2 = Current-year figures disclosed | 3 = Multi-year figures with methodology or boundary stated</t>
  </si>
  <si>
    <t>0–3</t>
  </si>
  <si>
    <t>I</t>
  </si>
  <si>
    <t>Scope 3 emissions; 0 = Not disclosed | 1 = Acknowledged as relevant, not quantified | 2 = Partial categories quantified | 3 = Material categories quantified with method</t>
  </si>
  <si>
    <t>J</t>
  </si>
  <si>
    <t>Emission-intensity target; 0 = None | 1 = Aspirational statement, no year | 2 = Target with base year and target year | 3 = Target plus interim milestones plus progress reported</t>
  </si>
  <si>
    <t>K</t>
  </si>
  <si>
    <t>Transition plan; 0 = None | 1 = Generic intent stated | 2 = Plan with named levers or actions | 3 = Plan with quantified levers, timelines and capex</t>
  </si>
  <si>
    <t>L</t>
  </si>
  <si>
    <t>Decarbonisation capex; 0 = Not disclosed | 1 = Mentioned without amounts | 2 = Amount or share disclosed | 3 = Multi-year committed amounts with allocation</t>
  </si>
  <si>
    <t>M</t>
  </si>
  <si>
    <t>Carbon-pricing / CBAM exposure; 0 = Not addressed | 1 = Generic regulatory-risk mention | 2 = CCTS or CBAM named as relevant | 3 = Quantified exposure or pass-through analysis</t>
  </si>
  <si>
    <t>N</t>
  </si>
  <si>
    <t>Internal carbon price; 0 = Not used or not disclosed | 1 = Considering it | 2 = In use, price not stated | 3 = In use with stated price and application</t>
  </si>
  <si>
    <t>O</t>
  </si>
  <si>
    <t>Climate-risk scenario analysis; 0 = None | 1 = Risks listed, no scenarios | 2 = Qualitative scenario narrative | 3 = Quantified scenario analysis (IFRS S2 or TCFD style)</t>
  </si>
  <si>
    <t>P</t>
  </si>
  <si>
    <t>Assurance of ESG / BRSR data; 0 = None | 1 = Internal review only | 2 = Limited external assurance | 3 = Reasonable assurance on BRSR Core indicators</t>
  </si>
  <si>
    <t>Q</t>
  </si>
  <si>
    <t>Just transition / workforce and MSME; 0 = Not addressed | 1 = Generic CSR mention | 2 = Specific workforce or supplier programme | 3 = Quantified reskilling or supplier decarbonisation outcomes</t>
  </si>
  <si>
    <t>R</t>
  </si>
  <si>
    <t>SUM(I1:I10) only when all ten numeric; 0–30.</t>
  </si>
  <si>
    <t>S</t>
  </si>
  <si>
    <t>DQS_total / 30 × 100; numeric 0–100, not a fraction.</t>
  </si>
  <si>
    <t>T</t>
  </si>
  <si>
    <t>I1 + I2 + I3 + I5; maximum 12; only complete four-item inputs.</t>
  </si>
  <si>
    <t>U</t>
  </si>
  <si>
    <t>I4 + I6 + I7 + I8; maximum 12; only complete four-item inputs.</t>
  </si>
  <si>
    <t>V</t>
  </si>
  <si>
    <t>I9 + I10; maximum 6.</t>
  </si>
  <si>
    <t>W</t>
  </si>
  <si>
    <t>Fiscal year of disclosure scoring; unknown remains blank.</t>
  </si>
  <si>
    <t>X</t>
  </si>
  <si>
    <t>Transcribed input/provenance from example or source; check Evidence_Log and Source_Index.</t>
  </si>
  <si>
    <t>Y</t>
  </si>
  <si>
    <t>Z</t>
  </si>
  <si>
    <t>Final DQS only where paired-coder reconciliation is documented in supplied workbook.</t>
  </si>
  <si>
    <t>AA</t>
  </si>
  <si>
    <t>AB</t>
  </si>
  <si>
    <t>Export revenue / total revenue, fraction; source numerator/denominator bases may differ.</t>
  </si>
  <si>
    <t>fraction</t>
  </si>
  <si>
    <t>1/0/unknown; no inference from overall export activity.</t>
  </si>
  <si>
    <t>AD</t>
  </si>
  <si>
    <t>AE</t>
  </si>
  <si>
    <t>₹ crore</t>
  </si>
  <si>
    <t>AF</t>
  </si>
  <si>
    <t>AG</t>
  </si>
  <si>
    <t>AH</t>
  </si>
  <si>
    <t>PAT / year-end total assets; missing if denominator missing or nonpositive.</t>
  </si>
  <si>
    <t>AI</t>
  </si>
  <si>
    <t>AJ</t>
  </si>
  <si>
    <t>AK</t>
  </si>
  <si>
    <t>Source value where supplied; steel example used average debt but prior-year debt missing. Do not substitute year-end debt silently.</t>
  </si>
  <si>
    <t>AL</t>
  </si>
  <si>
    <t>AM</t>
  </si>
  <si>
    <t>AN</t>
  </si>
  <si>
    <t>AO</t>
  </si>
  <si>
    <t>Year of financial data; may differ from scoring FY.</t>
  </si>
  <si>
    <t>AP</t>
  </si>
  <si>
    <t>AQ</t>
  </si>
  <si>
    <t>AR</t>
  </si>
  <si>
    <t>AS</t>
  </si>
  <si>
    <t>Unique row identifier; not a legal company ID.</t>
  </si>
  <si>
    <t>AT</t>
  </si>
  <si>
    <t>AU</t>
  </si>
  <si>
    <t>Separate total stated in the sector report; never reverse-engineered into ten indicators.</t>
  </si>
  <si>
    <t>AV</t>
  </si>
  <si>
    <t>AW</t>
  </si>
  <si>
    <t>AX</t>
  </si>
  <si>
    <t>Yes for known report/workbook total, coverage or roster conflict.</t>
  </si>
  <si>
    <t>AY</t>
  </si>
  <si>
    <t>Default Yes only for complete workbook-coded observations without a known report conflict; editable. Khaitan is excluded for its block-level conflict.</t>
  </si>
  <si>
    <t>AZ</t>
  </si>
  <si>
    <t>Inherited data status, not a primary-source verification claim.</t>
  </si>
  <si>
    <t>BA</t>
  </si>
  <si>
    <t>Warns of company appearing in multiple sector reports.</t>
  </si>
  <si>
    <t>BB</t>
  </si>
  <si>
    <t>COUNT(I1:I10); numeric zeros count as coded.</t>
  </si>
  <si>
    <t>BC</t>
  </si>
  <si>
    <t>Calculated DQS minus separately reported total; blank if either unavailable.</t>
  </si>
  <si>
    <t>BD</t>
  </si>
  <si>
    <t>BE</t>
  </si>
  <si>
    <t>Whether report supplies a usable company source hyperlink; wrong or missing links are not invented.</t>
  </si>
  <si>
    <t>BF</t>
  </si>
  <si>
    <t>Generic exposure flag stated in sector report/profile. Not equivalent to CBAM product classification or EU legal liability.</t>
  </si>
  <si>
    <t>BG</t>
  </si>
  <si>
    <t>Self-reported/report-described exposure; not a final legal obligation determination.</t>
  </si>
  <si>
    <t>BH</t>
  </si>
  <si>
    <t>Number of units mentioned in sector report; secondary source claim, not verified against legal notification.</t>
  </si>
  <si>
    <t>BI</t>
  </si>
  <si>
    <t>Count stated in sector report; may conflict with workbook count.</t>
  </si>
  <si>
    <t>BJ</t>
  </si>
  <si>
    <t>Profit measure adjusted as described in report; not unadjusted PAT.</t>
  </si>
  <si>
    <t>BK</t>
  </si>
  <si>
    <t>BL</t>
  </si>
  <si>
    <t>BM</t>
  </si>
  <si>
    <t>Consolidated profit stated separately; preserve basis differences.</t>
  </si>
  <si>
    <t>BN</t>
  </si>
  <si>
    <t>Finance cost / year-end debt, as stated in report; not the average-debt proxy.</t>
  </si>
  <si>
    <t>BO</t>
  </si>
  <si>
    <t>Reported export share band, upper bound or qualitative description; never converted to a point estimate.</t>
  </si>
  <si>
    <t>BP</t>
  </si>
  <si>
    <t>Long-term portion of debt only; not total debt.</t>
  </si>
  <si>
    <t>BQ</t>
  </si>
  <si>
    <t>BR</t>
  </si>
  <si>
    <t>Debt net of cash, as stated in report; not total gross debt.</t>
  </si>
  <si>
    <t>BS</t>
  </si>
  <si>
    <t>BT</t>
  </si>
  <si>
    <t>Self-reported planned transition capex band; not actual total company capex.</t>
  </si>
  <si>
    <t>BU</t>
  </si>
  <si>
    <t>Primary/downstream sector classification explicitly stated in report.</t>
  </si>
  <si>
    <t>BV</t>
  </si>
  <si>
    <t>Every firm-sector row was reviewed against the supplied documents.</t>
  </si>
  <si>
    <t>BW</t>
  </si>
  <si>
    <t>Files consulted for the row; company filings referenced but not uploaded were not independently verified.</t>
  </si>
  <si>
    <t>BX</t>
  </si>
  <si>
    <t>Unfilled original inputs and why they remain missing.</t>
  </si>
  <si>
    <t>check</t>
  </si>
  <si>
    <t>result</t>
  </si>
  <si>
    <t>status</t>
  </si>
  <si>
    <t>Observation count</t>
  </si>
  <si>
    <t>PASS</t>
  </si>
  <si>
    <t>82 firm-sector observations; 81 unique company names after Vardhman alias correction.</t>
  </si>
  <si>
    <t>Original rows preserved</t>
  </si>
  <si>
    <t>All 78 example rows retained; four report observations added.</t>
  </si>
  <si>
    <t>Numeric indicator bounds</t>
  </si>
  <si>
    <t>Must be zero.</t>
  </si>
  <si>
    <t>Duplicate observation IDs</t>
  </si>
  <si>
    <t>OBS-001 through OBS-082.</t>
  </si>
  <si>
    <t>Known fertiliser conflicts</t>
  </si>
  <si>
    <t>REVIEW</t>
  </si>
  <si>
    <t>Retained and excluded from default analysis set.</t>
  </si>
  <si>
    <t>Independent company-source audit</t>
  </si>
  <si>
    <t>Not performed</t>
  </si>
  <si>
    <t>LIMITATION</t>
  </si>
  <si>
    <t>This workbook consolidates uploaded research; it does not establish accuracy of original company claims.</t>
  </si>
  <si>
    <t>Missing textile indicator source</t>
  </si>
  <si>
    <t>Clean_Shared_Data.xlsx not supplied</t>
  </si>
  <si>
    <t>MISSING</t>
  </si>
  <si>
    <t>Totals verified visually against report Figure 8; indicator cells remain blank.</t>
  </si>
  <si>
    <t>Missing transport indicator source</t>
  </si>
  <si>
    <t>No indicator matrix in supplied files</t>
  </si>
  <si>
    <t>Report totals retained separately; no invented indicators.</t>
  </si>
  <si>
    <t>Firm-level CCTS evidence</t>
  </si>
  <si>
    <t>All obligation flags blank; original values archived.</t>
  </si>
  <si>
    <t>Default analysis observations</t>
  </si>
  <si>
    <t>Complete source-workbook rows without a known report conflict.</t>
  </si>
  <si>
    <t>Recalculation</t>
  </si>
  <si>
    <t>Excel automatic</t>
  </si>
  <si>
    <t>Formula caches populated when workbook was generated.</t>
  </si>
  <si>
    <t>previous value</t>
  </si>
  <si>
    <t>document value</t>
  </si>
  <si>
    <t>action</t>
  </si>
  <si>
    <t>evidence</t>
  </si>
  <si>
    <t>basis</t>
  </si>
  <si>
    <t>caution</t>
  </si>
  <si>
    <t>Added separate reported variable</t>
  </si>
  <si>
    <t>PDF p.6, Table 3</t>
  </si>
  <si>
    <t>Tata Steel Ltd: CBAM 1.</t>
  </si>
  <si>
    <t>Report sample classification</t>
  </si>
  <si>
    <t>Generic CBAM flag in report. Do not equate a zero to proof of no CBAM-covered product; the report does not supply product codes.</t>
  </si>
  <si>
    <t>Filled missing master value</t>
  </si>
  <si>
    <t>PDF p.6, source note below Table 3</t>
  </si>
  <si>
    <t>BRSR and annual reports FY2024–25.</t>
  </si>
  <si>
    <t>Disclosure sample source-year note</t>
  </si>
  <si>
    <t>Secondary source-year statement; source workbooks contain some FY2025-26 entries for other firms. Underlying company filings were not supplied.</t>
  </si>
  <si>
    <t>JSW Steel Ltd: CBAM 1.</t>
  </si>
  <si>
    <t>Steel Authority of India (SAIL): CBAM 1.</t>
  </si>
  <si>
    <t>Jindal Steel Ltd (JSPL): CBAM 0.</t>
  </si>
  <si>
    <t>Jindal Stainless Ltd: CBAM 1.</t>
  </si>
  <si>
    <t>NMDC Steel Ltd: CBAM 0.</t>
  </si>
  <si>
    <t>Shyam Metalics &amp; Energy Ltd: CBAM 1.</t>
  </si>
  <si>
    <t>Godawari Power &amp; Ispat Ltd: CBAM 0.</t>
  </si>
  <si>
    <t>Kalyani Steels Ltd: CBAM 0.</t>
  </si>
  <si>
    <t>PDF p.5, section 2.3</t>
  </si>
  <si>
    <t>The two largest, Tata Steel and JSW Steel, have confirmed European export exposure.</t>
  </si>
  <si>
    <t>Reported qualitative export presence</t>
  </si>
  <si>
    <t>No EU-specific export share supplied.</t>
  </si>
  <si>
    <t>Financials!J2; Steel_Sector_Report.pdf PDF p.17 section 10</t>
  </si>
  <si>
    <t>The dependent variable is ... interest and finance cost divided by total debt.</t>
  </si>
  <si>
    <t>FY2025; source proxy = finance_cost / year-end total_debt</t>
  </si>
  <si>
    <t>Not average-debt basis. Populate original cost_of_debt_proxy only if a per-row basis column and dictionary change make this distinction explicit.</t>
  </si>
  <si>
    <t>Financials!J3; Steel_Sector_Report.pdf PDF p.17 section 10</t>
  </si>
  <si>
    <t>Financials!J4; Steel_Sector_Report.pdf PDF p.17 section 10</t>
  </si>
  <si>
    <t>Financials!J5; Steel_Sector_Report.pdf PDF p.17 section 10</t>
  </si>
  <si>
    <t>Financials!J6; Steel_Sector_Report.pdf PDF p.17 section 10</t>
  </si>
  <si>
    <t>Financials!J7; Steel_Sector_Report.pdf PDF p.17 section 10</t>
  </si>
  <si>
    <t>Financials!J8; Steel_Sector_Report.pdf PDF p.17 section 10</t>
  </si>
  <si>
    <t>Financials!J9; Steel_Sector_Report.pdf PDF p.17 section 10</t>
  </si>
  <si>
    <t>Financials!J10; Steel_Sector_Report.pdf PDF p.17 section 10</t>
  </si>
  <si>
    <t>PDF p.5, problem context</t>
  </si>
  <si>
    <t>0.25% export revenue – UltraTech Cement Limited; 0% export revenue – Ambuja, ACC, Shree Cement &amp; JSW Cement.</t>
  </si>
  <si>
    <t>Export share of turnover, as reported</t>
  </si>
  <si>
    <t>The report does not consistently state fiscal year/basis beside these shares. No EU-specific exports are disclosed; do not infer EU_export = 0 from this.</t>
  </si>
  <si>
    <t>PDF pp.7,10; firm sample and Table 2</t>
  </si>
  <si>
    <t>Cement is CBAM-covered (incl. clinker). Firm sample lists UltraTech, Ambuja, ACC, Shree Cement, JSW Cement, Dalmia Bharat and JK Cement as cement producers.</t>
  </si>
  <si>
    <t>Product-category exposure only</t>
  </si>
  <si>
    <t>This marks the covered cement/clinker product category, not EU exports, importer liability or a legal firm-specific CBAM determination.</t>
  </si>
  <si>
    <t>PDF p.10, Table 1</t>
  </si>
  <si>
    <t>12 plants already in CCTS cycle</t>
  </si>
  <si>
    <t>Explicit firm/unit claim in supplied secondary research</t>
  </si>
  <si>
    <t>Secondary report/workbook claim of named units, not independently checked against a final official notification. Original CCTS_obligated remains blank pending final legal citation.</t>
  </si>
  <si>
    <t>49 obligated units under CCTS</t>
  </si>
  <si>
    <t>Annexure A.xlsx, Evidence &amp; Sources!E38:F38</t>
  </si>
  <si>
    <t>4 integrated plants + 3 grinding units assigned carbon-reduction targets under GEI Target Rules; PAT-to-CCTS transition discussed.</t>
  </si>
  <si>
    <t>PAT Designated Consumer; no explicit CCTS reference.</t>
  </si>
  <si>
    <t>Explicit legacy PAT scheme designation in company-comparison table</t>
  </si>
  <si>
    <t>PAT here means Perform Achieve and Trade, not profit after tax.</t>
  </si>
  <si>
    <t>PDF p.5, export-revenue discussion; pp.9–10 comparison tables</t>
  </si>
  <si>
    <t>&lt;0.1% for Dalmia Bharat</t>
  </si>
  <si>
    <t>Share/description as reported, not an exact point estimate</t>
  </si>
  <si>
    <t>Do not convert an upper bound or negligible into zero or a midpoint.</t>
  </si>
  <si>
    <t>JK Cement exports described as negligible</t>
  </si>
  <si>
    <t>Filled missing support value</t>
  </si>
  <si>
    <t>Consolidated Panel!N4; fiscal year C4</t>
  </si>
  <si>
    <t>FY 2023-24 gross borrowings = ₹44.97 crore.</t>
  </si>
  <si>
    <t>Prior year for main-panel FY 2024-25 consolidated financials.</t>
  </si>
  <si>
    <t>This is a Support_Variables field, not a new master column. Finance costs cannot be back-calculated as exact inputs from rounded borrowing-cost ratios.</t>
  </si>
  <si>
    <t>Consolidated Panel!N7; fiscal year C7</t>
  </si>
  <si>
    <t>FY 2023-24 gross borrowings = ₹96.4 crore.</t>
  </si>
  <si>
    <t>Consolidated Panel!N10; fiscal year C10</t>
  </si>
  <si>
    <t>FY 2023-24 gross borrowings = ₹980.02 crore.</t>
  </si>
  <si>
    <t>Consolidated Panel!N13; fiscal year C13</t>
  </si>
  <si>
    <t>FY 2023-24 gross borrowings = ₹170.59 crore.</t>
  </si>
  <si>
    <t>Consolidated Panel!N16; fiscal year C16</t>
  </si>
  <si>
    <t>FY 2023-24 gross borrowings = ₹114039.77 crore.</t>
  </si>
  <si>
    <t>Consolidated Panel!N19; fiscal year C19</t>
  </si>
  <si>
    <t>FY 2023-24 gross borrowings = ₹4598.71 crore.</t>
  </si>
  <si>
    <t>Consolidated Panel!N22; fiscal year C22</t>
  </si>
  <si>
    <t>FY 2023-24 gross borrowings = ₹7679.9 crore.</t>
  </si>
  <si>
    <t>Consolidated Panel!N25; fiscal year C25</t>
  </si>
  <si>
    <t>FY 2023-24 gross borrowings = ₹10656.46 crore.</t>
  </si>
  <si>
    <t>Consolidated Panel!N28; fiscal year C28</t>
  </si>
  <si>
    <t>FY 2023-24 gross borrowings = ₹872.77 crore.</t>
  </si>
  <si>
    <t>Consolidated Panel!H5:I5</t>
  </si>
  <si>
    <t>FY 2024-25 export revenue is ₹0 crore; total export share 0.</t>
  </si>
  <si>
    <t>Direct consolidated export revenue.</t>
  </si>
  <si>
    <t>Logical subset: direct EU exports cannot be positive when total direct export revenue is zero. Does not establish absence of indirect exports/customer exposure.</t>
  </si>
  <si>
    <t>Consolidated Panel!H20:I20</t>
  </si>
  <si>
    <t>Consolidated Panel!H23:I23</t>
  </si>
  <si>
    <t>Consolidated Panel!H26:I26</t>
  </si>
  <si>
    <t>Consolidated Panel!H29:I29</t>
  </si>
  <si>
    <t>Master Scoring Log!I47</t>
  </si>
  <si>
    <t>FY 2024-25 disclosure-scoring period.</t>
  </si>
  <si>
    <t>Explicit negative PAT statement in source coding notes; not inferred from sector.</t>
  </si>
  <si>
    <t>Master Scoring Log!I47; original filing Section A Q19b p.3</t>
  </si>
  <si>
    <t>FY 2024-25 BRSR turnover/export share.</t>
  </si>
  <si>
    <t>No matching consolidated financial workbook was supplied for NBCC; this is the BRSR-reported export share.</t>
  </si>
  <si>
    <t>Master Scoring Log!B47</t>
  </si>
  <si>
    <t>PMC &amp; EPC construction (CPSE)</t>
  </si>
  <si>
    <t>Company explicitly labelled CPSE in source classification.</t>
  </si>
  <si>
    <t>No exchange or government ownership percentage inferred.</t>
  </si>
  <si>
    <t>Master Scoring Log!I67</t>
  </si>
  <si>
    <t>Master Scoring Log!I87</t>
  </si>
  <si>
    <t>FY 2025-26 disclosure-scoring period.</t>
  </si>
  <si>
    <t>Master Scoring Log!I106</t>
  </si>
  <si>
    <t>FY2025-26; source URL supplied by coder.</t>
  </si>
  <si>
    <t>URL is transcribed, not independently opened or verified.</t>
  </si>
  <si>
    <t>Master Scoring Log!I126</t>
  </si>
  <si>
    <t>Master Scoring Log!I146</t>
  </si>
  <si>
    <t>Master Scoring Log!I166</t>
  </si>
  <si>
    <t>Master Scoring Log!I186</t>
  </si>
  <si>
    <t>PDF p.5 / DOCX Table 1</t>
  </si>
  <si>
    <t>Table 1: IFFCO; ownership cooperative; size Large; export band &lt;10%; CBAM-covered Yes.</t>
  </si>
  <si>
    <t>Survey classification: Large &gt;₹5,000cr; Mid ₹500–5,000cr</t>
  </si>
  <si>
    <t>Reported firm size, not derived from an assumed revenue midpoint.</t>
  </si>
  <si>
    <t>Self-reported categorical export share</t>
  </si>
  <si>
    <t>Do not convert the range to an exact export_intensity or midpoint. SRF section14.2 warns its disclosed export share differs from the survey band.</t>
  </si>
  <si>
    <t>Self-reported response to CBAM product scope question</t>
  </si>
  <si>
    <t>Perceived product scope, not verification of actual Annex I goods, tariff codes, or EU exports.</t>
  </si>
  <si>
    <t>Table 1: DCM Shriram; ownership listed private; size Large; export band 10–30%; CBAM-covered Yes.</t>
  </si>
  <si>
    <t>Firm profile in sector-report survey table</t>
  </si>
  <si>
    <t>Self-reported profile; not independent registry verification.</t>
  </si>
  <si>
    <t>Explicit listed-private classification</t>
  </si>
  <si>
    <t>Not an exchange-specific verification.</t>
  </si>
  <si>
    <t>Table 1: National Fertilizers Limited (NFL); ownership PSU; size Large; export band &lt;10%; CBAM-covered Yes.</t>
  </si>
  <si>
    <t>Table 1: Chambal Fertilisers &amp; Chemicals; ownership listed private; size Large; export band &lt;10%; CBAM-covered Yes.</t>
  </si>
  <si>
    <t>Table 1: Mangalore Chemicals &amp; Fertilizers; ownership listed private; size Mid; export band &lt;10%; CBAM-covered Yes.</t>
  </si>
  <si>
    <t>Table 1: Southern Petrochemical Industries Corporation (SPIC); ownership listed private; size Mid; export band &lt;10%; CBAM-covered Yes.</t>
  </si>
  <si>
    <t>Table 1: PI Industries; ownership listed private; size Large; export band &gt;60%; CBAM-covered No.</t>
  </si>
  <si>
    <t>Table 1: Madras Fertilizers; ownership PSU; size Mid; export band &lt;10%; CBAM-covered Yes.</t>
  </si>
  <si>
    <t>Table 1: Khaitan Chemicals &amp; Fertilizers; ownership listed private; size Mid; export band &lt;10%; CBAM-covered No.</t>
  </si>
  <si>
    <t>Table 1: Madhya Bharat Agro Products; ownership listed private; size Mid; export band &lt;10%; CBAM-covered Yes.</t>
  </si>
  <si>
    <t>Table 1: Krishana Phoschem; ownership listed private; size Mid; export band &lt;10%; CBAM-covered Yes.</t>
  </si>
  <si>
    <t>Table 1: SRF Limited; ownership listed private; size Large; export band &gt;60%; CBAM-covered No.</t>
  </si>
  <si>
    <t>Supporting material/Survey_Responses.xlsx; Supporting material/Respondent_Log.xlsx</t>
  </si>
  <si>
    <t>Survey: New Form Responses Q16; firm join from Respondent Log</t>
  </si>
  <si>
    <t>PI Industries respondent bands: No dedicated decarbonisation allocation; 15–30%.</t>
  </si>
  <si>
    <t>Planned next-three-year decarbonisation capex share; self report</t>
  </si>
  <si>
    <t>Range responses retained; not audited current capex or green_capex_intensity. No midpoint assigned.</t>
  </si>
  <si>
    <t>Survey: New Form Responses Q7; firm join from Respondent Log</t>
  </si>
  <si>
    <t>PI Industries respondents: Not sure; Directly covered or expected to have direct compliance obligations.</t>
  </si>
  <si>
    <t>Perceived current or EXPECTED obligations</t>
  </si>
  <si>
    <t>Does not establish legal CCTS_obligated; leave legal flag unfilled without unit-level final notification.</t>
  </si>
  <si>
    <t>IFFCO respondent bands: 5–15%; 15–30%.</t>
  </si>
  <si>
    <t>IFFCO respondents: Directly covered or expected to have direct compliance obligations.</t>
  </si>
  <si>
    <t>DCM Shriram respondent bands: 5–15%.</t>
  </si>
  <si>
    <t>DCM Shriram respondents: Directly covered or expected to have direct compliance obligations.</t>
  </si>
  <si>
    <t>National Fertilizers Limited (NFL) respondent bands: 5–15%.</t>
  </si>
  <si>
    <t>National Fertilizers Limited (NFL) respondents: Directly covered or expected to have direct compliance obligations.</t>
  </si>
  <si>
    <t>Chambal Fertilisers &amp; Chemicals respondent bands: 5–15%.</t>
  </si>
  <si>
    <t>Chambal Fertilisers &amp; Chemicals respondents: Directly covered or expected to have direct compliance obligations.</t>
  </si>
  <si>
    <t>SRF Limited respondent bands: 15–30%.</t>
  </si>
  <si>
    <t>SRF Limited respondents: Directly covered or expected to have direct compliance obligations.</t>
  </si>
  <si>
    <t>Mangalore Chemicals &amp; Fertilizers respondent bands: Less than 5%.</t>
  </si>
  <si>
    <t>Mangalore Chemicals &amp; Fertilizers respondents: Directly covered or expected to have direct compliance obligations.</t>
  </si>
  <si>
    <t>Southern Petrochemical Industries Corporation (SPIC) respondent bands: Less than 5%.</t>
  </si>
  <si>
    <t>Southern Petrochemical Industries Corporation (SPIC) respondents: Directly covered or expected to have direct compliance obligations.</t>
  </si>
  <si>
    <t>Madras Fertilizers respondent bands: Less than 5%.</t>
  </si>
  <si>
    <t>Madras Fertilizers respondents: Directly covered or expected to have direct compliance obligations.</t>
  </si>
  <si>
    <t>Khaitan Chemicals &amp; Fertilizers respondent bands: Less than 5%.</t>
  </si>
  <si>
    <t>Khaitan Chemicals &amp; Fertilizers respondents: Directly covered or expected to have direct compliance obligations.</t>
  </si>
  <si>
    <t>Madhya Bharat Agro Products respondent bands: Less than 5%.</t>
  </si>
  <si>
    <t>Madhya Bharat Agro Products respondents: Directly covered or expected to have direct compliance obligations.</t>
  </si>
  <si>
    <t>Krishana Phoschem respondent bands: Less than 5%.</t>
  </si>
  <si>
    <t>Krishana Phoschem respondents: Directly covered or expected to have direct compliance obligations.</t>
  </si>
  <si>
    <t>PDF p.18 / DOCX Table 15</t>
  </si>
  <si>
    <t>Table 15 lists 10 of 10 indicators coded for Chambal Fertilisers &amp; Chemicals.</t>
  </si>
  <si>
    <t>Coverage reported in sector paper</t>
  </si>
  <si>
    <t>This conflicts with several complete rows of Disclosure_Coding_Sheet.xlsx; neither version is silently overwritten.</t>
  </si>
  <si>
    <t>Chambal Fertilisers &amp; Chemicals: Reasonable (Moore Singhi).</t>
  </si>
  <si>
    <t>Paper-reported assurance descriptor</t>
  </si>
  <si>
    <t>Not translated into a new I9 score.</t>
  </si>
  <si>
    <t>Table 15 lists 10 of 10 indicators coded for Mangalore Chemicals &amp; Fertilizers.</t>
  </si>
  <si>
    <t>Mangalore Chemicals &amp; Fertilizers: None.</t>
  </si>
  <si>
    <t>Table 15 lists 10 of 10 indicators coded for Southern Petrochemical Industries Corporation (SPIC).</t>
  </si>
  <si>
    <t>Southern Petrochemical Industries Corporation (SPIC): None.</t>
  </si>
  <si>
    <t>Table 15 lists 10 of 10 indicators coded for Khaitan Chemicals &amp; Fertilizers.</t>
  </si>
  <si>
    <t>Khaitan Chemicals &amp; Fertilizers: None.</t>
  </si>
  <si>
    <t>Table 15 lists 2 of 10 indicators coded for DCM Shriram.</t>
  </si>
  <si>
    <t>DCM Shriram: Limited (Deloitte).</t>
  </si>
  <si>
    <t>Table 15 lists 2 of 10 indicators coded for PI Industries.</t>
  </si>
  <si>
    <t>PI Industries: Reasonable (PwC).</t>
  </si>
  <si>
    <t>Table 15 lists 3 of 10 indicators coded for Krishana Phoschem.</t>
  </si>
  <si>
    <t>Table 15 lists 1 of 10 indicators coded for SRF Limited.</t>
  </si>
  <si>
    <t>SRF Limited: Reasonable + limited (BDO).</t>
  </si>
  <si>
    <t>Table 15 lists 0 of 10 indicators coded for National Fertilizers Limited (NFL).</t>
  </si>
  <si>
    <t>Table 15 lists 0 of 10 indicators coded for Madras Fertilizers.</t>
  </si>
  <si>
    <t>Table 15 lists 0 of 10 indicators coded for Madhya Bharat Agro Products.</t>
  </si>
  <si>
    <t>Table 15 lists 0 of 10 indicators coded for IFFCO.</t>
  </si>
  <si>
    <t>IFFCO: No BRSR (not SEBI-listed).</t>
  </si>
  <si>
    <t>PDF p.19 / DOCX Table 16</t>
  </si>
  <si>
    <t>revenue: 13538; reporting_year: FY2025-26; reported_adjusted_PAT: 856; reported_net_debt: 1767</t>
  </si>
  <si>
    <t>All amounts ₹ crore; financial FY FY2025-26</t>
  </si>
  <si>
    <t>₹856cr is adjusted for a one-time ₹239cr deferred-tax credit, not unqualified PAT. ₹1,767cr is NET debt, not total debt.</t>
  </si>
  <si>
    <t>Added review annotation</t>
  </si>
  <si>
    <t>Uploaded report Table16</t>
  </si>
  <si>
    <t>PDF p.20 / DOCX Table 16</t>
  </si>
  <si>
    <t>revenue: 21567.9; PAT: 169.7; reporting_year: FY2025-26; reported_consolidated_PAT: 211.5</t>
  </si>
  <si>
    <t>PAT ₹169.7cr explicitly standalone; consolidated PAT ₹211.5cr stored separately. Revenue basis is not specified, so do not assume a consolidated revenue/PAT combination.</t>
  </si>
  <si>
    <t>revenue: 1001.6; PAT: 68.8; reporting_year: FY2025-26</t>
  </si>
  <si>
    <t>Source does not fully identify standalone/consolidated basis. Do not combine with a different-basis denominator.</t>
  </si>
  <si>
    <t>revenue: 1867; PAT: 150.2; reporting_year: FY2025-26</t>
  </si>
  <si>
    <t>revenue: 2418; PAT: 180.1; reporting_year: FY2025-26</t>
  </si>
  <si>
    <t>total_debt: 4527; total_assets: 22261; reporting_year: FY2024-25; reported_market_cap: 89730; reported_book_value: 13264; market_to_book (source): 6.76</t>
  </si>
  <si>
    <t>All amounts ₹ crore; financial FY FY2024-25</t>
  </si>
  <si>
    <t>reported_long_term_debt: 82.3; reporting_year: FY2024-25; reported_net_margin: 0.099</t>
  </si>
  <si>
    <t>₹82.3cr is long-term debt only; do not fill total_debt. No actual revenue or PAT is supplied.</t>
  </si>
  <si>
    <t>CRISIL upgraded to A+/Stable; ICRA existing A+ rating placed on negative watch in March 2026.</t>
  </si>
  <si>
    <t>Different agencies and dates retained</t>
  </si>
  <si>
    <t>Do not collapse to one rating or omit the negative watch.</t>
  </si>
  <si>
    <t>PDF pp.5,18–20 / DOCX Tables 1,15,16</t>
  </si>
  <si>
    <t>Named in report firm sample and coding-status table.</t>
  </si>
  <si>
    <t>Sector-paper secondary source</t>
  </si>
  <si>
    <t>Original company disclosures are not attached.</t>
  </si>
  <si>
    <t>PDF pp.5,18,20</t>
  </si>
  <si>
    <t>Named in report tables.</t>
  </si>
  <si>
    <t>Sector-paper source locators</t>
  </si>
  <si>
    <t>Reporting_FY of actual disclosure scoring remains unavailable.</t>
  </si>
  <si>
    <t>Textile_and_Apparel_Report.pdf (secondary report; primary firm filings not supplied)</t>
  </si>
  <si>
    <t>Extended provenance</t>
  </si>
  <si>
    <t>PDF p.10, B1; p.23, Figure 8; p.25, C1</t>
  </si>
  <si>
    <t>Disclosure-quality coding: 13 listed companies, FY2024-25 (FY2025-26 where available).</t>
  </si>
  <si>
    <t>Secondary research report; numeric ten-indicator matrix absent</t>
  </si>
  <si>
    <t>The report refers to Clean_Shared_Data.xlsx, which is not present in the uploaded ZIP.</t>
  </si>
  <si>
    <t>Company positioning by Disclosure Quality Score across all 13 coded firms.</t>
  </si>
  <si>
    <t>Report total only, not indicator evidence</t>
  </si>
  <si>
    <t>Firm-specific report pages and exact FY cannot be assigned from this PDF.</t>
  </si>
  <si>
    <t>C1: Clean_Shared_Data.xlsx contains full disclosure-coding sheet and merged firm-level master table.</t>
  </si>
  <si>
    <t>All 13 textile rows</t>
  </si>
  <si>
    <t>Do not infer company-specific FY, scores, revenue or export fractions from aggregate results.</t>
  </si>
  <si>
    <t>PDF pp.19–20, section 8.9; p.7, section 6.6</t>
  </si>
  <si>
    <t>A 10-company dataset drawn from FY2024-25 annual reports, BRSR/climate disclosures and official investor pages, verified 16 August 2026.</t>
  </si>
  <si>
    <t>Year of report’s disclosure/financing-cost dataset</t>
  </si>
  <si>
    <t>Actual finance costs, borrowing denominators and statement scope are not printed.</t>
  </si>
  <si>
    <t>Transport_and_Logistics_Report.pdf (secondary report; FY2024-25 source dataset)</t>
  </si>
  <si>
    <t>Sample scope: evidence-based 10-company dataset drawn from FY2024-25 annual reports, BRSR/climate disclosures and official investor pages.</t>
  </si>
  <si>
    <t>Secondary source; primary financial filings not included</t>
  </si>
  <si>
    <t>No firm-specific official report URL or score matrix exists in this PDF.</t>
  </si>
  <si>
    <t>Disclosure Quality Score, all 10 firms; Financial proxy and usable sample.</t>
  </si>
  <si>
    <t>DQS total and separately reported financing ratio</t>
  </si>
  <si>
    <t>Finance cost / average borrowings is a heterogeneous proxy, not a pure borrowing interest rate.</t>
  </si>
  <si>
    <t>Two firms (Maruti Suzuki, Blue Dart Express) are effectively debt-free; CONCOR FY25 finance cost could not be safely extracted.</t>
  </si>
  <si>
    <t>No zero financial data are substituted for missing/not-applicable values.</t>
  </si>
  <si>
    <t>Report: raw proxy only; it must not be read as an effective interest rate or market cost of debt.</t>
  </si>
  <si>
    <t>Self-reported survey CBAM flags and pooled firmographics are not company-specific product/ownership evidence.</t>
  </si>
  <si>
    <t>PDF pp.14–15, Table 8 (DQS); PDF p.23, Table 14 (financials)</t>
  </si>
  <si>
    <t>Uploaded sector-report pagination, not an original company-report page.</t>
  </si>
  <si>
    <t>Original primary disclosure pages are not supplied in this PDF.</t>
  </si>
  <si>
    <t>PDF pp.14–15, Table 8</t>
  </si>
  <si>
    <t>Table 8 explicitly classifies this firm in this value-chain segment.</t>
  </si>
  <si>
    <t>Report classification; separate support variable, not a revenue size band.</t>
  </si>
  <si>
    <t>PDF pp.14–15, Table 8 (DQS); PDF p.23, Table 14 (financial data availability)</t>
  </si>
  <si>
    <t>PDF p.8, section 2.2 Market Structure</t>
  </si>
  <si>
    <t>Bharat Aluminium Company (BALCO) is majority-owned by the Vedanta Group but is a separately incorporated entity that files its own standalone annual report and sustainability disclosures.</t>
  </si>
  <si>
    <t>Separate incorporated disclosure unit; not a listed/unlisted determination.</t>
  </si>
  <si>
    <t>Does not establish exact holding percentage or stock exchange listing.</t>
  </si>
  <si>
    <t>Uploaded sector report PDF p.35, section 8 (scores); p.36 (company source list)</t>
  </si>
  <si>
    <t>PDF pp.35–36, section 8</t>
  </si>
  <si>
    <t>ITC is one of eight columns in the I1–I10 disclosure matrix on PDF p.35; sources are listed on p.36.</t>
  </si>
  <si>
    <t>These are source-report page locators, not primary company-report pages.</t>
  </si>
  <si>
    <t>No indicator-by-indicator company-report pages are supplied.</t>
  </si>
  <si>
    <t>PDF p.36, source list and URI annotations</t>
  </si>
  <si>
    <t>PDF annotation inspection matched by row coordinates.</t>
  </si>
  <si>
    <t>Do not use a URL attached to a different company as evidence.</t>
  </si>
  <si>
    <t>Godrej Agrovet is one of eight columns in the I1–I10 disclosure matrix on PDF p.35; sources are listed on p.36.</t>
  </si>
  <si>
    <t>Corteva is one of eight columns in the I1–I10 disclosure matrix on PDF p.35; sources are listed on p.36.</t>
  </si>
  <si>
    <t>Bayer CropScience is one of eight columns in the I1–I10 disclosure matrix on PDF p.35; sources are listed on p.36.</t>
  </si>
  <si>
    <t>Tata Consumer is one of eight columns in the I1–I10 disclosure matrix on PDF p.35; sources are listed on p.36.</t>
  </si>
  <si>
    <t>Marico is one of eight columns in the I1–I10 disclosure matrix on PDF p.35; sources are listed on p.36.</t>
  </si>
  <si>
    <t>Cargill is one of eight columns in the I1–I10 disclosure matrix on PDF p.35; sources are listed on p.36.</t>
  </si>
  <si>
    <t>PI Industries is one of eight columns in the I1–I10 disclosure matrix on PDF p.35; sources are listed on p.36.</t>
  </si>
  <si>
    <t>workbook value</t>
  </si>
  <si>
    <t>other source value</t>
  </si>
  <si>
    <t>FY2024-25 source-sample note</t>
  </si>
  <si>
    <t>PDF p.6 Table 3 source note</t>
  </si>
  <si>
    <t>Report says BRSR and annual reports FY2024–25, while Firm profile records FY2025-26 for this firm. Treat as differing source/scoring periods; do not overwrite automatically.</t>
  </si>
  <si>
    <t>NMDC Steel Ltd disclosure not supplied</t>
  </si>
  <si>
    <t>Financials!O7 (capex source caution)</t>
  </si>
  <si>
    <t>Master Scoring Log!I67; original BRSR Section A Q19b p.2</t>
  </si>
  <si>
    <t>Exports 1.08% of turnover, while consolidated financial panel FY2024-25 export share is 54.79 / 4635.07 = 1.1821%. Do not replace consolidated share without resolving reporting boundary.</t>
  </si>
  <si>
    <t>2 indicators coded; no total reported</t>
  </si>
  <si>
    <t>PDF p.18 / DOCX Table15</t>
  </si>
  <si>
    <t>Paper reports 2 indicators coded; no total reported; source spreadsheet and inherited panel have full scores.</t>
  </si>
  <si>
    <t>0 indicators coded; no total reported</t>
  </si>
  <si>
    <t>Paper reports 0 indicators coded; no total reported; source spreadsheet and inherited panel have full scores.</t>
  </si>
  <si>
    <t>Paper reports 12; source spreadsheet and inherited panel have full scores.</t>
  </si>
  <si>
    <t>1 indicators coded; no total reported</t>
  </si>
  <si>
    <t>Paper reports 1 indicators coded; no total reported; source spreadsheet and inherited panel have full scores.</t>
  </si>
  <si>
    <t>sample_roster</t>
  </si>
  <si>
    <t>Included in Disclosure_Coding_Sheet.xlsx</t>
  </si>
  <si>
    <t>Not in sector-report 12-firm sample</t>
  </si>
  <si>
    <t>PDF p.5 Table1; p.18 Table15</t>
  </si>
  <si>
    <t>Report has Krishana Phoschem, Madras Fertilizers and Madhya Bharat Agro Products instead; no inferred data transfer.</t>
  </si>
  <si>
    <t>PDF pp.18–19, paragraph after Table15</t>
  </si>
  <si>
    <t>Report states Khaitan has quantification sub-score 0/12; supporting spreadsheet I1+I2+I3+I5=2. Same total4 masks an indicator-level conflict.</t>
  </si>
  <si>
    <t>FY2024-25 in DQS Coded Sheet vs FY2025-26 in Coding Sheet</t>
  </si>
  <si>
    <t>Supporting material/Disclosure_Coding_Sheet.xlsx</t>
  </si>
  <si>
    <t>DQS Coded Sheet vs Coding Sheet firm rows</t>
  </si>
  <si>
    <t>Two sheets of the same supplied workbook disagree about reporting year; no automatic correction.</t>
  </si>
  <si>
    <t>second_coder_score / agreed_score</t>
  </si>
  <si>
    <t>{"DQS_total": 17, "second_coder_score": null}</t>
  </si>
  <si>
    <t>{"coder_A": "8/10", "coder_B": "7/10", "agreed": "7/10"}</t>
  </si>
  <si>
    <t>PDF p.17, Table 9 versus PDF p.14, Table 8</t>
  </si>
  <si>
    <t>Table 9 says BALCO Coder A 8/10 vs Coder B 7/10, reconciled to 7/10; Table 8 says BALCO DQS 17/30. These scales cannot be treated as the same score without the original coder matrix.</t>
  </si>
  <si>
    <t>All Aluminium interviews (not panel firm financials)</t>
  </si>
  <si>
    <t>interview dates</t>
  </si>
  <si>
    <t>Report PDF pp.10,13,25 says interviews 13–14 Aug 2026</t>
  </si>
  <si>
    <t>Compiled Interview Transcripts.docx records 28-Oct-2026 through 01-Nov-2026</t>
  </si>
  <si>
    <t>Aluminium Group/Compiled_Interview_Transcripts.docx; Aluminium Group/Aluminium_Report.pdf; Aluminium Group/Call_logs.xlsx</t>
  </si>
  <si>
    <t>DOCX R001–R008 Date lines; PDF section 4.1 and section 5; Call logs sheet rows4–11</t>
  </si>
  <si>
    <t>The DOCX dates are October–November, while PDF/Call_logs use August. Dates and version provenance require confirmation; do not set coding/access dates from them.</t>
  </si>
  <si>
    <t>Incorrect PDF hyperlink points to Corteva Our 2025 Impact Report; no valid replacement URL supplied</t>
  </si>
  <si>
    <t>PDF p.36, URI annotations on the named company row</t>
  </si>
  <si>
    <t>The hyperlink assigned to Bayer CropScience is for Corteva Our 2025 Impact Report. URL should remain blank until the correct company report is obtained.</t>
  </si>
  <si>
    <t>Incorrect PDF hyperlink points to Tata Consumer BRSR website PDF; no valid replacement URL supplied</t>
  </si>
  <si>
    <t>The hyperlink assigned to Marico is for Tata Consumer BRSR website PDF. URL should remain blank until the correct company report is obtained.</t>
  </si>
  <si>
    <t>calculated_DQS</t>
  </si>
  <si>
    <t>report_DQS</t>
  </si>
  <si>
    <t>data_status</t>
  </si>
  <si>
    <t>remaining limitations</t>
  </si>
  <si>
    <t>Not stated in supplied documents</t>
  </si>
  <si>
    <t>Official unit-level legal notices, exact exchange identity, access dates, and additional comparable annual capex/finance inputs are not supplied. No valid prior-year debt series was located for average-debt proxy.</t>
  </si>
  <si>
    <t>Official unit-level legal notices, exact exchange identity, access dates, and additional comparable annual capex/finance inputs are not supplied. No valid prior-year debt series was located for average-debt proxy. NMDC Limited/NMDC Steel Ltd entity mismatch prevents copying miner disclosure/year/capex into steel row.</t>
  </si>
  <si>
    <t>No firm-level revenue/PAT/assets/debt/finance-cost table in supplied report or Word interviews. Survey and MDS values are respondent/perception data and cannot fill company financials. Single-coder identity and second coder are unrecorded. EU-specific exports not disclosed. Exact company-report URLs and access dates not supplied.</t>
  </si>
  <si>
    <t>No exchange name, exact export/EU-export share, PAT legacy status, finance-cost numerator, debt balance, total capex, coder identity or access date supplied. Table 14 reports the already-transcribed financial values but does not supply debt, finance cost or capex inputs. The interview firms differ from the ten listed disclosure-panel names, so their loan/export claims cannot populate these rows. Firm-level CCTS obligation needs legal/unit evidence not present.</t>
  </si>
  <si>
    <t>No exchange name, exact export/EU-export share, PAT legacy status, finance-cost numerator, debt balance, total capex, coder identity or access date supplied. Table 14 explicitly says no financial document sourced for this firm; no financial values can be filled from these documents. The interview firms differ from the ten listed disclosure-panel names, so their loan/export claims cannot populate these rows. Firm-level CCTS obligation needs legal/unit evidence not present.</t>
  </si>
  <si>
    <t>No exchange name, exact export/EU-export share, PAT legacy status, finance-cost numerator, debt balance, total capex, coder identity or access date supplied. Cost-of-debt proxy is N/M because of no material borrowing, not a numeric zero. Total assets ~₹22,882 crore are approximate. The interview firms differ from the ten listed disclosure-panel names, so their loan/export claims cannot populate these rows. Firm-level CCTS obligation needs legal/unit evidence not present.</t>
  </si>
  <si>
    <t>No exchange name, exact export/EU-export share, PAT legacy status, finance-cost numerator, debt balance, total capex, coder identity or access date supplied. Financial context is FY2025-26, whereas DQS is FY2024-25; assets/ROA/debt proxy are N/A and cannot be reconstructed. The interview firms differ from the ten listed disclosure-panel names, so their loan/export claims cannot populate these rows. Firm-level CCTS obligation needs legal/unit evidence not present.</t>
  </si>
  <si>
    <t>Indicator inputs incomplete</t>
  </si>
  <si>
    <t>Not reported</t>
  </si>
  <si>
    <t>No exact export ratio/EU destination, exchange, final unit-level CCTS obligation, PAT legacy status, comparable total capex, finance costs or second-coder values are provided. DQS is out of scope, not zero; report states public financials not found.</t>
  </si>
  <si>
    <t>REVIEW: source conflict</t>
  </si>
  <si>
    <t>No exact export ratio/EU destination, exchange, final unit-level CCTS obligation, PAT legacy status, comparable total capex, finance costs or second-coder values are provided.</t>
  </si>
  <si>
    <t>No exact export ratio/EU destination, exchange, final unit-level CCTS obligation, PAT legacy status, comparable total capex, finance costs or second-coder values are provided. Report explicitly says financial figures not found.</t>
  </si>
  <si>
    <t>No exact export ratio/EU destination, exchange, final unit-level CCTS obligation, PAT legacy status, comparable total capex, finance costs or second-coder values are provided. This firm appears only in the conflicting disclosure workbook, not the paper sample; no additional report financial/profile values can be assigned.</t>
  </si>
  <si>
    <t>Entire PDF and embedded-image inventory reviewed. It prints aggregate statistics and company DQS totals in Figure 8, but no firm indicator matrix, financial amounts, numeric export shares, exact exchange, individual coder scores, or per-firm fiscal year. C1 names Clean_Shared_Data.xlsx, absent from ZIP. B7 uses mixed ROE/ROA and an ordinal cost signal; neither can populate numeric ROA/debt ratios.</t>
  </si>
  <si>
    <t>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</si>
  <si>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Report section 11.1 explicitly says NBCC consolidated financials unavailable; no financial workbook in archive. Leave revenue/assets/PAT/debt/finance-cost/capex/size blank. PAT-negative and export-share notes are available in the scoring workbook.</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</si>
  <si>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Report financing ratio only; finance-cost and borrowing amounts not supplied.</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</si>
  <si>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Not applicable: report calls firm effectively debt-free.</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</si>
  <si>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Not applicable: report states no outstanding external borrowings.</t>
  </si>
  <si>
    <t>Entire PDF reviewed including charts, appendices, links and attachments. DQS totals and some financing-cost ratios are printed; I1–I10, revenue, assets, PAT, debt, finance-cost amounts, capex, firm-specific ownership/size/export fractions, exact exchanges and primary URLs are not provided. Survey firmographics are pooled and cannot assign attributes to individual companies. Missing: FY25 finance-cost figure could not be safely extracted.</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</si>
  <si>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</si>
  <si>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Existing FY2025-26 is supported only by the linked Annual_Report_2025_26 filename, not an explicit scoring-period statement.</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</si>
  <si>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Linked source is a global company impact report, so it cannot establish Indian subsidiary financials or Indian listed/BRSR status.</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</si>
  <si>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Indian listed entity versus global Bayer scope is unresolved; PDF link points to Corteva.</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</si>
  <si>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PDF link points to Tata Consumer; correct Marico source is absent.</t>
  </si>
  <si>
    <t>No exact export ratio/EU destination, exchange, final unit-level CCTS obligation, PAT legacy status, comparable total capex, finance costs or second-coder values are provided. No indicator-level 0–3 scores are supplied for the report-only row; coverage counts cannot reconstruct indicator scores.</t>
  </si>
  <si>
    <t>No firm-specific exchange, export intensity, EU-export result, legal CCTS obligation/PAT-legacy status, revenue/assets/PAT/debt/finance-cost/capex data, named coder or access date is supplied. The report describes only aggregate survey regressions and coded DQS; survey prompts are not observed company answers. Scoring fiscal year is not stated. Distinct agriculture observation: do not copy the fertiliser report score/basis across sectors.</t>
  </si>
  <si>
    <t>documents reviewed</t>
  </si>
  <si>
    <t>remaining limitation</t>
  </si>
  <si>
    <t>updates / annotations</t>
  </si>
  <si>
    <t>Reviewed</t>
  </si>
  <si>
    <t>why not filled</t>
  </si>
  <si>
    <t>No firm/unit-level final legal notification supplied. Secondary reported counts are recorded separately.</t>
  </si>
  <si>
    <t>Not stated in the supplied documents.</t>
  </si>
  <si>
    <t>Average-debt proxy requires consistent finance cost and prior/current debt; no year-end substitution.</t>
  </si>
  <si>
    <t>Original source access date is not provided; document review date is not substituted.</t>
  </si>
  <si>
    <t>No applicable second-coder or reconciliation value supplied for this row.</t>
  </si>
  <si>
    <t>PAT and compatible total-assets denominator are not both available.</t>
  </si>
  <si>
    <t>Required indicator inputs are incomplete.</t>
  </si>
  <si>
    <t>sector group</t>
  </si>
  <si>
    <t>note</t>
  </si>
  <si>
    <t>steel_cement</t>
  </si>
  <si>
    <t>All Steel/Cement report PDFs, all Word DOCX paragraph/table text, all five nested steel interview TXT transcripts, and relevant workbook sheets were reviewed. DOCX statistical outputs concern ANOVA, MDS or conjoint preferences, not missing company accounts.</t>
  </si>
  <si>
    <t>Verbatim source figures do not always establish the same fiscal year or accounting basis. Do not fill financial reporting_year merely from a scoring FY when there are no monetary observations.</t>
  </si>
  <si>
    <t>Dalmia export intensity is stated as &lt;0.1% (upper bound 0.001), JK exports are negligible: neither can be entered as an exact percentage. Preserve text in an export_share_note if adding fields.</t>
  </si>
  <si>
    <t>Cement Annexure A contains green-specific amounts: Dalmia FY25-26 ₹177cr sustainable production assets/R&amp;D; JK FY25-26 ₹65cr energy conservation and FY26-27 ₹48cr committed; UltraTech FY25-26 ₹26.95cr sustainable-product R&amp;D. These are not firm total_capex and should not fill original capex. General ₹16000cr UltraTech capacity-expansion capex reference lacks a clear actual-spend period, so not copied into annual capex.</t>
  </si>
  <si>
    <t>The only PDF URL found is a policy BEE link, not a company-report URL: https://beeindia.gov.in/WriteReadData/RTF1984/RTF-PDF-f0db112734284168_1776057153.pdf (Cement PDF p6). No exact primary-company URLs in relevant XLSX hyperlinks.</t>
  </si>
  <si>
    <t>No named second coder can be invented for single-coder cement. No access date can be invented for company disclosures that were not directly accessed.</t>
  </si>
  <si>
    <t>Updates with new reported_* field names are intended as added source-specific fields or notes. Do not force source-year-end cost proxy or generic CBAM exposure flag into existing fields with a different definition.</t>
  </si>
  <si>
    <t>Per integration decision, explicit Dalmia/UltraTech/Shree named unit counts are supplied as reported_CCTS_units. Keep original CCTS_obligated blank because final legal notifications were not uploaded.</t>
  </si>
  <si>
    <t>buildings</t>
  </si>
  <si>
    <t>{"firm": "Ahluwalia Contracts (India) Ltd",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</si>
  <si>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"Astral Limited",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</si>
  <si>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"NBCC (India) Limited", "reason": "Report section 11.1 explicitly says NBCC consolidated financials unavailable; no financial workbook in archive. Leave revenue/assets/PAT/debt/finance-cost/capex/size blank. PAT-negative and export-share notes are available in the scoring workbook."}</t>
  </si>
  <si>
    <t>{"firm": "Kajaria Ceramics Limited",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</si>
  <si>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"Mahindra Lifespace Developers Ltd",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</si>
  <si>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"DLF Limited",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</si>
  <si>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"Larsen &amp; Toubro Limited",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</si>
  <si>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"Lodha Developers Limited (Macrotech Developers)",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</si>
  <si>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"Godrej Properties Limited",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</si>
  <si>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"NCC Limited", "reason": "No exact annual finance-cost amount or total-capex amount is present in supplied files; BRSR I5 narratives concern environmental/social/R&amp;D shares, not total company capex. No named exchange or firm/unit CCTS legal evidence. Unknown original access dates cannot be reconstructed."}</t>
  </si>
  <si>
    <t>{"firm": "All buildings firms", "reason": "No firm-level direct CCTS obligation/non-obligation is established by the report’s sector-wide statement; integrated L&amp;T makes sector-to-company inference especially unsafe."}</t>
  </si>
  <si>
    <t>{"firm": "Godrej Properties Limited", "reason": "I5 evidence includes ₹50cr multi-year commitment and ₹3.62cr site solar allocation for FY2025-26, but these are not FY2024-25 total capex and cannot fill the master capex field."}</t>
  </si>
  <si>
    <t>{"firm": "Larsen &amp; Toubro Limited", "reason": "I5 states environmental/social capex ₹42.6cr (2.8%) for FY2024-25. This is not total capex; dividing by a rounded share would be an estimate, so leave total capex blank."}</t>
  </si>
  <si>
    <t>{"firm": "All buildings firms", "reason": "No relevant DOCX exists within Building construction group. Read sector report PDF/text, Appendices A–G PDF/text, full written interview transcript PDF/text, scoring workbook and financial workbook. Survey is anonymous and cannot fill named firm rows. No document instructions executed."}</t>
  </si>
  <si>
    <t>fertilisers</t>
  </si>
  <si>
    <t>All PDF/DOCX scope files were read; duplicated report PDF/DOCX copies under Supporting material are identical to the root copies. DOCX tables provide the same firm figures as PDF, including DCM row on p19.</t>
  </si>
  <si>
    <t>No personal respondent names, emails or telephone numbers are included. Log used only for firm alias joins.</t>
  </si>
  <si>
    <t>Original company annual/BRSR PDFs are not attached; generic workbook source labels cannot independently establish actual exchange, exact exports, legal CCTS coverage or extra indicator scores.</t>
  </si>
  <si>
    <t>The interview transcripts contain qualitative project narratives, not audited firm financial values or full indicator scoring. Shared Survey Form is an instrument, not filled respondent evidence.</t>
  </si>
  <si>
    <t>Never put paper-reported adjusted DCM income in ordinary PAT, NET debt in total_debt, long-term Chambal debt in total_debt, planned survey capex bands in audited capex, or perceived CCTS exposure in legal obligation flag.</t>
  </si>
  <si>
    <t>textile_transport</t>
  </si>
  <si>
    <t>Both scope PDFs were read in full. PDF annotation links and embedded attachments were checked. Textile has only an interview Google Drive link; transport has no hyperlinks; neither has attached underlying spreadsheets.</t>
  </si>
  <si>
    <t>No I1–I10 data can be recovered from totals without inventing scores. No numeric financial amounts can be recovered from reported regressions, aggregates or financing ratios.</t>
  </si>
  <si>
    <t>Textile B1 p10 gives FY2024-25 (FY2025-26 where available), with no firm mapping. Do not set an exact common reporting_FY for all 13 rows.</t>
  </si>
  <si>
    <t>Textile A4 p9 and B6 p18 explicitly describe ownership as uniformly Listed-private and CBAM exposure uniformly zero; these existing master flags are supported by the secondary report, though not independently audited.</t>
  </si>
  <si>
    <t>Transport p19 states report-team verification date 16 August 2026. This is not a new date_accessed or primary-source verification in this task.</t>
  </si>
  <si>
    <t>Transport section7.2 gives only pooled ownership, size and export strata; no mapping to names is printed. CCTS and CBAM narratives describe sector context/indirect pressure; do not turn these into firm-level legal obligation flags.</t>
  </si>
  <si>
    <t>Transport Blue Dart is named Blue Dart Express in section8.9, and Textile Grasim is labeled Grasim Industries in Figure8; aliases refer to the existing observations and do not create new rows.</t>
  </si>
  <si>
    <t>aluminium_agri</t>
  </si>
  <si>
    <t>All Aluminium PDFs, compiled DOCX paragraphs/table, and Call_logs sheet were read. Report has 31 content pages; PDF links expose no actual URI annotations beyond printed reference URLs. Existing Vedanta ESG URL is already in master.</t>
  </si>
  <si>
    <t>No new financial figures beyond those already in Master_Panel are supplied. Table14 heading says six firms but its body actually reports seven financial firm rows; count the rows rather than the prose.</t>
  </si>
  <si>
    <t>NALCO ~₹22,882 crore assets are an approximation and N/M cost of debt must remain blank, not zero.</t>
  </si>
  <si>
    <t>The primary/downstream segment is explicitly supported, but no quantitative common firm-size thresholds are supplied; segment should be a separate support variable rather than an invented size_band.</t>
  </si>
  <si>
    <t>No independent indicator-level second coder matrix exists; no new scores, kappa, or scaled second-coder totals were created.</t>
  </si>
  <si>
    <t>The complete agriculture PDF, including all image-only factor/cluster/MDS/conjoint output pages, was reviewed. There are no company-specific financial tables hidden in the image pages. The eight DQS columns are already transcribed accurately.</t>
  </si>
  <si>
    <t>Agriculture PDF p.35/p.38 prose says 30/33, but it contains exactly ten indicators scored 0–3. Composite maximum remains 30; do not rescale to 33.</t>
  </si>
  <si>
    <t>Agriculture links are preserved only when the displayed company and URL match. Bayer links to Corteva; Marico links to Tata Consumer; PI Industries has no recoverable link. Existing blank URLs for these three are correct.</t>
  </si>
  <si>
    <t>No new numeric financial/ownership/listing/exposure values can be filled in agriculture from these documents without inference. Missing fields require primary company disclosures or matched raw survey data, neither supplied.</t>
  </si>
</sst>
</file>

<file path=xl/styles.xml><?xml version="1.0" encoding="utf-8"?>
<styleSheet xmlns="http://schemas.openxmlformats.org/spreadsheetml/2006/main">
  <numFmts count="3">
    <numFmt numFmtId="164" formatCode="#,##0.00"/>
    <numFmt numFmtId="165" formatCode="0.00"/>
    <numFmt numFmtId="166" formatCode="0.00%"/>
  </numFmts>
  <fonts count="7">
    <font>
      <sz val="11"/>
      <color theme="1"/>
      <name val="Calibri"/>
      <family val="2"/>
      <scheme val="minor"/>
    </font>
    <font>
      <b/>
      <sz val="22"/>
      <color rgb="FF17365D"/>
      <name val="Calibri"/>
      <family val="2"/>
      <scheme val="minor"/>
    </font>
    <font>
      <b/>
      <sz val="11"/>
      <color rgb="FFFFFFFF"/>
      <name val="Calibri"/>
      <family val="2"/>
      <scheme val="minor"/>
    </font>
    <font>
      <sz val="11"/>
      <color rgb="FF404040"/>
      <name val="Calibri"/>
      <family val="2"/>
      <scheme val="minor"/>
    </font>
    <font>
      <sz val="11"/>
      <color rgb="FF165A9F"/>
      <name val="Calibri"/>
      <family val="2"/>
      <scheme val="minor"/>
    </font>
    <font>
      <sz val="11"/>
      <color rgb="FF202020"/>
      <name val="Calibri"/>
      <family val="2"/>
      <scheme val="minor"/>
    </font>
    <font>
      <sz val="8"/>
      <color indexed="81"/>
      <name val="Tahoma"/>
      <family val="2"/>
    </font>
  </fonts>
  <fills count="4">
    <fill>
      <patternFill patternType="none"/>
    </fill>
    <fill>
      <patternFill patternType="gray125"/>
    </fill>
    <fill>
      <patternFill patternType="solid">
        <fgColor rgb="FF17365D"/>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2"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0" fillId="3" borderId="0" xfId="0" applyFill="1"/>
    <xf numFmtId="164" fontId="4" fillId="0" borderId="0" xfId="0" applyNumberFormat="1" applyFont="1" applyAlignment="1">
      <alignment vertical="top"/>
    </xf>
    <xf numFmtId="165" fontId="5" fillId="0" borderId="0" xfId="0" applyNumberFormat="1" applyFont="1" applyAlignment="1">
      <alignment vertical="top"/>
    </xf>
    <xf numFmtId="166" fontId="4" fillId="0" borderId="0" xfId="0" applyNumberFormat="1" applyFont="1" applyAlignment="1">
      <alignment vertical="top"/>
    </xf>
    <xf numFmtId="166" fontId="5" fillId="0" borderId="0" xfId="0" applyNumberFormat="1" applyFont="1" applyAlignment="1">
      <alignment vertical="top"/>
    </xf>
    <xf numFmtId="0" fontId="4" fillId="0" borderId="0" xfId="0" applyFont="1" applyAlignment="1">
      <alignment vertical="top"/>
    </xf>
  </cellXfs>
  <cellStyles count="1">
    <cellStyle name="Normal" xfId="0" builtinId="0"/>
  </cellStyles>
  <dxfs count="1">
    <dxf>
      <font>
        <color rgb="FF9C0006"/>
      </font>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theme" Target="theme/theme1.xml"/><Relationship Id="rId28" Type="http://schemas.openxmlformats.org/officeDocument/2006/relationships/styles" Target="styles.xml"/><Relationship Id="rId2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Evidence coverage by sector</a:t>
            </a:r>
          </a:p>
        </c:rich>
      </c:tx>
      <c:layout/>
    </c:title>
    <c:plotArea>
      <c:layout/>
      <c:barChart>
        <c:barDir val="col"/>
        <c:grouping val="clustered"/>
        <c:ser>
          <c:idx val="0"/>
          <c:order val="0"/>
          <c:tx>
            <c:v>Complete indicator sets</c:v>
          </c:tx>
          <c:spPr>
            <a:solidFill>
              <a:srgbClr val="237C89"/>
            </a:solidFill>
          </c:spPr>
          <c:cat>
            <c:strRef>
              <c:f>Sector_Summary!$A$2:$A$9</c:f>
              <c:strCache>
                <c:ptCount val="8"/>
                <c:pt idx="0">
                  <c:v>Steel</c:v>
                </c:pt>
                <c:pt idx="1">
                  <c:v>Cement</c:v>
                </c:pt>
                <c:pt idx="2">
                  <c:v>Aluminium</c:v>
                </c:pt>
                <c:pt idx="3">
                  <c:v>Fertilisers &amp; chemicals</c:v>
                </c:pt>
                <c:pt idx="4">
                  <c:v>Textiles &amp; apparel</c:v>
                </c:pt>
                <c:pt idx="5">
                  <c:v>Buildings &amp; construction</c:v>
                </c:pt>
                <c:pt idx="6">
                  <c:v>Transport &amp; logistics</c:v>
                </c:pt>
                <c:pt idx="7">
                  <c:v>Agriculture &amp; agrofoods</c:v>
                </c:pt>
              </c:strCache>
            </c:strRef>
          </c:cat>
          <c:val>
            <c:numRef>
              <c:f>Sector_Summary!$C$2:$C$9</c:f>
              <c:numCache>
                <c:formatCode>General</c:formatCode>
                <c:ptCount val="8"/>
                <c:pt idx="0">
                  <c:v>9</c:v>
                </c:pt>
                <c:pt idx="1">
                  <c:v>7</c:v>
                </c:pt>
                <c:pt idx="2">
                  <c:v>10</c:v>
                </c:pt>
                <c:pt idx="3">
                  <c:v>11</c:v>
                </c:pt>
                <c:pt idx="4">
                  <c:v>0</c:v>
                </c:pt>
                <c:pt idx="5">
                  <c:v>10</c:v>
                </c:pt>
                <c:pt idx="6">
                  <c:v>0</c:v>
                </c:pt>
                <c:pt idx="7">
                  <c:v>8</c:v>
                </c:pt>
              </c:numCache>
            </c:numRef>
          </c:val>
        </c:ser>
        <c:ser>
          <c:idx val="1"/>
          <c:order val="1"/>
          <c:tx>
            <c:v>Default analysis set</c:v>
          </c:tx>
          <c:spPr>
            <a:solidFill>
              <a:srgbClr val="17365D"/>
            </a:solidFill>
          </c:spPr>
          <c:cat>
            <c:strRef>
              <c:f>Sector_Summary!$A$2:$A$9</c:f>
              <c:strCache>
                <c:ptCount val="8"/>
                <c:pt idx="0">
                  <c:v>Steel</c:v>
                </c:pt>
                <c:pt idx="1">
                  <c:v>Cement</c:v>
                </c:pt>
                <c:pt idx="2">
                  <c:v>Aluminium</c:v>
                </c:pt>
                <c:pt idx="3">
                  <c:v>Fertilisers &amp; chemicals</c:v>
                </c:pt>
                <c:pt idx="4">
                  <c:v>Textiles &amp; apparel</c:v>
                </c:pt>
                <c:pt idx="5">
                  <c:v>Buildings &amp; construction</c:v>
                </c:pt>
                <c:pt idx="6">
                  <c:v>Transport &amp; logistics</c:v>
                </c:pt>
                <c:pt idx="7">
                  <c:v>Agriculture &amp; agrofoods</c:v>
                </c:pt>
              </c:strCache>
            </c:strRef>
          </c:cat>
          <c:val>
            <c:numRef>
              <c:f>Sector_Summary!$F$2:$F$9</c:f>
              <c:numCache>
                <c:formatCode>General</c:formatCode>
                <c:ptCount val="8"/>
                <c:pt idx="0">
                  <c:v>9</c:v>
                </c:pt>
                <c:pt idx="1">
                  <c:v>7</c:v>
                </c:pt>
                <c:pt idx="2">
                  <c:v>0</c:v>
                </c:pt>
                <c:pt idx="3">
                  <c:v>2</c:v>
                </c:pt>
                <c:pt idx="4">
                  <c:v>0</c:v>
                </c:pt>
                <c:pt idx="5">
                  <c:v>10</c:v>
                </c:pt>
                <c:pt idx="6">
                  <c:v>0</c:v>
                </c:pt>
                <c:pt idx="7">
                  <c:v>0</c:v>
                </c:pt>
              </c:numCache>
            </c:numRef>
          </c:val>
        </c:ser>
        <c:axId val="50010001"/>
        <c:axId val="50010002"/>
      </c:barChart>
      <c:catAx>
        <c:axId val="50010001"/>
        <c:scaling>
          <c:orientation val="minMax"/>
        </c:scaling>
        <c:axPos val="b"/>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Firm-sector observations</a:t>
                </a:r>
              </a:p>
            </c:rich>
          </c:tx>
          <c:layout/>
        </c:title>
        <c:numFmt formatCode="General" sourceLinked="1"/>
        <c:tickLblPos val="nextTo"/>
        <c:crossAx val="50010001"/>
        <c:crosses val="autoZero"/>
        <c:crossBetween val="between"/>
        <c:majorUnit val="2"/>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5</xdr:col>
      <xdr:colOff>1190625</xdr:colOff>
      <xdr:row>32</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2:H21"/>
  <sheetViews>
    <sheetView showGridLines="0" tabSelected="1" workbookViewId="0"/>
  </sheetViews>
  <sheetFormatPr defaultRowHeight="15"/>
  <cols>
    <col min="1" max="1" width="4.7109375" customWidth="1"/>
    <col min="2" max="8" width="16.7109375" customWidth="1"/>
  </cols>
  <sheetData>
    <row r="2" spans="2:8">
      <c r="B2" s="1" t="s">
        <v>0</v>
      </c>
      <c r="C2" s="1"/>
      <c r="D2" s="1"/>
      <c r="E2" s="1"/>
      <c r="F2" s="1"/>
      <c r="G2" s="1"/>
      <c r="H2" s="1"/>
    </row>
    <row r="3" spans="2:8">
      <c r="B3" s="1"/>
      <c r="C3" s="1"/>
      <c r="D3" s="1"/>
      <c r="E3" s="1"/>
      <c r="F3" s="1"/>
      <c r="G3" s="1"/>
      <c r="H3" s="1"/>
    </row>
    <row r="6" spans="2:8" ht="57" customHeight="1">
      <c r="B6" s="2" t="s">
        <v>1</v>
      </c>
      <c r="C6" s="3" t="s">
        <v>2</v>
      </c>
      <c r="D6" s="3"/>
      <c r="E6" s="3"/>
      <c r="F6" s="3"/>
      <c r="G6" s="3"/>
      <c r="H6" s="3"/>
    </row>
    <row r="7" spans="2:8" ht="57" customHeight="1">
      <c r="B7" s="2" t="s">
        <v>3</v>
      </c>
      <c r="C7" s="3" t="s">
        <v>4</v>
      </c>
      <c r="D7" s="3"/>
      <c r="E7" s="3"/>
      <c r="F7" s="3"/>
      <c r="G7" s="3"/>
      <c r="H7" s="3"/>
    </row>
    <row r="8" spans="2:8" ht="57" customHeight="1">
      <c r="B8" s="2" t="s">
        <v>5</v>
      </c>
      <c r="C8" s="3" t="s">
        <v>6</v>
      </c>
      <c r="D8" s="3"/>
      <c r="E8" s="3"/>
      <c r="F8" s="3"/>
      <c r="G8" s="3"/>
      <c r="H8" s="3"/>
    </row>
    <row r="9" spans="2:8" ht="57" customHeight="1">
      <c r="B9" s="2" t="s">
        <v>7</v>
      </c>
      <c r="C9" s="3" t="s">
        <v>8</v>
      </c>
      <c r="D9" s="3"/>
      <c r="E9" s="3"/>
      <c r="F9" s="3"/>
      <c r="G9" s="3"/>
      <c r="H9" s="3"/>
    </row>
    <row r="10" spans="2:8" ht="57" customHeight="1">
      <c r="B10" s="2" t="s">
        <v>9</v>
      </c>
      <c r="C10" s="3" t="s">
        <v>10</v>
      </c>
      <c r="D10" s="3"/>
      <c r="E10" s="3"/>
      <c r="F10" s="3"/>
      <c r="G10" s="3"/>
      <c r="H10" s="3"/>
    </row>
    <row r="11" spans="2:8" ht="57" customHeight="1">
      <c r="B11" s="2" t="s">
        <v>11</v>
      </c>
      <c r="C11" s="3" t="s">
        <v>12</v>
      </c>
      <c r="D11" s="3"/>
      <c r="E11" s="3"/>
      <c r="F11" s="3"/>
      <c r="G11" s="3"/>
      <c r="H11" s="3"/>
    </row>
    <row r="12" spans="2:8" ht="57" customHeight="1">
      <c r="B12" s="2" t="s">
        <v>13</v>
      </c>
      <c r="C12" s="3" t="s">
        <v>14</v>
      </c>
      <c r="D12" s="3"/>
      <c r="E12" s="3"/>
      <c r="F12" s="3"/>
      <c r="G12" s="3"/>
      <c r="H12" s="3"/>
    </row>
    <row r="13" spans="2:8" ht="57" customHeight="1">
      <c r="B13" s="2" t="s">
        <v>15</v>
      </c>
      <c r="C13" s="3" t="s">
        <v>16</v>
      </c>
      <c r="D13" s="3"/>
      <c r="E13" s="3"/>
      <c r="F13" s="3"/>
      <c r="G13" s="3"/>
      <c r="H13" s="3"/>
    </row>
    <row r="14" spans="2:8" ht="57" customHeight="1">
      <c r="B14" s="2" t="s">
        <v>17</v>
      </c>
      <c r="C14" s="3" t="s">
        <v>18</v>
      </c>
      <c r="D14" s="3"/>
      <c r="E14" s="3"/>
      <c r="F14" s="3"/>
      <c r="G14" s="3"/>
      <c r="H14" s="3"/>
    </row>
    <row r="15" spans="2:8" ht="57" customHeight="1">
      <c r="B15" s="2" t="s">
        <v>19</v>
      </c>
      <c r="C15" s="3" t="s">
        <v>20</v>
      </c>
      <c r="D15" s="3"/>
      <c r="E15" s="3"/>
      <c r="F15" s="3"/>
      <c r="G15" s="3"/>
      <c r="H15" s="3"/>
    </row>
    <row r="16" spans="2:8" ht="57" customHeight="1">
      <c r="B16" s="2" t="s">
        <v>21</v>
      </c>
      <c r="C16" s="3" t="s">
        <v>22</v>
      </c>
      <c r="D16" s="3"/>
      <c r="E16" s="3"/>
      <c r="F16" s="3"/>
      <c r="G16" s="3"/>
      <c r="H16" s="3"/>
    </row>
    <row r="17" spans="2:8" ht="57" customHeight="1">
      <c r="B17" s="2" t="s">
        <v>23</v>
      </c>
      <c r="C17" s="3" t="s">
        <v>24</v>
      </c>
      <c r="D17" s="3"/>
      <c r="E17" s="3"/>
      <c r="F17" s="3"/>
      <c r="G17" s="3"/>
      <c r="H17" s="3"/>
    </row>
    <row r="18" spans="2:8" ht="57" customHeight="1">
      <c r="B18" s="2" t="s">
        <v>25</v>
      </c>
      <c r="C18" s="3" t="s">
        <v>26</v>
      </c>
      <c r="D18" s="3"/>
      <c r="E18" s="3"/>
      <c r="F18" s="3"/>
      <c r="G18" s="3"/>
      <c r="H18" s="3"/>
    </row>
    <row r="19" spans="2:8" ht="57" customHeight="1">
      <c r="B19" s="2" t="s">
        <v>27</v>
      </c>
      <c r="C19" s="3" t="s">
        <v>28</v>
      </c>
      <c r="D19" s="3"/>
      <c r="E19" s="3"/>
      <c r="F19" s="3"/>
      <c r="G19" s="3"/>
      <c r="H19" s="3"/>
    </row>
    <row r="20" spans="2:8" ht="57" customHeight="1">
      <c r="B20" s="2" t="s">
        <v>29</v>
      </c>
      <c r="C20" s="3" t="s">
        <v>30</v>
      </c>
      <c r="D20" s="3"/>
      <c r="E20" s="3"/>
      <c r="F20" s="3"/>
      <c r="G20" s="3"/>
      <c r="H20" s="3"/>
    </row>
    <row r="21" spans="2:8" ht="57" customHeight="1">
      <c r="B21" s="2" t="s">
        <v>31</v>
      </c>
      <c r="C21" s="3" t="s">
        <v>32</v>
      </c>
      <c r="D21" s="3"/>
      <c r="E21" s="3"/>
      <c r="F21" s="3"/>
      <c r="G21" s="3"/>
      <c r="H21" s="3"/>
    </row>
  </sheetData>
  <mergeCells count="17">
    <mergeCell ref="B2:H3"/>
    <mergeCell ref="C6:H6"/>
    <mergeCell ref="C7:H7"/>
    <mergeCell ref="C8:H8"/>
    <mergeCell ref="C9:H9"/>
    <mergeCell ref="C10:H10"/>
    <mergeCell ref="C11:H11"/>
    <mergeCell ref="C12:H12"/>
    <mergeCell ref="C13:H13"/>
    <mergeCell ref="C14:H14"/>
    <mergeCell ref="C15:H15"/>
    <mergeCell ref="C16:H16"/>
    <mergeCell ref="C17:H17"/>
    <mergeCell ref="C18:H18"/>
    <mergeCell ref="C19:H19"/>
    <mergeCell ref="C20:H20"/>
    <mergeCell ref="C21:H21"/>
  </mergeCells>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237C89"/>
    <pageSetUpPr fitToPage="1"/>
  </sheetPr>
  <dimension ref="A1:BX8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2" width="25.7109375" customWidth="1"/>
    <col min="3" max="7" width="20.7109375" customWidth="1"/>
    <col min="8" max="17" width="7.7109375" customWidth="1"/>
    <col min="18" max="39" width="20.7109375" customWidth="1"/>
    <col min="40" max="40" width="45.7109375" customWidth="1"/>
    <col min="41" max="41" width="20.7109375" customWidth="1"/>
    <col min="42" max="42" width="38.7109375" customWidth="1"/>
    <col min="43" max="45" width="20.7109375" customWidth="1"/>
    <col min="46" max="46" width="47.7109375" customWidth="1"/>
    <col min="47" max="47" width="20.7109375" customWidth="1"/>
    <col min="48" max="48" width="42.7109375" customWidth="1"/>
    <col min="49" max="49" width="36.7109375" customWidth="1"/>
    <col min="50" max="51" width="20.7109375" customWidth="1"/>
    <col min="52" max="52" width="43.7109375" customWidth="1"/>
    <col min="53" max="53" width="36.7109375" customWidth="1"/>
    <col min="54" max="55" width="20.7109375" customWidth="1"/>
    <col min="56" max="56" width="60.7109375" customWidth="1"/>
    <col min="57" max="76" width="20.7109375" customWidth="1"/>
  </cols>
  <sheetData>
    <row r="1" spans="1:76" ht="42" customHeight="1">
      <c r="A1" s="2" t="s">
        <v>33</v>
      </c>
      <c r="B1" s="2" t="s">
        <v>34</v>
      </c>
      <c r="C1" s="2" t="s">
        <v>35</v>
      </c>
      <c r="D1" s="2" t="s">
        <v>36</v>
      </c>
      <c r="E1" s="2" t="s">
        <v>37</v>
      </c>
      <c r="F1" s="2" t="s">
        <v>38</v>
      </c>
      <c r="G1" s="2" t="s">
        <v>39</v>
      </c>
      <c r="H1" s="2" t="s">
        <v>40</v>
      </c>
      <c r="I1" s="2" t="s">
        <v>41</v>
      </c>
      <c r="J1" s="2" t="s">
        <v>42</v>
      </c>
      <c r="K1" s="2" t="s">
        <v>43</v>
      </c>
      <c r="L1" s="2" t="s">
        <v>44</v>
      </c>
      <c r="M1" s="2" t="s">
        <v>45</v>
      </c>
      <c r="N1" s="2" t="s">
        <v>46</v>
      </c>
      <c r="O1" s="2" t="s">
        <v>47</v>
      </c>
      <c r="P1" s="2" t="s">
        <v>48</v>
      </c>
      <c r="Q1" s="2" t="s">
        <v>49</v>
      </c>
      <c r="R1" s="2" t="s">
        <v>50</v>
      </c>
      <c r="S1" s="2" t="s">
        <v>51</v>
      </c>
      <c r="T1" s="2" t="s">
        <v>52</v>
      </c>
      <c r="U1" s="2" t="s">
        <v>53</v>
      </c>
      <c r="V1" s="2" t="s">
        <v>54</v>
      </c>
      <c r="W1" s="2" t="s">
        <v>55</v>
      </c>
      <c r="X1" s="2" t="s">
        <v>56</v>
      </c>
      <c r="Y1" s="2" t="s">
        <v>57</v>
      </c>
      <c r="Z1" s="2" t="s">
        <v>58</v>
      </c>
      <c r="AA1" s="2" t="s">
        <v>59</v>
      </c>
      <c r="AB1" s="2" t="s">
        <v>60</v>
      </c>
      <c r="AC1" s="2" t="s">
        <v>61</v>
      </c>
      <c r="AD1" s="2" t="s">
        <v>62</v>
      </c>
      <c r="AE1" s="2" t="s">
        <v>63</v>
      </c>
      <c r="AF1" s="2" t="s">
        <v>64</v>
      </c>
      <c r="AG1" s="2" t="s">
        <v>65</v>
      </c>
      <c r="AH1" s="2" t="s">
        <v>66</v>
      </c>
      <c r="AI1" s="2" t="s">
        <v>67</v>
      </c>
      <c r="AJ1" s="2" t="s">
        <v>68</v>
      </c>
      <c r="AK1" s="2" t="s">
        <v>69</v>
      </c>
      <c r="AL1" s="2" t="s">
        <v>70</v>
      </c>
      <c r="AM1" s="2" t="s">
        <v>71</v>
      </c>
      <c r="AN1" s="2" t="s">
        <v>72</v>
      </c>
      <c r="AO1" s="2" t="s">
        <v>73</v>
      </c>
      <c r="AP1" s="2" t="s">
        <v>74</v>
      </c>
      <c r="AQ1" s="2" t="s">
        <v>75</v>
      </c>
      <c r="AR1" s="2" t="s">
        <v>76</v>
      </c>
      <c r="AS1" s="2" t="s">
        <v>77</v>
      </c>
      <c r="AT1" s="2" t="s">
        <v>78</v>
      </c>
      <c r="AU1" s="2" t="s">
        <v>79</v>
      </c>
      <c r="AV1" s="2" t="s">
        <v>80</v>
      </c>
      <c r="AW1" s="2" t="s">
        <v>81</v>
      </c>
      <c r="AX1" s="2" t="s">
        <v>82</v>
      </c>
      <c r="AY1" s="2" t="s">
        <v>83</v>
      </c>
      <c r="AZ1" s="2" t="s">
        <v>84</v>
      </c>
      <c r="BA1" s="2" t="s">
        <v>85</v>
      </c>
      <c r="BB1" s="2" t="s">
        <v>86</v>
      </c>
      <c r="BC1" s="2" t="s">
        <v>87</v>
      </c>
      <c r="BD1" s="2" t="s">
        <v>88</v>
      </c>
      <c r="BE1" s="2" t="s">
        <v>89</v>
      </c>
      <c r="BF1" s="2" t="s">
        <v>90</v>
      </c>
      <c r="BG1" s="2" t="s">
        <v>91</v>
      </c>
      <c r="BH1" s="2" t="s">
        <v>92</v>
      </c>
      <c r="BI1" s="2" t="s">
        <v>93</v>
      </c>
      <c r="BJ1" s="2" t="s">
        <v>94</v>
      </c>
      <c r="BK1" s="2" t="s">
        <v>95</v>
      </c>
      <c r="BL1" s="2" t="s">
        <v>96</v>
      </c>
      <c r="BM1" s="2" t="s">
        <v>97</v>
      </c>
      <c r="BN1" s="2" t="s">
        <v>98</v>
      </c>
      <c r="BO1" s="2" t="s">
        <v>99</v>
      </c>
      <c r="BP1" s="2" t="s">
        <v>100</v>
      </c>
      <c r="BQ1" s="2" t="s">
        <v>101</v>
      </c>
      <c r="BR1" s="2" t="s">
        <v>102</v>
      </c>
      <c r="BS1" s="2" t="s">
        <v>103</v>
      </c>
      <c r="BT1" s="2" t="s">
        <v>104</v>
      </c>
      <c r="BU1" s="2" t="s">
        <v>105</v>
      </c>
      <c r="BV1" s="2" t="s">
        <v>106</v>
      </c>
      <c r="BW1" s="2" t="s">
        <v>107</v>
      </c>
      <c r="BX1" s="2" t="s">
        <v>108</v>
      </c>
    </row>
    <row r="2" spans="1:76" ht="38" customHeight="1">
      <c r="A2" s="4" t="s">
        <v>109</v>
      </c>
      <c r="B2" s="4" t="s">
        <v>110</v>
      </c>
      <c r="C2" s="5"/>
      <c r="D2" s="6">
        <v>1</v>
      </c>
      <c r="E2" s="4" t="s">
        <v>111</v>
      </c>
      <c r="F2" s="4" t="s">
        <v>112</v>
      </c>
      <c r="G2" s="6">
        <v>1</v>
      </c>
      <c r="H2" s="6">
        <v>3</v>
      </c>
      <c r="I2" s="6">
        <v>2</v>
      </c>
      <c r="J2" s="6">
        <v>1</v>
      </c>
      <c r="K2" s="6">
        <v>2</v>
      </c>
      <c r="L2" s="6">
        <v>2</v>
      </c>
      <c r="M2" s="6">
        <v>1</v>
      </c>
      <c r="N2" s="6">
        <v>0</v>
      </c>
      <c r="O2" s="6">
        <v>1</v>
      </c>
      <c r="P2" s="6">
        <v>3</v>
      </c>
      <c r="Q2" s="6">
        <v>3</v>
      </c>
      <c r="R2" s="7">
        <f>IF(COUNT(H2:Q2)=10,SUM(H2:Q2),"")</f>
        <v>18</v>
      </c>
      <c r="S2" s="7">
        <f>IF(ISNUMBER(R2),R2/30*100,"")</f>
        <v>60.0</v>
      </c>
      <c r="T2" s="7">
        <f>IF(COUNT(H2:J2,L2)=4,SUM(H2:J2,L2),"")</f>
        <v>8</v>
      </c>
      <c r="U2" s="7">
        <f>IF(COUNT(K2,M2:O2)=4,SUM(K2,M2:O2),"")</f>
        <v>4</v>
      </c>
      <c r="V2" s="7">
        <f>IF(COUNT(P2:Q2)=2,SUM(P2:Q2),"")</f>
        <v>6</v>
      </c>
      <c r="W2" s="4" t="s">
        <v>113</v>
      </c>
      <c r="X2" s="4" t="s">
        <v>114</v>
      </c>
      <c r="Y2" s="6">
        <v>30</v>
      </c>
      <c r="Z2" s="7">
        <f>IF(ISNUMBER(R2),R2,"")</f>
        <v>18</v>
      </c>
      <c r="AA2" s="5"/>
      <c r="AB2" s="8">
        <v>0.0332507103865143</v>
      </c>
      <c r="AC2" s="6">
        <v>1</v>
      </c>
      <c r="AD2" s="5"/>
      <c r="AE2" s="6">
        <v>218543</v>
      </c>
      <c r="AF2" s="6">
        <v>275459</v>
      </c>
      <c r="AG2" s="6">
        <v>3174</v>
      </c>
      <c r="AH2" s="9">
        <f>IF(AND(ISNUMBER(AG2),ISNUMBER(AF2),AF2&gt;0),AG2/AF2,"")</f>
        <v>0.011522585938379215</v>
      </c>
      <c r="AI2" s="6">
        <v>94801</v>
      </c>
      <c r="AJ2" s="6">
        <v>7341</v>
      </c>
      <c r="AK2" s="5"/>
      <c r="AL2" s="5"/>
      <c r="AM2" s="4" t="s">
        <v>115</v>
      </c>
      <c r="AN2" s="4" t="s">
        <v>116</v>
      </c>
      <c r="AO2" s="4" t="s">
        <v>117</v>
      </c>
      <c r="AP2" s="4" t="s">
        <v>118</v>
      </c>
      <c r="AQ2" s="5"/>
      <c r="AR2" s="5"/>
      <c r="AS2" s="4" t="s">
        <v>119</v>
      </c>
      <c r="AT2" s="4" t="s">
        <v>120</v>
      </c>
      <c r="AU2" s="6">
        <v>18</v>
      </c>
      <c r="AV2" s="4" t="s">
        <v>121</v>
      </c>
      <c r="AW2" s="4" t="s">
        <v>122</v>
      </c>
      <c r="AX2" s="4" t="s">
        <v>123</v>
      </c>
      <c r="AY2" s="4" t="s">
        <v>124</v>
      </c>
      <c r="AZ2" s="4" t="s">
        <v>125</v>
      </c>
      <c r="BA2" s="4"/>
      <c r="BB2" s="7">
        <f>COUNT(H2:Q2)</f>
        <v>10</v>
      </c>
      <c r="BC2" s="7">
        <f>IF(AND(ISNUMBER(R2),ISNUMBER(AU2)),R2-AU2,"")</f>
        <v>0</v>
      </c>
      <c r="BD2" s="4"/>
      <c r="BE2" s="5"/>
      <c r="BF2" s="6">
        <v>1</v>
      </c>
      <c r="BG2" s="5"/>
      <c r="BH2" s="5"/>
      <c r="BI2" s="5"/>
      <c r="BJ2" s="5"/>
      <c r="BK2" s="5"/>
      <c r="BL2" s="5"/>
      <c r="BM2" s="5"/>
      <c r="BN2" s="6">
        <v>0.07743589202645541</v>
      </c>
      <c r="BO2" s="5"/>
      <c r="BP2" s="5"/>
      <c r="BQ2" s="5"/>
      <c r="BR2" s="5"/>
      <c r="BS2" s="5"/>
      <c r="BT2" s="5"/>
      <c r="BU2" s="5"/>
      <c r="BV2" s="4" t="s">
        <v>126</v>
      </c>
      <c r="BW2" s="4" t="s">
        <v>127</v>
      </c>
      <c r="BX2" s="4" t="s">
        <v>128</v>
      </c>
    </row>
    <row r="3" spans="1:76" ht="38" customHeight="1">
      <c r="A3" s="4" t="s">
        <v>129</v>
      </c>
      <c r="B3" s="4" t="s">
        <v>110</v>
      </c>
      <c r="C3" s="5"/>
      <c r="D3" s="6">
        <v>1</v>
      </c>
      <c r="E3" s="4" t="s">
        <v>111</v>
      </c>
      <c r="F3" s="4" t="s">
        <v>112</v>
      </c>
      <c r="G3" s="6">
        <v>1</v>
      </c>
      <c r="H3" s="6">
        <v>2</v>
      </c>
      <c r="I3" s="6">
        <v>2</v>
      </c>
      <c r="J3" s="6">
        <v>3</v>
      </c>
      <c r="K3" s="6">
        <v>2</v>
      </c>
      <c r="L3" s="6">
        <v>1</v>
      </c>
      <c r="M3" s="6">
        <v>1</v>
      </c>
      <c r="N3" s="6">
        <v>0</v>
      </c>
      <c r="O3" s="6">
        <v>1</v>
      </c>
      <c r="P3" s="6">
        <v>3</v>
      </c>
      <c r="Q3" s="6">
        <v>1</v>
      </c>
      <c r="R3" s="7">
        <f>IF(COUNT(H3:Q3)=10,SUM(H3:Q3),"")</f>
        <v>16</v>
      </c>
      <c r="S3" s="7">
        <f>IF(ISNUMBER(R3),R3/30*100,"")</f>
        <v>53.333333333333336</v>
      </c>
      <c r="T3" s="7">
        <f>IF(COUNT(H3:J3,L3)=4,SUM(H3:J3,L3),"")</f>
        <v>8</v>
      </c>
      <c r="U3" s="7">
        <f>IF(COUNT(K3,M3:O3)=4,SUM(K3,M3:O3),"")</f>
        <v>4</v>
      </c>
      <c r="V3" s="7">
        <f>IF(COUNT(P3:Q3)=2,SUM(P3:Q3),"")</f>
        <v>4</v>
      </c>
      <c r="W3" s="4" t="s">
        <v>130</v>
      </c>
      <c r="X3" s="4" t="s">
        <v>114</v>
      </c>
      <c r="Y3" s="6">
        <v>16</v>
      </c>
      <c r="Z3" s="7">
        <f>IF(ISNUMBER(R3),R3,"")</f>
        <v>16</v>
      </c>
      <c r="AA3" s="5"/>
      <c r="AB3" s="8">
        <v>0.047558404018386</v>
      </c>
      <c r="AC3" s="6">
        <v>1</v>
      </c>
      <c r="AD3" s="5"/>
      <c r="AE3" s="6">
        <v>168824</v>
      </c>
      <c r="AF3" s="6">
        <v>240445</v>
      </c>
      <c r="AG3" s="6">
        <v>3491</v>
      </c>
      <c r="AH3" s="9">
        <f>IF(AND(ISNUMBER(AG3),ISNUMBER(AF3),AF3&gt;0),AG3/AF3,"")</f>
        <v>0.014518912849092309</v>
      </c>
      <c r="AI3" s="6">
        <v>98752</v>
      </c>
      <c r="AJ3" s="6">
        <v>8412</v>
      </c>
      <c r="AK3" s="5"/>
      <c r="AL3" s="5"/>
      <c r="AM3" s="4" t="s">
        <v>115</v>
      </c>
      <c r="AN3" s="4" t="s">
        <v>131</v>
      </c>
      <c r="AO3" s="4" t="s">
        <v>117</v>
      </c>
      <c r="AP3" s="4" t="s">
        <v>118</v>
      </c>
      <c r="AQ3" s="5"/>
      <c r="AR3" s="5"/>
      <c r="AS3" s="4" t="s">
        <v>132</v>
      </c>
      <c r="AT3" s="4" t="s">
        <v>120</v>
      </c>
      <c r="AU3" s="6">
        <v>16</v>
      </c>
      <c r="AV3" s="4" t="s">
        <v>121</v>
      </c>
      <c r="AW3" s="4" t="s">
        <v>122</v>
      </c>
      <c r="AX3" s="4" t="s">
        <v>123</v>
      </c>
      <c r="AY3" s="4" t="s">
        <v>124</v>
      </c>
      <c r="AZ3" s="4" t="s">
        <v>125</v>
      </c>
      <c r="BA3" s="4"/>
      <c r="BB3" s="7">
        <f>COUNT(H3:Q3)</f>
        <v>10</v>
      </c>
      <c r="BC3" s="7">
        <f>IF(AND(ISNUMBER(R3),ISNUMBER(AU3)),R3-AU3,"")</f>
        <v>0</v>
      </c>
      <c r="BD3" s="4"/>
      <c r="BE3" s="5"/>
      <c r="BF3" s="6">
        <v>1</v>
      </c>
      <c r="BG3" s="5"/>
      <c r="BH3" s="5"/>
      <c r="BI3" s="5"/>
      <c r="BJ3" s="5"/>
      <c r="BK3" s="5"/>
      <c r="BL3" s="5"/>
      <c r="BM3" s="5"/>
      <c r="BN3" s="6">
        <v>0.08518308489954633</v>
      </c>
      <c r="BO3" s="5"/>
      <c r="BP3" s="5"/>
      <c r="BQ3" s="5"/>
      <c r="BR3" s="5"/>
      <c r="BS3" s="5"/>
      <c r="BT3" s="5"/>
      <c r="BU3" s="5"/>
      <c r="BV3" s="4" t="s">
        <v>126</v>
      </c>
      <c r="BW3" s="4" t="s">
        <v>127</v>
      </c>
      <c r="BX3" s="4" t="s">
        <v>128</v>
      </c>
    </row>
    <row r="4" spans="1:76" ht="38" customHeight="1">
      <c r="A4" s="4" t="s">
        <v>133</v>
      </c>
      <c r="B4" s="4" t="s">
        <v>110</v>
      </c>
      <c r="C4" s="5"/>
      <c r="D4" s="6">
        <v>1</v>
      </c>
      <c r="E4" s="4" t="s">
        <v>111</v>
      </c>
      <c r="F4" s="4" t="s">
        <v>134</v>
      </c>
      <c r="G4" s="6">
        <v>1</v>
      </c>
      <c r="H4" s="6">
        <v>2</v>
      </c>
      <c r="I4" s="6">
        <v>2</v>
      </c>
      <c r="J4" s="6">
        <v>2</v>
      </c>
      <c r="K4" s="6">
        <v>2</v>
      </c>
      <c r="L4" s="6">
        <v>1</v>
      </c>
      <c r="M4" s="6">
        <v>0</v>
      </c>
      <c r="N4" s="6">
        <v>0</v>
      </c>
      <c r="O4" s="6">
        <v>1</v>
      </c>
      <c r="P4" s="6">
        <v>3</v>
      </c>
      <c r="Q4" s="6">
        <v>3</v>
      </c>
      <c r="R4" s="7">
        <f>IF(COUNT(H4:Q4)=10,SUM(H4:Q4),"")</f>
        <v>16</v>
      </c>
      <c r="S4" s="7">
        <f>IF(ISNUMBER(R4),R4/30*100,"")</f>
        <v>53.333333333333336</v>
      </c>
      <c r="T4" s="7">
        <f>IF(COUNT(H4:J4,L4)=4,SUM(H4:J4,L4),"")</f>
        <v>7</v>
      </c>
      <c r="U4" s="7">
        <f>IF(COUNT(K4,M4:O4)=4,SUM(K4,M4:O4),"")</f>
        <v>3</v>
      </c>
      <c r="V4" s="7">
        <f>IF(COUNT(P4:Q4)=2,SUM(P4:Q4),"")</f>
        <v>6</v>
      </c>
      <c r="W4" s="4" t="s">
        <v>113</v>
      </c>
      <c r="X4" s="4" t="s">
        <v>114</v>
      </c>
      <c r="Y4" s="6">
        <v>17</v>
      </c>
      <c r="Z4" s="7">
        <f>IF(ISNUMBER(R4),R4,"")</f>
        <v>16</v>
      </c>
      <c r="AA4" s="5"/>
      <c r="AB4" s="8">
        <v>0.00480127635905893</v>
      </c>
      <c r="AC4" s="4" t="s">
        <v>135</v>
      </c>
      <c r="AD4" s="5"/>
      <c r="AE4" s="6">
        <v>102479</v>
      </c>
      <c r="AF4" s="6">
        <v>136718</v>
      </c>
      <c r="AG4" s="6">
        <v>2372</v>
      </c>
      <c r="AH4" s="9">
        <f>IF(AND(ISNUMBER(AG4),ISNUMBER(AF4),AF4&gt;0),AG4/AF4,"")</f>
        <v>0.01734958088912945</v>
      </c>
      <c r="AI4" s="6">
        <v>36934</v>
      </c>
      <c r="AJ4" s="6">
        <v>2793</v>
      </c>
      <c r="AK4" s="5"/>
      <c r="AL4" s="5"/>
      <c r="AM4" s="4" t="s">
        <v>115</v>
      </c>
      <c r="AN4" s="4" t="s">
        <v>131</v>
      </c>
      <c r="AO4" s="4" t="s">
        <v>117</v>
      </c>
      <c r="AP4" s="4" t="s">
        <v>118</v>
      </c>
      <c r="AQ4" s="5"/>
      <c r="AR4" s="5"/>
      <c r="AS4" s="4" t="s">
        <v>136</v>
      </c>
      <c r="AT4" s="4" t="s">
        <v>120</v>
      </c>
      <c r="AU4" s="6">
        <v>16</v>
      </c>
      <c r="AV4" s="4" t="s">
        <v>121</v>
      </c>
      <c r="AW4" s="4" t="s">
        <v>122</v>
      </c>
      <c r="AX4" s="4" t="s">
        <v>123</v>
      </c>
      <c r="AY4" s="4" t="s">
        <v>124</v>
      </c>
      <c r="AZ4" s="4" t="s">
        <v>125</v>
      </c>
      <c r="BA4" s="4"/>
      <c r="BB4" s="7">
        <f>COUNT(H4:Q4)</f>
        <v>10</v>
      </c>
      <c r="BC4" s="7">
        <f>IF(AND(ISNUMBER(R4),ISNUMBER(AU4)),R4-AU4,"")</f>
        <v>0</v>
      </c>
      <c r="BD4" s="4"/>
      <c r="BE4" s="5"/>
      <c r="BF4" s="6">
        <v>1</v>
      </c>
      <c r="BG4" s="5"/>
      <c r="BH4" s="5"/>
      <c r="BI4" s="5"/>
      <c r="BJ4" s="5"/>
      <c r="BK4" s="5"/>
      <c r="BL4" s="5"/>
      <c r="BM4" s="5"/>
      <c r="BN4" s="6">
        <v>0.07562137867547518</v>
      </c>
      <c r="BO4" s="5"/>
      <c r="BP4" s="5"/>
      <c r="BQ4" s="5"/>
      <c r="BR4" s="5"/>
      <c r="BS4" s="5"/>
      <c r="BT4" s="5"/>
      <c r="BU4" s="5"/>
      <c r="BV4" s="4" t="s">
        <v>126</v>
      </c>
      <c r="BW4" s="4" t="s">
        <v>127</v>
      </c>
      <c r="BX4" s="4" t="s">
        <v>137</v>
      </c>
    </row>
    <row r="5" spans="1:76" ht="38" customHeight="1">
      <c r="A5" s="4" t="s">
        <v>138</v>
      </c>
      <c r="B5" s="4" t="s">
        <v>110</v>
      </c>
      <c r="C5" s="5"/>
      <c r="D5" s="6">
        <v>1</v>
      </c>
      <c r="E5" s="4" t="s">
        <v>111</v>
      </c>
      <c r="F5" s="4" t="s">
        <v>112</v>
      </c>
      <c r="G5" s="6">
        <v>1</v>
      </c>
      <c r="H5" s="6">
        <v>2</v>
      </c>
      <c r="I5" s="6">
        <v>2</v>
      </c>
      <c r="J5" s="6">
        <v>3</v>
      </c>
      <c r="K5" s="6">
        <v>3</v>
      </c>
      <c r="L5" s="6">
        <v>1</v>
      </c>
      <c r="M5" s="6">
        <v>2</v>
      </c>
      <c r="N5" s="6">
        <v>0</v>
      </c>
      <c r="O5" s="6">
        <v>2</v>
      </c>
      <c r="P5" s="6">
        <v>3</v>
      </c>
      <c r="Q5" s="6">
        <v>1</v>
      </c>
      <c r="R5" s="7">
        <f>IF(COUNT(H5:Q5)=10,SUM(H5:Q5),"")</f>
        <v>19</v>
      </c>
      <c r="S5" s="7">
        <f>IF(ISNUMBER(R5),R5/30*100,"")</f>
        <v>63.33333333333333</v>
      </c>
      <c r="T5" s="7">
        <f>IF(COUNT(H5:J5,L5)=4,SUM(H5:J5,L5),"")</f>
        <v>8</v>
      </c>
      <c r="U5" s="7">
        <f>IF(COUNT(K5,M5:O5)=4,SUM(K5,M5:O5),"")</f>
        <v>7</v>
      </c>
      <c r="V5" s="7">
        <f>IF(COUNT(P5:Q5)=2,SUM(P5:Q5),"")</f>
        <v>4</v>
      </c>
      <c r="W5" s="4" t="s">
        <v>130</v>
      </c>
      <c r="X5" s="4" t="s">
        <v>114</v>
      </c>
      <c r="Y5" s="6">
        <v>21</v>
      </c>
      <c r="Z5" s="7">
        <f>IF(ISNUMBER(R5),R5,"")</f>
        <v>19</v>
      </c>
      <c r="AA5" s="5"/>
      <c r="AB5" s="8">
        <v>0.0524516746793273</v>
      </c>
      <c r="AC5" s="4" t="s">
        <v>135</v>
      </c>
      <c r="AD5" s="5"/>
      <c r="AE5" s="6">
        <v>50129</v>
      </c>
      <c r="AF5" s="6">
        <v>85766</v>
      </c>
      <c r="AG5" s="6">
        <v>2846</v>
      </c>
      <c r="AH5" s="9">
        <f>IF(AND(ISNUMBER(AG5),ISNUMBER(AF5),AF5&gt;0),AG5/AF5,"")</f>
        <v>0.0331833127346501</v>
      </c>
      <c r="AI5" s="6">
        <v>18406</v>
      </c>
      <c r="AJ5" s="6">
        <v>1312</v>
      </c>
      <c r="AK5" s="5"/>
      <c r="AL5" s="5"/>
      <c r="AM5" s="4" t="s">
        <v>115</v>
      </c>
      <c r="AN5" s="4" t="s">
        <v>139</v>
      </c>
      <c r="AO5" s="4" t="s">
        <v>117</v>
      </c>
      <c r="AP5" s="4" t="s">
        <v>118</v>
      </c>
      <c r="AQ5" s="5"/>
      <c r="AR5" s="5"/>
      <c r="AS5" s="4" t="s">
        <v>140</v>
      </c>
      <c r="AT5" s="4" t="s">
        <v>120</v>
      </c>
      <c r="AU5" s="6">
        <v>19</v>
      </c>
      <c r="AV5" s="4" t="s">
        <v>121</v>
      </c>
      <c r="AW5" s="4" t="s">
        <v>122</v>
      </c>
      <c r="AX5" s="4" t="s">
        <v>123</v>
      </c>
      <c r="AY5" s="4" t="s">
        <v>124</v>
      </c>
      <c r="AZ5" s="4" t="s">
        <v>125</v>
      </c>
      <c r="BA5" s="4"/>
      <c r="BB5" s="7">
        <f>COUNT(H5:Q5)</f>
        <v>10</v>
      </c>
      <c r="BC5" s="7">
        <f>IF(AND(ISNUMBER(R5),ISNUMBER(AU5)),R5-AU5,"")</f>
        <v>0</v>
      </c>
      <c r="BD5" s="4"/>
      <c r="BE5" s="5"/>
      <c r="BF5" s="6">
        <v>0</v>
      </c>
      <c r="BG5" s="5"/>
      <c r="BH5" s="5"/>
      <c r="BI5" s="5"/>
      <c r="BJ5" s="5"/>
      <c r="BK5" s="5"/>
      <c r="BL5" s="5"/>
      <c r="BM5" s="5"/>
      <c r="BN5" s="6">
        <v>0.07128110398783005</v>
      </c>
      <c r="BO5" s="5"/>
      <c r="BP5" s="5"/>
      <c r="BQ5" s="5"/>
      <c r="BR5" s="5"/>
      <c r="BS5" s="5"/>
      <c r="BT5" s="5"/>
      <c r="BU5" s="5"/>
      <c r="BV5" s="4" t="s">
        <v>126</v>
      </c>
      <c r="BW5" s="4" t="s">
        <v>127</v>
      </c>
      <c r="BX5" s="4" t="s">
        <v>137</v>
      </c>
    </row>
    <row r="6" spans="1:76" ht="38" customHeight="1">
      <c r="A6" s="4" t="s">
        <v>141</v>
      </c>
      <c r="B6" s="4" t="s">
        <v>110</v>
      </c>
      <c r="C6" s="5"/>
      <c r="D6" s="6">
        <v>1</v>
      </c>
      <c r="E6" s="4" t="s">
        <v>111</v>
      </c>
      <c r="F6" s="4" t="s">
        <v>112</v>
      </c>
      <c r="G6" s="6">
        <v>1</v>
      </c>
      <c r="H6" s="6">
        <v>3</v>
      </c>
      <c r="I6" s="6">
        <v>2</v>
      </c>
      <c r="J6" s="6">
        <v>2</v>
      </c>
      <c r="K6" s="6">
        <v>2</v>
      </c>
      <c r="L6" s="6">
        <v>2</v>
      </c>
      <c r="M6" s="6">
        <v>0</v>
      </c>
      <c r="N6" s="6">
        <v>0</v>
      </c>
      <c r="O6" s="6">
        <v>1</v>
      </c>
      <c r="P6" s="6">
        <v>3</v>
      </c>
      <c r="Q6" s="6">
        <v>2</v>
      </c>
      <c r="R6" s="7">
        <f>IF(COUNT(H6:Q6)=10,SUM(H6:Q6),"")</f>
        <v>17</v>
      </c>
      <c r="S6" s="7">
        <f>IF(ISNUMBER(R6),R6/30*100,"")</f>
        <v>56.666666666666664</v>
      </c>
      <c r="T6" s="7">
        <f>IF(COUNT(H6:J6,L6)=4,SUM(H6:J6,L6),"")</f>
        <v>9</v>
      </c>
      <c r="U6" s="7">
        <f>IF(COUNT(K6,M6:O6)=4,SUM(K6,M6:O6),"")</f>
        <v>3</v>
      </c>
      <c r="V6" s="7">
        <f>IF(COUNT(P6:Q6)=2,SUM(P6:Q6),"")</f>
        <v>5</v>
      </c>
      <c r="W6" s="4" t="s">
        <v>113</v>
      </c>
      <c r="X6" s="4" t="s">
        <v>114</v>
      </c>
      <c r="Y6" s="6">
        <v>17</v>
      </c>
      <c r="Z6" s="7">
        <f>IF(ISNUMBER(R6),R6,"")</f>
        <v>17</v>
      </c>
      <c r="AA6" s="5"/>
      <c r="AB6" s="8">
        <v>0.147224511599512</v>
      </c>
      <c r="AC6" s="6">
        <v>1</v>
      </c>
      <c r="AD6" s="5"/>
      <c r="AE6" s="6">
        <v>39312</v>
      </c>
      <c r="AF6" s="6">
        <v>35917</v>
      </c>
      <c r="AG6" s="6">
        <v>2500</v>
      </c>
      <c r="AH6" s="9">
        <f>IF(AND(ISNUMBER(AG6),ISNUMBER(AF6),AF6&gt;0),AG6/AF6,"")</f>
        <v>0.06960492246011638</v>
      </c>
      <c r="AI6" s="6">
        <v>6402</v>
      </c>
      <c r="AJ6" s="6">
        <v>612</v>
      </c>
      <c r="AK6" s="5"/>
      <c r="AL6" s="5"/>
      <c r="AM6" s="4" t="s">
        <v>115</v>
      </c>
      <c r="AN6" s="4" t="s">
        <v>131</v>
      </c>
      <c r="AO6" s="4" t="s">
        <v>117</v>
      </c>
      <c r="AP6" s="4" t="s">
        <v>118</v>
      </c>
      <c r="AQ6" s="5"/>
      <c r="AR6" s="5"/>
      <c r="AS6" s="4" t="s">
        <v>142</v>
      </c>
      <c r="AT6" s="4" t="s">
        <v>120</v>
      </c>
      <c r="AU6" s="6">
        <v>17</v>
      </c>
      <c r="AV6" s="4" t="s">
        <v>121</v>
      </c>
      <c r="AW6" s="4" t="s">
        <v>122</v>
      </c>
      <c r="AX6" s="4" t="s">
        <v>123</v>
      </c>
      <c r="AY6" s="4" t="s">
        <v>124</v>
      </c>
      <c r="AZ6" s="4" t="s">
        <v>125</v>
      </c>
      <c r="BA6" s="4"/>
      <c r="BB6" s="7">
        <f>COUNT(H6:Q6)</f>
        <v>10</v>
      </c>
      <c r="BC6" s="7">
        <f>IF(AND(ISNUMBER(R6),ISNUMBER(AU6)),R6-AU6,"")</f>
        <v>0</v>
      </c>
      <c r="BD6" s="4"/>
      <c r="BE6" s="5"/>
      <c r="BF6" s="6">
        <v>1</v>
      </c>
      <c r="BG6" s="5"/>
      <c r="BH6" s="5"/>
      <c r="BI6" s="5"/>
      <c r="BJ6" s="5"/>
      <c r="BK6" s="5"/>
      <c r="BL6" s="5"/>
      <c r="BM6" s="5"/>
      <c r="BN6" s="6">
        <v>0.09559512652296158</v>
      </c>
      <c r="BO6" s="5"/>
      <c r="BP6" s="5"/>
      <c r="BQ6" s="5"/>
      <c r="BR6" s="5"/>
      <c r="BS6" s="5"/>
      <c r="BT6" s="5"/>
      <c r="BU6" s="5"/>
      <c r="BV6" s="4" t="s">
        <v>126</v>
      </c>
      <c r="BW6" s="4" t="s">
        <v>127</v>
      </c>
      <c r="BX6" s="4" t="s">
        <v>128</v>
      </c>
    </row>
    <row r="7" spans="1:76" ht="38" customHeight="1">
      <c r="A7" s="4" t="s">
        <v>143</v>
      </c>
      <c r="B7" s="4" t="s">
        <v>110</v>
      </c>
      <c r="C7" s="5"/>
      <c r="D7" s="6">
        <v>1</v>
      </c>
      <c r="E7" s="4" t="s">
        <v>111</v>
      </c>
      <c r="F7" s="4" t="s">
        <v>134</v>
      </c>
      <c r="G7" s="6">
        <v>1</v>
      </c>
      <c r="H7" s="6">
        <v>3</v>
      </c>
      <c r="I7" s="6">
        <v>2</v>
      </c>
      <c r="J7" s="6">
        <v>1</v>
      </c>
      <c r="K7" s="6">
        <v>1</v>
      </c>
      <c r="L7" s="6">
        <v>1</v>
      </c>
      <c r="M7" s="6">
        <v>1</v>
      </c>
      <c r="N7" s="6">
        <v>0</v>
      </c>
      <c r="O7" s="6">
        <v>1</v>
      </c>
      <c r="P7" s="6">
        <v>3</v>
      </c>
      <c r="Q7" s="6">
        <v>1</v>
      </c>
      <c r="R7" s="7">
        <f>IF(COUNT(H7:Q7)=10,SUM(H7:Q7),"")</f>
        <v>14</v>
      </c>
      <c r="S7" s="7">
        <f>IF(ISNUMBER(R7),R7/30*100,"")</f>
        <v>46.666666666666664</v>
      </c>
      <c r="T7" s="7">
        <f>IF(COUNT(H7:J7,L7)=4,SUM(H7:J7,L7),"")</f>
        <v>7</v>
      </c>
      <c r="U7" s="7">
        <f>IF(COUNT(K7,M7:O7)=4,SUM(K7,M7:O7),"")</f>
        <v>3</v>
      </c>
      <c r="V7" s="7">
        <f>IF(COUNT(P7:Q7)=2,SUM(P7:Q7),"")</f>
        <v>4</v>
      </c>
      <c r="W7" s="5"/>
      <c r="X7" s="4" t="s">
        <v>114</v>
      </c>
      <c r="Y7" s="6">
        <v>14</v>
      </c>
      <c r="Z7" s="7">
        <f>IF(ISNUMBER(R7),R7,"")</f>
        <v>14</v>
      </c>
      <c r="AA7" s="5"/>
      <c r="AB7" s="8">
        <v>0</v>
      </c>
      <c r="AC7" s="4" t="s">
        <v>135</v>
      </c>
      <c r="AD7" s="5"/>
      <c r="AE7" s="6">
        <v>8503</v>
      </c>
      <c r="AF7" s="6">
        <v>28470</v>
      </c>
      <c r="AG7" s="6">
        <v>-2374</v>
      </c>
      <c r="AH7" s="9">
        <f>IF(AND(ISNUMBER(AG7),ISNUMBER(AF7),AF7&gt;0),AG7/AF7,"")</f>
        <v>-0.08338602037232175</v>
      </c>
      <c r="AI7" s="6">
        <v>5909</v>
      </c>
      <c r="AJ7" s="6">
        <v>652</v>
      </c>
      <c r="AK7" s="5"/>
      <c r="AL7" s="5"/>
      <c r="AM7" s="4" t="s">
        <v>144</v>
      </c>
      <c r="AN7" s="4" t="s">
        <v>145</v>
      </c>
      <c r="AO7" s="4" t="s">
        <v>117</v>
      </c>
      <c r="AP7" s="4" t="s">
        <v>118</v>
      </c>
      <c r="AQ7" s="5"/>
      <c r="AR7" s="5"/>
      <c r="AS7" s="4" t="s">
        <v>146</v>
      </c>
      <c r="AT7" s="4" t="s">
        <v>120</v>
      </c>
      <c r="AU7" s="6">
        <v>14</v>
      </c>
      <c r="AV7" s="4" t="s">
        <v>121</v>
      </c>
      <c r="AW7" s="4" t="s">
        <v>122</v>
      </c>
      <c r="AX7" s="4" t="s">
        <v>123</v>
      </c>
      <c r="AY7" s="4" t="s">
        <v>124</v>
      </c>
      <c r="AZ7" s="4" t="s">
        <v>125</v>
      </c>
      <c r="BA7" s="4"/>
      <c r="BB7" s="7">
        <f>COUNT(H7:Q7)</f>
        <v>10</v>
      </c>
      <c r="BC7" s="7">
        <f>IF(AND(ISNUMBER(R7),ISNUMBER(AU7)),R7-AU7,"")</f>
        <v>0</v>
      </c>
      <c r="BD7" s="4"/>
      <c r="BE7" s="5"/>
      <c r="BF7" s="6">
        <v>0</v>
      </c>
      <c r="BG7" s="5"/>
      <c r="BH7" s="5"/>
      <c r="BI7" s="5"/>
      <c r="BJ7" s="5"/>
      <c r="BK7" s="5"/>
      <c r="BL7" s="5"/>
      <c r="BM7" s="5"/>
      <c r="BN7" s="6">
        <v>0.1103401590793704</v>
      </c>
      <c r="BO7" s="5"/>
      <c r="BP7" s="5"/>
      <c r="BQ7" s="5"/>
      <c r="BR7" s="5"/>
      <c r="BS7" s="5"/>
      <c r="BT7" s="5"/>
      <c r="BU7" s="5"/>
      <c r="BV7" s="4" t="s">
        <v>126</v>
      </c>
      <c r="BW7" s="4" t="s">
        <v>127</v>
      </c>
      <c r="BX7" s="4" t="s">
        <v>147</v>
      </c>
    </row>
    <row r="8" spans="1:76" ht="38" customHeight="1">
      <c r="A8" s="4" t="s">
        <v>148</v>
      </c>
      <c r="B8" s="4" t="s">
        <v>110</v>
      </c>
      <c r="C8" s="5"/>
      <c r="D8" s="6">
        <v>1</v>
      </c>
      <c r="E8" s="4" t="s">
        <v>111</v>
      </c>
      <c r="F8" s="4" t="s">
        <v>112</v>
      </c>
      <c r="G8" s="6">
        <v>1</v>
      </c>
      <c r="H8" s="6">
        <v>2</v>
      </c>
      <c r="I8" s="6">
        <v>1</v>
      </c>
      <c r="J8" s="6">
        <v>0</v>
      </c>
      <c r="K8" s="6">
        <v>0</v>
      </c>
      <c r="L8" s="6">
        <v>0</v>
      </c>
      <c r="M8" s="6">
        <v>1</v>
      </c>
      <c r="N8" s="6">
        <v>0</v>
      </c>
      <c r="O8" s="6">
        <v>1</v>
      </c>
      <c r="P8" s="6">
        <v>0</v>
      </c>
      <c r="Q8" s="6">
        <v>1</v>
      </c>
      <c r="R8" s="7">
        <f>IF(COUNT(H8:Q8)=10,SUM(H8:Q8),"")</f>
        <v>6</v>
      </c>
      <c r="S8" s="7">
        <f>IF(ISNUMBER(R8),R8/30*100,"")</f>
        <v>20.0</v>
      </c>
      <c r="T8" s="7">
        <f>IF(COUNT(H8:J8,L8)=4,SUM(H8:J8,L8),"")</f>
        <v>3</v>
      </c>
      <c r="U8" s="7">
        <f>IF(COUNT(K8,M8:O8)=4,SUM(K8,M8:O8),"")</f>
        <v>2</v>
      </c>
      <c r="V8" s="7">
        <f>IF(COUNT(P8:Q8)=2,SUM(P8:Q8),"")</f>
        <v>1</v>
      </c>
      <c r="W8" s="4" t="s">
        <v>113</v>
      </c>
      <c r="X8" s="4" t="s">
        <v>114</v>
      </c>
      <c r="Y8" s="6">
        <v>6</v>
      </c>
      <c r="Z8" s="7">
        <f>IF(ISNUMBER(R8),R8,"")</f>
        <v>6</v>
      </c>
      <c r="AA8" s="5"/>
      <c r="AB8" s="8">
        <v>0.00548685427401242</v>
      </c>
      <c r="AC8" s="4" t="s">
        <v>135</v>
      </c>
      <c r="AD8" s="5"/>
      <c r="AE8" s="6">
        <v>15138</v>
      </c>
      <c r="AF8" s="6">
        <v>16320</v>
      </c>
      <c r="AG8" s="6">
        <v>909</v>
      </c>
      <c r="AH8" s="9">
        <f>IF(AND(ISNUMBER(AG8),ISNUMBER(AF8),AF8&gt;0),AG8/AF8,"")</f>
        <v>0.05569852941176471</v>
      </c>
      <c r="AI8" s="6">
        <v>789</v>
      </c>
      <c r="AJ8" s="6">
        <v>144</v>
      </c>
      <c r="AK8" s="5"/>
      <c r="AL8" s="5"/>
      <c r="AM8" s="4" t="s">
        <v>144</v>
      </c>
      <c r="AN8" s="4" t="s">
        <v>149</v>
      </c>
      <c r="AO8" s="4" t="s">
        <v>117</v>
      </c>
      <c r="AP8" s="4" t="s">
        <v>118</v>
      </c>
      <c r="AQ8" s="5"/>
      <c r="AR8" s="5"/>
      <c r="AS8" s="4" t="s">
        <v>150</v>
      </c>
      <c r="AT8" s="4" t="s">
        <v>120</v>
      </c>
      <c r="AU8" s="6">
        <v>6</v>
      </c>
      <c r="AV8" s="4" t="s">
        <v>121</v>
      </c>
      <c r="AW8" s="4" t="s">
        <v>122</v>
      </c>
      <c r="AX8" s="4" t="s">
        <v>123</v>
      </c>
      <c r="AY8" s="4" t="s">
        <v>124</v>
      </c>
      <c r="AZ8" s="4" t="s">
        <v>125</v>
      </c>
      <c r="BA8" s="4"/>
      <c r="BB8" s="7">
        <f>COUNT(H8:Q8)</f>
        <v>10</v>
      </c>
      <c r="BC8" s="7">
        <f>IF(AND(ISNUMBER(R8),ISNUMBER(AU8)),R8-AU8,"")</f>
        <v>0</v>
      </c>
      <c r="BD8" s="4"/>
      <c r="BE8" s="5"/>
      <c r="BF8" s="6">
        <v>1</v>
      </c>
      <c r="BG8" s="5"/>
      <c r="BH8" s="5"/>
      <c r="BI8" s="5"/>
      <c r="BJ8" s="5"/>
      <c r="BK8" s="5"/>
      <c r="BL8" s="5"/>
      <c r="BM8" s="5"/>
      <c r="BN8" s="6">
        <v>0.1825095057034221</v>
      </c>
      <c r="BO8" s="5"/>
      <c r="BP8" s="5"/>
      <c r="BQ8" s="5"/>
      <c r="BR8" s="5"/>
      <c r="BS8" s="5"/>
      <c r="BT8" s="5"/>
      <c r="BU8" s="5"/>
      <c r="BV8" s="4" t="s">
        <v>126</v>
      </c>
      <c r="BW8" s="4" t="s">
        <v>127</v>
      </c>
      <c r="BX8" s="4" t="s">
        <v>137</v>
      </c>
    </row>
    <row r="9" spans="1:76" ht="38" customHeight="1">
      <c r="A9" s="4" t="s">
        <v>151</v>
      </c>
      <c r="B9" s="4" t="s">
        <v>110</v>
      </c>
      <c r="C9" s="5"/>
      <c r="D9" s="6">
        <v>1</v>
      </c>
      <c r="E9" s="4" t="s">
        <v>111</v>
      </c>
      <c r="F9" s="4" t="s">
        <v>112</v>
      </c>
      <c r="G9" s="6">
        <v>1</v>
      </c>
      <c r="H9" s="6">
        <v>3</v>
      </c>
      <c r="I9" s="6">
        <v>0</v>
      </c>
      <c r="J9" s="6">
        <v>0</v>
      </c>
      <c r="K9" s="6">
        <v>2</v>
      </c>
      <c r="L9" s="6">
        <v>2</v>
      </c>
      <c r="M9" s="6">
        <v>2</v>
      </c>
      <c r="N9" s="6">
        <v>0</v>
      </c>
      <c r="O9" s="6">
        <v>1</v>
      </c>
      <c r="P9" s="6">
        <v>1</v>
      </c>
      <c r="Q9" s="6">
        <v>2</v>
      </c>
      <c r="R9" s="7">
        <f>IF(COUNT(H9:Q9)=10,SUM(H9:Q9),"")</f>
        <v>13</v>
      </c>
      <c r="S9" s="7">
        <f>IF(ISNUMBER(R9),R9/30*100,"")</f>
        <v>43.333333333333336</v>
      </c>
      <c r="T9" s="7">
        <f>IF(COUNT(H9:J9,L9)=4,SUM(H9:J9,L9),"")</f>
        <v>5</v>
      </c>
      <c r="U9" s="7">
        <f>IF(COUNT(K9,M9:O9)=4,SUM(K9,M9:O9),"")</f>
        <v>5</v>
      </c>
      <c r="V9" s="7">
        <f>IF(COUNT(P9:Q9)=2,SUM(P9:Q9),"")</f>
        <v>3</v>
      </c>
      <c r="W9" s="4" t="s">
        <v>113</v>
      </c>
      <c r="X9" s="4" t="s">
        <v>114</v>
      </c>
      <c r="Y9" s="6">
        <v>17</v>
      </c>
      <c r="Z9" s="7">
        <f>IF(ISNUMBER(R9),R9,"")</f>
        <v>13</v>
      </c>
      <c r="AA9" s="5"/>
      <c r="AB9" s="8">
        <v>0.0132986589728279</v>
      </c>
      <c r="AC9" s="4" t="s">
        <v>135</v>
      </c>
      <c r="AD9" s="5"/>
      <c r="AE9" s="6">
        <v>5375.73</v>
      </c>
      <c r="AF9" s="6">
        <v>6157</v>
      </c>
      <c r="AG9" s="6">
        <v>813</v>
      </c>
      <c r="AH9" s="9">
        <f>IF(AND(ISNUMBER(AG9),ISNUMBER(AF9),AF9&gt;0),AG9/AF9,"")</f>
        <v>0.1320448270261491</v>
      </c>
      <c r="AI9" s="6">
        <v>309</v>
      </c>
      <c r="AJ9" s="6">
        <v>55.39</v>
      </c>
      <c r="AK9" s="5"/>
      <c r="AL9" s="5"/>
      <c r="AM9" s="4" t="s">
        <v>144</v>
      </c>
      <c r="AN9" s="4" t="s">
        <v>116</v>
      </c>
      <c r="AO9" s="4" t="s">
        <v>117</v>
      </c>
      <c r="AP9" s="4" t="s">
        <v>118</v>
      </c>
      <c r="AQ9" s="5"/>
      <c r="AR9" s="5"/>
      <c r="AS9" s="4" t="s">
        <v>152</v>
      </c>
      <c r="AT9" s="4" t="s">
        <v>120</v>
      </c>
      <c r="AU9" s="6">
        <v>13</v>
      </c>
      <c r="AV9" s="4" t="s">
        <v>121</v>
      </c>
      <c r="AW9" s="4" t="s">
        <v>122</v>
      </c>
      <c r="AX9" s="4" t="s">
        <v>123</v>
      </c>
      <c r="AY9" s="4" t="s">
        <v>124</v>
      </c>
      <c r="AZ9" s="4" t="s">
        <v>125</v>
      </c>
      <c r="BA9" s="4"/>
      <c r="BB9" s="7">
        <f>COUNT(H9:Q9)</f>
        <v>10</v>
      </c>
      <c r="BC9" s="7">
        <f>IF(AND(ISNUMBER(R9),ISNUMBER(AU9)),R9-AU9,"")</f>
        <v>0</v>
      </c>
      <c r="BD9" s="4"/>
      <c r="BE9" s="5"/>
      <c r="BF9" s="6">
        <v>0</v>
      </c>
      <c r="BG9" s="5"/>
      <c r="BH9" s="5"/>
      <c r="BI9" s="5"/>
      <c r="BJ9" s="5"/>
      <c r="BK9" s="5"/>
      <c r="BL9" s="5"/>
      <c r="BM9" s="5"/>
      <c r="BN9" s="6">
        <v>0.1792556634304207</v>
      </c>
      <c r="BO9" s="5"/>
      <c r="BP9" s="5"/>
      <c r="BQ9" s="5"/>
      <c r="BR9" s="5"/>
      <c r="BS9" s="5"/>
      <c r="BT9" s="5"/>
      <c r="BU9" s="5"/>
      <c r="BV9" s="4" t="s">
        <v>126</v>
      </c>
      <c r="BW9" s="4" t="s">
        <v>127</v>
      </c>
      <c r="BX9" s="4" t="s">
        <v>137</v>
      </c>
    </row>
    <row r="10" spans="1:76" ht="38" customHeight="1">
      <c r="A10" s="4" t="s">
        <v>153</v>
      </c>
      <c r="B10" s="4" t="s">
        <v>110</v>
      </c>
      <c r="C10" s="5"/>
      <c r="D10" s="6">
        <v>1</v>
      </c>
      <c r="E10" s="4" t="s">
        <v>111</v>
      </c>
      <c r="F10" s="4" t="s">
        <v>112</v>
      </c>
      <c r="G10" s="6">
        <v>1</v>
      </c>
      <c r="H10" s="6">
        <v>2</v>
      </c>
      <c r="I10" s="6">
        <v>0</v>
      </c>
      <c r="J10" s="6">
        <v>0</v>
      </c>
      <c r="K10" s="6">
        <v>0</v>
      </c>
      <c r="L10" s="6">
        <v>0</v>
      </c>
      <c r="M10" s="6">
        <v>2</v>
      </c>
      <c r="N10" s="6">
        <v>0</v>
      </c>
      <c r="O10" s="6">
        <v>0</v>
      </c>
      <c r="P10" s="6">
        <v>0</v>
      </c>
      <c r="Q10" s="6">
        <v>1</v>
      </c>
      <c r="R10" s="7">
        <f>IF(COUNT(H10:Q10)=10,SUM(H10:Q10),"")</f>
        <v>5</v>
      </c>
      <c r="S10" s="7">
        <f>IF(ISNUMBER(R10),R10/30*100,"")</f>
        <v>16.666666666666664</v>
      </c>
      <c r="T10" s="7">
        <f>IF(COUNT(H10:J10,L10)=4,SUM(H10:J10,L10),"")</f>
        <v>2</v>
      </c>
      <c r="U10" s="7">
        <f>IF(COUNT(K10,M10:O10)=4,SUM(K10,M10:O10),"")</f>
        <v>2</v>
      </c>
      <c r="V10" s="7">
        <f>IF(COUNT(P10:Q10)=2,SUM(P10:Q10),"")</f>
        <v>1</v>
      </c>
      <c r="W10" s="4" t="s">
        <v>130</v>
      </c>
      <c r="X10" s="4" t="s">
        <v>114</v>
      </c>
      <c r="Y10" s="6">
        <v>5</v>
      </c>
      <c r="Z10" s="7">
        <f>IF(ISNUMBER(R10),R10,"")</f>
        <v>5</v>
      </c>
      <c r="AA10" s="5"/>
      <c r="AB10" s="8">
        <v>0.00704793138244198</v>
      </c>
      <c r="AC10" s="4" t="s">
        <v>135</v>
      </c>
      <c r="AD10" s="6">
        <v>1</v>
      </c>
      <c r="AE10" s="6">
        <v>1982</v>
      </c>
      <c r="AF10" s="6">
        <v>2732</v>
      </c>
      <c r="AG10" s="6">
        <v>256</v>
      </c>
      <c r="AH10" s="9">
        <f>IF(AND(ISNUMBER(AG10),ISNUMBER(AF10),AF10&gt;0),AG10/AF10,"")</f>
        <v>0.09370424597364568</v>
      </c>
      <c r="AI10" s="6">
        <v>438</v>
      </c>
      <c r="AJ10" s="6">
        <v>19</v>
      </c>
      <c r="AK10" s="5"/>
      <c r="AL10" s="5"/>
      <c r="AM10" s="4" t="s">
        <v>144</v>
      </c>
      <c r="AN10" s="4" t="s">
        <v>116</v>
      </c>
      <c r="AO10" s="4" t="s">
        <v>117</v>
      </c>
      <c r="AP10" s="4" t="s">
        <v>118</v>
      </c>
      <c r="AQ10" s="5"/>
      <c r="AR10" s="5"/>
      <c r="AS10" s="4" t="s">
        <v>154</v>
      </c>
      <c r="AT10" s="4" t="s">
        <v>120</v>
      </c>
      <c r="AU10" s="6">
        <v>5</v>
      </c>
      <c r="AV10" s="4" t="s">
        <v>121</v>
      </c>
      <c r="AW10" s="4" t="s">
        <v>122</v>
      </c>
      <c r="AX10" s="4" t="s">
        <v>123</v>
      </c>
      <c r="AY10" s="4" t="s">
        <v>124</v>
      </c>
      <c r="AZ10" s="4" t="s">
        <v>125</v>
      </c>
      <c r="BA10" s="4"/>
      <c r="BB10" s="7">
        <f>COUNT(H10:Q10)</f>
        <v>10</v>
      </c>
      <c r="BC10" s="7">
        <f>IF(AND(ISNUMBER(R10),ISNUMBER(AU10)),R10-AU10,"")</f>
        <v>0</v>
      </c>
      <c r="BD10" s="4"/>
      <c r="BE10" s="5"/>
      <c r="BF10" s="6">
        <v>0</v>
      </c>
      <c r="BG10" s="5"/>
      <c r="BH10" s="5"/>
      <c r="BI10" s="5"/>
      <c r="BJ10" s="5"/>
      <c r="BK10" s="5"/>
      <c r="BL10" s="5"/>
      <c r="BM10" s="5"/>
      <c r="BN10" s="6">
        <v>0.04337899543378995</v>
      </c>
      <c r="BO10" s="5"/>
      <c r="BP10" s="5"/>
      <c r="BQ10" s="5"/>
      <c r="BR10" s="5"/>
      <c r="BS10" s="5"/>
      <c r="BT10" s="5"/>
      <c r="BU10" s="5"/>
      <c r="BV10" s="4" t="s">
        <v>126</v>
      </c>
      <c r="BW10" s="4" t="s">
        <v>127</v>
      </c>
      <c r="BX10" s="4" t="s">
        <v>155</v>
      </c>
    </row>
    <row r="11" spans="1:76" ht="38" customHeight="1">
      <c r="A11" s="4" t="s">
        <v>156</v>
      </c>
      <c r="B11" s="4" t="s">
        <v>157</v>
      </c>
      <c r="C11" s="5"/>
      <c r="D11" s="6">
        <v>1</v>
      </c>
      <c r="E11" s="5"/>
      <c r="F11" s="5"/>
      <c r="G11" s="6">
        <v>1</v>
      </c>
      <c r="H11" s="6">
        <v>3</v>
      </c>
      <c r="I11" s="6">
        <v>3</v>
      </c>
      <c r="J11" s="6">
        <v>3</v>
      </c>
      <c r="K11" s="6">
        <v>3</v>
      </c>
      <c r="L11" s="6">
        <v>2</v>
      </c>
      <c r="M11" s="6">
        <v>2</v>
      </c>
      <c r="N11" s="6">
        <v>0</v>
      </c>
      <c r="O11" s="6">
        <v>2</v>
      </c>
      <c r="P11" s="6">
        <v>3</v>
      </c>
      <c r="Q11" s="6">
        <v>2</v>
      </c>
      <c r="R11" s="7">
        <f>IF(COUNT(H11:Q11)=10,SUM(H11:Q11),"")</f>
        <v>23</v>
      </c>
      <c r="S11" s="7">
        <f>IF(ISNUMBER(R11),R11/30*100,"")</f>
        <v>76.66666666666667</v>
      </c>
      <c r="T11" s="7">
        <f>IF(COUNT(H11:J11,L11)=4,SUM(H11:J11,L11),"")</f>
        <v>11</v>
      </c>
      <c r="U11" s="7">
        <f>IF(COUNT(K11,M11:O11)=4,SUM(K11,M11:O11),"")</f>
        <v>7</v>
      </c>
      <c r="V11" s="7">
        <f>IF(COUNT(P11:Q11)=2,SUM(P11:Q11),"")</f>
        <v>5</v>
      </c>
      <c r="W11" s="4" t="s">
        <v>158</v>
      </c>
      <c r="X11" s="5"/>
      <c r="Y11" s="5"/>
      <c r="Z11" s="5"/>
      <c r="AA11" s="6">
        <v>1</v>
      </c>
      <c r="AB11" s="5"/>
      <c r="AC11" s="4" t="s">
        <v>135</v>
      </c>
      <c r="AD11" s="5"/>
      <c r="AE11" s="5"/>
      <c r="AF11" s="5"/>
      <c r="AG11" s="5"/>
      <c r="AH11" s="9">
        <f>IF(AND(ISNUMBER(AG11),ISNUMBER(AF11),AF11&gt;0),AG11/AF11,"")</f>
        <v/>
      </c>
      <c r="AI11" s="5"/>
      <c r="AJ11" s="5"/>
      <c r="AK11" s="5"/>
      <c r="AL11" s="5"/>
      <c r="AM11" s="5"/>
      <c r="AN11" s="4" t="s">
        <v>159</v>
      </c>
      <c r="AO11" s="5"/>
      <c r="AP11" s="4" t="s">
        <v>118</v>
      </c>
      <c r="AQ11" s="5"/>
      <c r="AR11" s="5"/>
      <c r="AS11" s="4" t="s">
        <v>160</v>
      </c>
      <c r="AT11" s="4" t="s">
        <v>161</v>
      </c>
      <c r="AU11" s="6">
        <v>23</v>
      </c>
      <c r="AV11" s="4" t="s">
        <v>162</v>
      </c>
      <c r="AW11" s="4" t="s">
        <v>163</v>
      </c>
      <c r="AX11" s="4" t="s">
        <v>123</v>
      </c>
      <c r="AY11" s="4" t="s">
        <v>124</v>
      </c>
      <c r="AZ11" s="4" t="s">
        <v>164</v>
      </c>
      <c r="BA11" s="4"/>
      <c r="BB11" s="7">
        <f>COUNT(H11:Q11)</f>
        <v>10</v>
      </c>
      <c r="BC11" s="7">
        <f>IF(AND(ISNUMBER(R11),ISNUMBER(AU11)),R11-AU11,"")</f>
        <v>0</v>
      </c>
      <c r="BD11" s="4"/>
      <c r="BE11" s="5"/>
      <c r="BF11" s="5"/>
      <c r="BG11" s="5"/>
      <c r="BH11" s="6">
        <v>12</v>
      </c>
      <c r="BI11" s="5"/>
      <c r="BJ11" s="5"/>
      <c r="BK11" s="5"/>
      <c r="BL11" s="5"/>
      <c r="BM11" s="5"/>
      <c r="BN11" s="5"/>
      <c r="BO11" s="4" t="s">
        <v>165</v>
      </c>
      <c r="BP11" s="5"/>
      <c r="BQ11" s="5"/>
      <c r="BR11" s="5"/>
      <c r="BS11" s="5"/>
      <c r="BT11" s="5"/>
      <c r="BU11" s="5"/>
      <c r="BV11" s="4" t="s">
        <v>126</v>
      </c>
      <c r="BW11" s="4" t="s">
        <v>166</v>
      </c>
      <c r="BX11" s="4" t="s">
        <v>167</v>
      </c>
    </row>
    <row r="12" spans="1:76" ht="38" customHeight="1">
      <c r="A12" s="4" t="s">
        <v>168</v>
      </c>
      <c r="B12" s="4" t="s">
        <v>157</v>
      </c>
      <c r="C12" s="5"/>
      <c r="D12" s="6">
        <v>1</v>
      </c>
      <c r="E12" s="5"/>
      <c r="F12" s="5"/>
      <c r="G12" s="6">
        <v>1</v>
      </c>
      <c r="H12" s="6">
        <v>3</v>
      </c>
      <c r="I12" s="6">
        <v>3</v>
      </c>
      <c r="J12" s="6">
        <v>3</v>
      </c>
      <c r="K12" s="6">
        <v>3</v>
      </c>
      <c r="L12" s="6">
        <v>2</v>
      </c>
      <c r="M12" s="6">
        <v>2</v>
      </c>
      <c r="N12" s="6">
        <v>0</v>
      </c>
      <c r="O12" s="6">
        <v>1</v>
      </c>
      <c r="P12" s="6">
        <v>3</v>
      </c>
      <c r="Q12" s="6">
        <v>2</v>
      </c>
      <c r="R12" s="7">
        <f>IF(COUNT(H12:Q12)=10,SUM(H12:Q12),"")</f>
        <v>22</v>
      </c>
      <c r="S12" s="7">
        <f>IF(ISNUMBER(R12),R12/30*100,"")</f>
        <v>73.33333333333333</v>
      </c>
      <c r="T12" s="7">
        <f>IF(COUNT(H12:J12,L12)=4,SUM(H12:J12,L12),"")</f>
        <v>11</v>
      </c>
      <c r="U12" s="7">
        <f>IF(COUNT(K12,M12:O12)=4,SUM(K12,M12:O12),"")</f>
        <v>6</v>
      </c>
      <c r="V12" s="7">
        <f>IF(COUNT(P12:Q12)=2,SUM(P12:Q12),"")</f>
        <v>5</v>
      </c>
      <c r="W12" s="4" t="s">
        <v>158</v>
      </c>
      <c r="X12" s="5"/>
      <c r="Y12" s="5"/>
      <c r="Z12" s="5"/>
      <c r="AA12" s="6">
        <v>1</v>
      </c>
      <c r="AB12" s="8">
        <v>0</v>
      </c>
      <c r="AC12" s="4" t="s">
        <v>135</v>
      </c>
      <c r="AD12" s="5"/>
      <c r="AE12" s="5"/>
      <c r="AF12" s="5"/>
      <c r="AG12" s="5"/>
      <c r="AH12" s="9">
        <f>IF(AND(ISNUMBER(AG12),ISNUMBER(AF12),AF12&gt;0),AG12/AF12,"")</f>
        <v/>
      </c>
      <c r="AI12" s="5"/>
      <c r="AJ12" s="5"/>
      <c r="AK12" s="5"/>
      <c r="AL12" s="5"/>
      <c r="AM12" s="5"/>
      <c r="AN12" s="4" t="s">
        <v>169</v>
      </c>
      <c r="AO12" s="5"/>
      <c r="AP12" s="4" t="s">
        <v>118</v>
      </c>
      <c r="AQ12" s="5"/>
      <c r="AR12" s="5"/>
      <c r="AS12" s="4" t="s">
        <v>170</v>
      </c>
      <c r="AT12" s="4" t="s">
        <v>161</v>
      </c>
      <c r="AU12" s="6">
        <v>22</v>
      </c>
      <c r="AV12" s="4" t="s">
        <v>162</v>
      </c>
      <c r="AW12" s="4" t="s">
        <v>163</v>
      </c>
      <c r="AX12" s="4" t="s">
        <v>123</v>
      </c>
      <c r="AY12" s="4" t="s">
        <v>124</v>
      </c>
      <c r="AZ12" s="4" t="s">
        <v>164</v>
      </c>
      <c r="BA12" s="4"/>
      <c r="BB12" s="7">
        <f>COUNT(H12:Q12)</f>
        <v>10</v>
      </c>
      <c r="BC12" s="7">
        <f>IF(AND(ISNUMBER(R12),ISNUMBER(AU12)),R12-AU12,"")</f>
        <v>0</v>
      </c>
      <c r="BD12" s="4"/>
      <c r="BE12" s="5"/>
      <c r="BF12" s="5"/>
      <c r="BG12" s="5"/>
      <c r="BH12" s="6">
        <v>7</v>
      </c>
      <c r="BI12" s="5"/>
      <c r="BJ12" s="5"/>
      <c r="BK12" s="5"/>
      <c r="BL12" s="5"/>
      <c r="BM12" s="5"/>
      <c r="BN12" s="5"/>
      <c r="BO12" s="5"/>
      <c r="BP12" s="5"/>
      <c r="BQ12" s="5"/>
      <c r="BR12" s="5"/>
      <c r="BS12" s="5"/>
      <c r="BT12" s="5"/>
      <c r="BU12" s="5"/>
      <c r="BV12" s="4" t="s">
        <v>126</v>
      </c>
      <c r="BW12" s="4" t="s">
        <v>166</v>
      </c>
      <c r="BX12" s="4" t="s">
        <v>171</v>
      </c>
    </row>
    <row r="13" spans="1:76" ht="38" customHeight="1">
      <c r="A13" s="4" t="s">
        <v>172</v>
      </c>
      <c r="B13" s="4" t="s">
        <v>157</v>
      </c>
      <c r="C13" s="5"/>
      <c r="D13" s="6">
        <v>1</v>
      </c>
      <c r="E13" s="5"/>
      <c r="F13" s="5"/>
      <c r="G13" s="6">
        <v>1</v>
      </c>
      <c r="H13" s="6">
        <v>3</v>
      </c>
      <c r="I13" s="6">
        <v>2</v>
      </c>
      <c r="J13" s="6">
        <v>3</v>
      </c>
      <c r="K13" s="6">
        <v>3</v>
      </c>
      <c r="L13" s="6">
        <v>2</v>
      </c>
      <c r="M13" s="6">
        <v>2</v>
      </c>
      <c r="N13" s="6">
        <v>3</v>
      </c>
      <c r="O13" s="6">
        <v>3</v>
      </c>
      <c r="P13" s="6">
        <v>2</v>
      </c>
      <c r="Q13" s="6">
        <v>2</v>
      </c>
      <c r="R13" s="7">
        <f>IF(COUNT(H13:Q13)=10,SUM(H13:Q13),"")</f>
        <v>25</v>
      </c>
      <c r="S13" s="7">
        <f>IF(ISNUMBER(R13),R13/30*100,"")</f>
        <v>83.33333333333334</v>
      </c>
      <c r="T13" s="7">
        <f>IF(COUNT(H13:J13,L13)=4,SUM(H13:J13,L13),"")</f>
        <v>10</v>
      </c>
      <c r="U13" s="7">
        <f>IF(COUNT(K13,M13:O13)=4,SUM(K13,M13:O13),"")</f>
        <v>11</v>
      </c>
      <c r="V13" s="7">
        <f>IF(COUNT(P13:Q13)=2,SUM(P13:Q13),"")</f>
        <v>4</v>
      </c>
      <c r="W13" s="4" t="s">
        <v>173</v>
      </c>
      <c r="X13" s="5"/>
      <c r="Y13" s="5"/>
      <c r="Z13" s="5"/>
      <c r="AA13" s="6">
        <v>1</v>
      </c>
      <c r="AB13" s="8">
        <v>0</v>
      </c>
      <c r="AC13" s="4" t="s">
        <v>135</v>
      </c>
      <c r="AD13" s="6">
        <v>1</v>
      </c>
      <c r="AE13" s="5"/>
      <c r="AF13" s="5"/>
      <c r="AG13" s="5"/>
      <c r="AH13" s="9">
        <f>IF(AND(ISNUMBER(AG13),ISNUMBER(AF13),AF13&gt;0),AG13/AF13,"")</f>
        <v/>
      </c>
      <c r="AI13" s="5"/>
      <c r="AJ13" s="5"/>
      <c r="AK13" s="5"/>
      <c r="AL13" s="5"/>
      <c r="AM13" s="5"/>
      <c r="AN13" s="4" t="s">
        <v>174</v>
      </c>
      <c r="AO13" s="5"/>
      <c r="AP13" s="4" t="s">
        <v>118</v>
      </c>
      <c r="AQ13" s="5"/>
      <c r="AR13" s="5"/>
      <c r="AS13" s="4" t="s">
        <v>175</v>
      </c>
      <c r="AT13" s="4" t="s">
        <v>161</v>
      </c>
      <c r="AU13" s="6">
        <v>25</v>
      </c>
      <c r="AV13" s="4" t="s">
        <v>162</v>
      </c>
      <c r="AW13" s="4" t="s">
        <v>163</v>
      </c>
      <c r="AX13" s="4" t="s">
        <v>123</v>
      </c>
      <c r="AY13" s="4" t="s">
        <v>124</v>
      </c>
      <c r="AZ13" s="4" t="s">
        <v>164</v>
      </c>
      <c r="BA13" s="4"/>
      <c r="BB13" s="7">
        <f>COUNT(H13:Q13)</f>
        <v>10</v>
      </c>
      <c r="BC13" s="7">
        <f>IF(AND(ISNUMBER(R13),ISNUMBER(AU13)),R13-AU13,"")</f>
        <v>0</v>
      </c>
      <c r="BD13" s="4"/>
      <c r="BE13" s="5"/>
      <c r="BF13" s="5"/>
      <c r="BG13" s="5"/>
      <c r="BH13" s="5"/>
      <c r="BI13" s="5"/>
      <c r="BJ13" s="5"/>
      <c r="BK13" s="5"/>
      <c r="BL13" s="5"/>
      <c r="BM13" s="5"/>
      <c r="BN13" s="5"/>
      <c r="BO13" s="5"/>
      <c r="BP13" s="5"/>
      <c r="BQ13" s="5"/>
      <c r="BR13" s="5"/>
      <c r="BS13" s="5"/>
      <c r="BT13" s="5"/>
      <c r="BU13" s="5"/>
      <c r="BV13" s="4" t="s">
        <v>126</v>
      </c>
      <c r="BW13" s="4" t="s">
        <v>166</v>
      </c>
      <c r="BX13" s="4" t="s">
        <v>176</v>
      </c>
    </row>
    <row r="14" spans="1:76" ht="38" customHeight="1">
      <c r="A14" s="4" t="s">
        <v>177</v>
      </c>
      <c r="B14" s="4" t="s">
        <v>157</v>
      </c>
      <c r="C14" s="5"/>
      <c r="D14" s="6">
        <v>1</v>
      </c>
      <c r="E14" s="5"/>
      <c r="F14" s="5"/>
      <c r="G14" s="6">
        <v>1</v>
      </c>
      <c r="H14" s="6">
        <v>3</v>
      </c>
      <c r="I14" s="6">
        <v>3</v>
      </c>
      <c r="J14" s="6">
        <v>3</v>
      </c>
      <c r="K14" s="6">
        <v>3</v>
      </c>
      <c r="L14" s="6">
        <v>3</v>
      </c>
      <c r="M14" s="6">
        <v>3</v>
      </c>
      <c r="N14" s="6">
        <v>3</v>
      </c>
      <c r="O14" s="6">
        <v>3</v>
      </c>
      <c r="P14" s="6">
        <v>3</v>
      </c>
      <c r="Q14" s="6">
        <v>2</v>
      </c>
      <c r="R14" s="7">
        <f>IF(COUNT(H14:Q14)=10,SUM(H14:Q14),"")</f>
        <v>29</v>
      </c>
      <c r="S14" s="7">
        <f>IF(ISNUMBER(R14),R14/30*100,"")</f>
        <v>96.66666666666667</v>
      </c>
      <c r="T14" s="7">
        <f>IF(COUNT(H14:J14,L14)=4,SUM(H14:J14,L14),"")</f>
        <v>12</v>
      </c>
      <c r="U14" s="7">
        <f>IF(COUNT(K14,M14:O14)=4,SUM(K14,M14:O14),"")</f>
        <v>12</v>
      </c>
      <c r="V14" s="7">
        <f>IF(COUNT(P14:Q14)=2,SUM(P14:Q14),"")</f>
        <v>5</v>
      </c>
      <c r="W14" s="4" t="s">
        <v>158</v>
      </c>
      <c r="X14" s="5"/>
      <c r="Y14" s="5"/>
      <c r="Z14" s="5"/>
      <c r="AA14" s="6">
        <v>1</v>
      </c>
      <c r="AB14" s="5"/>
      <c r="AC14" s="4" t="s">
        <v>135</v>
      </c>
      <c r="AD14" s="5"/>
      <c r="AE14" s="5"/>
      <c r="AF14" s="5"/>
      <c r="AG14" s="5"/>
      <c r="AH14" s="9">
        <f>IF(AND(ISNUMBER(AG14),ISNUMBER(AF14),AF14&gt;0),AG14/AF14,"")</f>
        <v/>
      </c>
      <c r="AI14" s="5"/>
      <c r="AJ14" s="5"/>
      <c r="AK14" s="5"/>
      <c r="AL14" s="5"/>
      <c r="AM14" s="5"/>
      <c r="AN14" s="4" t="s">
        <v>178</v>
      </c>
      <c r="AO14" s="5"/>
      <c r="AP14" s="4" t="s">
        <v>118</v>
      </c>
      <c r="AQ14" s="5"/>
      <c r="AR14" s="5"/>
      <c r="AS14" s="4" t="s">
        <v>179</v>
      </c>
      <c r="AT14" s="4" t="s">
        <v>161</v>
      </c>
      <c r="AU14" s="6">
        <v>29</v>
      </c>
      <c r="AV14" s="4" t="s">
        <v>162</v>
      </c>
      <c r="AW14" s="4" t="s">
        <v>163</v>
      </c>
      <c r="AX14" s="4" t="s">
        <v>123</v>
      </c>
      <c r="AY14" s="4" t="s">
        <v>124</v>
      </c>
      <c r="AZ14" s="4" t="s">
        <v>164</v>
      </c>
      <c r="BA14" s="4"/>
      <c r="BB14" s="7">
        <f>COUNT(H14:Q14)</f>
        <v>10</v>
      </c>
      <c r="BC14" s="7">
        <f>IF(AND(ISNUMBER(R14),ISNUMBER(AU14)),R14-AU14,"")</f>
        <v>0</v>
      </c>
      <c r="BD14" s="4"/>
      <c r="BE14" s="5"/>
      <c r="BF14" s="5"/>
      <c r="BG14" s="5"/>
      <c r="BH14" s="5"/>
      <c r="BI14" s="5"/>
      <c r="BJ14" s="5"/>
      <c r="BK14" s="5"/>
      <c r="BL14" s="5"/>
      <c r="BM14" s="5"/>
      <c r="BN14" s="5"/>
      <c r="BO14" s="4" t="s">
        <v>180</v>
      </c>
      <c r="BP14" s="5"/>
      <c r="BQ14" s="5"/>
      <c r="BR14" s="5"/>
      <c r="BS14" s="5"/>
      <c r="BT14" s="5"/>
      <c r="BU14" s="5"/>
      <c r="BV14" s="4" t="s">
        <v>126</v>
      </c>
      <c r="BW14" s="4" t="s">
        <v>166</v>
      </c>
      <c r="BX14" s="4" t="s">
        <v>167</v>
      </c>
    </row>
    <row r="15" spans="1:76" ht="38" customHeight="1">
      <c r="A15" s="4" t="s">
        <v>181</v>
      </c>
      <c r="B15" s="4" t="s">
        <v>157</v>
      </c>
      <c r="C15" s="5"/>
      <c r="D15" s="6">
        <v>1</v>
      </c>
      <c r="E15" s="5"/>
      <c r="F15" s="5"/>
      <c r="G15" s="6">
        <v>1</v>
      </c>
      <c r="H15" s="6">
        <v>3</v>
      </c>
      <c r="I15" s="6">
        <v>3</v>
      </c>
      <c r="J15" s="6">
        <v>3</v>
      </c>
      <c r="K15" s="6">
        <v>3</v>
      </c>
      <c r="L15" s="6">
        <v>2</v>
      </c>
      <c r="M15" s="6">
        <v>2</v>
      </c>
      <c r="N15" s="6">
        <v>3</v>
      </c>
      <c r="O15" s="6">
        <v>3</v>
      </c>
      <c r="P15" s="6">
        <v>3</v>
      </c>
      <c r="Q15" s="6">
        <v>2</v>
      </c>
      <c r="R15" s="7">
        <f>IF(COUNT(H15:Q15)=10,SUM(H15:Q15),"")</f>
        <v>27</v>
      </c>
      <c r="S15" s="7">
        <f>IF(ISNUMBER(R15),R15/30*100,"")</f>
        <v>90.0</v>
      </c>
      <c r="T15" s="7">
        <f>IF(COUNT(H15:J15,L15)=4,SUM(H15:J15,L15),"")</f>
        <v>11</v>
      </c>
      <c r="U15" s="7">
        <f>IF(COUNT(K15,M15:O15)=4,SUM(K15,M15:O15),"")</f>
        <v>11</v>
      </c>
      <c r="V15" s="7">
        <f>IF(COUNT(P15:Q15)=2,SUM(P15:Q15),"")</f>
        <v>5</v>
      </c>
      <c r="W15" s="4" t="s">
        <v>158</v>
      </c>
      <c r="X15" s="5"/>
      <c r="Y15" s="5"/>
      <c r="Z15" s="5"/>
      <c r="AA15" s="6">
        <v>1</v>
      </c>
      <c r="AB15" s="8">
        <v>0.0025</v>
      </c>
      <c r="AC15" s="4" t="s">
        <v>135</v>
      </c>
      <c r="AD15" s="5"/>
      <c r="AE15" s="5"/>
      <c r="AF15" s="5"/>
      <c r="AG15" s="5"/>
      <c r="AH15" s="9">
        <f>IF(AND(ISNUMBER(AG15),ISNUMBER(AF15),AF15&gt;0),AG15/AF15,"")</f>
        <v/>
      </c>
      <c r="AI15" s="5"/>
      <c r="AJ15" s="5"/>
      <c r="AK15" s="5"/>
      <c r="AL15" s="5"/>
      <c r="AM15" s="5"/>
      <c r="AN15" s="4" t="s">
        <v>182</v>
      </c>
      <c r="AO15" s="5"/>
      <c r="AP15" s="4" t="s">
        <v>118</v>
      </c>
      <c r="AQ15" s="5"/>
      <c r="AR15" s="5"/>
      <c r="AS15" s="4" t="s">
        <v>183</v>
      </c>
      <c r="AT15" s="4" t="s">
        <v>161</v>
      </c>
      <c r="AU15" s="6">
        <v>27</v>
      </c>
      <c r="AV15" s="4" t="s">
        <v>162</v>
      </c>
      <c r="AW15" s="4" t="s">
        <v>163</v>
      </c>
      <c r="AX15" s="4" t="s">
        <v>123</v>
      </c>
      <c r="AY15" s="4" t="s">
        <v>124</v>
      </c>
      <c r="AZ15" s="4" t="s">
        <v>164</v>
      </c>
      <c r="BA15" s="4"/>
      <c r="BB15" s="7">
        <f>COUNT(H15:Q15)</f>
        <v>10</v>
      </c>
      <c r="BC15" s="7">
        <f>IF(AND(ISNUMBER(R15),ISNUMBER(AU15)),R15-AU15,"")</f>
        <v>0</v>
      </c>
      <c r="BD15" s="4"/>
      <c r="BE15" s="5"/>
      <c r="BF15" s="5"/>
      <c r="BG15" s="5"/>
      <c r="BH15" s="6">
        <v>49</v>
      </c>
      <c r="BI15" s="5"/>
      <c r="BJ15" s="5"/>
      <c r="BK15" s="5"/>
      <c r="BL15" s="5"/>
      <c r="BM15" s="5"/>
      <c r="BN15" s="5"/>
      <c r="BO15" s="5"/>
      <c r="BP15" s="5"/>
      <c r="BQ15" s="5"/>
      <c r="BR15" s="5"/>
      <c r="BS15" s="5"/>
      <c r="BT15" s="5"/>
      <c r="BU15" s="5"/>
      <c r="BV15" s="4" t="s">
        <v>126</v>
      </c>
      <c r="BW15" s="4" t="s">
        <v>166</v>
      </c>
      <c r="BX15" s="4" t="s">
        <v>171</v>
      </c>
    </row>
    <row r="16" spans="1:76" ht="38" customHeight="1">
      <c r="A16" s="4" t="s">
        <v>184</v>
      </c>
      <c r="B16" s="4" t="s">
        <v>157</v>
      </c>
      <c r="C16" s="5"/>
      <c r="D16" s="6">
        <v>1</v>
      </c>
      <c r="E16" s="5"/>
      <c r="F16" s="5"/>
      <c r="G16" s="6">
        <v>1</v>
      </c>
      <c r="H16" s="6">
        <v>3</v>
      </c>
      <c r="I16" s="6">
        <v>1</v>
      </c>
      <c r="J16" s="6">
        <v>3</v>
      </c>
      <c r="K16" s="6">
        <v>3</v>
      </c>
      <c r="L16" s="6">
        <v>1</v>
      </c>
      <c r="M16" s="6">
        <v>2</v>
      </c>
      <c r="N16" s="6">
        <v>0</v>
      </c>
      <c r="O16" s="6">
        <v>3</v>
      </c>
      <c r="P16" s="6">
        <v>3</v>
      </c>
      <c r="Q16" s="6">
        <v>2</v>
      </c>
      <c r="R16" s="7">
        <f>IF(COUNT(H16:Q16)=10,SUM(H16:Q16),"")</f>
        <v>21</v>
      </c>
      <c r="S16" s="7">
        <f>IF(ISNUMBER(R16),R16/30*100,"")</f>
        <v>70.0</v>
      </c>
      <c r="T16" s="7">
        <f>IF(COUNT(H16:J16,L16)=4,SUM(H16:J16,L16),"")</f>
        <v>8</v>
      </c>
      <c r="U16" s="7">
        <f>IF(COUNT(K16,M16:O16)=4,SUM(K16,M16:O16),"")</f>
        <v>8</v>
      </c>
      <c r="V16" s="7">
        <f>IF(COUNT(P16:Q16)=2,SUM(P16:Q16),"")</f>
        <v>5</v>
      </c>
      <c r="W16" s="4" t="s">
        <v>173</v>
      </c>
      <c r="X16" s="5"/>
      <c r="Y16" s="5"/>
      <c r="Z16" s="5"/>
      <c r="AA16" s="6">
        <v>1</v>
      </c>
      <c r="AB16" s="8">
        <v>0</v>
      </c>
      <c r="AC16" s="4" t="s">
        <v>135</v>
      </c>
      <c r="AD16" s="6">
        <v>1</v>
      </c>
      <c r="AE16" s="5"/>
      <c r="AF16" s="5"/>
      <c r="AG16" s="5"/>
      <c r="AH16" s="9">
        <f>IF(AND(ISNUMBER(AG16),ISNUMBER(AF16),AF16&gt;0),AG16/AF16,"")</f>
        <v/>
      </c>
      <c r="AI16" s="5"/>
      <c r="AJ16" s="5"/>
      <c r="AK16" s="5"/>
      <c r="AL16" s="5"/>
      <c r="AM16" s="5"/>
      <c r="AN16" s="4" t="s">
        <v>185</v>
      </c>
      <c r="AO16" s="5"/>
      <c r="AP16" s="4" t="s">
        <v>118</v>
      </c>
      <c r="AQ16" s="5"/>
      <c r="AR16" s="5"/>
      <c r="AS16" s="4" t="s">
        <v>186</v>
      </c>
      <c r="AT16" s="4" t="s">
        <v>161</v>
      </c>
      <c r="AU16" s="6">
        <v>21</v>
      </c>
      <c r="AV16" s="4" t="s">
        <v>162</v>
      </c>
      <c r="AW16" s="4" t="s">
        <v>163</v>
      </c>
      <c r="AX16" s="4" t="s">
        <v>123</v>
      </c>
      <c r="AY16" s="4" t="s">
        <v>124</v>
      </c>
      <c r="AZ16" s="4" t="s">
        <v>164</v>
      </c>
      <c r="BA16" s="4"/>
      <c r="BB16" s="7">
        <f>COUNT(H16:Q16)</f>
        <v>10</v>
      </c>
      <c r="BC16" s="7">
        <f>IF(AND(ISNUMBER(R16),ISNUMBER(AU16)),R16-AU16,"")</f>
        <v>0</v>
      </c>
      <c r="BD16" s="4"/>
      <c r="BE16" s="5"/>
      <c r="BF16" s="5"/>
      <c r="BG16" s="5"/>
      <c r="BH16" s="5"/>
      <c r="BI16" s="5"/>
      <c r="BJ16" s="5"/>
      <c r="BK16" s="5"/>
      <c r="BL16" s="5"/>
      <c r="BM16" s="5"/>
      <c r="BN16" s="5"/>
      <c r="BO16" s="5"/>
      <c r="BP16" s="5"/>
      <c r="BQ16" s="5"/>
      <c r="BR16" s="5"/>
      <c r="BS16" s="5"/>
      <c r="BT16" s="5"/>
      <c r="BU16" s="5"/>
      <c r="BV16" s="4" t="s">
        <v>126</v>
      </c>
      <c r="BW16" s="4" t="s">
        <v>166</v>
      </c>
      <c r="BX16" s="4" t="s">
        <v>176</v>
      </c>
    </row>
    <row r="17" spans="1:76" ht="38" customHeight="1">
      <c r="A17" s="4" t="s">
        <v>187</v>
      </c>
      <c r="B17" s="4" t="s">
        <v>157</v>
      </c>
      <c r="C17" s="5"/>
      <c r="D17" s="6">
        <v>1</v>
      </c>
      <c r="E17" s="5"/>
      <c r="F17" s="5"/>
      <c r="G17" s="6">
        <v>1</v>
      </c>
      <c r="H17" s="6">
        <v>3</v>
      </c>
      <c r="I17" s="6">
        <v>2</v>
      </c>
      <c r="J17" s="6">
        <v>3</v>
      </c>
      <c r="K17" s="6">
        <v>3</v>
      </c>
      <c r="L17" s="6">
        <v>1</v>
      </c>
      <c r="M17" s="6">
        <v>2</v>
      </c>
      <c r="N17" s="6">
        <v>0</v>
      </c>
      <c r="O17" s="6">
        <v>2</v>
      </c>
      <c r="P17" s="6">
        <v>3</v>
      </c>
      <c r="Q17" s="6">
        <v>2</v>
      </c>
      <c r="R17" s="7">
        <f>IF(COUNT(H17:Q17)=10,SUM(H17:Q17),"")</f>
        <v>21</v>
      </c>
      <c r="S17" s="7">
        <f>IF(ISNUMBER(R17),R17/30*100,"")</f>
        <v>70.0</v>
      </c>
      <c r="T17" s="7">
        <f>IF(COUNT(H17:J17,L17)=4,SUM(H17:J17,L17),"")</f>
        <v>9</v>
      </c>
      <c r="U17" s="7">
        <f>IF(COUNT(K17,M17:O17)=4,SUM(K17,M17:O17),"")</f>
        <v>7</v>
      </c>
      <c r="V17" s="7">
        <f>IF(COUNT(P17:Q17)=2,SUM(P17:Q17),"")</f>
        <v>5</v>
      </c>
      <c r="W17" s="4" t="s">
        <v>158</v>
      </c>
      <c r="X17" s="5"/>
      <c r="Y17" s="5"/>
      <c r="Z17" s="5"/>
      <c r="AA17" s="6">
        <v>1</v>
      </c>
      <c r="AB17" s="8">
        <v>0</v>
      </c>
      <c r="AC17" s="4" t="s">
        <v>135</v>
      </c>
      <c r="AD17" s="5"/>
      <c r="AE17" s="5"/>
      <c r="AF17" s="5"/>
      <c r="AG17" s="5"/>
      <c r="AH17" s="9">
        <f>IF(AND(ISNUMBER(AG17),ISNUMBER(AF17),AF17&gt;0),AG17/AF17,"")</f>
        <v/>
      </c>
      <c r="AI17" s="5"/>
      <c r="AJ17" s="5"/>
      <c r="AK17" s="5"/>
      <c r="AL17" s="5"/>
      <c r="AM17" s="5"/>
      <c r="AN17" s="4" t="s">
        <v>188</v>
      </c>
      <c r="AO17" s="5"/>
      <c r="AP17" s="4" t="s">
        <v>118</v>
      </c>
      <c r="AQ17" s="5"/>
      <c r="AR17" s="5"/>
      <c r="AS17" s="4" t="s">
        <v>189</v>
      </c>
      <c r="AT17" s="4" t="s">
        <v>161</v>
      </c>
      <c r="AU17" s="6">
        <v>21</v>
      </c>
      <c r="AV17" s="4" t="s">
        <v>162</v>
      </c>
      <c r="AW17" s="4" t="s">
        <v>163</v>
      </c>
      <c r="AX17" s="4" t="s">
        <v>123</v>
      </c>
      <c r="AY17" s="4" t="s">
        <v>124</v>
      </c>
      <c r="AZ17" s="4" t="s">
        <v>164</v>
      </c>
      <c r="BA17" s="4"/>
      <c r="BB17" s="7">
        <f>COUNT(H17:Q17)</f>
        <v>10</v>
      </c>
      <c r="BC17" s="7">
        <f>IF(AND(ISNUMBER(R17),ISNUMBER(AU17)),R17-AU17,"")</f>
        <v>0</v>
      </c>
      <c r="BD17" s="4"/>
      <c r="BE17" s="5"/>
      <c r="BF17" s="5"/>
      <c r="BG17" s="5"/>
      <c r="BH17" s="5"/>
      <c r="BI17" s="5"/>
      <c r="BJ17" s="5"/>
      <c r="BK17" s="5"/>
      <c r="BL17" s="5"/>
      <c r="BM17" s="5"/>
      <c r="BN17" s="5"/>
      <c r="BO17" s="5"/>
      <c r="BP17" s="5"/>
      <c r="BQ17" s="5"/>
      <c r="BR17" s="5"/>
      <c r="BS17" s="5"/>
      <c r="BT17" s="5"/>
      <c r="BU17" s="5"/>
      <c r="BV17" s="4" t="s">
        <v>126</v>
      </c>
      <c r="BW17" s="4" t="s">
        <v>166</v>
      </c>
      <c r="BX17" s="4" t="s">
        <v>171</v>
      </c>
    </row>
    <row r="18" spans="1:76" ht="38" customHeight="1">
      <c r="A18" s="4" t="s">
        <v>190</v>
      </c>
      <c r="B18" s="4" t="s">
        <v>191</v>
      </c>
      <c r="C18" s="5"/>
      <c r="D18" s="6">
        <v>1</v>
      </c>
      <c r="E18" s="5"/>
      <c r="F18" s="4" t="s">
        <v>112</v>
      </c>
      <c r="G18" s="6">
        <v>1</v>
      </c>
      <c r="H18" s="6">
        <v>3</v>
      </c>
      <c r="I18" s="6">
        <v>3</v>
      </c>
      <c r="J18" s="6">
        <v>3</v>
      </c>
      <c r="K18" s="6">
        <v>3</v>
      </c>
      <c r="L18" s="6">
        <v>3</v>
      </c>
      <c r="M18" s="6">
        <v>3</v>
      </c>
      <c r="N18" s="6">
        <v>3</v>
      </c>
      <c r="O18" s="6">
        <v>3</v>
      </c>
      <c r="P18" s="6">
        <v>3</v>
      </c>
      <c r="Q18" s="6">
        <v>3</v>
      </c>
      <c r="R18" s="7">
        <f>IF(COUNT(H18:Q18)=10,SUM(H18:Q18),"")</f>
        <v>30</v>
      </c>
      <c r="S18" s="7">
        <f>IF(ISNUMBER(R18),R18/30*100,"")</f>
        <v>100.0</v>
      </c>
      <c r="T18" s="7">
        <f>IF(COUNT(H18:J18,L18)=4,SUM(H18:J18,L18),"")</f>
        <v>12</v>
      </c>
      <c r="U18" s="7">
        <f>IF(COUNT(K18,M18:O18)=4,SUM(K18,M18:O18),"")</f>
        <v>12</v>
      </c>
      <c r="V18" s="7">
        <f>IF(COUNT(P18:Q18)=2,SUM(P18:Q18),"")</f>
        <v>6</v>
      </c>
      <c r="W18" s="4" t="s">
        <v>113</v>
      </c>
      <c r="X18" s="5"/>
      <c r="Y18" s="5"/>
      <c r="Z18" s="5"/>
      <c r="AA18" s="6">
        <v>1</v>
      </c>
      <c r="AB18" s="5"/>
      <c r="AC18" s="5"/>
      <c r="AD18" s="5"/>
      <c r="AE18" s="6">
        <v>238496</v>
      </c>
      <c r="AF18" s="6">
        <v>265991</v>
      </c>
      <c r="AG18" s="6">
        <v>16002</v>
      </c>
      <c r="AH18" s="9">
        <f>IF(AND(ISNUMBER(AG18),ISNUMBER(AF18),AF18&gt;0),AG18/AF18,"")</f>
        <v>0.06015993022320304</v>
      </c>
      <c r="AI18" s="5"/>
      <c r="AJ18" s="5"/>
      <c r="AK18" s="8">
        <v>0.0587</v>
      </c>
      <c r="AL18" s="5"/>
      <c r="AM18" s="5"/>
      <c r="AN18" s="4" t="s">
        <v>192</v>
      </c>
      <c r="AO18" s="4" t="s">
        <v>113</v>
      </c>
      <c r="AP18" s="4" t="s">
        <v>193</v>
      </c>
      <c r="AQ18" s="5"/>
      <c r="AR18" s="5"/>
      <c r="AS18" s="4" t="s">
        <v>194</v>
      </c>
      <c r="AT18" s="4" t="s">
        <v>195</v>
      </c>
      <c r="AU18" s="6">
        <v>30</v>
      </c>
      <c r="AV18" s="4" t="s">
        <v>196</v>
      </c>
      <c r="AW18" s="4" t="s">
        <v>197</v>
      </c>
      <c r="AX18" s="4" t="s">
        <v>123</v>
      </c>
      <c r="AY18" s="4" t="s">
        <v>123</v>
      </c>
      <c r="AZ18" s="4" t="s">
        <v>125</v>
      </c>
      <c r="BA18" s="4"/>
      <c r="BB18" s="7">
        <f>COUNT(H18:Q18)</f>
        <v>10</v>
      </c>
      <c r="BC18" s="7">
        <f>IF(AND(ISNUMBER(R18),ISNUMBER(AU18)),R18-AU18,"")</f>
        <v>0</v>
      </c>
      <c r="BD18" s="4" t="s">
        <v>198</v>
      </c>
      <c r="BE18" s="5"/>
      <c r="BF18" s="5"/>
      <c r="BG18" s="5"/>
      <c r="BH18" s="5"/>
      <c r="BI18" s="5"/>
      <c r="BJ18" s="5"/>
      <c r="BK18" s="5"/>
      <c r="BL18" s="5"/>
      <c r="BM18" s="5"/>
      <c r="BN18" s="5"/>
      <c r="BO18" s="5"/>
      <c r="BP18" s="5"/>
      <c r="BQ18" s="5"/>
      <c r="BR18" s="5"/>
      <c r="BS18" s="5"/>
      <c r="BT18" s="5"/>
      <c r="BU18" s="4" t="s">
        <v>199</v>
      </c>
      <c r="BV18" s="4" t="s">
        <v>126</v>
      </c>
      <c r="BW18" s="4" t="s">
        <v>200</v>
      </c>
      <c r="BX18" s="4" t="s">
        <v>201</v>
      </c>
    </row>
    <row r="19" spans="1:76" ht="38" customHeight="1">
      <c r="A19" s="4" t="s">
        <v>202</v>
      </c>
      <c r="B19" s="4" t="s">
        <v>191</v>
      </c>
      <c r="C19" s="5"/>
      <c r="D19" s="6">
        <v>1</v>
      </c>
      <c r="E19" s="5"/>
      <c r="F19" s="4" t="s">
        <v>112</v>
      </c>
      <c r="G19" s="6">
        <v>1</v>
      </c>
      <c r="H19" s="6">
        <v>3</v>
      </c>
      <c r="I19" s="6">
        <v>3</v>
      </c>
      <c r="J19" s="6">
        <v>3</v>
      </c>
      <c r="K19" s="6">
        <v>3</v>
      </c>
      <c r="L19" s="6">
        <v>3</v>
      </c>
      <c r="M19" s="6">
        <v>3</v>
      </c>
      <c r="N19" s="6">
        <v>3</v>
      </c>
      <c r="O19" s="6">
        <v>3</v>
      </c>
      <c r="P19" s="6">
        <v>3</v>
      </c>
      <c r="Q19" s="6">
        <v>3</v>
      </c>
      <c r="R19" s="7">
        <f>IF(COUNT(H19:Q19)=10,SUM(H19:Q19),"")</f>
        <v>30</v>
      </c>
      <c r="S19" s="7">
        <f>IF(ISNUMBER(R19),R19/30*100,"")</f>
        <v>100.0</v>
      </c>
      <c r="T19" s="7">
        <f>IF(COUNT(H19:J19,L19)=4,SUM(H19:J19,L19),"")</f>
        <v>12</v>
      </c>
      <c r="U19" s="7">
        <f>IF(COUNT(K19,M19:O19)=4,SUM(K19,M19:O19),"")</f>
        <v>12</v>
      </c>
      <c r="V19" s="7">
        <f>IF(COUNT(P19:Q19)=2,SUM(P19:Q19),"")</f>
        <v>6</v>
      </c>
      <c r="W19" s="4" t="s">
        <v>113</v>
      </c>
      <c r="X19" s="5"/>
      <c r="Y19" s="5"/>
      <c r="Z19" s="5"/>
      <c r="AA19" s="6">
        <v>1</v>
      </c>
      <c r="AB19" s="5"/>
      <c r="AC19" s="5"/>
      <c r="AD19" s="5"/>
      <c r="AE19" s="5"/>
      <c r="AF19" s="5"/>
      <c r="AG19" s="5"/>
      <c r="AH19" s="9">
        <f>IF(AND(ISNUMBER(AG19),ISNUMBER(AF19),AF19&gt;0),AG19/AF19,"")</f>
        <v/>
      </c>
      <c r="AI19" s="5"/>
      <c r="AJ19" s="5"/>
      <c r="AK19" s="5"/>
      <c r="AL19" s="5"/>
      <c r="AM19" s="5"/>
      <c r="AN19" s="4" t="s">
        <v>203</v>
      </c>
      <c r="AO19" s="5"/>
      <c r="AP19" s="4" t="s">
        <v>204</v>
      </c>
      <c r="AQ19" s="4" t="s">
        <v>205</v>
      </c>
      <c r="AR19" s="5"/>
      <c r="AS19" s="4" t="s">
        <v>206</v>
      </c>
      <c r="AT19" s="4" t="s">
        <v>195</v>
      </c>
      <c r="AU19" s="6">
        <v>30</v>
      </c>
      <c r="AV19" s="4" t="s">
        <v>196</v>
      </c>
      <c r="AW19" s="4" t="s">
        <v>197</v>
      </c>
      <c r="AX19" s="4" t="s">
        <v>123</v>
      </c>
      <c r="AY19" s="4" t="s">
        <v>123</v>
      </c>
      <c r="AZ19" s="4" t="s">
        <v>164</v>
      </c>
      <c r="BA19" s="4"/>
      <c r="BB19" s="7">
        <f>COUNT(H19:Q19)</f>
        <v>10</v>
      </c>
      <c r="BC19" s="7">
        <f>IF(AND(ISNUMBER(R19),ISNUMBER(AU19)),R19-AU19,"")</f>
        <v>0</v>
      </c>
      <c r="BD19" s="4" t="s">
        <v>198</v>
      </c>
      <c r="BE19" s="5"/>
      <c r="BF19" s="5"/>
      <c r="BG19" s="5"/>
      <c r="BH19" s="5"/>
      <c r="BI19" s="5"/>
      <c r="BJ19" s="5"/>
      <c r="BK19" s="5"/>
      <c r="BL19" s="5"/>
      <c r="BM19" s="5"/>
      <c r="BN19" s="5"/>
      <c r="BO19" s="5"/>
      <c r="BP19" s="5"/>
      <c r="BQ19" s="5"/>
      <c r="BR19" s="5"/>
      <c r="BS19" s="5"/>
      <c r="BT19" s="5"/>
      <c r="BU19" s="4" t="s">
        <v>199</v>
      </c>
      <c r="BV19" s="4" t="s">
        <v>126</v>
      </c>
      <c r="BW19" s="4" t="s">
        <v>200</v>
      </c>
      <c r="BX19" s="4" t="s">
        <v>207</v>
      </c>
    </row>
    <row r="20" spans="1:76" ht="38" customHeight="1">
      <c r="A20" s="4" t="s">
        <v>208</v>
      </c>
      <c r="B20" s="4" t="s">
        <v>191</v>
      </c>
      <c r="C20" s="5"/>
      <c r="D20" s="6">
        <v>1</v>
      </c>
      <c r="E20" s="5"/>
      <c r="F20" s="4" t="s">
        <v>134</v>
      </c>
      <c r="G20" s="6">
        <v>1</v>
      </c>
      <c r="H20" s="6">
        <v>3</v>
      </c>
      <c r="I20" s="6">
        <v>3</v>
      </c>
      <c r="J20" s="6">
        <v>3</v>
      </c>
      <c r="K20" s="6">
        <v>3</v>
      </c>
      <c r="L20" s="6">
        <v>3</v>
      </c>
      <c r="M20" s="6">
        <v>3</v>
      </c>
      <c r="N20" s="6">
        <v>3</v>
      </c>
      <c r="O20" s="6">
        <v>3</v>
      </c>
      <c r="P20" s="6">
        <v>3</v>
      </c>
      <c r="Q20" s="6">
        <v>3</v>
      </c>
      <c r="R20" s="7">
        <f>IF(COUNT(H20:Q20)=10,SUM(H20:Q20),"")</f>
        <v>30</v>
      </c>
      <c r="S20" s="7">
        <f>IF(ISNUMBER(R20),R20/30*100,"")</f>
        <v>100.0</v>
      </c>
      <c r="T20" s="7">
        <f>IF(COUNT(H20:J20,L20)=4,SUM(H20:J20,L20),"")</f>
        <v>12</v>
      </c>
      <c r="U20" s="7">
        <f>IF(COUNT(K20,M20:O20)=4,SUM(K20,M20:O20),"")</f>
        <v>12</v>
      </c>
      <c r="V20" s="7">
        <f>IF(COUNT(P20:Q20)=2,SUM(P20:Q20),"")</f>
        <v>6</v>
      </c>
      <c r="W20" s="4" t="s">
        <v>113</v>
      </c>
      <c r="X20" s="5"/>
      <c r="Y20" s="5"/>
      <c r="Z20" s="5"/>
      <c r="AA20" s="6">
        <v>1</v>
      </c>
      <c r="AB20" s="5"/>
      <c r="AC20" s="5"/>
      <c r="AD20" s="5"/>
      <c r="AE20" s="6">
        <v>16662.21</v>
      </c>
      <c r="AF20" s="6">
        <v>22882</v>
      </c>
      <c r="AG20" s="6">
        <v>5324.67</v>
      </c>
      <c r="AH20" s="9">
        <f>IF(AND(ISNUMBER(AG20),ISNUMBER(AF20),AF20&gt;0),AG20/AF20,"")</f>
        <v>0.2327012498907438</v>
      </c>
      <c r="AI20" s="5"/>
      <c r="AJ20" s="5"/>
      <c r="AK20" s="5"/>
      <c r="AL20" s="5"/>
      <c r="AM20" s="5"/>
      <c r="AN20" s="4" t="s">
        <v>209</v>
      </c>
      <c r="AO20" s="4" t="s">
        <v>113</v>
      </c>
      <c r="AP20" s="4" t="s">
        <v>193</v>
      </c>
      <c r="AQ20" s="5"/>
      <c r="AR20" s="5"/>
      <c r="AS20" s="4" t="s">
        <v>210</v>
      </c>
      <c r="AT20" s="4" t="s">
        <v>195</v>
      </c>
      <c r="AU20" s="6">
        <v>30</v>
      </c>
      <c r="AV20" s="4" t="s">
        <v>196</v>
      </c>
      <c r="AW20" s="4" t="s">
        <v>197</v>
      </c>
      <c r="AX20" s="4" t="s">
        <v>123</v>
      </c>
      <c r="AY20" s="4" t="s">
        <v>123</v>
      </c>
      <c r="AZ20" s="4" t="s">
        <v>125</v>
      </c>
      <c r="BA20" s="4"/>
      <c r="BB20" s="7">
        <f>COUNT(H20:Q20)</f>
        <v>10</v>
      </c>
      <c r="BC20" s="7">
        <f>IF(AND(ISNUMBER(R20),ISNUMBER(AU20)),R20-AU20,"")</f>
        <v>0</v>
      </c>
      <c r="BD20" s="4" t="s">
        <v>198</v>
      </c>
      <c r="BE20" s="5"/>
      <c r="BF20" s="5"/>
      <c r="BG20" s="5"/>
      <c r="BH20" s="5"/>
      <c r="BI20" s="5"/>
      <c r="BJ20" s="5"/>
      <c r="BK20" s="5"/>
      <c r="BL20" s="5"/>
      <c r="BM20" s="5"/>
      <c r="BN20" s="5"/>
      <c r="BO20" s="5"/>
      <c r="BP20" s="5"/>
      <c r="BQ20" s="5"/>
      <c r="BR20" s="5"/>
      <c r="BS20" s="5"/>
      <c r="BT20" s="5"/>
      <c r="BU20" s="4" t="s">
        <v>199</v>
      </c>
      <c r="BV20" s="4" t="s">
        <v>126</v>
      </c>
      <c r="BW20" s="4" t="s">
        <v>200</v>
      </c>
      <c r="BX20" s="4" t="s">
        <v>211</v>
      </c>
    </row>
    <row r="21" spans="1:76" ht="38" customHeight="1">
      <c r="A21" s="4" t="s">
        <v>212</v>
      </c>
      <c r="B21" s="4" t="s">
        <v>191</v>
      </c>
      <c r="C21" s="5"/>
      <c r="D21" s="5"/>
      <c r="E21" s="5"/>
      <c r="F21" s="4" t="s">
        <v>213</v>
      </c>
      <c r="G21" s="5"/>
      <c r="H21" s="6">
        <v>3</v>
      </c>
      <c r="I21" s="6">
        <v>0</v>
      </c>
      <c r="J21" s="6">
        <v>0</v>
      </c>
      <c r="K21" s="6">
        <v>2</v>
      </c>
      <c r="L21" s="6">
        <v>2</v>
      </c>
      <c r="M21" s="6">
        <v>1</v>
      </c>
      <c r="N21" s="6">
        <v>3</v>
      </c>
      <c r="O21" s="6">
        <v>3</v>
      </c>
      <c r="P21" s="6">
        <v>3</v>
      </c>
      <c r="Q21" s="6">
        <v>0</v>
      </c>
      <c r="R21" s="7">
        <f>IF(COUNT(H21:Q21)=10,SUM(H21:Q21),"")</f>
        <v>17</v>
      </c>
      <c r="S21" s="7">
        <f>IF(ISNUMBER(R21),R21/30*100,"")</f>
        <v>56.666666666666664</v>
      </c>
      <c r="T21" s="7">
        <f>IF(COUNT(H21:J21,L21)=4,SUM(H21:J21,L21),"")</f>
        <v>5</v>
      </c>
      <c r="U21" s="7">
        <f>IF(COUNT(K21,M21:O21)=4,SUM(K21,M21:O21),"")</f>
        <v>9</v>
      </c>
      <c r="V21" s="7">
        <f>IF(COUNT(P21:Q21)=2,SUM(P21:Q21),"")</f>
        <v>3</v>
      </c>
      <c r="W21" s="4" t="s">
        <v>113</v>
      </c>
      <c r="X21" s="5"/>
      <c r="Y21" s="5"/>
      <c r="Z21" s="5"/>
      <c r="AA21" s="6">
        <v>1</v>
      </c>
      <c r="AB21" s="5"/>
      <c r="AC21" s="5"/>
      <c r="AD21" s="5"/>
      <c r="AE21" s="5"/>
      <c r="AF21" s="5"/>
      <c r="AG21" s="5"/>
      <c r="AH21" s="9">
        <f>IF(AND(ISNUMBER(AG21),ISNUMBER(AF21),AF21&gt;0),AG21/AF21,"")</f>
        <v/>
      </c>
      <c r="AI21" s="5"/>
      <c r="AJ21" s="5"/>
      <c r="AK21" s="5"/>
      <c r="AL21" s="5"/>
      <c r="AM21" s="5"/>
      <c r="AN21" s="4" t="s">
        <v>214</v>
      </c>
      <c r="AO21" s="5"/>
      <c r="AP21" s="4" t="s">
        <v>204</v>
      </c>
      <c r="AQ21" s="5"/>
      <c r="AR21" s="5"/>
      <c r="AS21" s="4" t="s">
        <v>215</v>
      </c>
      <c r="AT21" s="4" t="s">
        <v>195</v>
      </c>
      <c r="AU21" s="6">
        <v>17</v>
      </c>
      <c r="AV21" s="4" t="s">
        <v>196</v>
      </c>
      <c r="AW21" s="4" t="s">
        <v>197</v>
      </c>
      <c r="AX21" s="4" t="s">
        <v>123</v>
      </c>
      <c r="AY21" s="4" t="s">
        <v>123</v>
      </c>
      <c r="AZ21" s="4" t="s">
        <v>164</v>
      </c>
      <c r="BA21" s="4"/>
      <c r="BB21" s="7">
        <f>COUNT(H21:Q21)</f>
        <v>10</v>
      </c>
      <c r="BC21" s="7">
        <f>IF(AND(ISNUMBER(R21),ISNUMBER(AU21)),R21-AU21,"")</f>
        <v>0</v>
      </c>
      <c r="BD21" s="4" t="s">
        <v>198</v>
      </c>
      <c r="BE21" s="5"/>
      <c r="BF21" s="5"/>
      <c r="BG21" s="5"/>
      <c r="BH21" s="5"/>
      <c r="BI21" s="5"/>
      <c r="BJ21" s="5"/>
      <c r="BK21" s="5"/>
      <c r="BL21" s="5"/>
      <c r="BM21" s="5"/>
      <c r="BN21" s="5"/>
      <c r="BO21" s="5"/>
      <c r="BP21" s="5"/>
      <c r="BQ21" s="5"/>
      <c r="BR21" s="5"/>
      <c r="BS21" s="5"/>
      <c r="BT21" s="5"/>
      <c r="BU21" s="4" t="s">
        <v>199</v>
      </c>
      <c r="BV21" s="4" t="s">
        <v>126</v>
      </c>
      <c r="BW21" s="4" t="s">
        <v>200</v>
      </c>
      <c r="BX21" s="4" t="s">
        <v>216</v>
      </c>
    </row>
    <row r="22" spans="1:76" ht="38" customHeight="1">
      <c r="A22" s="4" t="s">
        <v>217</v>
      </c>
      <c r="B22" s="4" t="s">
        <v>191</v>
      </c>
      <c r="C22" s="5"/>
      <c r="D22" s="6">
        <v>1</v>
      </c>
      <c r="E22" s="5"/>
      <c r="F22" s="5"/>
      <c r="G22" s="5"/>
      <c r="H22" s="6">
        <v>3</v>
      </c>
      <c r="I22" s="6">
        <v>0</v>
      </c>
      <c r="J22" s="6">
        <v>0</v>
      </c>
      <c r="K22" s="6">
        <v>0</v>
      </c>
      <c r="L22" s="6">
        <v>0</v>
      </c>
      <c r="M22" s="6">
        <v>0</v>
      </c>
      <c r="N22" s="6">
        <v>3</v>
      </c>
      <c r="O22" s="6">
        <v>2</v>
      </c>
      <c r="P22" s="6">
        <v>2</v>
      </c>
      <c r="Q22" s="6">
        <v>0</v>
      </c>
      <c r="R22" s="7">
        <f>IF(COUNT(H22:Q22)=10,SUM(H22:Q22),"")</f>
        <v>10</v>
      </c>
      <c r="S22" s="7">
        <f>IF(ISNUMBER(R22),R22/30*100,"")</f>
        <v>33.33333333333333</v>
      </c>
      <c r="T22" s="7">
        <f>IF(COUNT(H22:J22,L22)=4,SUM(H22:J22,L22),"")</f>
        <v>3</v>
      </c>
      <c r="U22" s="7">
        <f>IF(COUNT(K22,M22:O22)=4,SUM(K22,M22:O22),"")</f>
        <v>5</v>
      </c>
      <c r="V22" s="7">
        <f>IF(COUNT(P22:Q22)=2,SUM(P22:Q22),"")</f>
        <v>2</v>
      </c>
      <c r="W22" s="4" t="s">
        <v>113</v>
      </c>
      <c r="X22" s="5"/>
      <c r="Y22" s="5"/>
      <c r="Z22" s="5"/>
      <c r="AA22" s="5"/>
      <c r="AB22" s="5"/>
      <c r="AC22" s="5"/>
      <c r="AD22" s="5"/>
      <c r="AE22" s="6">
        <v>810.17</v>
      </c>
      <c r="AF22" s="6">
        <v>299.63</v>
      </c>
      <c r="AG22" s="6">
        <v>15.51</v>
      </c>
      <c r="AH22" s="9">
        <f>IF(AND(ISNUMBER(AG22),ISNUMBER(AF22),AF22&gt;0),AG22/AF22,"")</f>
        <v>0.051763842071888666</v>
      </c>
      <c r="AI22" s="5"/>
      <c r="AJ22" s="5"/>
      <c r="AK22" s="8">
        <v>0.0536</v>
      </c>
      <c r="AL22" s="5"/>
      <c r="AM22" s="5"/>
      <c r="AN22" s="4" t="s">
        <v>218</v>
      </c>
      <c r="AO22" s="4" t="s">
        <v>113</v>
      </c>
      <c r="AP22" s="4" t="s">
        <v>193</v>
      </c>
      <c r="AQ22" s="5"/>
      <c r="AR22" s="5"/>
      <c r="AS22" s="4" t="s">
        <v>219</v>
      </c>
      <c r="AT22" s="4" t="s">
        <v>195</v>
      </c>
      <c r="AU22" s="6">
        <v>10</v>
      </c>
      <c r="AV22" s="4" t="s">
        <v>196</v>
      </c>
      <c r="AW22" s="4" t="s">
        <v>197</v>
      </c>
      <c r="AX22" s="4" t="s">
        <v>123</v>
      </c>
      <c r="AY22" s="4" t="s">
        <v>123</v>
      </c>
      <c r="AZ22" s="4" t="s">
        <v>125</v>
      </c>
      <c r="BA22" s="4"/>
      <c r="BB22" s="7">
        <f>COUNT(H22:Q22)</f>
        <v>10</v>
      </c>
      <c r="BC22" s="7">
        <f>IF(AND(ISNUMBER(R22),ISNUMBER(AU22)),R22-AU22,"")</f>
        <v>0</v>
      </c>
      <c r="BD22" s="4" t="s">
        <v>198</v>
      </c>
      <c r="BE22" s="5"/>
      <c r="BF22" s="5"/>
      <c r="BG22" s="5"/>
      <c r="BH22" s="5"/>
      <c r="BI22" s="5"/>
      <c r="BJ22" s="5"/>
      <c r="BK22" s="5"/>
      <c r="BL22" s="5"/>
      <c r="BM22" s="5"/>
      <c r="BN22" s="5"/>
      <c r="BO22" s="5"/>
      <c r="BP22" s="5"/>
      <c r="BQ22" s="5"/>
      <c r="BR22" s="5"/>
      <c r="BS22" s="5"/>
      <c r="BT22" s="5"/>
      <c r="BU22" s="4" t="s">
        <v>220</v>
      </c>
      <c r="BV22" s="4" t="s">
        <v>126</v>
      </c>
      <c r="BW22" s="4" t="s">
        <v>200</v>
      </c>
      <c r="BX22" s="4" t="s">
        <v>221</v>
      </c>
    </row>
    <row r="23" spans="1:76" ht="38" customHeight="1">
      <c r="A23" s="4" t="s">
        <v>222</v>
      </c>
      <c r="B23" s="4" t="s">
        <v>191</v>
      </c>
      <c r="C23" s="5"/>
      <c r="D23" s="6">
        <v>1</v>
      </c>
      <c r="E23" s="5"/>
      <c r="F23" s="5"/>
      <c r="G23" s="5"/>
      <c r="H23" s="6">
        <v>3</v>
      </c>
      <c r="I23" s="6">
        <v>0</v>
      </c>
      <c r="J23" s="6">
        <v>0</v>
      </c>
      <c r="K23" s="6">
        <v>0</v>
      </c>
      <c r="L23" s="6">
        <v>0</v>
      </c>
      <c r="M23" s="6">
        <v>0</v>
      </c>
      <c r="N23" s="6">
        <v>2</v>
      </c>
      <c r="O23" s="6">
        <v>2</v>
      </c>
      <c r="P23" s="6">
        <v>2</v>
      </c>
      <c r="Q23" s="6">
        <v>0</v>
      </c>
      <c r="R23" s="7">
        <f>IF(COUNT(H23:Q23)=10,SUM(H23:Q23),"")</f>
        <v>9</v>
      </c>
      <c r="S23" s="7">
        <f>IF(ISNUMBER(R23),R23/30*100,"")</f>
        <v>30.0</v>
      </c>
      <c r="T23" s="7">
        <f>IF(COUNT(H23:J23,L23)=4,SUM(H23:J23,L23),"")</f>
        <v>3</v>
      </c>
      <c r="U23" s="7">
        <f>IF(COUNT(K23,M23:O23)=4,SUM(K23,M23:O23),"")</f>
        <v>4</v>
      </c>
      <c r="V23" s="7">
        <f>IF(COUNT(P23:Q23)=2,SUM(P23:Q23),"")</f>
        <v>2</v>
      </c>
      <c r="W23" s="4" t="s">
        <v>113</v>
      </c>
      <c r="X23" s="5"/>
      <c r="Y23" s="5"/>
      <c r="Z23" s="5"/>
      <c r="AA23" s="5"/>
      <c r="AB23" s="5"/>
      <c r="AC23" s="5"/>
      <c r="AD23" s="5"/>
      <c r="AE23" s="6">
        <v>479.3</v>
      </c>
      <c r="AF23" s="5"/>
      <c r="AG23" s="6">
        <v>10.97</v>
      </c>
      <c r="AH23" s="9">
        <f>IF(AND(ISNUMBER(AG23),ISNUMBER(AF23),AF23&gt;0),AG23/AF23,"")</f>
        <v/>
      </c>
      <c r="AI23" s="5"/>
      <c r="AJ23" s="5"/>
      <c r="AK23" s="5"/>
      <c r="AL23" s="5"/>
      <c r="AM23" s="5"/>
      <c r="AN23" s="4" t="s">
        <v>218</v>
      </c>
      <c r="AO23" s="4" t="s">
        <v>130</v>
      </c>
      <c r="AP23" s="4" t="s">
        <v>193</v>
      </c>
      <c r="AQ23" s="5"/>
      <c r="AR23" s="5"/>
      <c r="AS23" s="4" t="s">
        <v>223</v>
      </c>
      <c r="AT23" s="4" t="s">
        <v>195</v>
      </c>
      <c r="AU23" s="6">
        <v>9</v>
      </c>
      <c r="AV23" s="4" t="s">
        <v>196</v>
      </c>
      <c r="AW23" s="4" t="s">
        <v>197</v>
      </c>
      <c r="AX23" s="4" t="s">
        <v>123</v>
      </c>
      <c r="AY23" s="4" t="s">
        <v>123</v>
      </c>
      <c r="AZ23" s="4" t="s">
        <v>125</v>
      </c>
      <c r="BA23" s="4"/>
      <c r="BB23" s="7">
        <f>COUNT(H23:Q23)</f>
        <v>10</v>
      </c>
      <c r="BC23" s="7">
        <f>IF(AND(ISNUMBER(R23),ISNUMBER(AU23)),R23-AU23,"")</f>
        <v>0</v>
      </c>
      <c r="BD23" s="4" t="s">
        <v>198</v>
      </c>
      <c r="BE23" s="5"/>
      <c r="BF23" s="5"/>
      <c r="BG23" s="5"/>
      <c r="BH23" s="5"/>
      <c r="BI23" s="5"/>
      <c r="BJ23" s="5"/>
      <c r="BK23" s="5"/>
      <c r="BL23" s="5"/>
      <c r="BM23" s="5"/>
      <c r="BN23" s="5"/>
      <c r="BO23" s="5"/>
      <c r="BP23" s="5"/>
      <c r="BQ23" s="5"/>
      <c r="BR23" s="5"/>
      <c r="BS23" s="5"/>
      <c r="BT23" s="5"/>
      <c r="BU23" s="4" t="s">
        <v>220</v>
      </c>
      <c r="BV23" s="4" t="s">
        <v>126</v>
      </c>
      <c r="BW23" s="4" t="s">
        <v>200</v>
      </c>
      <c r="BX23" s="4" t="s">
        <v>224</v>
      </c>
    </row>
    <row r="24" spans="1:76" ht="38" customHeight="1">
      <c r="A24" s="4" t="s">
        <v>225</v>
      </c>
      <c r="B24" s="4" t="s">
        <v>191</v>
      </c>
      <c r="C24" s="5"/>
      <c r="D24" s="6">
        <v>1</v>
      </c>
      <c r="E24" s="5"/>
      <c r="F24" s="5"/>
      <c r="G24" s="5"/>
      <c r="H24" s="6">
        <v>3</v>
      </c>
      <c r="I24" s="6">
        <v>0</v>
      </c>
      <c r="J24" s="6">
        <v>0</v>
      </c>
      <c r="K24" s="6">
        <v>0</v>
      </c>
      <c r="L24" s="6">
        <v>0</v>
      </c>
      <c r="M24" s="6">
        <v>0</v>
      </c>
      <c r="N24" s="6">
        <v>2</v>
      </c>
      <c r="O24" s="6">
        <v>2</v>
      </c>
      <c r="P24" s="6">
        <v>2</v>
      </c>
      <c r="Q24" s="6">
        <v>0</v>
      </c>
      <c r="R24" s="7">
        <f>IF(COUNT(H24:Q24)=10,SUM(H24:Q24),"")</f>
        <v>9</v>
      </c>
      <c r="S24" s="7">
        <f>IF(ISNUMBER(R24),R24/30*100,"")</f>
        <v>30.0</v>
      </c>
      <c r="T24" s="7">
        <f>IF(COUNT(H24:J24,L24)=4,SUM(H24:J24,L24),"")</f>
        <v>3</v>
      </c>
      <c r="U24" s="7">
        <f>IF(COUNT(K24,M24:O24)=4,SUM(K24,M24:O24),"")</f>
        <v>4</v>
      </c>
      <c r="V24" s="7">
        <f>IF(COUNT(P24:Q24)=2,SUM(P24:Q24),"")</f>
        <v>2</v>
      </c>
      <c r="W24" s="4" t="s">
        <v>113</v>
      </c>
      <c r="X24" s="5"/>
      <c r="Y24" s="5"/>
      <c r="Z24" s="5"/>
      <c r="AA24" s="5"/>
      <c r="AB24" s="5"/>
      <c r="AC24" s="5"/>
      <c r="AD24" s="5"/>
      <c r="AE24" s="6">
        <v>491.4</v>
      </c>
      <c r="AF24" s="6">
        <v>423.81</v>
      </c>
      <c r="AG24" s="6">
        <v>31.66</v>
      </c>
      <c r="AH24" s="9">
        <f>IF(AND(ISNUMBER(AG24),ISNUMBER(AF24),AF24&gt;0),AG24/AF24,"")</f>
        <v>0.0747032868502395</v>
      </c>
      <c r="AI24" s="5"/>
      <c r="AJ24" s="5"/>
      <c r="AK24" s="5"/>
      <c r="AL24" s="5"/>
      <c r="AM24" s="5"/>
      <c r="AN24" s="4" t="s">
        <v>226</v>
      </c>
      <c r="AO24" s="4" t="s">
        <v>113</v>
      </c>
      <c r="AP24" s="4" t="s">
        <v>193</v>
      </c>
      <c r="AQ24" s="5"/>
      <c r="AR24" s="5"/>
      <c r="AS24" s="4" t="s">
        <v>227</v>
      </c>
      <c r="AT24" s="4" t="s">
        <v>195</v>
      </c>
      <c r="AU24" s="6">
        <v>9</v>
      </c>
      <c r="AV24" s="4" t="s">
        <v>196</v>
      </c>
      <c r="AW24" s="4" t="s">
        <v>197</v>
      </c>
      <c r="AX24" s="4" t="s">
        <v>123</v>
      </c>
      <c r="AY24" s="4" t="s">
        <v>123</v>
      </c>
      <c r="AZ24" s="4" t="s">
        <v>125</v>
      </c>
      <c r="BA24" s="4"/>
      <c r="BB24" s="7">
        <f>COUNT(H24:Q24)</f>
        <v>10</v>
      </c>
      <c r="BC24" s="7">
        <f>IF(AND(ISNUMBER(R24),ISNUMBER(AU24)),R24-AU24,"")</f>
        <v>0</v>
      </c>
      <c r="BD24" s="4" t="s">
        <v>198</v>
      </c>
      <c r="BE24" s="5"/>
      <c r="BF24" s="5"/>
      <c r="BG24" s="5"/>
      <c r="BH24" s="5"/>
      <c r="BI24" s="5"/>
      <c r="BJ24" s="5"/>
      <c r="BK24" s="5"/>
      <c r="BL24" s="5"/>
      <c r="BM24" s="5"/>
      <c r="BN24" s="5"/>
      <c r="BO24" s="5"/>
      <c r="BP24" s="5"/>
      <c r="BQ24" s="5"/>
      <c r="BR24" s="5"/>
      <c r="BS24" s="5"/>
      <c r="BT24" s="5"/>
      <c r="BU24" s="4" t="s">
        <v>220</v>
      </c>
      <c r="BV24" s="4" t="s">
        <v>126</v>
      </c>
      <c r="BW24" s="4" t="s">
        <v>200</v>
      </c>
      <c r="BX24" s="4" t="s">
        <v>228</v>
      </c>
    </row>
    <row r="25" spans="1:76" ht="38" customHeight="1">
      <c r="A25" s="4" t="s">
        <v>229</v>
      </c>
      <c r="B25" s="4" t="s">
        <v>191</v>
      </c>
      <c r="C25" s="5"/>
      <c r="D25" s="6">
        <v>1</v>
      </c>
      <c r="E25" s="5"/>
      <c r="F25" s="5"/>
      <c r="G25" s="5"/>
      <c r="H25" s="6">
        <v>3</v>
      </c>
      <c r="I25" s="6">
        <v>0</v>
      </c>
      <c r="J25" s="6">
        <v>0</v>
      </c>
      <c r="K25" s="6">
        <v>0</v>
      </c>
      <c r="L25" s="6">
        <v>0</v>
      </c>
      <c r="M25" s="6">
        <v>0</v>
      </c>
      <c r="N25" s="6">
        <v>2</v>
      </c>
      <c r="O25" s="6">
        <v>1</v>
      </c>
      <c r="P25" s="6">
        <v>2</v>
      </c>
      <c r="Q25" s="6">
        <v>0</v>
      </c>
      <c r="R25" s="7">
        <f>IF(COUNT(H25:Q25)=10,SUM(H25:Q25),"")</f>
        <v>8</v>
      </c>
      <c r="S25" s="7">
        <f>IF(ISNUMBER(R25),R25/30*100,"")</f>
        <v>26.666666666666668</v>
      </c>
      <c r="T25" s="7">
        <f>IF(COUNT(H25:J25,L25)=4,SUM(H25:J25,L25),"")</f>
        <v>3</v>
      </c>
      <c r="U25" s="7">
        <f>IF(COUNT(K25,M25:O25)=4,SUM(K25,M25:O25),"")</f>
        <v>3</v>
      </c>
      <c r="V25" s="7">
        <f>IF(COUNT(P25:Q25)=2,SUM(P25:Q25),"")</f>
        <v>2</v>
      </c>
      <c r="W25" s="4" t="s">
        <v>113</v>
      </c>
      <c r="X25" s="5"/>
      <c r="Y25" s="5"/>
      <c r="Z25" s="5"/>
      <c r="AA25" s="5"/>
      <c r="AB25" s="5"/>
      <c r="AC25" s="5"/>
      <c r="AD25" s="5"/>
      <c r="AE25" s="6">
        <v>509.15</v>
      </c>
      <c r="AF25" s="6">
        <v>504.26</v>
      </c>
      <c r="AG25" s="6">
        <v>6.05</v>
      </c>
      <c r="AH25" s="9">
        <f>IF(AND(ISNUMBER(AG25),ISNUMBER(AF25),AF25&gt;0),AG25/AF25,"")</f>
        <v>0.011997778923571173</v>
      </c>
      <c r="AI25" s="5"/>
      <c r="AJ25" s="5"/>
      <c r="AK25" s="8">
        <v>0.1339</v>
      </c>
      <c r="AL25" s="5"/>
      <c r="AM25" s="5"/>
      <c r="AN25" s="4" t="s">
        <v>218</v>
      </c>
      <c r="AO25" s="4" t="s">
        <v>113</v>
      </c>
      <c r="AP25" s="4" t="s">
        <v>193</v>
      </c>
      <c r="AQ25" s="5"/>
      <c r="AR25" s="5"/>
      <c r="AS25" s="4" t="s">
        <v>230</v>
      </c>
      <c r="AT25" s="4" t="s">
        <v>195</v>
      </c>
      <c r="AU25" s="6">
        <v>8</v>
      </c>
      <c r="AV25" s="4" t="s">
        <v>196</v>
      </c>
      <c r="AW25" s="4" t="s">
        <v>197</v>
      </c>
      <c r="AX25" s="4" t="s">
        <v>123</v>
      </c>
      <c r="AY25" s="4" t="s">
        <v>123</v>
      </c>
      <c r="AZ25" s="4" t="s">
        <v>125</v>
      </c>
      <c r="BA25" s="4"/>
      <c r="BB25" s="7">
        <f>COUNT(H25:Q25)</f>
        <v>10</v>
      </c>
      <c r="BC25" s="7">
        <f>IF(AND(ISNUMBER(R25),ISNUMBER(AU25)),R25-AU25,"")</f>
        <v>0</v>
      </c>
      <c r="BD25" s="4" t="s">
        <v>198</v>
      </c>
      <c r="BE25" s="5"/>
      <c r="BF25" s="5"/>
      <c r="BG25" s="5"/>
      <c r="BH25" s="5"/>
      <c r="BI25" s="5"/>
      <c r="BJ25" s="5"/>
      <c r="BK25" s="5"/>
      <c r="BL25" s="5"/>
      <c r="BM25" s="5"/>
      <c r="BN25" s="5"/>
      <c r="BO25" s="5"/>
      <c r="BP25" s="5"/>
      <c r="BQ25" s="5"/>
      <c r="BR25" s="5"/>
      <c r="BS25" s="5"/>
      <c r="BT25" s="5"/>
      <c r="BU25" s="4" t="s">
        <v>220</v>
      </c>
      <c r="BV25" s="4" t="s">
        <v>126</v>
      </c>
      <c r="BW25" s="4" t="s">
        <v>200</v>
      </c>
      <c r="BX25" s="4" t="s">
        <v>221</v>
      </c>
    </row>
    <row r="26" spans="1:76" ht="38" customHeight="1">
      <c r="A26" s="4" t="s">
        <v>231</v>
      </c>
      <c r="B26" s="4" t="s">
        <v>191</v>
      </c>
      <c r="C26" s="5"/>
      <c r="D26" s="6">
        <v>1</v>
      </c>
      <c r="E26" s="5"/>
      <c r="F26" s="5"/>
      <c r="G26" s="5"/>
      <c r="H26" s="6">
        <v>3</v>
      </c>
      <c r="I26" s="6">
        <v>0</v>
      </c>
      <c r="J26" s="6">
        <v>0</v>
      </c>
      <c r="K26" s="6">
        <v>0</v>
      </c>
      <c r="L26" s="6">
        <v>0</v>
      </c>
      <c r="M26" s="6">
        <v>0</v>
      </c>
      <c r="N26" s="6">
        <v>2</v>
      </c>
      <c r="O26" s="6">
        <v>1</v>
      </c>
      <c r="P26" s="6">
        <v>2</v>
      </c>
      <c r="Q26" s="6">
        <v>0</v>
      </c>
      <c r="R26" s="7">
        <f>IF(COUNT(H26:Q26)=10,SUM(H26:Q26),"")</f>
        <v>8</v>
      </c>
      <c r="S26" s="7">
        <f>IF(ISNUMBER(R26),R26/30*100,"")</f>
        <v>26.666666666666668</v>
      </c>
      <c r="T26" s="7">
        <f>IF(COUNT(H26:J26,L26)=4,SUM(H26:J26,L26),"")</f>
        <v>3</v>
      </c>
      <c r="U26" s="7">
        <f>IF(COUNT(K26,M26:O26)=4,SUM(K26,M26:O26),"")</f>
        <v>3</v>
      </c>
      <c r="V26" s="7">
        <f>IF(COUNT(P26:Q26)=2,SUM(P26:Q26),"")</f>
        <v>2</v>
      </c>
      <c r="W26" s="4" t="s">
        <v>113</v>
      </c>
      <c r="X26" s="5"/>
      <c r="Y26" s="5"/>
      <c r="Z26" s="5"/>
      <c r="AA26" s="5"/>
      <c r="AB26" s="5"/>
      <c r="AC26" s="5"/>
      <c r="AD26" s="5"/>
      <c r="AE26" s="6">
        <v>188.52</v>
      </c>
      <c r="AF26" s="6">
        <v>149.23</v>
      </c>
      <c r="AG26" s="6">
        <v>18.09</v>
      </c>
      <c r="AH26" s="9">
        <f>IF(AND(ISNUMBER(AG26),ISNUMBER(AF26),AF26&gt;0),AG26/AF26,"")</f>
        <v>0.12122227434162032</v>
      </c>
      <c r="AI26" s="5"/>
      <c r="AJ26" s="5"/>
      <c r="AK26" s="8">
        <v>0.1264</v>
      </c>
      <c r="AL26" s="5"/>
      <c r="AM26" s="5"/>
      <c r="AN26" s="4" t="s">
        <v>218</v>
      </c>
      <c r="AO26" s="4" t="s">
        <v>113</v>
      </c>
      <c r="AP26" s="4" t="s">
        <v>193</v>
      </c>
      <c r="AQ26" s="5"/>
      <c r="AR26" s="5"/>
      <c r="AS26" s="4" t="s">
        <v>232</v>
      </c>
      <c r="AT26" s="4" t="s">
        <v>195</v>
      </c>
      <c r="AU26" s="6">
        <v>8</v>
      </c>
      <c r="AV26" s="4" t="s">
        <v>196</v>
      </c>
      <c r="AW26" s="4" t="s">
        <v>197</v>
      </c>
      <c r="AX26" s="4" t="s">
        <v>123</v>
      </c>
      <c r="AY26" s="4" t="s">
        <v>123</v>
      </c>
      <c r="AZ26" s="4" t="s">
        <v>125</v>
      </c>
      <c r="BA26" s="4"/>
      <c r="BB26" s="7">
        <f>COUNT(H26:Q26)</f>
        <v>10</v>
      </c>
      <c r="BC26" s="7">
        <f>IF(AND(ISNUMBER(R26),ISNUMBER(AU26)),R26-AU26,"")</f>
        <v>0</v>
      </c>
      <c r="BD26" s="4" t="s">
        <v>198</v>
      </c>
      <c r="BE26" s="5"/>
      <c r="BF26" s="5"/>
      <c r="BG26" s="5"/>
      <c r="BH26" s="5"/>
      <c r="BI26" s="5"/>
      <c r="BJ26" s="5"/>
      <c r="BK26" s="5"/>
      <c r="BL26" s="5"/>
      <c r="BM26" s="5"/>
      <c r="BN26" s="5"/>
      <c r="BO26" s="5"/>
      <c r="BP26" s="5"/>
      <c r="BQ26" s="5"/>
      <c r="BR26" s="5"/>
      <c r="BS26" s="5"/>
      <c r="BT26" s="5"/>
      <c r="BU26" s="4" t="s">
        <v>220</v>
      </c>
      <c r="BV26" s="4" t="s">
        <v>126</v>
      </c>
      <c r="BW26" s="4" t="s">
        <v>200</v>
      </c>
      <c r="BX26" s="4" t="s">
        <v>221</v>
      </c>
    </row>
    <row r="27" spans="1:76" ht="38" customHeight="1">
      <c r="A27" s="4" t="s">
        <v>233</v>
      </c>
      <c r="B27" s="4" t="s">
        <v>191</v>
      </c>
      <c r="C27" s="5"/>
      <c r="D27" s="6">
        <v>1</v>
      </c>
      <c r="E27" s="5"/>
      <c r="F27" s="5"/>
      <c r="G27" s="5"/>
      <c r="H27" s="6">
        <v>3</v>
      </c>
      <c r="I27" s="6">
        <v>0</v>
      </c>
      <c r="J27" s="6">
        <v>0</v>
      </c>
      <c r="K27" s="6">
        <v>0</v>
      </c>
      <c r="L27" s="6">
        <v>0</v>
      </c>
      <c r="M27" s="6">
        <v>0</v>
      </c>
      <c r="N27" s="6">
        <v>1</v>
      </c>
      <c r="O27" s="6">
        <v>1</v>
      </c>
      <c r="P27" s="6">
        <v>2</v>
      </c>
      <c r="Q27" s="6">
        <v>0</v>
      </c>
      <c r="R27" s="7">
        <f>IF(COUNT(H27:Q27)=10,SUM(H27:Q27),"")</f>
        <v>7</v>
      </c>
      <c r="S27" s="7">
        <f>IF(ISNUMBER(R27),R27/30*100,"")</f>
        <v>23.333333333333332</v>
      </c>
      <c r="T27" s="7">
        <f>IF(COUNT(H27:J27,L27)=4,SUM(H27:J27,L27),"")</f>
        <v>3</v>
      </c>
      <c r="U27" s="7">
        <f>IF(COUNT(K27,M27:O27)=4,SUM(K27,M27:O27),"")</f>
        <v>2</v>
      </c>
      <c r="V27" s="7">
        <f>IF(COUNT(P27:Q27)=2,SUM(P27:Q27),"")</f>
        <v>2</v>
      </c>
      <c r="W27" s="4" t="s">
        <v>113</v>
      </c>
      <c r="X27" s="5"/>
      <c r="Y27" s="5"/>
      <c r="Z27" s="5"/>
      <c r="AA27" s="5"/>
      <c r="AB27" s="5"/>
      <c r="AC27" s="5"/>
      <c r="AD27" s="5"/>
      <c r="AE27" s="5"/>
      <c r="AF27" s="5"/>
      <c r="AG27" s="5"/>
      <c r="AH27" s="9">
        <f>IF(AND(ISNUMBER(AG27),ISNUMBER(AF27),AF27&gt;0),AG27/AF27,"")</f>
        <v/>
      </c>
      <c r="AI27" s="5"/>
      <c r="AJ27" s="5"/>
      <c r="AK27" s="5"/>
      <c r="AL27" s="5"/>
      <c r="AM27" s="5"/>
      <c r="AN27" s="4" t="s">
        <v>218</v>
      </c>
      <c r="AO27" s="5"/>
      <c r="AP27" s="4" t="s">
        <v>204</v>
      </c>
      <c r="AQ27" s="5"/>
      <c r="AR27" s="5"/>
      <c r="AS27" s="4" t="s">
        <v>234</v>
      </c>
      <c r="AT27" s="4" t="s">
        <v>195</v>
      </c>
      <c r="AU27" s="6">
        <v>7</v>
      </c>
      <c r="AV27" s="4" t="s">
        <v>196</v>
      </c>
      <c r="AW27" s="4" t="s">
        <v>197</v>
      </c>
      <c r="AX27" s="4" t="s">
        <v>123</v>
      </c>
      <c r="AY27" s="4" t="s">
        <v>123</v>
      </c>
      <c r="AZ27" s="4" t="s">
        <v>164</v>
      </c>
      <c r="BA27" s="4"/>
      <c r="BB27" s="7">
        <f>COUNT(H27:Q27)</f>
        <v>10</v>
      </c>
      <c r="BC27" s="7">
        <f>IF(AND(ISNUMBER(R27),ISNUMBER(AU27)),R27-AU27,"")</f>
        <v>0</v>
      </c>
      <c r="BD27" s="4" t="s">
        <v>198</v>
      </c>
      <c r="BE27" s="5"/>
      <c r="BF27" s="5"/>
      <c r="BG27" s="5"/>
      <c r="BH27" s="5"/>
      <c r="BI27" s="5"/>
      <c r="BJ27" s="5"/>
      <c r="BK27" s="5"/>
      <c r="BL27" s="5"/>
      <c r="BM27" s="5"/>
      <c r="BN27" s="5"/>
      <c r="BO27" s="5"/>
      <c r="BP27" s="5"/>
      <c r="BQ27" s="5"/>
      <c r="BR27" s="5"/>
      <c r="BS27" s="5"/>
      <c r="BT27" s="5"/>
      <c r="BU27" s="4" t="s">
        <v>220</v>
      </c>
      <c r="BV27" s="4" t="s">
        <v>126</v>
      </c>
      <c r="BW27" s="4" t="s">
        <v>200</v>
      </c>
      <c r="BX27" s="4" t="s">
        <v>235</v>
      </c>
    </row>
    <row r="28" spans="1:76" ht="38" customHeight="1">
      <c r="A28" s="4" t="s">
        <v>236</v>
      </c>
      <c r="B28" s="4" t="s">
        <v>237</v>
      </c>
      <c r="C28" s="5"/>
      <c r="D28" s="6">
        <v>0</v>
      </c>
      <c r="E28" s="5"/>
      <c r="F28" s="4" t="s">
        <v>238</v>
      </c>
      <c r="G28" s="6">
        <v>0</v>
      </c>
      <c r="H28" s="5"/>
      <c r="I28" s="5"/>
      <c r="J28" s="5"/>
      <c r="K28" s="5"/>
      <c r="L28" s="5"/>
      <c r="M28" s="5"/>
      <c r="N28" s="5"/>
      <c r="O28" s="5"/>
      <c r="P28" s="5"/>
      <c r="Q28" s="5"/>
      <c r="R28" s="7">
        <f>IF(COUNT(H28:Q28)=10,SUM(H28:Q28),"")</f>
        <v/>
      </c>
      <c r="S28" s="7">
        <f>IF(ISNUMBER(R28),R28/30*100,"")</f>
        <v/>
      </c>
      <c r="T28" s="7">
        <f>IF(COUNT(H28:J28,L28)=4,SUM(H28:J28,L28),"")</f>
        <v/>
      </c>
      <c r="U28" s="7">
        <f>IF(COUNT(K28,M28:O28)=4,SUM(K28,M28:O28),"")</f>
        <v/>
      </c>
      <c r="V28" s="7">
        <f>IF(COUNT(P28:Q28)=2,SUM(P28:Q28),"")</f>
        <v/>
      </c>
      <c r="W28" s="4" t="s">
        <v>130</v>
      </c>
      <c r="X28" s="4" t="s">
        <v>239</v>
      </c>
      <c r="Y28" s="5"/>
      <c r="Z28" s="5"/>
      <c r="AA28" s="5"/>
      <c r="AB28" s="5"/>
      <c r="AC28" s="4" t="s">
        <v>135</v>
      </c>
      <c r="AD28" s="5"/>
      <c r="AE28" s="5"/>
      <c r="AF28" s="5"/>
      <c r="AG28" s="5"/>
      <c r="AH28" s="9">
        <f>IF(AND(ISNUMBER(AG28),ISNUMBER(AF28),AF28&gt;0),AG28/AF28,"")</f>
        <v/>
      </c>
      <c r="AI28" s="5"/>
      <c r="AJ28" s="5"/>
      <c r="AK28" s="5"/>
      <c r="AL28" s="5"/>
      <c r="AM28" s="4" t="s">
        <v>115</v>
      </c>
      <c r="AN28" s="4" t="s">
        <v>240</v>
      </c>
      <c r="AO28" s="5"/>
      <c r="AP28" s="4" t="s">
        <v>118</v>
      </c>
      <c r="AQ28" s="4" t="s">
        <v>241</v>
      </c>
      <c r="AR28" s="5"/>
      <c r="AS28" s="4" t="s">
        <v>242</v>
      </c>
      <c r="AT28" s="4" t="s">
        <v>243</v>
      </c>
      <c r="AU28" s="5"/>
      <c r="AV28" s="4" t="s">
        <v>244</v>
      </c>
      <c r="AW28" s="4" t="s">
        <v>245</v>
      </c>
      <c r="AX28" s="4" t="s">
        <v>123</v>
      </c>
      <c r="AY28" s="4" t="s">
        <v>123</v>
      </c>
      <c r="AZ28" s="4" t="s">
        <v>164</v>
      </c>
      <c r="BA28" s="4"/>
      <c r="BB28" s="7">
        <f>COUNT(H28:Q28)</f>
        <v>0</v>
      </c>
      <c r="BC28" s="7">
        <f>IF(AND(ISNUMBER(R28),ISNUMBER(AU28)),R28-AU28,"")</f>
        <v/>
      </c>
      <c r="BD28" s="4"/>
      <c r="BE28" s="5"/>
      <c r="BF28" s="6">
        <v>1</v>
      </c>
      <c r="BG28" s="4" t="s">
        <v>246</v>
      </c>
      <c r="BH28" s="5"/>
      <c r="BI28" s="6">
        <v>0</v>
      </c>
      <c r="BJ28" s="5"/>
      <c r="BK28" s="4" t="s">
        <v>247</v>
      </c>
      <c r="BL28" s="5"/>
      <c r="BM28" s="5"/>
      <c r="BN28" s="5"/>
      <c r="BO28" s="4" t="s">
        <v>248</v>
      </c>
      <c r="BP28" s="5"/>
      <c r="BQ28" s="5"/>
      <c r="BR28" s="5"/>
      <c r="BS28" s="5"/>
      <c r="BT28" s="4" t="s">
        <v>249</v>
      </c>
      <c r="BU28" s="5"/>
      <c r="BV28" s="4" t="s">
        <v>126</v>
      </c>
      <c r="BW28" s="4" t="s">
        <v>250</v>
      </c>
      <c r="BX28" s="4" t="s">
        <v>251</v>
      </c>
    </row>
    <row r="29" spans="1:76" ht="38" customHeight="1">
      <c r="A29" s="4" t="s">
        <v>252</v>
      </c>
      <c r="B29" s="4" t="s">
        <v>237</v>
      </c>
      <c r="C29" s="5"/>
      <c r="D29" s="6">
        <v>1</v>
      </c>
      <c r="E29" s="5"/>
      <c r="F29" s="4" t="s">
        <v>112</v>
      </c>
      <c r="G29" s="5"/>
      <c r="H29" s="6">
        <v>3</v>
      </c>
      <c r="I29" s="6">
        <v>3</v>
      </c>
      <c r="J29" s="6">
        <v>2</v>
      </c>
      <c r="K29" s="6">
        <v>3</v>
      </c>
      <c r="L29" s="6">
        <v>2</v>
      </c>
      <c r="M29" s="6">
        <v>2</v>
      </c>
      <c r="N29" s="6">
        <v>0</v>
      </c>
      <c r="O29" s="6">
        <v>2</v>
      </c>
      <c r="P29" s="6">
        <v>2</v>
      </c>
      <c r="Q29" s="6">
        <v>2</v>
      </c>
      <c r="R29" s="7">
        <f>IF(COUNT(H29:Q29)=10,SUM(H29:Q29),"")</f>
        <v>21</v>
      </c>
      <c r="S29" s="7">
        <f>IF(ISNUMBER(R29),R29/30*100,"")</f>
        <v>70.0</v>
      </c>
      <c r="T29" s="7">
        <f>IF(COUNT(H29:J29,L29)=4,SUM(H29:J29,L29),"")</f>
        <v>10</v>
      </c>
      <c r="U29" s="7">
        <f>IF(COUNT(K29,M29:O29)=4,SUM(K29,M29:O29),"")</f>
        <v>7</v>
      </c>
      <c r="V29" s="7">
        <f>IF(COUNT(P29:Q29)=2,SUM(P29:Q29),"")</f>
        <v>4</v>
      </c>
      <c r="W29" s="4" t="s">
        <v>113</v>
      </c>
      <c r="X29" s="4" t="s">
        <v>239</v>
      </c>
      <c r="Y29" s="5"/>
      <c r="Z29" s="5"/>
      <c r="AA29" s="5"/>
      <c r="AB29" s="5"/>
      <c r="AC29" s="4" t="s">
        <v>135</v>
      </c>
      <c r="AD29" s="5"/>
      <c r="AE29" s="6">
        <v>13538</v>
      </c>
      <c r="AF29" s="5"/>
      <c r="AG29" s="5"/>
      <c r="AH29" s="9">
        <f>IF(AND(ISNUMBER(AG29),ISNUMBER(AF29),AF29&gt;0),AG29/AF29,"")</f>
        <v/>
      </c>
      <c r="AI29" s="5"/>
      <c r="AJ29" s="5"/>
      <c r="AK29" s="5"/>
      <c r="AL29" s="5"/>
      <c r="AM29" s="4" t="s">
        <v>115</v>
      </c>
      <c r="AN29" s="4" t="s">
        <v>253</v>
      </c>
      <c r="AO29" s="4" t="s">
        <v>130</v>
      </c>
      <c r="AP29" s="4" t="s">
        <v>118</v>
      </c>
      <c r="AQ29" s="4" t="s">
        <v>254</v>
      </c>
      <c r="AR29" s="5"/>
      <c r="AS29" s="4" t="s">
        <v>255</v>
      </c>
      <c r="AT29" s="4" t="s">
        <v>256</v>
      </c>
      <c r="AU29" s="5"/>
      <c r="AV29" s="4" t="s">
        <v>244</v>
      </c>
      <c r="AW29" s="4" t="s">
        <v>245</v>
      </c>
      <c r="AX29" s="4" t="s">
        <v>124</v>
      </c>
      <c r="AY29" s="4" t="s">
        <v>123</v>
      </c>
      <c r="AZ29" s="4" t="s">
        <v>257</v>
      </c>
      <c r="BA29" s="4"/>
      <c r="BB29" s="7">
        <f>COUNT(H29:Q29)</f>
        <v>10</v>
      </c>
      <c r="BC29" s="7">
        <f>IF(AND(ISNUMBER(R29),ISNUMBER(AU29)),R29-AU29,"")</f>
        <v/>
      </c>
      <c r="BD29" s="4" t="s">
        <v>258</v>
      </c>
      <c r="BE29" s="5"/>
      <c r="BF29" s="6">
        <v>1</v>
      </c>
      <c r="BG29" s="4" t="s">
        <v>246</v>
      </c>
      <c r="BH29" s="5"/>
      <c r="BI29" s="6">
        <v>2</v>
      </c>
      <c r="BJ29" s="6">
        <v>856</v>
      </c>
      <c r="BK29" s="4" t="s">
        <v>259</v>
      </c>
      <c r="BL29" s="5"/>
      <c r="BM29" s="5"/>
      <c r="BN29" s="5"/>
      <c r="BO29" s="4" t="s">
        <v>260</v>
      </c>
      <c r="BP29" s="5"/>
      <c r="BQ29" s="5"/>
      <c r="BR29" s="6">
        <v>1767</v>
      </c>
      <c r="BS29" s="5"/>
      <c r="BT29" s="4" t="s">
        <v>261</v>
      </c>
      <c r="BU29" s="5"/>
      <c r="BV29" s="4" t="s">
        <v>126</v>
      </c>
      <c r="BW29" s="4" t="s">
        <v>250</v>
      </c>
      <c r="BX29" s="4" t="s">
        <v>262</v>
      </c>
    </row>
    <row r="30" spans="1:76" ht="38" customHeight="1">
      <c r="A30" s="4" t="s">
        <v>263</v>
      </c>
      <c r="B30" s="4" t="s">
        <v>237</v>
      </c>
      <c r="C30" s="5"/>
      <c r="D30" s="6">
        <v>1</v>
      </c>
      <c r="E30" s="5"/>
      <c r="F30" s="4" t="s">
        <v>134</v>
      </c>
      <c r="G30" s="6">
        <v>1</v>
      </c>
      <c r="H30" s="6">
        <v>3</v>
      </c>
      <c r="I30" s="6">
        <v>2</v>
      </c>
      <c r="J30" s="6">
        <v>2</v>
      </c>
      <c r="K30" s="6">
        <v>2</v>
      </c>
      <c r="L30" s="6">
        <v>1</v>
      </c>
      <c r="M30" s="6">
        <v>1</v>
      </c>
      <c r="N30" s="6">
        <v>0</v>
      </c>
      <c r="O30" s="6">
        <v>1</v>
      </c>
      <c r="P30" s="6">
        <v>2</v>
      </c>
      <c r="Q30" s="6">
        <v>2</v>
      </c>
      <c r="R30" s="7">
        <f>IF(COUNT(H30:Q30)=10,SUM(H30:Q30),"")</f>
        <v>16</v>
      </c>
      <c r="S30" s="7">
        <f>IF(ISNUMBER(R30),R30/30*100,"")</f>
        <v>53.333333333333336</v>
      </c>
      <c r="T30" s="7">
        <f>IF(COUNT(H30:J30,L30)=4,SUM(H30:J30,L30),"")</f>
        <v>8</v>
      </c>
      <c r="U30" s="7">
        <f>IF(COUNT(K30,M30:O30)=4,SUM(K30,M30:O30),"")</f>
        <v>4</v>
      </c>
      <c r="V30" s="7">
        <f>IF(COUNT(P30:Q30)=2,SUM(P30:Q30),"")</f>
        <v>4</v>
      </c>
      <c r="W30" s="4" t="s">
        <v>113</v>
      </c>
      <c r="X30" s="4" t="s">
        <v>239</v>
      </c>
      <c r="Y30" s="5"/>
      <c r="Z30" s="5"/>
      <c r="AA30" s="5"/>
      <c r="AB30" s="5"/>
      <c r="AC30" s="4" t="s">
        <v>135</v>
      </c>
      <c r="AD30" s="5"/>
      <c r="AE30" s="6">
        <v>21567.9</v>
      </c>
      <c r="AF30" s="5"/>
      <c r="AG30" s="6">
        <v>169.7</v>
      </c>
      <c r="AH30" s="9">
        <f>IF(AND(ISNUMBER(AG30),ISNUMBER(AF30),AF30&gt;0),AG30/AF30,"")</f>
        <v/>
      </c>
      <c r="AI30" s="5"/>
      <c r="AJ30" s="5"/>
      <c r="AK30" s="5"/>
      <c r="AL30" s="5"/>
      <c r="AM30" s="4" t="s">
        <v>115</v>
      </c>
      <c r="AN30" s="4" t="s">
        <v>264</v>
      </c>
      <c r="AO30" s="4" t="s">
        <v>130</v>
      </c>
      <c r="AP30" s="4" t="s">
        <v>118</v>
      </c>
      <c r="AQ30" s="4" t="s">
        <v>254</v>
      </c>
      <c r="AR30" s="5"/>
      <c r="AS30" s="4" t="s">
        <v>265</v>
      </c>
      <c r="AT30" s="4" t="s">
        <v>256</v>
      </c>
      <c r="AU30" s="5"/>
      <c r="AV30" s="4" t="s">
        <v>244</v>
      </c>
      <c r="AW30" s="4" t="s">
        <v>245</v>
      </c>
      <c r="AX30" s="4" t="s">
        <v>124</v>
      </c>
      <c r="AY30" s="4" t="s">
        <v>123</v>
      </c>
      <c r="AZ30" s="4" t="s">
        <v>266</v>
      </c>
      <c r="BA30" s="4"/>
      <c r="BB30" s="7">
        <f>COUNT(H30:Q30)</f>
        <v>10</v>
      </c>
      <c r="BC30" s="7">
        <f>IF(AND(ISNUMBER(R30),ISNUMBER(AU30)),R30-AU30,"")</f>
        <v/>
      </c>
      <c r="BD30" s="4" t="s">
        <v>258</v>
      </c>
      <c r="BE30" s="5"/>
      <c r="BF30" s="6">
        <v>1</v>
      </c>
      <c r="BG30" s="4" t="s">
        <v>246</v>
      </c>
      <c r="BH30" s="5"/>
      <c r="BI30" s="6">
        <v>0</v>
      </c>
      <c r="BJ30" s="5"/>
      <c r="BK30" s="5"/>
      <c r="BL30" s="5"/>
      <c r="BM30" s="6">
        <v>211.5</v>
      </c>
      <c r="BN30" s="5"/>
      <c r="BO30" s="4" t="s">
        <v>248</v>
      </c>
      <c r="BP30" s="5"/>
      <c r="BQ30" s="5"/>
      <c r="BR30" s="5"/>
      <c r="BS30" s="5"/>
      <c r="BT30" s="4" t="s">
        <v>261</v>
      </c>
      <c r="BU30" s="5"/>
      <c r="BV30" s="4" t="s">
        <v>126</v>
      </c>
      <c r="BW30" s="4" t="s">
        <v>250</v>
      </c>
      <c r="BX30" s="4" t="s">
        <v>267</v>
      </c>
    </row>
    <row r="31" spans="1:76" ht="38" customHeight="1">
      <c r="A31" s="4" t="s">
        <v>268</v>
      </c>
      <c r="B31" s="4" t="s">
        <v>237</v>
      </c>
      <c r="C31" s="5"/>
      <c r="D31" s="6">
        <v>1</v>
      </c>
      <c r="E31" s="5"/>
      <c r="F31" s="4" t="s">
        <v>112</v>
      </c>
      <c r="G31" s="6">
        <v>1</v>
      </c>
      <c r="H31" s="6">
        <v>2</v>
      </c>
      <c r="I31" s="6">
        <v>1</v>
      </c>
      <c r="J31" s="6">
        <v>2</v>
      </c>
      <c r="K31" s="6">
        <v>2</v>
      </c>
      <c r="L31" s="6">
        <v>2</v>
      </c>
      <c r="M31" s="6">
        <v>1</v>
      </c>
      <c r="N31" s="6">
        <v>0</v>
      </c>
      <c r="O31" s="6">
        <v>1</v>
      </c>
      <c r="P31" s="6">
        <v>3</v>
      </c>
      <c r="Q31" s="6">
        <v>2</v>
      </c>
      <c r="R31" s="7">
        <f>IF(COUNT(H31:Q31)=10,SUM(H31:Q31),"")</f>
        <v>16</v>
      </c>
      <c r="S31" s="7">
        <f>IF(ISNUMBER(R31),R31/30*100,"")</f>
        <v>53.333333333333336</v>
      </c>
      <c r="T31" s="7">
        <f>IF(COUNT(H31:J31,L31)=4,SUM(H31:J31,L31),"")</f>
        <v>7</v>
      </c>
      <c r="U31" s="7">
        <f>IF(COUNT(K31,M31:O31)=4,SUM(K31,M31:O31),"")</f>
        <v>4</v>
      </c>
      <c r="V31" s="7">
        <f>IF(COUNT(P31:Q31)=2,SUM(P31:Q31),"")</f>
        <v>5</v>
      </c>
      <c r="W31" s="4" t="s">
        <v>113</v>
      </c>
      <c r="X31" s="4" t="s">
        <v>239</v>
      </c>
      <c r="Y31" s="5"/>
      <c r="Z31" s="5"/>
      <c r="AA31" s="5"/>
      <c r="AB31" s="5"/>
      <c r="AC31" s="4" t="s">
        <v>135</v>
      </c>
      <c r="AD31" s="5"/>
      <c r="AE31" s="5"/>
      <c r="AF31" s="5"/>
      <c r="AG31" s="5"/>
      <c r="AH31" s="9">
        <f>IF(AND(ISNUMBER(AG31),ISNUMBER(AF31),AF31&gt;0),AG31/AF31,"")</f>
        <v/>
      </c>
      <c r="AI31" s="5"/>
      <c r="AJ31" s="5"/>
      <c r="AK31" s="5"/>
      <c r="AL31" s="5"/>
      <c r="AM31" s="4" t="s">
        <v>115</v>
      </c>
      <c r="AN31" s="4" t="s">
        <v>269</v>
      </c>
      <c r="AO31" s="4" t="s">
        <v>113</v>
      </c>
      <c r="AP31" s="4" t="s">
        <v>118</v>
      </c>
      <c r="AQ31" s="4" t="s">
        <v>254</v>
      </c>
      <c r="AR31" s="5"/>
      <c r="AS31" s="4" t="s">
        <v>270</v>
      </c>
      <c r="AT31" s="4" t="s">
        <v>256</v>
      </c>
      <c r="AU31" s="6">
        <v>12</v>
      </c>
      <c r="AV31" s="4" t="s">
        <v>244</v>
      </c>
      <c r="AW31" s="4" t="s">
        <v>245</v>
      </c>
      <c r="AX31" s="4" t="s">
        <v>124</v>
      </c>
      <c r="AY31" s="4" t="s">
        <v>123</v>
      </c>
      <c r="AZ31" s="4" t="s">
        <v>271</v>
      </c>
      <c r="BA31" s="4"/>
      <c r="BB31" s="7">
        <f>COUNT(H31:Q31)</f>
        <v>10</v>
      </c>
      <c r="BC31" s="7">
        <f>IF(AND(ISNUMBER(R31),ISNUMBER(AU31)),R31-AU31,"")</f>
        <v>4</v>
      </c>
      <c r="BD31" s="4" t="s">
        <v>258</v>
      </c>
      <c r="BE31" s="5"/>
      <c r="BF31" s="6">
        <v>1</v>
      </c>
      <c r="BG31" s="4" t="s">
        <v>246</v>
      </c>
      <c r="BH31" s="5"/>
      <c r="BI31" s="6">
        <v>10</v>
      </c>
      <c r="BJ31" s="5"/>
      <c r="BK31" s="4" t="s">
        <v>272</v>
      </c>
      <c r="BL31" s="5"/>
      <c r="BM31" s="5"/>
      <c r="BN31" s="5"/>
      <c r="BO31" s="4" t="s">
        <v>248</v>
      </c>
      <c r="BP31" s="6">
        <v>82.3</v>
      </c>
      <c r="BQ31" s="5"/>
      <c r="BR31" s="5"/>
      <c r="BS31" s="6">
        <v>0.099</v>
      </c>
      <c r="BT31" s="4" t="s">
        <v>261</v>
      </c>
      <c r="BU31" s="5"/>
      <c r="BV31" s="4" t="s">
        <v>126</v>
      </c>
      <c r="BW31" s="4" t="s">
        <v>250</v>
      </c>
      <c r="BX31" s="4" t="s">
        <v>273</v>
      </c>
    </row>
    <row r="32" spans="1:76" ht="38" customHeight="1">
      <c r="A32" s="4" t="s">
        <v>274</v>
      </c>
      <c r="B32" s="4" t="s">
        <v>237</v>
      </c>
      <c r="C32" s="5"/>
      <c r="D32" s="6">
        <v>1</v>
      </c>
      <c r="E32" s="5"/>
      <c r="F32" s="4" t="s">
        <v>112</v>
      </c>
      <c r="G32" s="5"/>
      <c r="H32" s="6">
        <v>3</v>
      </c>
      <c r="I32" s="6">
        <v>2</v>
      </c>
      <c r="J32" s="6">
        <v>2</v>
      </c>
      <c r="K32" s="6">
        <v>2</v>
      </c>
      <c r="L32" s="6">
        <v>1</v>
      </c>
      <c r="M32" s="6">
        <v>1</v>
      </c>
      <c r="N32" s="6">
        <v>0</v>
      </c>
      <c r="O32" s="6">
        <v>1</v>
      </c>
      <c r="P32" s="6">
        <v>3</v>
      </c>
      <c r="Q32" s="6">
        <v>2</v>
      </c>
      <c r="R32" s="7">
        <f>IF(COUNT(H32:Q32)=10,SUM(H32:Q32),"")</f>
        <v>17</v>
      </c>
      <c r="S32" s="7">
        <f>IF(ISNUMBER(R32),R32/30*100,"")</f>
        <v>56.666666666666664</v>
      </c>
      <c r="T32" s="7">
        <f>IF(COUNT(H32:J32,L32)=4,SUM(H32:J32,L32),"")</f>
        <v>8</v>
      </c>
      <c r="U32" s="7">
        <f>IF(COUNT(K32,M32:O32)=4,SUM(K32,M32:O32),"")</f>
        <v>4</v>
      </c>
      <c r="V32" s="7">
        <f>IF(COUNT(P32:Q32)=2,SUM(P32:Q32),"")</f>
        <v>5</v>
      </c>
      <c r="W32" s="4" t="s">
        <v>113</v>
      </c>
      <c r="X32" s="4" t="s">
        <v>239</v>
      </c>
      <c r="Y32" s="5"/>
      <c r="Z32" s="5"/>
      <c r="AA32" s="5"/>
      <c r="AB32" s="5"/>
      <c r="AC32" s="4" t="s">
        <v>135</v>
      </c>
      <c r="AD32" s="5"/>
      <c r="AE32" s="5"/>
      <c r="AF32" s="6">
        <v>22261</v>
      </c>
      <c r="AG32" s="5"/>
      <c r="AH32" s="9">
        <f>IF(AND(ISNUMBER(AG32),ISNUMBER(AF32),AF32&gt;0),AG32/AF32,"")</f>
        <v/>
      </c>
      <c r="AI32" s="6">
        <v>4527</v>
      </c>
      <c r="AJ32" s="5"/>
      <c r="AK32" s="5"/>
      <c r="AL32" s="5"/>
      <c r="AM32" s="4" t="s">
        <v>115</v>
      </c>
      <c r="AN32" s="4" t="s">
        <v>275</v>
      </c>
      <c r="AO32" s="4" t="s">
        <v>113</v>
      </c>
      <c r="AP32" s="4" t="s">
        <v>118</v>
      </c>
      <c r="AQ32" s="4" t="s">
        <v>254</v>
      </c>
      <c r="AR32" s="5"/>
      <c r="AS32" s="4" t="s">
        <v>276</v>
      </c>
      <c r="AT32" s="4" t="s">
        <v>256</v>
      </c>
      <c r="AU32" s="5"/>
      <c r="AV32" s="4" t="s">
        <v>244</v>
      </c>
      <c r="AW32" s="4" t="s">
        <v>245</v>
      </c>
      <c r="AX32" s="4" t="s">
        <v>124</v>
      </c>
      <c r="AY32" s="4" t="s">
        <v>123</v>
      </c>
      <c r="AZ32" s="4" t="s">
        <v>277</v>
      </c>
      <c r="BA32" s="4"/>
      <c r="BB32" s="7">
        <f>COUNT(H32:Q32)</f>
        <v>10</v>
      </c>
      <c r="BC32" s="7">
        <f>IF(AND(ISNUMBER(R32),ISNUMBER(AU32)),R32-AU32,"")</f>
        <v/>
      </c>
      <c r="BD32" s="4" t="s">
        <v>258</v>
      </c>
      <c r="BE32" s="5"/>
      <c r="BF32" s="6">
        <v>0</v>
      </c>
      <c r="BG32" s="4" t="s">
        <v>246</v>
      </c>
      <c r="BH32" s="5"/>
      <c r="BI32" s="6">
        <v>1</v>
      </c>
      <c r="BJ32" s="5"/>
      <c r="BK32" s="4" t="s">
        <v>278</v>
      </c>
      <c r="BL32" s="6">
        <v>13264</v>
      </c>
      <c r="BM32" s="5"/>
      <c r="BN32" s="5"/>
      <c r="BO32" s="4" t="s">
        <v>279</v>
      </c>
      <c r="BP32" s="5"/>
      <c r="BQ32" s="6">
        <v>89730</v>
      </c>
      <c r="BR32" s="5"/>
      <c r="BS32" s="5"/>
      <c r="BT32" s="4" t="s">
        <v>280</v>
      </c>
      <c r="BU32" s="5"/>
      <c r="BV32" s="4" t="s">
        <v>126</v>
      </c>
      <c r="BW32" s="4" t="s">
        <v>250</v>
      </c>
      <c r="BX32" s="4" t="s">
        <v>281</v>
      </c>
    </row>
    <row r="33" spans="1:76" ht="38" customHeight="1">
      <c r="A33" s="4" t="s">
        <v>282</v>
      </c>
      <c r="B33" s="4" t="s">
        <v>237</v>
      </c>
      <c r="C33" s="5"/>
      <c r="D33" s="6">
        <v>1</v>
      </c>
      <c r="E33" s="5"/>
      <c r="F33" s="4" t="s">
        <v>112</v>
      </c>
      <c r="G33" s="6">
        <v>1</v>
      </c>
      <c r="H33" s="6">
        <v>3</v>
      </c>
      <c r="I33" s="6">
        <v>2</v>
      </c>
      <c r="J33" s="6">
        <v>2</v>
      </c>
      <c r="K33" s="6">
        <v>2</v>
      </c>
      <c r="L33" s="6">
        <v>2</v>
      </c>
      <c r="M33" s="6">
        <v>2</v>
      </c>
      <c r="N33" s="6">
        <v>0</v>
      </c>
      <c r="O33" s="6">
        <v>1</v>
      </c>
      <c r="P33" s="6">
        <v>3</v>
      </c>
      <c r="Q33" s="6">
        <v>2</v>
      </c>
      <c r="R33" s="7">
        <f>IF(COUNT(H33:Q33)=10,SUM(H33:Q33),"")</f>
        <v>19</v>
      </c>
      <c r="S33" s="7">
        <f>IF(ISNUMBER(R33),R33/30*100,"")</f>
        <v>63.33333333333333</v>
      </c>
      <c r="T33" s="7">
        <f>IF(COUNT(H33:J33,L33)=4,SUM(H33:J33,L33),"")</f>
        <v>9</v>
      </c>
      <c r="U33" s="7">
        <f>IF(COUNT(K33,M33:O33)=4,SUM(K33,M33:O33),"")</f>
        <v>5</v>
      </c>
      <c r="V33" s="7">
        <f>IF(COUNT(P33:Q33)=2,SUM(P33:Q33),"")</f>
        <v>5</v>
      </c>
      <c r="W33" s="4" t="s">
        <v>113</v>
      </c>
      <c r="X33" s="4" t="s">
        <v>239</v>
      </c>
      <c r="Y33" s="5"/>
      <c r="Z33" s="5"/>
      <c r="AA33" s="5"/>
      <c r="AB33" s="5"/>
      <c r="AC33" s="4" t="s">
        <v>135</v>
      </c>
      <c r="AD33" s="5"/>
      <c r="AE33" s="5"/>
      <c r="AF33" s="5"/>
      <c r="AG33" s="5"/>
      <c r="AH33" s="9">
        <f>IF(AND(ISNUMBER(AG33),ISNUMBER(AF33),AF33&gt;0),AG33/AF33,"")</f>
        <v/>
      </c>
      <c r="AI33" s="5"/>
      <c r="AJ33" s="5"/>
      <c r="AK33" s="5"/>
      <c r="AL33" s="5"/>
      <c r="AM33" s="4" t="s">
        <v>115</v>
      </c>
      <c r="AN33" s="4" t="s">
        <v>283</v>
      </c>
      <c r="AO33" s="5"/>
      <c r="AP33" s="4" t="s">
        <v>118</v>
      </c>
      <c r="AQ33" s="4" t="s">
        <v>254</v>
      </c>
      <c r="AR33" s="5"/>
      <c r="AS33" s="4" t="s">
        <v>284</v>
      </c>
      <c r="AT33" s="4" t="s">
        <v>256</v>
      </c>
      <c r="AU33" s="5"/>
      <c r="AV33" s="4" t="s">
        <v>244</v>
      </c>
      <c r="AW33" s="4" t="s">
        <v>245</v>
      </c>
      <c r="AX33" s="4" t="s">
        <v>124</v>
      </c>
      <c r="AY33" s="4" t="s">
        <v>123</v>
      </c>
      <c r="AZ33" s="4" t="s">
        <v>164</v>
      </c>
      <c r="BA33" s="4" t="s">
        <v>285</v>
      </c>
      <c r="BB33" s="7">
        <f>COUNT(H33:Q33)</f>
        <v>10</v>
      </c>
      <c r="BC33" s="7">
        <f>IF(AND(ISNUMBER(R33),ISNUMBER(AU33)),R33-AU33,"")</f>
        <v/>
      </c>
      <c r="BD33" s="4" t="s">
        <v>258</v>
      </c>
      <c r="BE33" s="5"/>
      <c r="BF33" s="6">
        <v>0</v>
      </c>
      <c r="BG33" s="4" t="s">
        <v>286</v>
      </c>
      <c r="BH33" s="5"/>
      <c r="BI33" s="6">
        <v>2</v>
      </c>
      <c r="BJ33" s="5"/>
      <c r="BK33" s="4" t="s">
        <v>287</v>
      </c>
      <c r="BL33" s="5"/>
      <c r="BM33" s="5"/>
      <c r="BN33" s="5"/>
      <c r="BO33" s="4" t="s">
        <v>279</v>
      </c>
      <c r="BP33" s="5"/>
      <c r="BQ33" s="5"/>
      <c r="BR33" s="5"/>
      <c r="BS33" s="5"/>
      <c r="BT33" s="4" t="s">
        <v>288</v>
      </c>
      <c r="BU33" s="5"/>
      <c r="BV33" s="4" t="s">
        <v>126</v>
      </c>
      <c r="BW33" s="4" t="s">
        <v>250</v>
      </c>
      <c r="BX33" s="4" t="s">
        <v>289</v>
      </c>
    </row>
    <row r="34" spans="1:76" ht="38" customHeight="1">
      <c r="A34" s="4" t="s">
        <v>290</v>
      </c>
      <c r="B34" s="4" t="s">
        <v>237</v>
      </c>
      <c r="C34" s="5"/>
      <c r="D34" s="6">
        <v>1</v>
      </c>
      <c r="E34" s="5"/>
      <c r="F34" s="4" t="s">
        <v>112</v>
      </c>
      <c r="G34" s="6">
        <v>1</v>
      </c>
      <c r="H34" s="6">
        <v>2</v>
      </c>
      <c r="I34" s="6">
        <v>2</v>
      </c>
      <c r="J34" s="6">
        <v>2</v>
      </c>
      <c r="K34" s="6">
        <v>1</v>
      </c>
      <c r="L34" s="6">
        <v>1</v>
      </c>
      <c r="M34" s="6">
        <v>0</v>
      </c>
      <c r="N34" s="6">
        <v>0</v>
      </c>
      <c r="O34" s="6">
        <v>0</v>
      </c>
      <c r="P34" s="6">
        <v>0</v>
      </c>
      <c r="Q34" s="6">
        <v>2</v>
      </c>
      <c r="R34" s="7">
        <f>IF(COUNT(H34:Q34)=10,SUM(H34:Q34),"")</f>
        <v>10</v>
      </c>
      <c r="S34" s="7">
        <f>IF(ISNUMBER(R34),R34/30*100,"")</f>
        <v>33.33333333333333</v>
      </c>
      <c r="T34" s="7">
        <f>IF(COUNT(H34:J34,L34)=4,SUM(H34:J34,L34),"")</f>
        <v>7</v>
      </c>
      <c r="U34" s="7">
        <f>IF(COUNT(K34,M34:O34)=4,SUM(K34,M34:O34),"")</f>
        <v>1</v>
      </c>
      <c r="V34" s="7">
        <f>IF(COUNT(P34:Q34)=2,SUM(P34:Q34),"")</f>
        <v>2</v>
      </c>
      <c r="W34" s="4" t="s">
        <v>113</v>
      </c>
      <c r="X34" s="4" t="s">
        <v>239</v>
      </c>
      <c r="Y34" s="5"/>
      <c r="Z34" s="5"/>
      <c r="AA34" s="5"/>
      <c r="AB34" s="5"/>
      <c r="AC34" s="4" t="s">
        <v>135</v>
      </c>
      <c r="AD34" s="5"/>
      <c r="AE34" s="5"/>
      <c r="AF34" s="5"/>
      <c r="AG34" s="5"/>
      <c r="AH34" s="9">
        <f>IF(AND(ISNUMBER(AG34),ISNUMBER(AF34),AF34&gt;0),AG34/AF34,"")</f>
        <v/>
      </c>
      <c r="AI34" s="5"/>
      <c r="AJ34" s="5"/>
      <c r="AK34" s="5"/>
      <c r="AL34" s="5"/>
      <c r="AM34" s="4" t="s">
        <v>144</v>
      </c>
      <c r="AN34" s="4" t="s">
        <v>291</v>
      </c>
      <c r="AO34" s="5"/>
      <c r="AP34" s="4" t="s">
        <v>118</v>
      </c>
      <c r="AQ34" s="4" t="s">
        <v>254</v>
      </c>
      <c r="AR34" s="5"/>
      <c r="AS34" s="4" t="s">
        <v>292</v>
      </c>
      <c r="AT34" s="4" t="s">
        <v>293</v>
      </c>
      <c r="AU34" s="6">
        <v>10</v>
      </c>
      <c r="AV34" s="4" t="s">
        <v>244</v>
      </c>
      <c r="AW34" s="4" t="s">
        <v>245</v>
      </c>
      <c r="AX34" s="4" t="s">
        <v>123</v>
      </c>
      <c r="AY34" s="4" t="s">
        <v>124</v>
      </c>
      <c r="AZ34" s="4" t="s">
        <v>164</v>
      </c>
      <c r="BA34" s="4"/>
      <c r="BB34" s="7">
        <f>COUNT(H34:Q34)</f>
        <v>10</v>
      </c>
      <c r="BC34" s="7">
        <f>IF(AND(ISNUMBER(R34),ISNUMBER(AU34)),R34-AU34,"")</f>
        <v>0</v>
      </c>
      <c r="BD34" s="4"/>
      <c r="BE34" s="5"/>
      <c r="BF34" s="6">
        <v>1</v>
      </c>
      <c r="BG34" s="4" t="s">
        <v>246</v>
      </c>
      <c r="BH34" s="5"/>
      <c r="BI34" s="6">
        <v>10</v>
      </c>
      <c r="BJ34" s="5"/>
      <c r="BK34" s="4" t="s">
        <v>294</v>
      </c>
      <c r="BL34" s="5"/>
      <c r="BM34" s="5"/>
      <c r="BN34" s="5"/>
      <c r="BO34" s="4" t="s">
        <v>248</v>
      </c>
      <c r="BP34" s="5"/>
      <c r="BQ34" s="5"/>
      <c r="BR34" s="5"/>
      <c r="BS34" s="5"/>
      <c r="BT34" s="4" t="s">
        <v>295</v>
      </c>
      <c r="BU34" s="5"/>
      <c r="BV34" s="4" t="s">
        <v>126</v>
      </c>
      <c r="BW34" s="4" t="s">
        <v>250</v>
      </c>
      <c r="BX34" s="4" t="s">
        <v>289</v>
      </c>
    </row>
    <row r="35" spans="1:76" ht="38" customHeight="1">
      <c r="A35" s="4" t="s">
        <v>296</v>
      </c>
      <c r="B35" s="4" t="s">
        <v>237</v>
      </c>
      <c r="C35" s="5"/>
      <c r="D35" s="6">
        <v>1</v>
      </c>
      <c r="E35" s="5"/>
      <c r="F35" s="4" t="s">
        <v>112</v>
      </c>
      <c r="G35" s="6">
        <v>1</v>
      </c>
      <c r="H35" s="6">
        <v>1</v>
      </c>
      <c r="I35" s="6">
        <v>1</v>
      </c>
      <c r="J35" s="6">
        <v>1</v>
      </c>
      <c r="K35" s="6">
        <v>1</v>
      </c>
      <c r="L35" s="6">
        <v>1</v>
      </c>
      <c r="M35" s="6">
        <v>0</v>
      </c>
      <c r="N35" s="6">
        <v>0</v>
      </c>
      <c r="O35" s="6">
        <v>0</v>
      </c>
      <c r="P35" s="6">
        <v>0</v>
      </c>
      <c r="Q35" s="6">
        <v>1</v>
      </c>
      <c r="R35" s="7">
        <f>IF(COUNT(H35:Q35)=10,SUM(H35:Q35),"")</f>
        <v>6</v>
      </c>
      <c r="S35" s="7">
        <f>IF(ISNUMBER(R35),R35/30*100,"")</f>
        <v>20.0</v>
      </c>
      <c r="T35" s="7">
        <f>IF(COUNT(H35:J35,L35)=4,SUM(H35:J35,L35),"")</f>
        <v>4</v>
      </c>
      <c r="U35" s="7">
        <f>IF(COUNT(K35,M35:O35)=4,SUM(K35,M35:O35),"")</f>
        <v>1</v>
      </c>
      <c r="V35" s="7">
        <f>IF(COUNT(P35:Q35)=2,SUM(P35:Q35),"")</f>
        <v>1</v>
      </c>
      <c r="W35" s="4" t="s">
        <v>113</v>
      </c>
      <c r="X35" s="4" t="s">
        <v>239</v>
      </c>
      <c r="Y35" s="5"/>
      <c r="Z35" s="5"/>
      <c r="AA35" s="5"/>
      <c r="AB35" s="5"/>
      <c r="AC35" s="4" t="s">
        <v>135</v>
      </c>
      <c r="AD35" s="5"/>
      <c r="AE35" s="5"/>
      <c r="AF35" s="5"/>
      <c r="AG35" s="5"/>
      <c r="AH35" s="9">
        <f>IF(AND(ISNUMBER(AG35),ISNUMBER(AF35),AF35&gt;0),AG35/AF35,"")</f>
        <v/>
      </c>
      <c r="AI35" s="5"/>
      <c r="AJ35" s="5"/>
      <c r="AK35" s="5"/>
      <c r="AL35" s="5"/>
      <c r="AM35" s="4" t="s">
        <v>144</v>
      </c>
      <c r="AN35" s="4" t="s">
        <v>269</v>
      </c>
      <c r="AO35" s="5"/>
      <c r="AP35" s="4" t="s">
        <v>118</v>
      </c>
      <c r="AQ35" s="4" t="s">
        <v>254</v>
      </c>
      <c r="AR35" s="5"/>
      <c r="AS35" s="4" t="s">
        <v>297</v>
      </c>
      <c r="AT35" s="4" t="s">
        <v>293</v>
      </c>
      <c r="AU35" s="6">
        <v>6</v>
      </c>
      <c r="AV35" s="4" t="s">
        <v>244</v>
      </c>
      <c r="AW35" s="4" t="s">
        <v>245</v>
      </c>
      <c r="AX35" s="4" t="s">
        <v>123</v>
      </c>
      <c r="AY35" s="4" t="s">
        <v>124</v>
      </c>
      <c r="AZ35" s="4" t="s">
        <v>164</v>
      </c>
      <c r="BA35" s="4"/>
      <c r="BB35" s="7">
        <f>COUNT(H35:Q35)</f>
        <v>10</v>
      </c>
      <c r="BC35" s="7">
        <f>IF(AND(ISNUMBER(R35),ISNUMBER(AU35)),R35-AU35,"")</f>
        <v>0</v>
      </c>
      <c r="BD35" s="4"/>
      <c r="BE35" s="5"/>
      <c r="BF35" s="6">
        <v>1</v>
      </c>
      <c r="BG35" s="4" t="s">
        <v>246</v>
      </c>
      <c r="BH35" s="5"/>
      <c r="BI35" s="6">
        <v>10</v>
      </c>
      <c r="BJ35" s="5"/>
      <c r="BK35" s="4" t="s">
        <v>294</v>
      </c>
      <c r="BL35" s="5"/>
      <c r="BM35" s="5"/>
      <c r="BN35" s="5"/>
      <c r="BO35" s="4" t="s">
        <v>248</v>
      </c>
      <c r="BP35" s="5"/>
      <c r="BQ35" s="5"/>
      <c r="BR35" s="5"/>
      <c r="BS35" s="5"/>
      <c r="BT35" s="4" t="s">
        <v>295</v>
      </c>
      <c r="BU35" s="5"/>
      <c r="BV35" s="4" t="s">
        <v>126</v>
      </c>
      <c r="BW35" s="4" t="s">
        <v>250</v>
      </c>
      <c r="BX35" s="4" t="s">
        <v>289</v>
      </c>
    </row>
    <row r="36" spans="1:76" ht="38" customHeight="1">
      <c r="A36" s="4" t="s">
        <v>298</v>
      </c>
      <c r="B36" s="4" t="s">
        <v>237</v>
      </c>
      <c r="C36" s="5"/>
      <c r="D36" s="6">
        <v>1</v>
      </c>
      <c r="E36" s="5"/>
      <c r="F36" s="4" t="s">
        <v>112</v>
      </c>
      <c r="G36" s="6">
        <v>1</v>
      </c>
      <c r="H36" s="6">
        <v>0</v>
      </c>
      <c r="I36" s="6">
        <v>0</v>
      </c>
      <c r="J36" s="6">
        <v>1</v>
      </c>
      <c r="K36" s="6">
        <v>1</v>
      </c>
      <c r="L36" s="6">
        <v>1</v>
      </c>
      <c r="M36" s="6">
        <v>0</v>
      </c>
      <c r="N36" s="6">
        <v>0</v>
      </c>
      <c r="O36" s="6">
        <v>0</v>
      </c>
      <c r="P36" s="6">
        <v>0</v>
      </c>
      <c r="Q36" s="6">
        <v>1</v>
      </c>
      <c r="R36" s="7">
        <f>IF(COUNT(H36:Q36)=10,SUM(H36:Q36),"")</f>
        <v>4</v>
      </c>
      <c r="S36" s="7">
        <f>IF(ISNUMBER(R36),R36/30*100,"")</f>
        <v>13.333333333333334</v>
      </c>
      <c r="T36" s="7">
        <f>IF(COUNT(H36:J36,L36)=4,SUM(H36:J36,L36),"")</f>
        <v>2</v>
      </c>
      <c r="U36" s="7">
        <f>IF(COUNT(K36,M36:O36)=4,SUM(K36,M36:O36),"")</f>
        <v>1</v>
      </c>
      <c r="V36" s="7">
        <f>IF(COUNT(P36:Q36)=2,SUM(P36:Q36),"")</f>
        <v>1</v>
      </c>
      <c r="W36" s="4" t="s">
        <v>113</v>
      </c>
      <c r="X36" s="4" t="s">
        <v>239</v>
      </c>
      <c r="Y36" s="5"/>
      <c r="Z36" s="5"/>
      <c r="AA36" s="5"/>
      <c r="AB36" s="5"/>
      <c r="AC36" s="4" t="s">
        <v>135</v>
      </c>
      <c r="AD36" s="5"/>
      <c r="AE36" s="6">
        <v>1001.6</v>
      </c>
      <c r="AF36" s="5"/>
      <c r="AG36" s="6">
        <v>68.8</v>
      </c>
      <c r="AH36" s="9">
        <f>IF(AND(ISNUMBER(AG36),ISNUMBER(AF36),AF36&gt;0),AG36/AF36,"")</f>
        <v/>
      </c>
      <c r="AI36" s="5"/>
      <c r="AJ36" s="5"/>
      <c r="AK36" s="5"/>
      <c r="AL36" s="5"/>
      <c r="AM36" s="4" t="s">
        <v>144</v>
      </c>
      <c r="AN36" s="4" t="s">
        <v>291</v>
      </c>
      <c r="AO36" s="4" t="s">
        <v>130</v>
      </c>
      <c r="AP36" s="4" t="s">
        <v>118</v>
      </c>
      <c r="AQ36" s="4" t="s">
        <v>254</v>
      </c>
      <c r="AR36" s="5"/>
      <c r="AS36" s="4" t="s">
        <v>299</v>
      </c>
      <c r="AT36" s="4" t="s">
        <v>256</v>
      </c>
      <c r="AU36" s="6">
        <v>4</v>
      </c>
      <c r="AV36" s="4" t="s">
        <v>244</v>
      </c>
      <c r="AW36" s="4" t="s">
        <v>245</v>
      </c>
      <c r="AX36" s="4" t="s">
        <v>124</v>
      </c>
      <c r="AY36" s="4" t="s">
        <v>123</v>
      </c>
      <c r="AZ36" s="4" t="s">
        <v>277</v>
      </c>
      <c r="BA36" s="4"/>
      <c r="BB36" s="7">
        <f>COUNT(H36:Q36)</f>
        <v>10</v>
      </c>
      <c r="BC36" s="7">
        <f>IF(AND(ISNUMBER(R36),ISNUMBER(AU36)),R36-AU36,"")</f>
        <v>0</v>
      </c>
      <c r="BD36" s="4" t="s">
        <v>258</v>
      </c>
      <c r="BE36" s="5"/>
      <c r="BF36" s="6">
        <v>0</v>
      </c>
      <c r="BG36" s="4" t="s">
        <v>246</v>
      </c>
      <c r="BH36" s="5"/>
      <c r="BI36" s="6">
        <v>10</v>
      </c>
      <c r="BJ36" s="5"/>
      <c r="BK36" s="4" t="s">
        <v>294</v>
      </c>
      <c r="BL36" s="5"/>
      <c r="BM36" s="5"/>
      <c r="BN36" s="5"/>
      <c r="BO36" s="4" t="s">
        <v>248</v>
      </c>
      <c r="BP36" s="5"/>
      <c r="BQ36" s="5"/>
      <c r="BR36" s="5"/>
      <c r="BS36" s="5"/>
      <c r="BT36" s="4" t="s">
        <v>295</v>
      </c>
      <c r="BU36" s="5"/>
      <c r="BV36" s="4" t="s">
        <v>126</v>
      </c>
      <c r="BW36" s="4" t="s">
        <v>250</v>
      </c>
      <c r="BX36" s="4" t="s">
        <v>267</v>
      </c>
    </row>
    <row r="37" spans="1:76" ht="38" customHeight="1">
      <c r="A37" s="4" t="s">
        <v>300</v>
      </c>
      <c r="B37" s="4" t="s">
        <v>237</v>
      </c>
      <c r="C37" s="5"/>
      <c r="D37" s="6">
        <v>1</v>
      </c>
      <c r="E37" s="5"/>
      <c r="F37" s="5"/>
      <c r="G37" s="6">
        <v>1</v>
      </c>
      <c r="H37" s="6">
        <v>3</v>
      </c>
      <c r="I37" s="6">
        <v>2</v>
      </c>
      <c r="J37" s="6">
        <v>2</v>
      </c>
      <c r="K37" s="6">
        <v>2</v>
      </c>
      <c r="L37" s="6">
        <v>1</v>
      </c>
      <c r="M37" s="6">
        <v>1</v>
      </c>
      <c r="N37" s="6">
        <v>0</v>
      </c>
      <c r="O37" s="6">
        <v>1</v>
      </c>
      <c r="P37" s="6">
        <v>2</v>
      </c>
      <c r="Q37" s="6">
        <v>2</v>
      </c>
      <c r="R37" s="7">
        <f>IF(COUNT(H37:Q37)=10,SUM(H37:Q37),"")</f>
        <v>16</v>
      </c>
      <c r="S37" s="7">
        <f>IF(ISNUMBER(R37),R37/30*100,"")</f>
        <v>53.333333333333336</v>
      </c>
      <c r="T37" s="7">
        <f>IF(COUNT(H37:J37,L37)=4,SUM(H37:J37,L37),"")</f>
        <v>8</v>
      </c>
      <c r="U37" s="7">
        <f>IF(COUNT(K37,M37:O37)=4,SUM(K37,M37:O37),"")</f>
        <v>4</v>
      </c>
      <c r="V37" s="7">
        <f>IF(COUNT(P37:Q37)=2,SUM(P37:Q37),"")</f>
        <v>4</v>
      </c>
      <c r="W37" s="4" t="s">
        <v>113</v>
      </c>
      <c r="X37" s="4" t="s">
        <v>239</v>
      </c>
      <c r="Y37" s="5"/>
      <c r="Z37" s="5"/>
      <c r="AA37" s="5"/>
      <c r="AB37" s="5"/>
      <c r="AC37" s="4" t="s">
        <v>135</v>
      </c>
      <c r="AD37" s="5"/>
      <c r="AE37" s="5"/>
      <c r="AF37" s="5"/>
      <c r="AG37" s="5"/>
      <c r="AH37" s="9">
        <f>IF(AND(ISNUMBER(AG37),ISNUMBER(AF37),AF37&gt;0),AG37/AF37,"")</f>
        <v/>
      </c>
      <c r="AI37" s="5"/>
      <c r="AJ37" s="5"/>
      <c r="AK37" s="5"/>
      <c r="AL37" s="5"/>
      <c r="AM37" s="5"/>
      <c r="AN37" s="4" t="s">
        <v>301</v>
      </c>
      <c r="AO37" s="5"/>
      <c r="AP37" s="4" t="s">
        <v>118</v>
      </c>
      <c r="AQ37" s="4" t="s">
        <v>254</v>
      </c>
      <c r="AR37" s="5"/>
      <c r="AS37" s="4" t="s">
        <v>302</v>
      </c>
      <c r="AT37" s="4" t="s">
        <v>256</v>
      </c>
      <c r="AU37" s="5"/>
      <c r="AV37" s="4" t="s">
        <v>244</v>
      </c>
      <c r="AW37" s="4" t="s">
        <v>245</v>
      </c>
      <c r="AX37" s="4" t="s">
        <v>124</v>
      </c>
      <c r="AY37" s="4" t="s">
        <v>123</v>
      </c>
      <c r="AZ37" s="4" t="s">
        <v>164</v>
      </c>
      <c r="BA37" s="4"/>
      <c r="BB37" s="7">
        <f>COUNT(H37:Q37)</f>
        <v>10</v>
      </c>
      <c r="BC37" s="7">
        <f>IF(AND(ISNUMBER(R37),ISNUMBER(AU37)),R37-AU37,"")</f>
        <v/>
      </c>
      <c r="BD37" s="4" t="s">
        <v>258</v>
      </c>
      <c r="BE37" s="5"/>
      <c r="BF37" s="5"/>
      <c r="BG37" s="5"/>
      <c r="BH37" s="5"/>
      <c r="BI37" s="5"/>
      <c r="BJ37" s="5"/>
      <c r="BK37" s="5"/>
      <c r="BL37" s="5"/>
      <c r="BM37" s="5"/>
      <c r="BN37" s="5"/>
      <c r="BO37" s="5"/>
      <c r="BP37" s="5"/>
      <c r="BQ37" s="5"/>
      <c r="BR37" s="5"/>
      <c r="BS37" s="5"/>
      <c r="BT37" s="5"/>
      <c r="BU37" s="5"/>
      <c r="BV37" s="4" t="s">
        <v>126</v>
      </c>
      <c r="BW37" s="4" t="s">
        <v>250</v>
      </c>
      <c r="BX37" s="4" t="s">
        <v>303</v>
      </c>
    </row>
    <row r="38" spans="1:76" ht="38" customHeight="1">
      <c r="A38" s="4" t="s">
        <v>304</v>
      </c>
      <c r="B38" s="4" t="s">
        <v>237</v>
      </c>
      <c r="C38" s="5"/>
      <c r="D38" s="6">
        <v>1</v>
      </c>
      <c r="E38" s="5"/>
      <c r="F38" s="5"/>
      <c r="G38" s="6">
        <v>1</v>
      </c>
      <c r="H38" s="6">
        <v>3</v>
      </c>
      <c r="I38" s="6">
        <v>2</v>
      </c>
      <c r="J38" s="6">
        <v>2</v>
      </c>
      <c r="K38" s="6">
        <v>2</v>
      </c>
      <c r="L38" s="6">
        <v>1</v>
      </c>
      <c r="M38" s="6">
        <v>1</v>
      </c>
      <c r="N38" s="6">
        <v>0</v>
      </c>
      <c r="O38" s="6">
        <v>1</v>
      </c>
      <c r="P38" s="6">
        <v>2</v>
      </c>
      <c r="Q38" s="6">
        <v>2</v>
      </c>
      <c r="R38" s="7">
        <f>IF(COUNT(H38:Q38)=10,SUM(H38:Q38),"")</f>
        <v>16</v>
      </c>
      <c r="S38" s="7">
        <f>IF(ISNUMBER(R38),R38/30*100,"")</f>
        <v>53.333333333333336</v>
      </c>
      <c r="T38" s="7">
        <f>IF(COUNT(H38:J38,L38)=4,SUM(H38:J38,L38),"")</f>
        <v>8</v>
      </c>
      <c r="U38" s="7">
        <f>IF(COUNT(K38,M38:O38)=4,SUM(K38,M38:O38),"")</f>
        <v>4</v>
      </c>
      <c r="V38" s="7">
        <f>IF(COUNT(P38:Q38)=2,SUM(P38:Q38),"")</f>
        <v>4</v>
      </c>
      <c r="W38" s="4" t="s">
        <v>113</v>
      </c>
      <c r="X38" s="4" t="s">
        <v>239</v>
      </c>
      <c r="Y38" s="5"/>
      <c r="Z38" s="5"/>
      <c r="AA38" s="5"/>
      <c r="AB38" s="5"/>
      <c r="AC38" s="4" t="s">
        <v>135</v>
      </c>
      <c r="AD38" s="5"/>
      <c r="AE38" s="5"/>
      <c r="AF38" s="5"/>
      <c r="AG38" s="5"/>
      <c r="AH38" s="9">
        <f>IF(AND(ISNUMBER(AG38),ISNUMBER(AF38),AF38&gt;0),AG38/AF38,"")</f>
        <v/>
      </c>
      <c r="AI38" s="5"/>
      <c r="AJ38" s="5"/>
      <c r="AK38" s="5"/>
      <c r="AL38" s="5"/>
      <c r="AM38" s="5"/>
      <c r="AN38" s="4" t="s">
        <v>264</v>
      </c>
      <c r="AO38" s="5"/>
      <c r="AP38" s="4" t="s">
        <v>118</v>
      </c>
      <c r="AQ38" s="4" t="s">
        <v>254</v>
      </c>
      <c r="AR38" s="5"/>
      <c r="AS38" s="4" t="s">
        <v>305</v>
      </c>
      <c r="AT38" s="4" t="s">
        <v>256</v>
      </c>
      <c r="AU38" s="5"/>
      <c r="AV38" s="4" t="s">
        <v>244</v>
      </c>
      <c r="AW38" s="4" t="s">
        <v>245</v>
      </c>
      <c r="AX38" s="4" t="s">
        <v>124</v>
      </c>
      <c r="AY38" s="4" t="s">
        <v>123</v>
      </c>
      <c r="AZ38" s="4" t="s">
        <v>164</v>
      </c>
      <c r="BA38" s="4"/>
      <c r="BB38" s="7">
        <f>COUNT(H38:Q38)</f>
        <v>10</v>
      </c>
      <c r="BC38" s="7">
        <f>IF(AND(ISNUMBER(R38),ISNUMBER(AU38)),R38-AU38,"")</f>
        <v/>
      </c>
      <c r="BD38" s="4" t="s">
        <v>258</v>
      </c>
      <c r="BE38" s="5"/>
      <c r="BF38" s="5"/>
      <c r="BG38" s="5"/>
      <c r="BH38" s="5"/>
      <c r="BI38" s="5"/>
      <c r="BJ38" s="5"/>
      <c r="BK38" s="5"/>
      <c r="BL38" s="5"/>
      <c r="BM38" s="5"/>
      <c r="BN38" s="5"/>
      <c r="BO38" s="5"/>
      <c r="BP38" s="5"/>
      <c r="BQ38" s="5"/>
      <c r="BR38" s="5"/>
      <c r="BS38" s="5"/>
      <c r="BT38" s="5"/>
      <c r="BU38" s="5"/>
      <c r="BV38" s="4" t="s">
        <v>126</v>
      </c>
      <c r="BW38" s="4" t="s">
        <v>250</v>
      </c>
      <c r="BX38" s="4" t="s">
        <v>303</v>
      </c>
    </row>
    <row r="39" spans="1:76" ht="38" customHeight="1">
      <c r="A39" s="4" t="s">
        <v>306</v>
      </c>
      <c r="B39" s="4" t="s">
        <v>237</v>
      </c>
      <c r="C39" s="5"/>
      <c r="D39" s="5"/>
      <c r="E39" s="5"/>
      <c r="F39" s="5"/>
      <c r="G39" s="5"/>
      <c r="H39" s="6">
        <v>3</v>
      </c>
      <c r="I39" s="6">
        <v>3</v>
      </c>
      <c r="J39" s="6">
        <v>2</v>
      </c>
      <c r="K39" s="6">
        <v>2</v>
      </c>
      <c r="L39" s="6">
        <v>2</v>
      </c>
      <c r="M39" s="6">
        <v>2</v>
      </c>
      <c r="N39" s="6">
        <v>0</v>
      </c>
      <c r="O39" s="6">
        <v>2</v>
      </c>
      <c r="P39" s="6">
        <v>3</v>
      </c>
      <c r="Q39" s="6">
        <v>2</v>
      </c>
      <c r="R39" s="7">
        <f>IF(COUNT(H39:Q39)=10,SUM(H39:Q39),"")</f>
        <v>21</v>
      </c>
      <c r="S39" s="7">
        <f>IF(ISNUMBER(R39),R39/30*100,"")</f>
        <v>70.0</v>
      </c>
      <c r="T39" s="7">
        <f>IF(COUNT(H39:J39,L39)=4,SUM(H39:J39,L39),"")</f>
        <v>10</v>
      </c>
      <c r="U39" s="7">
        <f>IF(COUNT(K39,M39:O39)=4,SUM(K39,M39:O39),"")</f>
        <v>6</v>
      </c>
      <c r="V39" s="7">
        <f>IF(COUNT(P39:Q39)=2,SUM(P39:Q39),"")</f>
        <v>5</v>
      </c>
      <c r="W39" s="4" t="s">
        <v>130</v>
      </c>
      <c r="X39" s="4" t="s">
        <v>239</v>
      </c>
      <c r="Y39" s="5"/>
      <c r="Z39" s="5"/>
      <c r="AA39" s="5"/>
      <c r="AB39" s="5"/>
      <c r="AC39" s="4" t="s">
        <v>135</v>
      </c>
      <c r="AD39" s="5"/>
      <c r="AE39" s="5"/>
      <c r="AF39" s="5"/>
      <c r="AG39" s="5"/>
      <c r="AH39" s="9">
        <f>IF(AND(ISNUMBER(AG39),ISNUMBER(AF39),AF39&gt;0),AG39/AF39,"")</f>
        <v/>
      </c>
      <c r="AI39" s="5"/>
      <c r="AJ39" s="5"/>
      <c r="AK39" s="5"/>
      <c r="AL39" s="5"/>
      <c r="AM39" s="5"/>
      <c r="AN39" s="4" t="s">
        <v>307</v>
      </c>
      <c r="AO39" s="5"/>
      <c r="AP39" s="4" t="s">
        <v>118</v>
      </c>
      <c r="AQ39" s="4" t="s">
        <v>254</v>
      </c>
      <c r="AR39" s="5"/>
      <c r="AS39" s="4" t="s">
        <v>308</v>
      </c>
      <c r="AT39" s="4" t="s">
        <v>256</v>
      </c>
      <c r="AU39" s="5"/>
      <c r="AV39" s="4" t="s">
        <v>244</v>
      </c>
      <c r="AW39" s="4" t="s">
        <v>245</v>
      </c>
      <c r="AX39" s="4" t="s">
        <v>124</v>
      </c>
      <c r="AY39" s="4" t="s">
        <v>123</v>
      </c>
      <c r="AZ39" s="4" t="s">
        <v>164</v>
      </c>
      <c r="BA39" s="4"/>
      <c r="BB39" s="7">
        <f>COUNT(H39:Q39)</f>
        <v>10</v>
      </c>
      <c r="BC39" s="7">
        <f>IF(AND(ISNUMBER(R39),ISNUMBER(AU39)),R39-AU39,"")</f>
        <v/>
      </c>
      <c r="BD39" s="4" t="s">
        <v>258</v>
      </c>
      <c r="BE39" s="5"/>
      <c r="BF39" s="5"/>
      <c r="BG39" s="5"/>
      <c r="BH39" s="5"/>
      <c r="BI39" s="5"/>
      <c r="BJ39" s="5"/>
      <c r="BK39" s="5"/>
      <c r="BL39" s="5"/>
      <c r="BM39" s="5"/>
      <c r="BN39" s="5"/>
      <c r="BO39" s="5"/>
      <c r="BP39" s="5"/>
      <c r="BQ39" s="5"/>
      <c r="BR39" s="5"/>
      <c r="BS39" s="5"/>
      <c r="BT39" s="5"/>
      <c r="BU39" s="5"/>
      <c r="BV39" s="4" t="s">
        <v>126</v>
      </c>
      <c r="BW39" s="4" t="s">
        <v>250</v>
      </c>
      <c r="BX39" s="4" t="s">
        <v>309</v>
      </c>
    </row>
    <row r="40" spans="1:76" ht="38" customHeight="1">
      <c r="A40" s="4" t="s">
        <v>310</v>
      </c>
      <c r="B40" s="4" t="s">
        <v>311</v>
      </c>
      <c r="C40" s="5"/>
      <c r="D40" s="6">
        <v>1</v>
      </c>
      <c r="E40" s="5"/>
      <c r="F40" s="4" t="s">
        <v>112</v>
      </c>
      <c r="G40" s="6">
        <v>1</v>
      </c>
      <c r="H40" s="5"/>
      <c r="I40" s="5"/>
      <c r="J40" s="5"/>
      <c r="K40" s="5"/>
      <c r="L40" s="5"/>
      <c r="M40" s="5"/>
      <c r="N40" s="5"/>
      <c r="O40" s="5"/>
      <c r="P40" s="5"/>
      <c r="Q40" s="5"/>
      <c r="R40" s="7">
        <f>IF(COUNT(H40:Q40)=10,SUM(H40:Q40),"")</f>
        <v/>
      </c>
      <c r="S40" s="7">
        <f>IF(ISNUMBER(R40),R40/30*100,"")</f>
        <v/>
      </c>
      <c r="T40" s="7">
        <f>IF(COUNT(H40:J40,L40)=4,SUM(H40:J40,L40),"")</f>
        <v/>
      </c>
      <c r="U40" s="7">
        <f>IF(COUNT(K40,M40:O40)=4,SUM(K40,M40:O40),"")</f>
        <v/>
      </c>
      <c r="V40" s="7">
        <f>IF(COUNT(P40:Q40)=2,SUM(P40:Q40),"")</f>
        <v/>
      </c>
      <c r="W40" s="5"/>
      <c r="X40" s="5"/>
      <c r="Y40" s="5"/>
      <c r="Z40" s="5"/>
      <c r="AA40" s="6">
        <v>0</v>
      </c>
      <c r="AB40" s="5"/>
      <c r="AC40" s="5"/>
      <c r="AD40" s="5"/>
      <c r="AE40" s="5"/>
      <c r="AF40" s="5"/>
      <c r="AG40" s="5"/>
      <c r="AH40" s="9">
        <f>IF(AND(ISNUMBER(AG40),ISNUMBER(AF40),AF40&gt;0),AG40/AF40,"")</f>
        <v/>
      </c>
      <c r="AI40" s="5"/>
      <c r="AJ40" s="5"/>
      <c r="AK40" s="5"/>
      <c r="AL40" s="5"/>
      <c r="AM40" s="5"/>
      <c r="AN40" s="4" t="s">
        <v>312</v>
      </c>
      <c r="AO40" s="5"/>
      <c r="AP40" s="4" t="s">
        <v>313</v>
      </c>
      <c r="AQ40" s="5"/>
      <c r="AR40" s="5"/>
      <c r="AS40" s="4" t="s">
        <v>314</v>
      </c>
      <c r="AT40" s="4" t="s">
        <v>315</v>
      </c>
      <c r="AU40" s="6">
        <v>25</v>
      </c>
      <c r="AV40" s="4" t="s">
        <v>316</v>
      </c>
      <c r="AW40" s="4" t="s">
        <v>317</v>
      </c>
      <c r="AX40" s="4" t="s">
        <v>123</v>
      </c>
      <c r="AY40" s="4" t="s">
        <v>123</v>
      </c>
      <c r="AZ40" s="4" t="s">
        <v>164</v>
      </c>
      <c r="BA40" s="4"/>
      <c r="BB40" s="7">
        <f>COUNT(H40:Q40)</f>
        <v>0</v>
      </c>
      <c r="BC40" s="7">
        <f>IF(AND(ISNUMBER(R40),ISNUMBER(AU40)),R40-AU40,"")</f>
        <v/>
      </c>
      <c r="BD40" s="4" t="s">
        <v>318</v>
      </c>
      <c r="BE40" s="5"/>
      <c r="BF40" s="5"/>
      <c r="BG40" s="5"/>
      <c r="BH40" s="5"/>
      <c r="BI40" s="5"/>
      <c r="BJ40" s="5"/>
      <c r="BK40" s="5"/>
      <c r="BL40" s="5"/>
      <c r="BM40" s="5"/>
      <c r="BN40" s="5"/>
      <c r="BO40" s="5"/>
      <c r="BP40" s="5"/>
      <c r="BQ40" s="5"/>
      <c r="BR40" s="5"/>
      <c r="BS40" s="5"/>
      <c r="BT40" s="5"/>
      <c r="BU40" s="5"/>
      <c r="BV40" s="4" t="s">
        <v>126</v>
      </c>
      <c r="BW40" s="4" t="s">
        <v>319</v>
      </c>
      <c r="BX40" s="4" t="s">
        <v>320</v>
      </c>
    </row>
    <row r="41" spans="1:76" ht="38" customHeight="1">
      <c r="A41" s="4" t="s">
        <v>321</v>
      </c>
      <c r="B41" s="4" t="s">
        <v>311</v>
      </c>
      <c r="C41" s="5"/>
      <c r="D41" s="6">
        <v>1</v>
      </c>
      <c r="E41" s="5"/>
      <c r="F41" s="4" t="s">
        <v>112</v>
      </c>
      <c r="G41" s="6">
        <v>1</v>
      </c>
      <c r="H41" s="5"/>
      <c r="I41" s="5"/>
      <c r="J41" s="5"/>
      <c r="K41" s="5"/>
      <c r="L41" s="5"/>
      <c r="M41" s="5"/>
      <c r="N41" s="5"/>
      <c r="O41" s="5"/>
      <c r="P41" s="5"/>
      <c r="Q41" s="5"/>
      <c r="R41" s="7">
        <f>IF(COUNT(H41:Q41)=10,SUM(H41:Q41),"")</f>
        <v/>
      </c>
      <c r="S41" s="7">
        <f>IF(ISNUMBER(R41),R41/30*100,"")</f>
        <v/>
      </c>
      <c r="T41" s="7">
        <f>IF(COUNT(H41:J41,L41)=4,SUM(H41:J41,L41),"")</f>
        <v/>
      </c>
      <c r="U41" s="7">
        <f>IF(COUNT(K41,M41:O41)=4,SUM(K41,M41:O41),"")</f>
        <v/>
      </c>
      <c r="V41" s="7">
        <f>IF(COUNT(P41:Q41)=2,SUM(P41:Q41),"")</f>
        <v/>
      </c>
      <c r="W41" s="5"/>
      <c r="X41" s="5"/>
      <c r="Y41" s="5"/>
      <c r="Z41" s="5"/>
      <c r="AA41" s="6">
        <v>0</v>
      </c>
      <c r="AB41" s="5"/>
      <c r="AC41" s="5"/>
      <c r="AD41" s="5"/>
      <c r="AE41" s="5"/>
      <c r="AF41" s="5"/>
      <c r="AG41" s="5"/>
      <c r="AH41" s="9">
        <f>IF(AND(ISNUMBER(AG41),ISNUMBER(AF41),AF41&gt;0),AG41/AF41,"")</f>
        <v/>
      </c>
      <c r="AI41" s="5"/>
      <c r="AJ41" s="5"/>
      <c r="AK41" s="5"/>
      <c r="AL41" s="5"/>
      <c r="AM41" s="5"/>
      <c r="AN41" s="4" t="s">
        <v>312</v>
      </c>
      <c r="AO41" s="5"/>
      <c r="AP41" s="4" t="s">
        <v>313</v>
      </c>
      <c r="AQ41" s="5"/>
      <c r="AR41" s="5"/>
      <c r="AS41" s="4" t="s">
        <v>322</v>
      </c>
      <c r="AT41" s="4" t="s">
        <v>315</v>
      </c>
      <c r="AU41" s="6">
        <v>24</v>
      </c>
      <c r="AV41" s="4" t="s">
        <v>316</v>
      </c>
      <c r="AW41" s="4" t="s">
        <v>317</v>
      </c>
      <c r="AX41" s="4" t="s">
        <v>123</v>
      </c>
      <c r="AY41" s="4" t="s">
        <v>123</v>
      </c>
      <c r="AZ41" s="4" t="s">
        <v>164</v>
      </c>
      <c r="BA41" s="4"/>
      <c r="BB41" s="7">
        <f>COUNT(H41:Q41)</f>
        <v>0</v>
      </c>
      <c r="BC41" s="7">
        <f>IF(AND(ISNUMBER(R41),ISNUMBER(AU41)),R41-AU41,"")</f>
        <v/>
      </c>
      <c r="BD41" s="4" t="s">
        <v>318</v>
      </c>
      <c r="BE41" s="5"/>
      <c r="BF41" s="5"/>
      <c r="BG41" s="5"/>
      <c r="BH41" s="5"/>
      <c r="BI41" s="5"/>
      <c r="BJ41" s="5"/>
      <c r="BK41" s="5"/>
      <c r="BL41" s="5"/>
      <c r="BM41" s="5"/>
      <c r="BN41" s="5"/>
      <c r="BO41" s="5"/>
      <c r="BP41" s="5"/>
      <c r="BQ41" s="5"/>
      <c r="BR41" s="5"/>
      <c r="BS41" s="5"/>
      <c r="BT41" s="5"/>
      <c r="BU41" s="5"/>
      <c r="BV41" s="4" t="s">
        <v>126</v>
      </c>
      <c r="BW41" s="4" t="s">
        <v>319</v>
      </c>
      <c r="BX41" s="4" t="s">
        <v>320</v>
      </c>
    </row>
    <row r="42" spans="1:76" ht="38" customHeight="1">
      <c r="A42" s="4" t="s">
        <v>323</v>
      </c>
      <c r="B42" s="4" t="s">
        <v>311</v>
      </c>
      <c r="C42" s="5"/>
      <c r="D42" s="6">
        <v>1</v>
      </c>
      <c r="E42" s="5"/>
      <c r="F42" s="4" t="s">
        <v>112</v>
      </c>
      <c r="G42" s="6">
        <v>1</v>
      </c>
      <c r="H42" s="5"/>
      <c r="I42" s="5"/>
      <c r="J42" s="5"/>
      <c r="K42" s="5"/>
      <c r="L42" s="5"/>
      <c r="M42" s="5"/>
      <c r="N42" s="5"/>
      <c r="O42" s="5"/>
      <c r="P42" s="5"/>
      <c r="Q42" s="5"/>
      <c r="R42" s="7">
        <f>IF(COUNT(H42:Q42)=10,SUM(H42:Q42),"")</f>
        <v/>
      </c>
      <c r="S42" s="7">
        <f>IF(ISNUMBER(R42),R42/30*100,"")</f>
        <v/>
      </c>
      <c r="T42" s="7">
        <f>IF(COUNT(H42:J42,L42)=4,SUM(H42:J42,L42),"")</f>
        <v/>
      </c>
      <c r="U42" s="7">
        <f>IF(COUNT(K42,M42:O42)=4,SUM(K42,M42:O42),"")</f>
        <v/>
      </c>
      <c r="V42" s="7">
        <f>IF(COUNT(P42:Q42)=2,SUM(P42:Q42),"")</f>
        <v/>
      </c>
      <c r="W42" s="5"/>
      <c r="X42" s="5"/>
      <c r="Y42" s="5"/>
      <c r="Z42" s="5"/>
      <c r="AA42" s="6">
        <v>0</v>
      </c>
      <c r="AB42" s="5"/>
      <c r="AC42" s="5"/>
      <c r="AD42" s="5"/>
      <c r="AE42" s="5"/>
      <c r="AF42" s="5"/>
      <c r="AG42" s="5"/>
      <c r="AH42" s="9">
        <f>IF(AND(ISNUMBER(AG42),ISNUMBER(AF42),AF42&gt;0),AG42/AF42,"")</f>
        <v/>
      </c>
      <c r="AI42" s="5"/>
      <c r="AJ42" s="5"/>
      <c r="AK42" s="5"/>
      <c r="AL42" s="5"/>
      <c r="AM42" s="5"/>
      <c r="AN42" s="4" t="s">
        <v>312</v>
      </c>
      <c r="AO42" s="5"/>
      <c r="AP42" s="4" t="s">
        <v>313</v>
      </c>
      <c r="AQ42" s="5"/>
      <c r="AR42" s="5"/>
      <c r="AS42" s="4" t="s">
        <v>324</v>
      </c>
      <c r="AT42" s="4" t="s">
        <v>315</v>
      </c>
      <c r="AU42" s="6">
        <v>18</v>
      </c>
      <c r="AV42" s="4" t="s">
        <v>316</v>
      </c>
      <c r="AW42" s="4" t="s">
        <v>317</v>
      </c>
      <c r="AX42" s="4" t="s">
        <v>123</v>
      </c>
      <c r="AY42" s="4" t="s">
        <v>123</v>
      </c>
      <c r="AZ42" s="4" t="s">
        <v>164</v>
      </c>
      <c r="BA42" s="4"/>
      <c r="BB42" s="7">
        <f>COUNT(H42:Q42)</f>
        <v>0</v>
      </c>
      <c r="BC42" s="7">
        <f>IF(AND(ISNUMBER(R42),ISNUMBER(AU42)),R42-AU42,"")</f>
        <v/>
      </c>
      <c r="BD42" s="4" t="s">
        <v>318</v>
      </c>
      <c r="BE42" s="5"/>
      <c r="BF42" s="5"/>
      <c r="BG42" s="5"/>
      <c r="BH42" s="5"/>
      <c r="BI42" s="5"/>
      <c r="BJ42" s="5"/>
      <c r="BK42" s="5"/>
      <c r="BL42" s="5"/>
      <c r="BM42" s="5"/>
      <c r="BN42" s="5"/>
      <c r="BO42" s="5"/>
      <c r="BP42" s="5"/>
      <c r="BQ42" s="5"/>
      <c r="BR42" s="5"/>
      <c r="BS42" s="5"/>
      <c r="BT42" s="5"/>
      <c r="BU42" s="5"/>
      <c r="BV42" s="4" t="s">
        <v>126</v>
      </c>
      <c r="BW42" s="4" t="s">
        <v>319</v>
      </c>
      <c r="BX42" s="4" t="s">
        <v>320</v>
      </c>
    </row>
    <row r="43" spans="1:76" ht="38" customHeight="1">
      <c r="A43" s="4" t="s">
        <v>325</v>
      </c>
      <c r="B43" s="4" t="s">
        <v>311</v>
      </c>
      <c r="C43" s="5"/>
      <c r="D43" s="6">
        <v>1</v>
      </c>
      <c r="E43" s="5"/>
      <c r="F43" s="4" t="s">
        <v>112</v>
      </c>
      <c r="G43" s="6">
        <v>1</v>
      </c>
      <c r="H43" s="5"/>
      <c r="I43" s="5"/>
      <c r="J43" s="5"/>
      <c r="K43" s="5"/>
      <c r="L43" s="5"/>
      <c r="M43" s="5"/>
      <c r="N43" s="5"/>
      <c r="O43" s="5"/>
      <c r="P43" s="5"/>
      <c r="Q43" s="5"/>
      <c r="R43" s="7">
        <f>IF(COUNT(H43:Q43)=10,SUM(H43:Q43),"")</f>
        <v/>
      </c>
      <c r="S43" s="7">
        <f>IF(ISNUMBER(R43),R43/30*100,"")</f>
        <v/>
      </c>
      <c r="T43" s="7">
        <f>IF(COUNT(H43:J43,L43)=4,SUM(H43:J43,L43),"")</f>
        <v/>
      </c>
      <c r="U43" s="7">
        <f>IF(COUNT(K43,M43:O43)=4,SUM(K43,M43:O43),"")</f>
        <v/>
      </c>
      <c r="V43" s="7">
        <f>IF(COUNT(P43:Q43)=2,SUM(P43:Q43),"")</f>
        <v/>
      </c>
      <c r="W43" s="5"/>
      <c r="X43" s="5"/>
      <c r="Y43" s="5"/>
      <c r="Z43" s="5"/>
      <c r="AA43" s="6">
        <v>0</v>
      </c>
      <c r="AB43" s="5"/>
      <c r="AC43" s="5"/>
      <c r="AD43" s="5"/>
      <c r="AE43" s="5"/>
      <c r="AF43" s="5"/>
      <c r="AG43" s="5"/>
      <c r="AH43" s="9">
        <f>IF(AND(ISNUMBER(AG43),ISNUMBER(AF43),AF43&gt;0),AG43/AF43,"")</f>
        <v/>
      </c>
      <c r="AI43" s="5"/>
      <c r="AJ43" s="5"/>
      <c r="AK43" s="5"/>
      <c r="AL43" s="5"/>
      <c r="AM43" s="5"/>
      <c r="AN43" s="4" t="s">
        <v>312</v>
      </c>
      <c r="AO43" s="5"/>
      <c r="AP43" s="4" t="s">
        <v>313</v>
      </c>
      <c r="AQ43" s="5"/>
      <c r="AR43" s="5"/>
      <c r="AS43" s="4" t="s">
        <v>326</v>
      </c>
      <c r="AT43" s="4" t="s">
        <v>315</v>
      </c>
      <c r="AU43" s="6">
        <v>17</v>
      </c>
      <c r="AV43" s="4" t="s">
        <v>316</v>
      </c>
      <c r="AW43" s="4" t="s">
        <v>317</v>
      </c>
      <c r="AX43" s="4" t="s">
        <v>123</v>
      </c>
      <c r="AY43" s="4" t="s">
        <v>123</v>
      </c>
      <c r="AZ43" s="4" t="s">
        <v>164</v>
      </c>
      <c r="BA43" s="4"/>
      <c r="BB43" s="7">
        <f>COUNT(H43:Q43)</f>
        <v>0</v>
      </c>
      <c r="BC43" s="7">
        <f>IF(AND(ISNUMBER(R43),ISNUMBER(AU43)),R43-AU43,"")</f>
        <v/>
      </c>
      <c r="BD43" s="4" t="s">
        <v>318</v>
      </c>
      <c r="BE43" s="5"/>
      <c r="BF43" s="5"/>
      <c r="BG43" s="5"/>
      <c r="BH43" s="5"/>
      <c r="BI43" s="5"/>
      <c r="BJ43" s="5"/>
      <c r="BK43" s="5"/>
      <c r="BL43" s="5"/>
      <c r="BM43" s="5"/>
      <c r="BN43" s="5"/>
      <c r="BO43" s="5"/>
      <c r="BP43" s="5"/>
      <c r="BQ43" s="5"/>
      <c r="BR43" s="5"/>
      <c r="BS43" s="5"/>
      <c r="BT43" s="5"/>
      <c r="BU43" s="5"/>
      <c r="BV43" s="4" t="s">
        <v>126</v>
      </c>
      <c r="BW43" s="4" t="s">
        <v>319</v>
      </c>
      <c r="BX43" s="4" t="s">
        <v>320</v>
      </c>
    </row>
    <row r="44" spans="1:76" ht="38" customHeight="1">
      <c r="A44" s="4" t="s">
        <v>327</v>
      </c>
      <c r="B44" s="4" t="s">
        <v>311</v>
      </c>
      <c r="C44" s="5"/>
      <c r="D44" s="6">
        <v>1</v>
      </c>
      <c r="E44" s="5"/>
      <c r="F44" s="4" t="s">
        <v>112</v>
      </c>
      <c r="G44" s="6">
        <v>1</v>
      </c>
      <c r="H44" s="5"/>
      <c r="I44" s="5"/>
      <c r="J44" s="5"/>
      <c r="K44" s="5"/>
      <c r="L44" s="5"/>
      <c r="M44" s="5"/>
      <c r="N44" s="5"/>
      <c r="O44" s="5"/>
      <c r="P44" s="5"/>
      <c r="Q44" s="5"/>
      <c r="R44" s="7">
        <f>IF(COUNT(H44:Q44)=10,SUM(H44:Q44),"")</f>
        <v/>
      </c>
      <c r="S44" s="7">
        <f>IF(ISNUMBER(R44),R44/30*100,"")</f>
        <v/>
      </c>
      <c r="T44" s="7">
        <f>IF(COUNT(H44:J44,L44)=4,SUM(H44:J44,L44),"")</f>
        <v/>
      </c>
      <c r="U44" s="7">
        <f>IF(COUNT(K44,M44:O44)=4,SUM(K44,M44:O44),"")</f>
        <v/>
      </c>
      <c r="V44" s="7">
        <f>IF(COUNT(P44:Q44)=2,SUM(P44:Q44),"")</f>
        <v/>
      </c>
      <c r="W44" s="5"/>
      <c r="X44" s="5"/>
      <c r="Y44" s="5"/>
      <c r="Z44" s="5"/>
      <c r="AA44" s="6">
        <v>0</v>
      </c>
      <c r="AB44" s="5"/>
      <c r="AC44" s="5"/>
      <c r="AD44" s="5"/>
      <c r="AE44" s="5"/>
      <c r="AF44" s="5"/>
      <c r="AG44" s="5"/>
      <c r="AH44" s="9">
        <f>IF(AND(ISNUMBER(AG44),ISNUMBER(AF44),AF44&gt;0),AG44/AF44,"")</f>
        <v/>
      </c>
      <c r="AI44" s="5"/>
      <c r="AJ44" s="5"/>
      <c r="AK44" s="5"/>
      <c r="AL44" s="5"/>
      <c r="AM44" s="5"/>
      <c r="AN44" s="4" t="s">
        <v>312</v>
      </c>
      <c r="AO44" s="5"/>
      <c r="AP44" s="4" t="s">
        <v>313</v>
      </c>
      <c r="AQ44" s="5"/>
      <c r="AR44" s="5"/>
      <c r="AS44" s="4" t="s">
        <v>328</v>
      </c>
      <c r="AT44" s="4" t="s">
        <v>315</v>
      </c>
      <c r="AU44" s="6">
        <v>15</v>
      </c>
      <c r="AV44" s="4" t="s">
        <v>316</v>
      </c>
      <c r="AW44" s="4" t="s">
        <v>317</v>
      </c>
      <c r="AX44" s="4" t="s">
        <v>123</v>
      </c>
      <c r="AY44" s="4" t="s">
        <v>123</v>
      </c>
      <c r="AZ44" s="4" t="s">
        <v>164</v>
      </c>
      <c r="BA44" s="4"/>
      <c r="BB44" s="7">
        <f>COUNT(H44:Q44)</f>
        <v>0</v>
      </c>
      <c r="BC44" s="7">
        <f>IF(AND(ISNUMBER(R44),ISNUMBER(AU44)),R44-AU44,"")</f>
        <v/>
      </c>
      <c r="BD44" s="4" t="s">
        <v>318</v>
      </c>
      <c r="BE44" s="5"/>
      <c r="BF44" s="5"/>
      <c r="BG44" s="5"/>
      <c r="BH44" s="5"/>
      <c r="BI44" s="5"/>
      <c r="BJ44" s="5"/>
      <c r="BK44" s="5"/>
      <c r="BL44" s="5"/>
      <c r="BM44" s="5"/>
      <c r="BN44" s="5"/>
      <c r="BO44" s="5"/>
      <c r="BP44" s="5"/>
      <c r="BQ44" s="5"/>
      <c r="BR44" s="5"/>
      <c r="BS44" s="5"/>
      <c r="BT44" s="5"/>
      <c r="BU44" s="5"/>
      <c r="BV44" s="4" t="s">
        <v>126</v>
      </c>
      <c r="BW44" s="4" t="s">
        <v>319</v>
      </c>
      <c r="BX44" s="4" t="s">
        <v>320</v>
      </c>
    </row>
    <row r="45" spans="1:76" ht="38" customHeight="1">
      <c r="A45" s="4" t="s">
        <v>329</v>
      </c>
      <c r="B45" s="4" t="s">
        <v>311</v>
      </c>
      <c r="C45" s="5"/>
      <c r="D45" s="6">
        <v>1</v>
      </c>
      <c r="E45" s="5"/>
      <c r="F45" s="4" t="s">
        <v>112</v>
      </c>
      <c r="G45" s="6">
        <v>1</v>
      </c>
      <c r="H45" s="5"/>
      <c r="I45" s="5"/>
      <c r="J45" s="5"/>
      <c r="K45" s="5"/>
      <c r="L45" s="5"/>
      <c r="M45" s="5"/>
      <c r="N45" s="5"/>
      <c r="O45" s="5"/>
      <c r="P45" s="5"/>
      <c r="Q45" s="5"/>
      <c r="R45" s="7">
        <f>IF(COUNT(H45:Q45)=10,SUM(H45:Q45),"")</f>
        <v/>
      </c>
      <c r="S45" s="7">
        <f>IF(ISNUMBER(R45),R45/30*100,"")</f>
        <v/>
      </c>
      <c r="T45" s="7">
        <f>IF(COUNT(H45:J45,L45)=4,SUM(H45:J45,L45),"")</f>
        <v/>
      </c>
      <c r="U45" s="7">
        <f>IF(COUNT(K45,M45:O45)=4,SUM(K45,M45:O45),"")</f>
        <v/>
      </c>
      <c r="V45" s="7">
        <f>IF(COUNT(P45:Q45)=2,SUM(P45:Q45),"")</f>
        <v/>
      </c>
      <c r="W45" s="5"/>
      <c r="X45" s="5"/>
      <c r="Y45" s="5"/>
      <c r="Z45" s="5"/>
      <c r="AA45" s="6">
        <v>0</v>
      </c>
      <c r="AB45" s="5"/>
      <c r="AC45" s="5"/>
      <c r="AD45" s="5"/>
      <c r="AE45" s="5"/>
      <c r="AF45" s="5"/>
      <c r="AG45" s="5"/>
      <c r="AH45" s="9">
        <f>IF(AND(ISNUMBER(AG45),ISNUMBER(AF45),AF45&gt;0),AG45/AF45,"")</f>
        <v/>
      </c>
      <c r="AI45" s="5"/>
      <c r="AJ45" s="5"/>
      <c r="AK45" s="5"/>
      <c r="AL45" s="5"/>
      <c r="AM45" s="5"/>
      <c r="AN45" s="4" t="s">
        <v>312</v>
      </c>
      <c r="AO45" s="5"/>
      <c r="AP45" s="4" t="s">
        <v>313</v>
      </c>
      <c r="AQ45" s="5"/>
      <c r="AR45" s="5"/>
      <c r="AS45" s="4" t="s">
        <v>330</v>
      </c>
      <c r="AT45" s="4" t="s">
        <v>315</v>
      </c>
      <c r="AU45" s="6">
        <v>12</v>
      </c>
      <c r="AV45" s="4" t="s">
        <v>316</v>
      </c>
      <c r="AW45" s="4" t="s">
        <v>317</v>
      </c>
      <c r="AX45" s="4" t="s">
        <v>123</v>
      </c>
      <c r="AY45" s="4" t="s">
        <v>123</v>
      </c>
      <c r="AZ45" s="4" t="s">
        <v>164</v>
      </c>
      <c r="BA45" s="4"/>
      <c r="BB45" s="7">
        <f>COUNT(H45:Q45)</f>
        <v>0</v>
      </c>
      <c r="BC45" s="7">
        <f>IF(AND(ISNUMBER(R45),ISNUMBER(AU45)),R45-AU45,"")</f>
        <v/>
      </c>
      <c r="BD45" s="4" t="s">
        <v>318</v>
      </c>
      <c r="BE45" s="5"/>
      <c r="BF45" s="5"/>
      <c r="BG45" s="5"/>
      <c r="BH45" s="5"/>
      <c r="BI45" s="5"/>
      <c r="BJ45" s="5"/>
      <c r="BK45" s="5"/>
      <c r="BL45" s="5"/>
      <c r="BM45" s="5"/>
      <c r="BN45" s="5"/>
      <c r="BO45" s="5"/>
      <c r="BP45" s="5"/>
      <c r="BQ45" s="5"/>
      <c r="BR45" s="5"/>
      <c r="BS45" s="5"/>
      <c r="BT45" s="5"/>
      <c r="BU45" s="5"/>
      <c r="BV45" s="4" t="s">
        <v>126</v>
      </c>
      <c r="BW45" s="4" t="s">
        <v>319</v>
      </c>
      <c r="BX45" s="4" t="s">
        <v>320</v>
      </c>
    </row>
    <row r="46" spans="1:76" ht="38" customHeight="1">
      <c r="A46" s="4" t="s">
        <v>331</v>
      </c>
      <c r="B46" s="4" t="s">
        <v>311</v>
      </c>
      <c r="C46" s="5"/>
      <c r="D46" s="6">
        <v>1</v>
      </c>
      <c r="E46" s="5"/>
      <c r="F46" s="4" t="s">
        <v>112</v>
      </c>
      <c r="G46" s="6">
        <v>1</v>
      </c>
      <c r="H46" s="5"/>
      <c r="I46" s="5"/>
      <c r="J46" s="5"/>
      <c r="K46" s="5"/>
      <c r="L46" s="5"/>
      <c r="M46" s="5"/>
      <c r="N46" s="5"/>
      <c r="O46" s="5"/>
      <c r="P46" s="5"/>
      <c r="Q46" s="5"/>
      <c r="R46" s="7">
        <f>IF(COUNT(H46:Q46)=10,SUM(H46:Q46),"")</f>
        <v/>
      </c>
      <c r="S46" s="7">
        <f>IF(ISNUMBER(R46),R46/30*100,"")</f>
        <v/>
      </c>
      <c r="T46" s="7">
        <f>IF(COUNT(H46:J46,L46)=4,SUM(H46:J46,L46),"")</f>
        <v/>
      </c>
      <c r="U46" s="7">
        <f>IF(COUNT(K46,M46:O46)=4,SUM(K46,M46:O46),"")</f>
        <v/>
      </c>
      <c r="V46" s="7">
        <f>IF(COUNT(P46:Q46)=2,SUM(P46:Q46),"")</f>
        <v/>
      </c>
      <c r="W46" s="5"/>
      <c r="X46" s="5"/>
      <c r="Y46" s="5"/>
      <c r="Z46" s="5"/>
      <c r="AA46" s="6">
        <v>0</v>
      </c>
      <c r="AB46" s="5"/>
      <c r="AC46" s="5"/>
      <c r="AD46" s="5"/>
      <c r="AE46" s="5"/>
      <c r="AF46" s="5"/>
      <c r="AG46" s="5"/>
      <c r="AH46" s="9">
        <f>IF(AND(ISNUMBER(AG46),ISNUMBER(AF46),AF46&gt;0),AG46/AF46,"")</f>
        <v/>
      </c>
      <c r="AI46" s="5"/>
      <c r="AJ46" s="5"/>
      <c r="AK46" s="5"/>
      <c r="AL46" s="5"/>
      <c r="AM46" s="5"/>
      <c r="AN46" s="4" t="s">
        <v>312</v>
      </c>
      <c r="AO46" s="5"/>
      <c r="AP46" s="4" t="s">
        <v>313</v>
      </c>
      <c r="AQ46" s="5"/>
      <c r="AR46" s="5"/>
      <c r="AS46" s="4" t="s">
        <v>332</v>
      </c>
      <c r="AT46" s="4" t="s">
        <v>315</v>
      </c>
      <c r="AU46" s="6">
        <v>12</v>
      </c>
      <c r="AV46" s="4" t="s">
        <v>316</v>
      </c>
      <c r="AW46" s="4" t="s">
        <v>317</v>
      </c>
      <c r="AX46" s="4" t="s">
        <v>123</v>
      </c>
      <c r="AY46" s="4" t="s">
        <v>123</v>
      </c>
      <c r="AZ46" s="4" t="s">
        <v>164</v>
      </c>
      <c r="BA46" s="4"/>
      <c r="BB46" s="7">
        <f>COUNT(H46:Q46)</f>
        <v>0</v>
      </c>
      <c r="BC46" s="7">
        <f>IF(AND(ISNUMBER(R46),ISNUMBER(AU46)),R46-AU46,"")</f>
        <v/>
      </c>
      <c r="BD46" s="4" t="s">
        <v>318</v>
      </c>
      <c r="BE46" s="5"/>
      <c r="BF46" s="5"/>
      <c r="BG46" s="5"/>
      <c r="BH46" s="5"/>
      <c r="BI46" s="5"/>
      <c r="BJ46" s="5"/>
      <c r="BK46" s="5"/>
      <c r="BL46" s="5"/>
      <c r="BM46" s="5"/>
      <c r="BN46" s="5"/>
      <c r="BO46" s="5"/>
      <c r="BP46" s="5"/>
      <c r="BQ46" s="5"/>
      <c r="BR46" s="5"/>
      <c r="BS46" s="5"/>
      <c r="BT46" s="5"/>
      <c r="BU46" s="5"/>
      <c r="BV46" s="4" t="s">
        <v>126</v>
      </c>
      <c r="BW46" s="4" t="s">
        <v>319</v>
      </c>
      <c r="BX46" s="4" t="s">
        <v>320</v>
      </c>
    </row>
    <row r="47" spans="1:76" ht="38" customHeight="1">
      <c r="A47" s="4" t="s">
        <v>333</v>
      </c>
      <c r="B47" s="4" t="s">
        <v>311</v>
      </c>
      <c r="C47" s="5"/>
      <c r="D47" s="6">
        <v>1</v>
      </c>
      <c r="E47" s="5"/>
      <c r="F47" s="4" t="s">
        <v>112</v>
      </c>
      <c r="G47" s="6">
        <v>1</v>
      </c>
      <c r="H47" s="5"/>
      <c r="I47" s="5"/>
      <c r="J47" s="5"/>
      <c r="K47" s="5"/>
      <c r="L47" s="5"/>
      <c r="M47" s="5"/>
      <c r="N47" s="5"/>
      <c r="O47" s="5"/>
      <c r="P47" s="5"/>
      <c r="Q47" s="5"/>
      <c r="R47" s="7">
        <f>IF(COUNT(H47:Q47)=10,SUM(H47:Q47),"")</f>
        <v/>
      </c>
      <c r="S47" s="7">
        <f>IF(ISNUMBER(R47),R47/30*100,"")</f>
        <v/>
      </c>
      <c r="T47" s="7">
        <f>IF(COUNT(H47:J47,L47)=4,SUM(H47:J47,L47),"")</f>
        <v/>
      </c>
      <c r="U47" s="7">
        <f>IF(COUNT(K47,M47:O47)=4,SUM(K47,M47:O47),"")</f>
        <v/>
      </c>
      <c r="V47" s="7">
        <f>IF(COUNT(P47:Q47)=2,SUM(P47:Q47),"")</f>
        <v/>
      </c>
      <c r="W47" s="5"/>
      <c r="X47" s="5"/>
      <c r="Y47" s="5"/>
      <c r="Z47" s="5"/>
      <c r="AA47" s="6">
        <v>0</v>
      </c>
      <c r="AB47" s="5"/>
      <c r="AC47" s="5"/>
      <c r="AD47" s="5"/>
      <c r="AE47" s="5"/>
      <c r="AF47" s="5"/>
      <c r="AG47" s="5"/>
      <c r="AH47" s="9">
        <f>IF(AND(ISNUMBER(AG47),ISNUMBER(AF47),AF47&gt;0),AG47/AF47,"")</f>
        <v/>
      </c>
      <c r="AI47" s="5"/>
      <c r="AJ47" s="5"/>
      <c r="AK47" s="5"/>
      <c r="AL47" s="5"/>
      <c r="AM47" s="5"/>
      <c r="AN47" s="4" t="s">
        <v>312</v>
      </c>
      <c r="AO47" s="5"/>
      <c r="AP47" s="4" t="s">
        <v>313</v>
      </c>
      <c r="AQ47" s="5"/>
      <c r="AR47" s="5"/>
      <c r="AS47" s="4" t="s">
        <v>334</v>
      </c>
      <c r="AT47" s="4" t="s">
        <v>315</v>
      </c>
      <c r="AU47" s="6">
        <v>12</v>
      </c>
      <c r="AV47" s="4" t="s">
        <v>316</v>
      </c>
      <c r="AW47" s="4" t="s">
        <v>317</v>
      </c>
      <c r="AX47" s="4" t="s">
        <v>123</v>
      </c>
      <c r="AY47" s="4" t="s">
        <v>123</v>
      </c>
      <c r="AZ47" s="4" t="s">
        <v>164</v>
      </c>
      <c r="BA47" s="4"/>
      <c r="BB47" s="7">
        <f>COUNT(H47:Q47)</f>
        <v>0</v>
      </c>
      <c r="BC47" s="7">
        <f>IF(AND(ISNUMBER(R47),ISNUMBER(AU47)),R47-AU47,"")</f>
        <v/>
      </c>
      <c r="BD47" s="4" t="s">
        <v>318</v>
      </c>
      <c r="BE47" s="5"/>
      <c r="BF47" s="5"/>
      <c r="BG47" s="5"/>
      <c r="BH47" s="5"/>
      <c r="BI47" s="5"/>
      <c r="BJ47" s="5"/>
      <c r="BK47" s="5"/>
      <c r="BL47" s="5"/>
      <c r="BM47" s="5"/>
      <c r="BN47" s="5"/>
      <c r="BO47" s="5"/>
      <c r="BP47" s="5"/>
      <c r="BQ47" s="5"/>
      <c r="BR47" s="5"/>
      <c r="BS47" s="5"/>
      <c r="BT47" s="5"/>
      <c r="BU47" s="5"/>
      <c r="BV47" s="4" t="s">
        <v>126</v>
      </c>
      <c r="BW47" s="4" t="s">
        <v>319</v>
      </c>
      <c r="BX47" s="4" t="s">
        <v>320</v>
      </c>
    </row>
    <row r="48" spans="1:76" ht="38" customHeight="1">
      <c r="A48" s="4" t="s">
        <v>335</v>
      </c>
      <c r="B48" s="4" t="s">
        <v>311</v>
      </c>
      <c r="C48" s="5"/>
      <c r="D48" s="6">
        <v>1</v>
      </c>
      <c r="E48" s="5"/>
      <c r="F48" s="4" t="s">
        <v>112</v>
      </c>
      <c r="G48" s="6">
        <v>1</v>
      </c>
      <c r="H48" s="5"/>
      <c r="I48" s="5"/>
      <c r="J48" s="5"/>
      <c r="K48" s="5"/>
      <c r="L48" s="5"/>
      <c r="M48" s="5"/>
      <c r="N48" s="5"/>
      <c r="O48" s="5"/>
      <c r="P48" s="5"/>
      <c r="Q48" s="5"/>
      <c r="R48" s="7">
        <f>IF(COUNT(H48:Q48)=10,SUM(H48:Q48),"")</f>
        <v/>
      </c>
      <c r="S48" s="7">
        <f>IF(ISNUMBER(R48),R48/30*100,"")</f>
        <v/>
      </c>
      <c r="T48" s="7">
        <f>IF(COUNT(H48:J48,L48)=4,SUM(H48:J48,L48),"")</f>
        <v/>
      </c>
      <c r="U48" s="7">
        <f>IF(COUNT(K48,M48:O48)=4,SUM(K48,M48:O48),"")</f>
        <v/>
      </c>
      <c r="V48" s="7">
        <f>IF(COUNT(P48:Q48)=2,SUM(P48:Q48),"")</f>
        <v/>
      </c>
      <c r="W48" s="5"/>
      <c r="X48" s="5"/>
      <c r="Y48" s="5"/>
      <c r="Z48" s="5"/>
      <c r="AA48" s="6">
        <v>0</v>
      </c>
      <c r="AB48" s="5"/>
      <c r="AC48" s="5"/>
      <c r="AD48" s="5"/>
      <c r="AE48" s="5"/>
      <c r="AF48" s="5"/>
      <c r="AG48" s="5"/>
      <c r="AH48" s="9">
        <f>IF(AND(ISNUMBER(AG48),ISNUMBER(AF48),AF48&gt;0),AG48/AF48,"")</f>
        <v/>
      </c>
      <c r="AI48" s="5"/>
      <c r="AJ48" s="5"/>
      <c r="AK48" s="5"/>
      <c r="AL48" s="5"/>
      <c r="AM48" s="5"/>
      <c r="AN48" s="4" t="s">
        <v>312</v>
      </c>
      <c r="AO48" s="5"/>
      <c r="AP48" s="4" t="s">
        <v>313</v>
      </c>
      <c r="AQ48" s="5"/>
      <c r="AR48" s="5"/>
      <c r="AS48" s="4" t="s">
        <v>336</v>
      </c>
      <c r="AT48" s="4" t="s">
        <v>315</v>
      </c>
      <c r="AU48" s="6">
        <v>10</v>
      </c>
      <c r="AV48" s="4" t="s">
        <v>316</v>
      </c>
      <c r="AW48" s="4" t="s">
        <v>317</v>
      </c>
      <c r="AX48" s="4" t="s">
        <v>123</v>
      </c>
      <c r="AY48" s="4" t="s">
        <v>123</v>
      </c>
      <c r="AZ48" s="4" t="s">
        <v>164</v>
      </c>
      <c r="BA48" s="4"/>
      <c r="BB48" s="7">
        <f>COUNT(H48:Q48)</f>
        <v>0</v>
      </c>
      <c r="BC48" s="7">
        <f>IF(AND(ISNUMBER(R48),ISNUMBER(AU48)),R48-AU48,"")</f>
        <v/>
      </c>
      <c r="BD48" s="4" t="s">
        <v>318</v>
      </c>
      <c r="BE48" s="5"/>
      <c r="BF48" s="5"/>
      <c r="BG48" s="5"/>
      <c r="BH48" s="5"/>
      <c r="BI48" s="5"/>
      <c r="BJ48" s="5"/>
      <c r="BK48" s="5"/>
      <c r="BL48" s="5"/>
      <c r="BM48" s="5"/>
      <c r="BN48" s="5"/>
      <c r="BO48" s="5"/>
      <c r="BP48" s="5"/>
      <c r="BQ48" s="5"/>
      <c r="BR48" s="5"/>
      <c r="BS48" s="5"/>
      <c r="BT48" s="5"/>
      <c r="BU48" s="5"/>
      <c r="BV48" s="4" t="s">
        <v>126</v>
      </c>
      <c r="BW48" s="4" t="s">
        <v>319</v>
      </c>
      <c r="BX48" s="4" t="s">
        <v>320</v>
      </c>
    </row>
    <row r="49" spans="1:76" ht="38" customHeight="1">
      <c r="A49" s="4" t="s">
        <v>337</v>
      </c>
      <c r="B49" s="4" t="s">
        <v>311</v>
      </c>
      <c r="C49" s="5"/>
      <c r="D49" s="6">
        <v>1</v>
      </c>
      <c r="E49" s="5"/>
      <c r="F49" s="4" t="s">
        <v>112</v>
      </c>
      <c r="G49" s="6">
        <v>1</v>
      </c>
      <c r="H49" s="5"/>
      <c r="I49" s="5"/>
      <c r="J49" s="5"/>
      <c r="K49" s="5"/>
      <c r="L49" s="5"/>
      <c r="M49" s="5"/>
      <c r="N49" s="5"/>
      <c r="O49" s="5"/>
      <c r="P49" s="5"/>
      <c r="Q49" s="5"/>
      <c r="R49" s="7">
        <f>IF(COUNT(H49:Q49)=10,SUM(H49:Q49),"")</f>
        <v/>
      </c>
      <c r="S49" s="7">
        <f>IF(ISNUMBER(R49),R49/30*100,"")</f>
        <v/>
      </c>
      <c r="T49" s="7">
        <f>IF(COUNT(H49:J49,L49)=4,SUM(H49:J49,L49),"")</f>
        <v/>
      </c>
      <c r="U49" s="7">
        <f>IF(COUNT(K49,M49:O49)=4,SUM(K49,M49:O49),"")</f>
        <v/>
      </c>
      <c r="V49" s="7">
        <f>IF(COUNT(P49:Q49)=2,SUM(P49:Q49),"")</f>
        <v/>
      </c>
      <c r="W49" s="5"/>
      <c r="X49" s="5"/>
      <c r="Y49" s="5"/>
      <c r="Z49" s="5"/>
      <c r="AA49" s="6">
        <v>0</v>
      </c>
      <c r="AB49" s="5"/>
      <c r="AC49" s="5"/>
      <c r="AD49" s="5"/>
      <c r="AE49" s="5"/>
      <c r="AF49" s="5"/>
      <c r="AG49" s="5"/>
      <c r="AH49" s="9">
        <f>IF(AND(ISNUMBER(AG49),ISNUMBER(AF49),AF49&gt;0),AG49/AF49,"")</f>
        <v/>
      </c>
      <c r="AI49" s="5"/>
      <c r="AJ49" s="5"/>
      <c r="AK49" s="5"/>
      <c r="AL49" s="5"/>
      <c r="AM49" s="5"/>
      <c r="AN49" s="4" t="s">
        <v>312</v>
      </c>
      <c r="AO49" s="5"/>
      <c r="AP49" s="4" t="s">
        <v>313</v>
      </c>
      <c r="AQ49" s="5"/>
      <c r="AR49" s="5"/>
      <c r="AS49" s="4" t="s">
        <v>338</v>
      </c>
      <c r="AT49" s="4" t="s">
        <v>315</v>
      </c>
      <c r="AU49" s="6">
        <v>10</v>
      </c>
      <c r="AV49" s="4" t="s">
        <v>316</v>
      </c>
      <c r="AW49" s="4" t="s">
        <v>317</v>
      </c>
      <c r="AX49" s="4" t="s">
        <v>123</v>
      </c>
      <c r="AY49" s="4" t="s">
        <v>123</v>
      </c>
      <c r="AZ49" s="4" t="s">
        <v>164</v>
      </c>
      <c r="BA49" s="4"/>
      <c r="BB49" s="7">
        <f>COUNT(H49:Q49)</f>
        <v>0</v>
      </c>
      <c r="BC49" s="7">
        <f>IF(AND(ISNUMBER(R49),ISNUMBER(AU49)),R49-AU49,"")</f>
        <v/>
      </c>
      <c r="BD49" s="4" t="s">
        <v>318</v>
      </c>
      <c r="BE49" s="5"/>
      <c r="BF49" s="5"/>
      <c r="BG49" s="5"/>
      <c r="BH49" s="5"/>
      <c r="BI49" s="5"/>
      <c r="BJ49" s="5"/>
      <c r="BK49" s="5"/>
      <c r="BL49" s="5"/>
      <c r="BM49" s="5"/>
      <c r="BN49" s="5"/>
      <c r="BO49" s="5"/>
      <c r="BP49" s="5"/>
      <c r="BQ49" s="5"/>
      <c r="BR49" s="5"/>
      <c r="BS49" s="5"/>
      <c r="BT49" s="5"/>
      <c r="BU49" s="5"/>
      <c r="BV49" s="4" t="s">
        <v>126</v>
      </c>
      <c r="BW49" s="4" t="s">
        <v>319</v>
      </c>
      <c r="BX49" s="4" t="s">
        <v>320</v>
      </c>
    </row>
    <row r="50" spans="1:76" ht="38" customHeight="1">
      <c r="A50" s="4" t="s">
        <v>339</v>
      </c>
      <c r="B50" s="4" t="s">
        <v>311</v>
      </c>
      <c r="C50" s="5"/>
      <c r="D50" s="6">
        <v>1</v>
      </c>
      <c r="E50" s="5"/>
      <c r="F50" s="4" t="s">
        <v>112</v>
      </c>
      <c r="G50" s="6">
        <v>1</v>
      </c>
      <c r="H50" s="5"/>
      <c r="I50" s="5"/>
      <c r="J50" s="5"/>
      <c r="K50" s="5"/>
      <c r="L50" s="5"/>
      <c r="M50" s="5"/>
      <c r="N50" s="5"/>
      <c r="O50" s="5"/>
      <c r="P50" s="5"/>
      <c r="Q50" s="5"/>
      <c r="R50" s="7">
        <f>IF(COUNT(H50:Q50)=10,SUM(H50:Q50),"")</f>
        <v/>
      </c>
      <c r="S50" s="7">
        <f>IF(ISNUMBER(R50),R50/30*100,"")</f>
        <v/>
      </c>
      <c r="T50" s="7">
        <f>IF(COUNT(H50:J50,L50)=4,SUM(H50:J50,L50),"")</f>
        <v/>
      </c>
      <c r="U50" s="7">
        <f>IF(COUNT(K50,M50:O50)=4,SUM(K50,M50:O50),"")</f>
        <v/>
      </c>
      <c r="V50" s="7">
        <f>IF(COUNT(P50:Q50)=2,SUM(P50:Q50),"")</f>
        <v/>
      </c>
      <c r="W50" s="5"/>
      <c r="X50" s="5"/>
      <c r="Y50" s="5"/>
      <c r="Z50" s="5"/>
      <c r="AA50" s="6">
        <v>0</v>
      </c>
      <c r="AB50" s="5"/>
      <c r="AC50" s="5"/>
      <c r="AD50" s="5"/>
      <c r="AE50" s="5"/>
      <c r="AF50" s="5"/>
      <c r="AG50" s="5"/>
      <c r="AH50" s="9">
        <f>IF(AND(ISNUMBER(AG50),ISNUMBER(AF50),AF50&gt;0),AG50/AF50,"")</f>
        <v/>
      </c>
      <c r="AI50" s="5"/>
      <c r="AJ50" s="5"/>
      <c r="AK50" s="5"/>
      <c r="AL50" s="5"/>
      <c r="AM50" s="5"/>
      <c r="AN50" s="4" t="s">
        <v>312</v>
      </c>
      <c r="AO50" s="5"/>
      <c r="AP50" s="4" t="s">
        <v>313</v>
      </c>
      <c r="AQ50" s="5"/>
      <c r="AR50" s="5"/>
      <c r="AS50" s="4" t="s">
        <v>340</v>
      </c>
      <c r="AT50" s="4" t="s">
        <v>315</v>
      </c>
      <c r="AU50" s="6">
        <v>9</v>
      </c>
      <c r="AV50" s="4" t="s">
        <v>316</v>
      </c>
      <c r="AW50" s="4" t="s">
        <v>317</v>
      </c>
      <c r="AX50" s="4" t="s">
        <v>123</v>
      </c>
      <c r="AY50" s="4" t="s">
        <v>123</v>
      </c>
      <c r="AZ50" s="4" t="s">
        <v>164</v>
      </c>
      <c r="BA50" s="4"/>
      <c r="BB50" s="7">
        <f>COUNT(H50:Q50)</f>
        <v>0</v>
      </c>
      <c r="BC50" s="7">
        <f>IF(AND(ISNUMBER(R50),ISNUMBER(AU50)),R50-AU50,"")</f>
        <v/>
      </c>
      <c r="BD50" s="4" t="s">
        <v>318</v>
      </c>
      <c r="BE50" s="5"/>
      <c r="BF50" s="5"/>
      <c r="BG50" s="5"/>
      <c r="BH50" s="5"/>
      <c r="BI50" s="5"/>
      <c r="BJ50" s="5"/>
      <c r="BK50" s="5"/>
      <c r="BL50" s="5"/>
      <c r="BM50" s="5"/>
      <c r="BN50" s="5"/>
      <c r="BO50" s="5"/>
      <c r="BP50" s="5"/>
      <c r="BQ50" s="5"/>
      <c r="BR50" s="5"/>
      <c r="BS50" s="5"/>
      <c r="BT50" s="5"/>
      <c r="BU50" s="5"/>
      <c r="BV50" s="4" t="s">
        <v>126</v>
      </c>
      <c r="BW50" s="4" t="s">
        <v>319</v>
      </c>
      <c r="BX50" s="4" t="s">
        <v>320</v>
      </c>
    </row>
    <row r="51" spans="1:76" ht="38" customHeight="1">
      <c r="A51" s="4" t="s">
        <v>341</v>
      </c>
      <c r="B51" s="4" t="s">
        <v>311</v>
      </c>
      <c r="C51" s="5"/>
      <c r="D51" s="6">
        <v>1</v>
      </c>
      <c r="E51" s="5"/>
      <c r="F51" s="4" t="s">
        <v>112</v>
      </c>
      <c r="G51" s="6">
        <v>1</v>
      </c>
      <c r="H51" s="5"/>
      <c r="I51" s="5"/>
      <c r="J51" s="5"/>
      <c r="K51" s="5"/>
      <c r="L51" s="5"/>
      <c r="M51" s="5"/>
      <c r="N51" s="5"/>
      <c r="O51" s="5"/>
      <c r="P51" s="5"/>
      <c r="Q51" s="5"/>
      <c r="R51" s="7">
        <f>IF(COUNT(H51:Q51)=10,SUM(H51:Q51),"")</f>
        <v/>
      </c>
      <c r="S51" s="7">
        <f>IF(ISNUMBER(R51),R51/30*100,"")</f>
        <v/>
      </c>
      <c r="T51" s="7">
        <f>IF(COUNT(H51:J51,L51)=4,SUM(H51:J51,L51),"")</f>
        <v/>
      </c>
      <c r="U51" s="7">
        <f>IF(COUNT(K51,M51:O51)=4,SUM(K51,M51:O51),"")</f>
        <v/>
      </c>
      <c r="V51" s="7">
        <f>IF(COUNT(P51:Q51)=2,SUM(P51:Q51),"")</f>
        <v/>
      </c>
      <c r="W51" s="5"/>
      <c r="X51" s="5"/>
      <c r="Y51" s="5"/>
      <c r="Z51" s="5"/>
      <c r="AA51" s="6">
        <v>0</v>
      </c>
      <c r="AB51" s="5"/>
      <c r="AC51" s="5"/>
      <c r="AD51" s="5"/>
      <c r="AE51" s="5"/>
      <c r="AF51" s="5"/>
      <c r="AG51" s="5"/>
      <c r="AH51" s="9">
        <f>IF(AND(ISNUMBER(AG51),ISNUMBER(AF51),AF51&gt;0),AG51/AF51,"")</f>
        <v/>
      </c>
      <c r="AI51" s="5"/>
      <c r="AJ51" s="5"/>
      <c r="AK51" s="5"/>
      <c r="AL51" s="5"/>
      <c r="AM51" s="5"/>
      <c r="AN51" s="4" t="s">
        <v>312</v>
      </c>
      <c r="AO51" s="5"/>
      <c r="AP51" s="4" t="s">
        <v>313</v>
      </c>
      <c r="AQ51" s="5"/>
      <c r="AR51" s="5"/>
      <c r="AS51" s="4" t="s">
        <v>342</v>
      </c>
      <c r="AT51" s="4" t="s">
        <v>315</v>
      </c>
      <c r="AU51" s="6">
        <v>6</v>
      </c>
      <c r="AV51" s="4" t="s">
        <v>316</v>
      </c>
      <c r="AW51" s="4" t="s">
        <v>317</v>
      </c>
      <c r="AX51" s="4" t="s">
        <v>123</v>
      </c>
      <c r="AY51" s="4" t="s">
        <v>123</v>
      </c>
      <c r="AZ51" s="4" t="s">
        <v>164</v>
      </c>
      <c r="BA51" s="4"/>
      <c r="BB51" s="7">
        <f>COUNT(H51:Q51)</f>
        <v>0</v>
      </c>
      <c r="BC51" s="7">
        <f>IF(AND(ISNUMBER(R51),ISNUMBER(AU51)),R51-AU51,"")</f>
        <v/>
      </c>
      <c r="BD51" s="4" t="s">
        <v>318</v>
      </c>
      <c r="BE51" s="5"/>
      <c r="BF51" s="5"/>
      <c r="BG51" s="5"/>
      <c r="BH51" s="5"/>
      <c r="BI51" s="5"/>
      <c r="BJ51" s="5"/>
      <c r="BK51" s="5"/>
      <c r="BL51" s="5"/>
      <c r="BM51" s="5"/>
      <c r="BN51" s="5"/>
      <c r="BO51" s="5"/>
      <c r="BP51" s="5"/>
      <c r="BQ51" s="5"/>
      <c r="BR51" s="5"/>
      <c r="BS51" s="5"/>
      <c r="BT51" s="5"/>
      <c r="BU51" s="5"/>
      <c r="BV51" s="4" t="s">
        <v>126</v>
      </c>
      <c r="BW51" s="4" t="s">
        <v>319</v>
      </c>
      <c r="BX51" s="4" t="s">
        <v>320</v>
      </c>
    </row>
    <row r="52" spans="1:76" ht="38" customHeight="1">
      <c r="A52" s="4" t="s">
        <v>343</v>
      </c>
      <c r="B52" s="4" t="s">
        <v>311</v>
      </c>
      <c r="C52" s="5"/>
      <c r="D52" s="6">
        <v>1</v>
      </c>
      <c r="E52" s="5"/>
      <c r="F52" s="4" t="s">
        <v>112</v>
      </c>
      <c r="G52" s="6">
        <v>1</v>
      </c>
      <c r="H52" s="5"/>
      <c r="I52" s="5"/>
      <c r="J52" s="5"/>
      <c r="K52" s="5"/>
      <c r="L52" s="5"/>
      <c r="M52" s="5"/>
      <c r="N52" s="5"/>
      <c r="O52" s="5"/>
      <c r="P52" s="5"/>
      <c r="Q52" s="5"/>
      <c r="R52" s="7">
        <f>IF(COUNT(H52:Q52)=10,SUM(H52:Q52),"")</f>
        <v/>
      </c>
      <c r="S52" s="7">
        <f>IF(ISNUMBER(R52),R52/30*100,"")</f>
        <v/>
      </c>
      <c r="T52" s="7">
        <f>IF(COUNT(H52:J52,L52)=4,SUM(H52:J52,L52),"")</f>
        <v/>
      </c>
      <c r="U52" s="7">
        <f>IF(COUNT(K52,M52:O52)=4,SUM(K52,M52:O52),"")</f>
        <v/>
      </c>
      <c r="V52" s="7">
        <f>IF(COUNT(P52:Q52)=2,SUM(P52:Q52),"")</f>
        <v/>
      </c>
      <c r="W52" s="5"/>
      <c r="X52" s="5"/>
      <c r="Y52" s="5"/>
      <c r="Z52" s="5"/>
      <c r="AA52" s="6">
        <v>0</v>
      </c>
      <c r="AB52" s="5"/>
      <c r="AC52" s="5"/>
      <c r="AD52" s="5"/>
      <c r="AE52" s="5"/>
      <c r="AF52" s="5"/>
      <c r="AG52" s="5"/>
      <c r="AH52" s="9">
        <f>IF(AND(ISNUMBER(AG52),ISNUMBER(AF52),AF52&gt;0),AG52/AF52,"")</f>
        <v/>
      </c>
      <c r="AI52" s="5"/>
      <c r="AJ52" s="5"/>
      <c r="AK52" s="5"/>
      <c r="AL52" s="5"/>
      <c r="AM52" s="5"/>
      <c r="AN52" s="4" t="s">
        <v>312</v>
      </c>
      <c r="AO52" s="5"/>
      <c r="AP52" s="4" t="s">
        <v>313</v>
      </c>
      <c r="AQ52" s="5"/>
      <c r="AR52" s="5"/>
      <c r="AS52" s="4" t="s">
        <v>344</v>
      </c>
      <c r="AT52" s="4" t="s">
        <v>315</v>
      </c>
      <c r="AU52" s="6">
        <v>3</v>
      </c>
      <c r="AV52" s="4" t="s">
        <v>316</v>
      </c>
      <c r="AW52" s="4" t="s">
        <v>317</v>
      </c>
      <c r="AX52" s="4" t="s">
        <v>123</v>
      </c>
      <c r="AY52" s="4" t="s">
        <v>123</v>
      </c>
      <c r="AZ52" s="4" t="s">
        <v>164</v>
      </c>
      <c r="BA52" s="4"/>
      <c r="BB52" s="7">
        <f>COUNT(H52:Q52)</f>
        <v>0</v>
      </c>
      <c r="BC52" s="7">
        <f>IF(AND(ISNUMBER(R52),ISNUMBER(AU52)),R52-AU52,"")</f>
        <v/>
      </c>
      <c r="BD52" s="4" t="s">
        <v>318</v>
      </c>
      <c r="BE52" s="5"/>
      <c r="BF52" s="5"/>
      <c r="BG52" s="5"/>
      <c r="BH52" s="5"/>
      <c r="BI52" s="5"/>
      <c r="BJ52" s="5"/>
      <c r="BK52" s="5"/>
      <c r="BL52" s="5"/>
      <c r="BM52" s="5"/>
      <c r="BN52" s="5"/>
      <c r="BO52" s="5"/>
      <c r="BP52" s="5"/>
      <c r="BQ52" s="5"/>
      <c r="BR52" s="5"/>
      <c r="BS52" s="5"/>
      <c r="BT52" s="5"/>
      <c r="BU52" s="5"/>
      <c r="BV52" s="4" t="s">
        <v>126</v>
      </c>
      <c r="BW52" s="4" t="s">
        <v>319</v>
      </c>
      <c r="BX52" s="4" t="s">
        <v>320</v>
      </c>
    </row>
    <row r="53" spans="1:76" ht="38" customHeight="1">
      <c r="A53" s="4" t="s">
        <v>345</v>
      </c>
      <c r="B53" s="4" t="s">
        <v>346</v>
      </c>
      <c r="C53" s="5"/>
      <c r="D53" s="6">
        <v>1</v>
      </c>
      <c r="E53" s="5"/>
      <c r="F53" s="4" t="s">
        <v>112</v>
      </c>
      <c r="G53" s="6">
        <v>1</v>
      </c>
      <c r="H53" s="6">
        <v>1</v>
      </c>
      <c r="I53" s="6">
        <v>1</v>
      </c>
      <c r="J53" s="6">
        <v>0</v>
      </c>
      <c r="K53" s="6">
        <v>1</v>
      </c>
      <c r="L53" s="6">
        <v>2</v>
      </c>
      <c r="M53" s="6">
        <v>0</v>
      </c>
      <c r="N53" s="6">
        <v>0</v>
      </c>
      <c r="O53" s="6">
        <v>0</v>
      </c>
      <c r="P53" s="6">
        <v>1</v>
      </c>
      <c r="Q53" s="6">
        <v>2</v>
      </c>
      <c r="R53" s="7">
        <f>IF(COUNT(H53:Q53)=10,SUM(H53:Q53),"")</f>
        <v>8</v>
      </c>
      <c r="S53" s="7">
        <f>IF(ISNUMBER(R53),R53/30*100,"")</f>
        <v>26.666666666666668</v>
      </c>
      <c r="T53" s="7">
        <f>IF(COUNT(H53:J53,L53)=4,SUM(H53:J53,L53),"")</f>
        <v>4</v>
      </c>
      <c r="U53" s="7">
        <f>IF(COUNT(K53,M53:O53)=4,SUM(K53,M53:O53),"")</f>
        <v>1</v>
      </c>
      <c r="V53" s="7">
        <f>IF(COUNT(P53:Q53)=2,SUM(P53:Q53),"")</f>
        <v>3</v>
      </c>
      <c r="W53" s="4" t="s">
        <v>173</v>
      </c>
      <c r="X53" s="4" t="s">
        <v>347</v>
      </c>
      <c r="Y53" s="6">
        <v>8</v>
      </c>
      <c r="Z53" s="7">
        <f>IF(ISNUMBER(R53),R53,"")</f>
        <v>8</v>
      </c>
      <c r="AA53" s="6">
        <v>0</v>
      </c>
      <c r="AB53" s="8">
        <v>0</v>
      </c>
      <c r="AC53" s="6">
        <v>0</v>
      </c>
      <c r="AD53" s="5"/>
      <c r="AE53" s="6">
        <v>4098.62</v>
      </c>
      <c r="AF53" s="6">
        <v>3705.95</v>
      </c>
      <c r="AG53" s="6">
        <v>202.08</v>
      </c>
      <c r="AH53" s="9">
        <f>IF(AND(ISNUMBER(AG53),ISNUMBER(AF53),AF53&gt;0),AG53/AF53,"")</f>
        <v>0.0545285284474966</v>
      </c>
      <c r="AI53" s="6">
        <v>14</v>
      </c>
      <c r="AJ53" s="5"/>
      <c r="AK53" s="8">
        <v>1.8385</v>
      </c>
      <c r="AL53" s="5"/>
      <c r="AM53" s="4" t="s">
        <v>115</v>
      </c>
      <c r="AN53" s="4" t="s">
        <v>348</v>
      </c>
      <c r="AO53" s="4" t="s">
        <v>173</v>
      </c>
      <c r="AP53" s="4" t="s">
        <v>118</v>
      </c>
      <c r="AQ53" s="5"/>
      <c r="AR53" s="5"/>
      <c r="AS53" s="4" t="s">
        <v>349</v>
      </c>
      <c r="AT53" s="4" t="s">
        <v>120</v>
      </c>
      <c r="AU53" s="6">
        <v>8</v>
      </c>
      <c r="AV53" s="4" t="s">
        <v>350</v>
      </c>
      <c r="AW53" s="4" t="s">
        <v>351</v>
      </c>
      <c r="AX53" s="4" t="s">
        <v>123</v>
      </c>
      <c r="AY53" s="4" t="s">
        <v>124</v>
      </c>
      <c r="AZ53" s="4" t="s">
        <v>125</v>
      </c>
      <c r="BA53" s="4"/>
      <c r="BB53" s="7">
        <f>COUNT(H53:Q53)</f>
        <v>10</v>
      </c>
      <c r="BC53" s="7">
        <f>IF(AND(ISNUMBER(R53),ISNUMBER(AU53)),R53-AU53,"")</f>
        <v>0</v>
      </c>
      <c r="BD53" s="4"/>
      <c r="BE53" s="5"/>
      <c r="BF53" s="5"/>
      <c r="BG53" s="5"/>
      <c r="BH53" s="5"/>
      <c r="BI53" s="5"/>
      <c r="BJ53" s="5"/>
      <c r="BK53" s="5"/>
      <c r="BL53" s="5"/>
      <c r="BM53" s="5"/>
      <c r="BN53" s="5"/>
      <c r="BO53" s="5"/>
      <c r="BP53" s="5"/>
      <c r="BQ53" s="5"/>
      <c r="BR53" s="5"/>
      <c r="BS53" s="5"/>
      <c r="BT53" s="5"/>
      <c r="BU53" s="5"/>
      <c r="BV53" s="4" t="s">
        <v>126</v>
      </c>
      <c r="BW53" s="4" t="s">
        <v>352</v>
      </c>
      <c r="BX53" s="4" t="s">
        <v>353</v>
      </c>
    </row>
    <row r="54" spans="1:76" ht="38" customHeight="1">
      <c r="A54" s="4" t="s">
        <v>354</v>
      </c>
      <c r="B54" s="4" t="s">
        <v>346</v>
      </c>
      <c r="C54" s="5"/>
      <c r="D54" s="6">
        <v>1</v>
      </c>
      <c r="E54" s="5"/>
      <c r="F54" s="4" t="s">
        <v>112</v>
      </c>
      <c r="G54" s="6">
        <v>1</v>
      </c>
      <c r="H54" s="6">
        <v>3</v>
      </c>
      <c r="I54" s="6">
        <v>1</v>
      </c>
      <c r="J54" s="6">
        <v>2</v>
      </c>
      <c r="K54" s="6">
        <v>2</v>
      </c>
      <c r="L54" s="6">
        <v>2</v>
      </c>
      <c r="M54" s="6">
        <v>1</v>
      </c>
      <c r="N54" s="6">
        <v>0</v>
      </c>
      <c r="O54" s="6">
        <v>1</v>
      </c>
      <c r="P54" s="6">
        <v>3</v>
      </c>
      <c r="Q54" s="6">
        <v>2</v>
      </c>
      <c r="R54" s="7">
        <f>IF(COUNT(H54:Q54)=10,SUM(H54:Q54),"")</f>
        <v>17</v>
      </c>
      <c r="S54" s="7">
        <f>IF(ISNUMBER(R54),R54/30*100,"")</f>
        <v>56.666666666666664</v>
      </c>
      <c r="T54" s="7">
        <f>IF(COUNT(H54:J54,L54)=4,SUM(H54:J54,L54),"")</f>
        <v>8</v>
      </c>
      <c r="U54" s="7">
        <f>IF(COUNT(K54,M54:O54)=4,SUM(K54,M54:O54),"")</f>
        <v>4</v>
      </c>
      <c r="V54" s="7">
        <f>IF(COUNT(P54:Q54)=2,SUM(P54:Q54),"")</f>
        <v>5</v>
      </c>
      <c r="W54" s="4" t="s">
        <v>158</v>
      </c>
      <c r="X54" s="4" t="s">
        <v>347</v>
      </c>
      <c r="Y54" s="6">
        <v>16</v>
      </c>
      <c r="Z54" s="7">
        <f>IF(ISNUMBER(R54),R54,"")</f>
        <v>17</v>
      </c>
      <c r="AA54" s="6">
        <v>0</v>
      </c>
      <c r="AB54" s="8">
        <v>0.0756463891365476</v>
      </c>
      <c r="AC54" s="4" t="s">
        <v>135</v>
      </c>
      <c r="AD54" s="5"/>
      <c r="AE54" s="6">
        <v>5832.4</v>
      </c>
      <c r="AF54" s="6">
        <v>5056</v>
      </c>
      <c r="AG54" s="6">
        <v>518.9</v>
      </c>
      <c r="AH54" s="9">
        <f>IF(AND(ISNUMBER(AG54),ISNUMBER(AF54),AF54&gt;0),AG54/AF54,"")</f>
        <v>0.10263053797468354</v>
      </c>
      <c r="AI54" s="6">
        <v>143.9</v>
      </c>
      <c r="AJ54" s="5"/>
      <c r="AK54" s="8">
        <v>0.3437</v>
      </c>
      <c r="AL54" s="5"/>
      <c r="AM54" s="4" t="s">
        <v>115</v>
      </c>
      <c r="AN54" s="4" t="s">
        <v>348</v>
      </c>
      <c r="AO54" s="4" t="s">
        <v>173</v>
      </c>
      <c r="AP54" s="4" t="s">
        <v>118</v>
      </c>
      <c r="AQ54" s="5"/>
      <c r="AR54" s="5"/>
      <c r="AS54" s="4" t="s">
        <v>355</v>
      </c>
      <c r="AT54" s="4" t="s">
        <v>120</v>
      </c>
      <c r="AU54" s="6">
        <v>17</v>
      </c>
      <c r="AV54" s="4" t="s">
        <v>350</v>
      </c>
      <c r="AW54" s="4" t="s">
        <v>351</v>
      </c>
      <c r="AX54" s="4" t="s">
        <v>123</v>
      </c>
      <c r="AY54" s="4" t="s">
        <v>124</v>
      </c>
      <c r="AZ54" s="4" t="s">
        <v>125</v>
      </c>
      <c r="BA54" s="4"/>
      <c r="BB54" s="7">
        <f>COUNT(H54:Q54)</f>
        <v>10</v>
      </c>
      <c r="BC54" s="7">
        <f>IF(AND(ISNUMBER(R54),ISNUMBER(AU54)),R54-AU54,"")</f>
        <v>0</v>
      </c>
      <c r="BD54" s="4"/>
      <c r="BE54" s="5"/>
      <c r="BF54" s="5"/>
      <c r="BG54" s="5"/>
      <c r="BH54" s="5"/>
      <c r="BI54" s="5"/>
      <c r="BJ54" s="5"/>
      <c r="BK54" s="5"/>
      <c r="BL54" s="5"/>
      <c r="BM54" s="5"/>
      <c r="BN54" s="5"/>
      <c r="BO54" s="5"/>
      <c r="BP54" s="5"/>
      <c r="BQ54" s="5"/>
      <c r="BR54" s="5"/>
      <c r="BS54" s="5"/>
      <c r="BT54" s="5"/>
      <c r="BU54" s="5"/>
      <c r="BV54" s="4" t="s">
        <v>126</v>
      </c>
      <c r="BW54" s="4" t="s">
        <v>352</v>
      </c>
      <c r="BX54" s="4" t="s">
        <v>356</v>
      </c>
    </row>
    <row r="55" spans="1:76" ht="38" customHeight="1">
      <c r="A55" s="4" t="s">
        <v>357</v>
      </c>
      <c r="B55" s="4" t="s">
        <v>346</v>
      </c>
      <c r="C55" s="5"/>
      <c r="D55" s="6">
        <v>1</v>
      </c>
      <c r="E55" s="5"/>
      <c r="F55" s="4" t="s">
        <v>134</v>
      </c>
      <c r="G55" s="6">
        <v>1</v>
      </c>
      <c r="H55" s="6">
        <v>3</v>
      </c>
      <c r="I55" s="6">
        <v>0</v>
      </c>
      <c r="J55" s="6">
        <v>1</v>
      </c>
      <c r="K55" s="6">
        <v>2</v>
      </c>
      <c r="L55" s="6">
        <v>2</v>
      </c>
      <c r="M55" s="6">
        <v>1</v>
      </c>
      <c r="N55" s="6">
        <v>0</v>
      </c>
      <c r="O55" s="6">
        <v>1</v>
      </c>
      <c r="P55" s="6">
        <v>1</v>
      </c>
      <c r="Q55" s="6">
        <v>2</v>
      </c>
      <c r="R55" s="7">
        <f>IF(COUNT(H55:Q55)=10,SUM(H55:Q55),"")</f>
        <v>13</v>
      </c>
      <c r="S55" s="7">
        <f>IF(ISNUMBER(R55),R55/30*100,"")</f>
        <v>43.333333333333336</v>
      </c>
      <c r="T55" s="7">
        <f>IF(COUNT(H55:J55,L55)=4,SUM(H55:J55,L55),"")</f>
        <v>6</v>
      </c>
      <c r="U55" s="7">
        <f>IF(COUNT(K55,M55:O55)=4,SUM(K55,M55:O55),"")</f>
        <v>4</v>
      </c>
      <c r="V55" s="7">
        <f>IF(COUNT(P55:Q55)=2,SUM(P55:Q55),"")</f>
        <v>3</v>
      </c>
      <c r="W55" s="4" t="s">
        <v>173</v>
      </c>
      <c r="X55" s="4" t="s">
        <v>347</v>
      </c>
      <c r="Y55" s="6">
        <v>14</v>
      </c>
      <c r="Z55" s="7">
        <f>IF(ISNUMBER(R55),R55,"")</f>
        <v>13</v>
      </c>
      <c r="AA55" s="5"/>
      <c r="AB55" s="8">
        <v>0.0459</v>
      </c>
      <c r="AC55" s="4" t="s">
        <v>135</v>
      </c>
      <c r="AD55" s="6">
        <v>0</v>
      </c>
      <c r="AE55" s="5"/>
      <c r="AF55" s="5"/>
      <c r="AG55" s="5"/>
      <c r="AH55" s="9">
        <f>IF(AND(ISNUMBER(AG55),ISNUMBER(AF55),AF55&gt;0),AG55/AF55,"")</f>
        <v/>
      </c>
      <c r="AI55" s="5"/>
      <c r="AJ55" s="5"/>
      <c r="AK55" s="5"/>
      <c r="AL55" s="5"/>
      <c r="AM55" s="5"/>
      <c r="AN55" s="4" t="s">
        <v>348</v>
      </c>
      <c r="AO55" s="5"/>
      <c r="AP55" s="4" t="s">
        <v>118</v>
      </c>
      <c r="AQ55" s="5"/>
      <c r="AR55" s="5"/>
      <c r="AS55" s="4" t="s">
        <v>358</v>
      </c>
      <c r="AT55" s="4" t="s">
        <v>120</v>
      </c>
      <c r="AU55" s="6">
        <v>13</v>
      </c>
      <c r="AV55" s="4" t="s">
        <v>350</v>
      </c>
      <c r="AW55" s="4" t="s">
        <v>351</v>
      </c>
      <c r="AX55" s="4" t="s">
        <v>123</v>
      </c>
      <c r="AY55" s="4" t="s">
        <v>124</v>
      </c>
      <c r="AZ55" s="4" t="s">
        <v>164</v>
      </c>
      <c r="BA55" s="4"/>
      <c r="BB55" s="7">
        <f>COUNT(H55:Q55)</f>
        <v>10</v>
      </c>
      <c r="BC55" s="7">
        <f>IF(AND(ISNUMBER(R55),ISNUMBER(AU55)),R55-AU55,"")</f>
        <v>0</v>
      </c>
      <c r="BD55" s="4"/>
      <c r="BE55" s="5"/>
      <c r="BF55" s="5"/>
      <c r="BG55" s="5"/>
      <c r="BH55" s="5"/>
      <c r="BI55" s="5"/>
      <c r="BJ55" s="5"/>
      <c r="BK55" s="5"/>
      <c r="BL55" s="5"/>
      <c r="BM55" s="5"/>
      <c r="BN55" s="5"/>
      <c r="BO55" s="5"/>
      <c r="BP55" s="5"/>
      <c r="BQ55" s="5"/>
      <c r="BR55" s="5"/>
      <c r="BS55" s="5"/>
      <c r="BT55" s="5"/>
      <c r="BU55" s="5"/>
      <c r="BV55" s="4" t="s">
        <v>126</v>
      </c>
      <c r="BW55" s="4" t="s">
        <v>352</v>
      </c>
      <c r="BX55" s="4" t="s">
        <v>359</v>
      </c>
    </row>
    <row r="56" spans="1:76" ht="38" customHeight="1">
      <c r="A56" s="4" t="s">
        <v>360</v>
      </c>
      <c r="B56" s="4" t="s">
        <v>346</v>
      </c>
      <c r="C56" s="5"/>
      <c r="D56" s="6">
        <v>1</v>
      </c>
      <c r="E56" s="5"/>
      <c r="F56" s="4" t="s">
        <v>112</v>
      </c>
      <c r="G56" s="6">
        <v>1</v>
      </c>
      <c r="H56" s="6">
        <v>3</v>
      </c>
      <c r="I56" s="6">
        <v>0</v>
      </c>
      <c r="J56" s="6">
        <v>1</v>
      </c>
      <c r="K56" s="6">
        <v>2</v>
      </c>
      <c r="L56" s="6">
        <v>1</v>
      </c>
      <c r="M56" s="6">
        <v>0</v>
      </c>
      <c r="N56" s="6">
        <v>0</v>
      </c>
      <c r="O56" s="6">
        <v>0</v>
      </c>
      <c r="P56" s="6">
        <v>1</v>
      </c>
      <c r="Q56" s="6">
        <v>2</v>
      </c>
      <c r="R56" s="7">
        <f>IF(COUNT(H56:Q56)=10,SUM(H56:Q56),"")</f>
        <v>10</v>
      </c>
      <c r="S56" s="7">
        <f>IF(ISNUMBER(R56),R56/30*100,"")</f>
        <v>33.33333333333333</v>
      </c>
      <c r="T56" s="7">
        <f>IF(COUNT(H56:J56,L56)=4,SUM(H56:J56,L56),"")</f>
        <v>5</v>
      </c>
      <c r="U56" s="7">
        <f>IF(COUNT(K56,M56:O56)=4,SUM(K56,M56:O56),"")</f>
        <v>2</v>
      </c>
      <c r="V56" s="7">
        <f>IF(COUNT(P56:Q56)=2,SUM(P56:Q56),"")</f>
        <v>3</v>
      </c>
      <c r="W56" s="4" t="s">
        <v>173</v>
      </c>
      <c r="X56" s="4" t="s">
        <v>347</v>
      </c>
      <c r="Y56" s="6">
        <v>9</v>
      </c>
      <c r="Z56" s="7">
        <f>IF(ISNUMBER(R56),R56,"")</f>
        <v>10</v>
      </c>
      <c r="AA56" s="6">
        <v>0</v>
      </c>
      <c r="AB56" s="8">
        <v>0.0118207492011987</v>
      </c>
      <c r="AC56" s="4" t="s">
        <v>135</v>
      </c>
      <c r="AD56" s="6">
        <v>0</v>
      </c>
      <c r="AE56" s="6">
        <v>4635.07</v>
      </c>
      <c r="AF56" s="6">
        <v>3756.2</v>
      </c>
      <c r="AG56" s="6">
        <v>300.02</v>
      </c>
      <c r="AH56" s="9">
        <f>IF(AND(ISNUMBER(AG56),ISNUMBER(AF56),AF56&gt;0),AG56/AF56,"")</f>
        <v>0.07987327618337682</v>
      </c>
      <c r="AI56" s="6">
        <v>175.94</v>
      </c>
      <c r="AJ56" s="5"/>
      <c r="AK56" s="8">
        <v>0.1156</v>
      </c>
      <c r="AL56" s="5"/>
      <c r="AM56" s="4" t="s">
        <v>115</v>
      </c>
      <c r="AN56" s="4" t="s">
        <v>348</v>
      </c>
      <c r="AO56" s="4" t="s">
        <v>173</v>
      </c>
      <c r="AP56" s="4" t="s">
        <v>118</v>
      </c>
      <c r="AQ56" s="5"/>
      <c r="AR56" s="5"/>
      <c r="AS56" s="4" t="s">
        <v>361</v>
      </c>
      <c r="AT56" s="4" t="s">
        <v>120</v>
      </c>
      <c r="AU56" s="6">
        <v>10</v>
      </c>
      <c r="AV56" s="4" t="s">
        <v>350</v>
      </c>
      <c r="AW56" s="4" t="s">
        <v>351</v>
      </c>
      <c r="AX56" s="4" t="s">
        <v>123</v>
      </c>
      <c r="AY56" s="4" t="s">
        <v>124</v>
      </c>
      <c r="AZ56" s="4" t="s">
        <v>125</v>
      </c>
      <c r="BA56" s="4"/>
      <c r="BB56" s="7">
        <f>COUNT(H56:Q56)</f>
        <v>10</v>
      </c>
      <c r="BC56" s="7">
        <f>IF(AND(ISNUMBER(R56),ISNUMBER(AU56)),R56-AU56,"")</f>
        <v>0</v>
      </c>
      <c r="BD56" s="4"/>
      <c r="BE56" s="5"/>
      <c r="BF56" s="5"/>
      <c r="BG56" s="5"/>
      <c r="BH56" s="5"/>
      <c r="BI56" s="5"/>
      <c r="BJ56" s="5"/>
      <c r="BK56" s="5"/>
      <c r="BL56" s="5"/>
      <c r="BM56" s="5"/>
      <c r="BN56" s="5"/>
      <c r="BO56" s="5"/>
      <c r="BP56" s="5"/>
      <c r="BQ56" s="5"/>
      <c r="BR56" s="5"/>
      <c r="BS56" s="5"/>
      <c r="BT56" s="5"/>
      <c r="BU56" s="5"/>
      <c r="BV56" s="4" t="s">
        <v>126</v>
      </c>
      <c r="BW56" s="4" t="s">
        <v>352</v>
      </c>
      <c r="BX56" s="4" t="s">
        <v>362</v>
      </c>
    </row>
    <row r="57" spans="1:76" ht="38" customHeight="1">
      <c r="A57" s="4" t="s">
        <v>363</v>
      </c>
      <c r="B57" s="4" t="s">
        <v>346</v>
      </c>
      <c r="C57" s="5"/>
      <c r="D57" s="6">
        <v>1</v>
      </c>
      <c r="E57" s="5"/>
      <c r="F57" s="4" t="s">
        <v>112</v>
      </c>
      <c r="G57" s="6">
        <v>1</v>
      </c>
      <c r="H57" s="6">
        <v>3</v>
      </c>
      <c r="I57" s="6">
        <v>3</v>
      </c>
      <c r="J57" s="6">
        <v>3</v>
      </c>
      <c r="K57" s="6">
        <v>3</v>
      </c>
      <c r="L57" s="6">
        <v>2</v>
      </c>
      <c r="M57" s="6">
        <v>1</v>
      </c>
      <c r="N57" s="6">
        <v>0</v>
      </c>
      <c r="O57" s="6">
        <v>2</v>
      </c>
      <c r="P57" s="6">
        <v>3</v>
      </c>
      <c r="Q57" s="6">
        <v>3</v>
      </c>
      <c r="R57" s="7">
        <f>IF(COUNT(H57:Q57)=10,SUM(H57:Q57),"")</f>
        <v>23</v>
      </c>
      <c r="S57" s="7">
        <f>IF(ISNUMBER(R57),R57/30*100,"")</f>
        <v>76.66666666666667</v>
      </c>
      <c r="T57" s="7">
        <f>IF(COUNT(H57:J57,L57)=4,SUM(H57:J57,L57),"")</f>
        <v>11</v>
      </c>
      <c r="U57" s="7">
        <f>IF(COUNT(K57,M57:O57)=4,SUM(K57,M57:O57),"")</f>
        <v>6</v>
      </c>
      <c r="V57" s="7">
        <f>IF(COUNT(P57:Q57)=2,SUM(P57:Q57),"")</f>
        <v>6</v>
      </c>
      <c r="W57" s="4" t="s">
        <v>158</v>
      </c>
      <c r="X57" s="4" t="s">
        <v>347</v>
      </c>
      <c r="Y57" s="6">
        <v>24</v>
      </c>
      <c r="Z57" s="7">
        <f>IF(ISNUMBER(R57),R57,"")</f>
        <v>23</v>
      </c>
      <c r="AA57" s="6">
        <v>0</v>
      </c>
      <c r="AB57" s="8">
        <v>0</v>
      </c>
      <c r="AC57" s="6">
        <v>0</v>
      </c>
      <c r="AD57" s="6">
        <v>0</v>
      </c>
      <c r="AE57" s="6">
        <v>372.27</v>
      </c>
      <c r="AF57" s="6">
        <v>6420.77</v>
      </c>
      <c r="AG57" s="6">
        <v>61.35</v>
      </c>
      <c r="AH57" s="9">
        <f>IF(AND(ISNUMBER(AG57),ISNUMBER(AF57),AF57&gt;0),AG57/AF57,"")</f>
        <v>0.009554928770225377</v>
      </c>
      <c r="AI57" s="6">
        <v>1431.74</v>
      </c>
      <c r="AJ57" s="5"/>
      <c r="AK57" s="8">
        <v>0.0927</v>
      </c>
      <c r="AL57" s="5"/>
      <c r="AM57" s="4" t="s">
        <v>115</v>
      </c>
      <c r="AN57" s="4" t="s">
        <v>348</v>
      </c>
      <c r="AO57" s="4" t="s">
        <v>173</v>
      </c>
      <c r="AP57" s="4" t="s">
        <v>118</v>
      </c>
      <c r="AQ57" s="5"/>
      <c r="AR57" s="5"/>
      <c r="AS57" s="4" t="s">
        <v>364</v>
      </c>
      <c r="AT57" s="4" t="s">
        <v>120</v>
      </c>
      <c r="AU57" s="6">
        <v>23</v>
      </c>
      <c r="AV57" s="4" t="s">
        <v>350</v>
      </c>
      <c r="AW57" s="4" t="s">
        <v>351</v>
      </c>
      <c r="AX57" s="4" t="s">
        <v>123</v>
      </c>
      <c r="AY57" s="4" t="s">
        <v>124</v>
      </c>
      <c r="AZ57" s="4" t="s">
        <v>125</v>
      </c>
      <c r="BA57" s="4"/>
      <c r="BB57" s="7">
        <f>COUNT(H57:Q57)</f>
        <v>10</v>
      </c>
      <c r="BC57" s="7">
        <f>IF(AND(ISNUMBER(R57),ISNUMBER(AU57)),R57-AU57,"")</f>
        <v>0</v>
      </c>
      <c r="BD57" s="4"/>
      <c r="BE57" s="5"/>
      <c r="BF57" s="5"/>
      <c r="BG57" s="5"/>
      <c r="BH57" s="5"/>
      <c r="BI57" s="5"/>
      <c r="BJ57" s="5"/>
      <c r="BK57" s="5"/>
      <c r="BL57" s="5"/>
      <c r="BM57" s="5"/>
      <c r="BN57" s="5"/>
      <c r="BO57" s="5"/>
      <c r="BP57" s="5"/>
      <c r="BQ57" s="5"/>
      <c r="BR57" s="5"/>
      <c r="BS57" s="5"/>
      <c r="BT57" s="5"/>
      <c r="BU57" s="5"/>
      <c r="BV57" s="4" t="s">
        <v>126</v>
      </c>
      <c r="BW57" s="4" t="s">
        <v>352</v>
      </c>
      <c r="BX57" s="4" t="s">
        <v>365</v>
      </c>
    </row>
    <row r="58" spans="1:76" ht="38" customHeight="1">
      <c r="A58" s="4" t="s">
        <v>366</v>
      </c>
      <c r="B58" s="4" t="s">
        <v>346</v>
      </c>
      <c r="C58" s="5"/>
      <c r="D58" s="6">
        <v>1</v>
      </c>
      <c r="E58" s="5"/>
      <c r="F58" s="4" t="s">
        <v>112</v>
      </c>
      <c r="G58" s="6">
        <v>1</v>
      </c>
      <c r="H58" s="6">
        <v>3</v>
      </c>
      <c r="I58" s="6">
        <v>1</v>
      </c>
      <c r="J58" s="6">
        <v>2</v>
      </c>
      <c r="K58" s="6">
        <v>2</v>
      </c>
      <c r="L58" s="6">
        <v>2</v>
      </c>
      <c r="M58" s="6">
        <v>1</v>
      </c>
      <c r="N58" s="6">
        <v>0</v>
      </c>
      <c r="O58" s="6">
        <v>2</v>
      </c>
      <c r="P58" s="6">
        <v>3</v>
      </c>
      <c r="Q58" s="6">
        <v>2</v>
      </c>
      <c r="R58" s="7">
        <f>IF(COUNT(H58:Q58)=10,SUM(H58:Q58),"")</f>
        <v>18</v>
      </c>
      <c r="S58" s="7">
        <f>IF(ISNUMBER(R58),R58/30*100,"")</f>
        <v>60.0</v>
      </c>
      <c r="T58" s="7">
        <f>IF(COUNT(H58:J58,L58)=4,SUM(H58:J58,L58),"")</f>
        <v>8</v>
      </c>
      <c r="U58" s="7">
        <f>IF(COUNT(K58,M58:O58)=4,SUM(K58,M58:O58),"")</f>
        <v>5</v>
      </c>
      <c r="V58" s="7">
        <f>IF(COUNT(P58:Q58)=2,SUM(P58:Q58),"")</f>
        <v>5</v>
      </c>
      <c r="W58" s="4" t="s">
        <v>130</v>
      </c>
      <c r="X58" s="4" t="s">
        <v>367</v>
      </c>
      <c r="Y58" s="6">
        <v>18</v>
      </c>
      <c r="Z58" s="7">
        <f>IF(ISNUMBER(R58),R58,"")</f>
        <v>18</v>
      </c>
      <c r="AA58" s="6">
        <v>0</v>
      </c>
      <c r="AB58" s="8">
        <v>0</v>
      </c>
      <c r="AC58" s="6">
        <v>0</v>
      </c>
      <c r="AD58" s="5"/>
      <c r="AE58" s="6">
        <v>7993.66</v>
      </c>
      <c r="AF58" s="6">
        <v>69475.37</v>
      </c>
      <c r="AG58" s="6">
        <v>4366.82</v>
      </c>
      <c r="AH58" s="9">
        <f>IF(AND(ISNUMBER(AG58),ISNUMBER(AF58),AF58&gt;0),AG58/AF58,"")</f>
        <v>0.06285421725713732</v>
      </c>
      <c r="AI58" s="6">
        <v>3854.03</v>
      </c>
      <c r="AJ58" s="5"/>
      <c r="AK58" s="8">
        <v>0.094</v>
      </c>
      <c r="AL58" s="5"/>
      <c r="AM58" s="4" t="s">
        <v>115</v>
      </c>
      <c r="AN58" s="4" t="s">
        <v>348</v>
      </c>
      <c r="AO58" s="4" t="s">
        <v>173</v>
      </c>
      <c r="AP58" s="4" t="s">
        <v>118</v>
      </c>
      <c r="AQ58" s="4" t="s">
        <v>368</v>
      </c>
      <c r="AR58" s="5"/>
      <c r="AS58" s="4" t="s">
        <v>369</v>
      </c>
      <c r="AT58" s="4" t="s">
        <v>120</v>
      </c>
      <c r="AU58" s="6">
        <v>18</v>
      </c>
      <c r="AV58" s="4" t="s">
        <v>350</v>
      </c>
      <c r="AW58" s="4" t="s">
        <v>351</v>
      </c>
      <c r="AX58" s="4" t="s">
        <v>123</v>
      </c>
      <c r="AY58" s="4" t="s">
        <v>124</v>
      </c>
      <c r="AZ58" s="4" t="s">
        <v>125</v>
      </c>
      <c r="BA58" s="4"/>
      <c r="BB58" s="7">
        <f>COUNT(H58:Q58)</f>
        <v>10</v>
      </c>
      <c r="BC58" s="7">
        <f>IF(AND(ISNUMBER(R58),ISNUMBER(AU58)),R58-AU58,"")</f>
        <v>0</v>
      </c>
      <c r="BD58" s="4"/>
      <c r="BE58" s="5"/>
      <c r="BF58" s="5"/>
      <c r="BG58" s="5"/>
      <c r="BH58" s="5"/>
      <c r="BI58" s="5"/>
      <c r="BJ58" s="5"/>
      <c r="BK58" s="5"/>
      <c r="BL58" s="5"/>
      <c r="BM58" s="5"/>
      <c r="BN58" s="5"/>
      <c r="BO58" s="5"/>
      <c r="BP58" s="5"/>
      <c r="BQ58" s="5"/>
      <c r="BR58" s="5"/>
      <c r="BS58" s="5"/>
      <c r="BT58" s="5"/>
      <c r="BU58" s="5"/>
      <c r="BV58" s="4" t="s">
        <v>126</v>
      </c>
      <c r="BW58" s="4" t="s">
        <v>352</v>
      </c>
      <c r="BX58" s="4" t="s">
        <v>370</v>
      </c>
    </row>
    <row r="59" spans="1:76" ht="38" customHeight="1">
      <c r="A59" s="4" t="s">
        <v>371</v>
      </c>
      <c r="B59" s="4" t="s">
        <v>346</v>
      </c>
      <c r="C59" s="5"/>
      <c r="D59" s="6">
        <v>1</v>
      </c>
      <c r="E59" s="5"/>
      <c r="F59" s="4" t="s">
        <v>112</v>
      </c>
      <c r="G59" s="6">
        <v>1</v>
      </c>
      <c r="H59" s="6">
        <v>3</v>
      </c>
      <c r="I59" s="6">
        <v>3</v>
      </c>
      <c r="J59" s="6">
        <v>3</v>
      </c>
      <c r="K59" s="6">
        <v>3</v>
      </c>
      <c r="L59" s="6">
        <v>2</v>
      </c>
      <c r="M59" s="6">
        <v>2</v>
      </c>
      <c r="N59" s="6">
        <v>1</v>
      </c>
      <c r="O59" s="6">
        <v>2</v>
      </c>
      <c r="P59" s="6">
        <v>3</v>
      </c>
      <c r="Q59" s="6">
        <v>2</v>
      </c>
      <c r="R59" s="7">
        <f>IF(COUNT(H59:Q59)=10,SUM(H59:Q59),"")</f>
        <v>24</v>
      </c>
      <c r="S59" s="7">
        <f>IF(ISNUMBER(R59),R59/30*100,"")</f>
        <v>80.0</v>
      </c>
      <c r="T59" s="7">
        <f>IF(COUNT(H59:J59,L59)=4,SUM(H59:J59,L59),"")</f>
        <v>11</v>
      </c>
      <c r="U59" s="7">
        <f>IF(COUNT(K59,M59:O59)=4,SUM(K59,M59:O59),"")</f>
        <v>8</v>
      </c>
      <c r="V59" s="7">
        <f>IF(COUNT(P59:Q59)=2,SUM(P59:Q59),"")</f>
        <v>5</v>
      </c>
      <c r="W59" s="4" t="s">
        <v>130</v>
      </c>
      <c r="X59" s="4" t="s">
        <v>367</v>
      </c>
      <c r="Y59" s="6">
        <v>22</v>
      </c>
      <c r="Z59" s="7">
        <f>IF(ISNUMBER(R59),R59,"")</f>
        <v>24</v>
      </c>
      <c r="AA59" s="6">
        <v>1</v>
      </c>
      <c r="AB59" s="8">
        <v>0.498821609681449</v>
      </c>
      <c r="AC59" s="4" t="s">
        <v>135</v>
      </c>
      <c r="AD59" s="5"/>
      <c r="AE59" s="6">
        <v>255734.45</v>
      </c>
      <c r="AF59" s="6">
        <v>379524.1</v>
      </c>
      <c r="AG59" s="6">
        <v>17673.33</v>
      </c>
      <c r="AH59" s="9">
        <f>IF(AND(ISNUMBER(AG59),ISNUMBER(AF59),AF59&gt;0),AG59/AF59,"")</f>
        <v>0.046567082301229364</v>
      </c>
      <c r="AI59" s="6">
        <v>129559.34</v>
      </c>
      <c r="AJ59" s="5"/>
      <c r="AK59" s="8">
        <v>0.0775</v>
      </c>
      <c r="AL59" s="5"/>
      <c r="AM59" s="4" t="s">
        <v>115</v>
      </c>
      <c r="AN59" s="4" t="s">
        <v>348</v>
      </c>
      <c r="AO59" s="4" t="s">
        <v>173</v>
      </c>
      <c r="AP59" s="4" t="s">
        <v>118</v>
      </c>
      <c r="AQ59" s="4" t="s">
        <v>372</v>
      </c>
      <c r="AR59" s="5"/>
      <c r="AS59" s="4" t="s">
        <v>373</v>
      </c>
      <c r="AT59" s="4" t="s">
        <v>120</v>
      </c>
      <c r="AU59" s="6">
        <v>24</v>
      </c>
      <c r="AV59" s="4" t="s">
        <v>350</v>
      </c>
      <c r="AW59" s="4" t="s">
        <v>351</v>
      </c>
      <c r="AX59" s="4" t="s">
        <v>123</v>
      </c>
      <c r="AY59" s="4" t="s">
        <v>124</v>
      </c>
      <c r="AZ59" s="4" t="s">
        <v>125</v>
      </c>
      <c r="BA59" s="4"/>
      <c r="BB59" s="7">
        <f>COUNT(H59:Q59)</f>
        <v>10</v>
      </c>
      <c r="BC59" s="7">
        <f>IF(AND(ISNUMBER(R59),ISNUMBER(AU59)),R59-AU59,"")</f>
        <v>0</v>
      </c>
      <c r="BD59" s="4"/>
      <c r="BE59" s="5"/>
      <c r="BF59" s="5"/>
      <c r="BG59" s="5"/>
      <c r="BH59" s="5"/>
      <c r="BI59" s="5"/>
      <c r="BJ59" s="5"/>
      <c r="BK59" s="5"/>
      <c r="BL59" s="5"/>
      <c r="BM59" s="5"/>
      <c r="BN59" s="5"/>
      <c r="BO59" s="5"/>
      <c r="BP59" s="5"/>
      <c r="BQ59" s="5"/>
      <c r="BR59" s="5"/>
      <c r="BS59" s="5"/>
      <c r="BT59" s="5"/>
      <c r="BU59" s="5"/>
      <c r="BV59" s="4" t="s">
        <v>126</v>
      </c>
      <c r="BW59" s="4" t="s">
        <v>352</v>
      </c>
      <c r="BX59" s="4" t="s">
        <v>374</v>
      </c>
    </row>
    <row r="60" spans="1:76" ht="38" customHeight="1">
      <c r="A60" s="4" t="s">
        <v>375</v>
      </c>
      <c r="B60" s="4" t="s">
        <v>346</v>
      </c>
      <c r="C60" s="5"/>
      <c r="D60" s="6">
        <v>1</v>
      </c>
      <c r="E60" s="5"/>
      <c r="F60" s="4" t="s">
        <v>112</v>
      </c>
      <c r="G60" s="6">
        <v>1</v>
      </c>
      <c r="H60" s="6">
        <v>3</v>
      </c>
      <c r="I60" s="6">
        <v>3</v>
      </c>
      <c r="J60" s="6">
        <v>3</v>
      </c>
      <c r="K60" s="6">
        <v>2</v>
      </c>
      <c r="L60" s="6">
        <v>2</v>
      </c>
      <c r="M60" s="6">
        <v>1</v>
      </c>
      <c r="N60" s="6">
        <v>0</v>
      </c>
      <c r="O60" s="6">
        <v>1</v>
      </c>
      <c r="P60" s="6">
        <v>3</v>
      </c>
      <c r="Q60" s="6">
        <v>2</v>
      </c>
      <c r="R60" s="7">
        <f>IF(COUNT(H60:Q60)=10,SUM(H60:Q60),"")</f>
        <v>20</v>
      </c>
      <c r="S60" s="7">
        <f>IF(ISNUMBER(R60),R60/30*100,"")</f>
        <v>66.66666666666666</v>
      </c>
      <c r="T60" s="7">
        <f>IF(COUNT(H60:J60,L60)=4,SUM(H60:J60,L60),"")</f>
        <v>11</v>
      </c>
      <c r="U60" s="7">
        <f>IF(COUNT(K60,M60:O60)=4,SUM(K60,M60:O60),"")</f>
        <v>4</v>
      </c>
      <c r="V60" s="7">
        <f>IF(COUNT(P60:Q60)=2,SUM(P60:Q60),"")</f>
        <v>5</v>
      </c>
      <c r="W60" s="4" t="s">
        <v>130</v>
      </c>
      <c r="X60" s="4" t="s">
        <v>367</v>
      </c>
      <c r="Y60" s="6">
        <v>20</v>
      </c>
      <c r="Z60" s="7">
        <f>IF(ISNUMBER(R60),R60,"")</f>
        <v>20</v>
      </c>
      <c r="AA60" s="6">
        <v>0</v>
      </c>
      <c r="AB60" s="8">
        <v>0</v>
      </c>
      <c r="AC60" s="6">
        <v>0</v>
      </c>
      <c r="AD60" s="5"/>
      <c r="AE60" s="6">
        <v>13779.5</v>
      </c>
      <c r="AF60" s="6">
        <v>49840.6</v>
      </c>
      <c r="AG60" s="6">
        <v>2766.6</v>
      </c>
      <c r="AH60" s="9">
        <f>IF(AND(ISNUMBER(AG60),ISNUMBER(AF60),AF60&gt;0),AG60/AF60,"")</f>
        <v>0.05550896257268171</v>
      </c>
      <c r="AI60" s="6">
        <v>7080.4</v>
      </c>
      <c r="AJ60" s="5"/>
      <c r="AK60" s="8">
        <v>0.0958</v>
      </c>
      <c r="AL60" s="5"/>
      <c r="AM60" s="4" t="s">
        <v>115</v>
      </c>
      <c r="AN60" s="4" t="s">
        <v>348</v>
      </c>
      <c r="AO60" s="4" t="s">
        <v>173</v>
      </c>
      <c r="AP60" s="4" t="s">
        <v>118</v>
      </c>
      <c r="AQ60" s="4" t="s">
        <v>376</v>
      </c>
      <c r="AR60" s="5"/>
      <c r="AS60" s="4" t="s">
        <v>377</v>
      </c>
      <c r="AT60" s="4" t="s">
        <v>120</v>
      </c>
      <c r="AU60" s="6">
        <v>20</v>
      </c>
      <c r="AV60" s="4" t="s">
        <v>350</v>
      </c>
      <c r="AW60" s="4" t="s">
        <v>351</v>
      </c>
      <c r="AX60" s="4" t="s">
        <v>123</v>
      </c>
      <c r="AY60" s="4" t="s">
        <v>124</v>
      </c>
      <c r="AZ60" s="4" t="s">
        <v>125</v>
      </c>
      <c r="BA60" s="4"/>
      <c r="BB60" s="7">
        <f>COUNT(H60:Q60)</f>
        <v>10</v>
      </c>
      <c r="BC60" s="7">
        <f>IF(AND(ISNUMBER(R60),ISNUMBER(AU60)),R60-AU60,"")</f>
        <v>0</v>
      </c>
      <c r="BD60" s="4"/>
      <c r="BE60" s="5"/>
      <c r="BF60" s="5"/>
      <c r="BG60" s="5"/>
      <c r="BH60" s="5"/>
      <c r="BI60" s="5"/>
      <c r="BJ60" s="5"/>
      <c r="BK60" s="5"/>
      <c r="BL60" s="5"/>
      <c r="BM60" s="5"/>
      <c r="BN60" s="5"/>
      <c r="BO60" s="5"/>
      <c r="BP60" s="5"/>
      <c r="BQ60" s="5"/>
      <c r="BR60" s="5"/>
      <c r="BS60" s="5"/>
      <c r="BT60" s="5"/>
      <c r="BU60" s="5"/>
      <c r="BV60" s="4" t="s">
        <v>126</v>
      </c>
      <c r="BW60" s="4" t="s">
        <v>352</v>
      </c>
      <c r="BX60" s="4" t="s">
        <v>370</v>
      </c>
    </row>
    <row r="61" spans="1:76" ht="38" customHeight="1">
      <c r="A61" s="4" t="s">
        <v>378</v>
      </c>
      <c r="B61" s="4" t="s">
        <v>346</v>
      </c>
      <c r="C61" s="5"/>
      <c r="D61" s="6">
        <v>1</v>
      </c>
      <c r="E61" s="5"/>
      <c r="F61" s="4" t="s">
        <v>112</v>
      </c>
      <c r="G61" s="6">
        <v>1</v>
      </c>
      <c r="H61" s="6">
        <v>3</v>
      </c>
      <c r="I61" s="6">
        <v>3</v>
      </c>
      <c r="J61" s="6">
        <v>3</v>
      </c>
      <c r="K61" s="6">
        <v>2</v>
      </c>
      <c r="L61" s="6">
        <v>2</v>
      </c>
      <c r="M61" s="6">
        <v>1</v>
      </c>
      <c r="N61" s="6">
        <v>0</v>
      </c>
      <c r="O61" s="6">
        <v>1</v>
      </c>
      <c r="P61" s="6">
        <v>3</v>
      </c>
      <c r="Q61" s="6">
        <v>3</v>
      </c>
      <c r="R61" s="7">
        <f>IF(COUNT(H61:Q61)=10,SUM(H61:Q61),"")</f>
        <v>21</v>
      </c>
      <c r="S61" s="7">
        <f>IF(ISNUMBER(R61),R61/30*100,"")</f>
        <v>70.0</v>
      </c>
      <c r="T61" s="7">
        <f>IF(COUNT(H61:J61,L61)=4,SUM(H61:J61,L61),"")</f>
        <v>11</v>
      </c>
      <c r="U61" s="7">
        <f>IF(COUNT(K61,M61:O61)=4,SUM(K61,M61:O61),"")</f>
        <v>4</v>
      </c>
      <c r="V61" s="7">
        <f>IF(COUNT(P61:Q61)=2,SUM(P61:Q61),"")</f>
        <v>6</v>
      </c>
      <c r="W61" s="4" t="s">
        <v>130</v>
      </c>
      <c r="X61" s="4" t="s">
        <v>367</v>
      </c>
      <c r="Y61" s="6">
        <v>21</v>
      </c>
      <c r="Z61" s="7">
        <f>IF(ISNUMBER(R61),R61,"")</f>
        <v>21</v>
      </c>
      <c r="AA61" s="6">
        <v>0</v>
      </c>
      <c r="AB61" s="8">
        <v>0</v>
      </c>
      <c r="AC61" s="6">
        <v>0</v>
      </c>
      <c r="AD61" s="5"/>
      <c r="AE61" s="6">
        <v>4922.84</v>
      </c>
      <c r="AF61" s="6">
        <v>55465.52</v>
      </c>
      <c r="AG61" s="6">
        <v>1389.23</v>
      </c>
      <c r="AH61" s="9">
        <f>IF(AND(ISNUMBER(AG61),ISNUMBER(AF61),AF61&gt;0),AG61/AF61,"")</f>
        <v>0.02504673173531953</v>
      </c>
      <c r="AI61" s="6">
        <v>12561.16</v>
      </c>
      <c r="AJ61" s="5"/>
      <c r="AK61" s="8">
        <v>0.0898</v>
      </c>
      <c r="AL61" s="5"/>
      <c r="AM61" s="4" t="s">
        <v>115</v>
      </c>
      <c r="AN61" s="4" t="s">
        <v>348</v>
      </c>
      <c r="AO61" s="4" t="s">
        <v>173</v>
      </c>
      <c r="AP61" s="4" t="s">
        <v>118</v>
      </c>
      <c r="AQ61" s="4" t="s">
        <v>379</v>
      </c>
      <c r="AR61" s="5"/>
      <c r="AS61" s="4" t="s">
        <v>380</v>
      </c>
      <c r="AT61" s="4" t="s">
        <v>120</v>
      </c>
      <c r="AU61" s="6">
        <v>21</v>
      </c>
      <c r="AV61" s="4" t="s">
        <v>350</v>
      </c>
      <c r="AW61" s="4" t="s">
        <v>351</v>
      </c>
      <c r="AX61" s="4" t="s">
        <v>123</v>
      </c>
      <c r="AY61" s="4" t="s">
        <v>124</v>
      </c>
      <c r="AZ61" s="4" t="s">
        <v>125</v>
      </c>
      <c r="BA61" s="4"/>
      <c r="BB61" s="7">
        <f>COUNT(H61:Q61)</f>
        <v>10</v>
      </c>
      <c r="BC61" s="7">
        <f>IF(AND(ISNUMBER(R61),ISNUMBER(AU61)),R61-AU61,"")</f>
        <v>0</v>
      </c>
      <c r="BD61" s="4"/>
      <c r="BE61" s="5"/>
      <c r="BF61" s="5"/>
      <c r="BG61" s="5"/>
      <c r="BH61" s="5"/>
      <c r="BI61" s="5"/>
      <c r="BJ61" s="5"/>
      <c r="BK61" s="5"/>
      <c r="BL61" s="5"/>
      <c r="BM61" s="5"/>
      <c r="BN61" s="5"/>
      <c r="BO61" s="5"/>
      <c r="BP61" s="5"/>
      <c r="BQ61" s="5"/>
      <c r="BR61" s="5"/>
      <c r="BS61" s="5"/>
      <c r="BT61" s="5"/>
      <c r="BU61" s="5"/>
      <c r="BV61" s="4" t="s">
        <v>126</v>
      </c>
      <c r="BW61" s="4" t="s">
        <v>352</v>
      </c>
      <c r="BX61" s="4" t="s">
        <v>370</v>
      </c>
    </row>
    <row r="62" spans="1:76" ht="38" customHeight="1">
      <c r="A62" s="4" t="s">
        <v>381</v>
      </c>
      <c r="B62" s="4" t="s">
        <v>346</v>
      </c>
      <c r="C62" s="5"/>
      <c r="D62" s="6">
        <v>1</v>
      </c>
      <c r="E62" s="5"/>
      <c r="F62" s="4" t="s">
        <v>112</v>
      </c>
      <c r="G62" s="6">
        <v>1</v>
      </c>
      <c r="H62" s="6">
        <v>3</v>
      </c>
      <c r="I62" s="6">
        <v>3</v>
      </c>
      <c r="J62" s="6">
        <v>1</v>
      </c>
      <c r="K62" s="6">
        <v>2</v>
      </c>
      <c r="L62" s="6">
        <v>2</v>
      </c>
      <c r="M62" s="6">
        <v>1</v>
      </c>
      <c r="N62" s="6">
        <v>0</v>
      </c>
      <c r="O62" s="6">
        <v>1</v>
      </c>
      <c r="P62" s="6">
        <v>3</v>
      </c>
      <c r="Q62" s="6">
        <v>2</v>
      </c>
      <c r="R62" s="7">
        <f>IF(COUNT(H62:Q62)=10,SUM(H62:Q62),"")</f>
        <v>18</v>
      </c>
      <c r="S62" s="7">
        <f>IF(ISNUMBER(R62),R62/30*100,"")</f>
        <v>60.0</v>
      </c>
      <c r="T62" s="7">
        <f>IF(COUNT(H62:J62,L62)=4,SUM(H62:J62,L62),"")</f>
        <v>9</v>
      </c>
      <c r="U62" s="7">
        <f>IF(COUNT(K62,M62:O62)=4,SUM(K62,M62:O62),"")</f>
        <v>4</v>
      </c>
      <c r="V62" s="7">
        <f>IF(COUNT(P62:Q62)=2,SUM(P62:Q62),"")</f>
        <v>5</v>
      </c>
      <c r="W62" s="4" t="s">
        <v>130</v>
      </c>
      <c r="X62" s="4" t="s">
        <v>367</v>
      </c>
      <c r="Y62" s="6">
        <v>18</v>
      </c>
      <c r="Z62" s="7">
        <f>IF(ISNUMBER(R62),R62,"")</f>
        <v>18</v>
      </c>
      <c r="AA62" s="6">
        <v>0</v>
      </c>
      <c r="AB62" s="8">
        <v>0.00166040822798495</v>
      </c>
      <c r="AC62" s="4" t="s">
        <v>135</v>
      </c>
      <c r="AD62" s="5"/>
      <c r="AE62" s="6">
        <v>22199.36</v>
      </c>
      <c r="AF62" s="6">
        <v>21006.38</v>
      </c>
      <c r="AG62" s="6">
        <v>868.25</v>
      </c>
      <c r="AH62" s="9">
        <f>IF(AND(ISNUMBER(AG62),ISNUMBER(AF62),AF62&gt;0),AG62/AF62,"")</f>
        <v>0.0413326808331564</v>
      </c>
      <c r="AI62" s="6">
        <v>1593.58</v>
      </c>
      <c r="AJ62" s="5"/>
      <c r="AK62" s="8">
        <v>0.5285</v>
      </c>
      <c r="AL62" s="5"/>
      <c r="AM62" s="4" t="s">
        <v>115</v>
      </c>
      <c r="AN62" s="4" t="s">
        <v>348</v>
      </c>
      <c r="AO62" s="4" t="s">
        <v>173</v>
      </c>
      <c r="AP62" s="4" t="s">
        <v>118</v>
      </c>
      <c r="AQ62" s="4" t="s">
        <v>382</v>
      </c>
      <c r="AR62" s="5"/>
      <c r="AS62" s="4" t="s">
        <v>383</v>
      </c>
      <c r="AT62" s="4" t="s">
        <v>120</v>
      </c>
      <c r="AU62" s="6">
        <v>18</v>
      </c>
      <c r="AV62" s="4" t="s">
        <v>350</v>
      </c>
      <c r="AW62" s="4" t="s">
        <v>351</v>
      </c>
      <c r="AX62" s="4" t="s">
        <v>123</v>
      </c>
      <c r="AY62" s="4" t="s">
        <v>124</v>
      </c>
      <c r="AZ62" s="4" t="s">
        <v>125</v>
      </c>
      <c r="BA62" s="4"/>
      <c r="BB62" s="7">
        <f>COUNT(H62:Q62)</f>
        <v>10</v>
      </c>
      <c r="BC62" s="7">
        <f>IF(AND(ISNUMBER(R62),ISNUMBER(AU62)),R62-AU62,"")</f>
        <v>0</v>
      </c>
      <c r="BD62" s="4"/>
      <c r="BE62" s="5"/>
      <c r="BF62" s="5"/>
      <c r="BG62" s="5"/>
      <c r="BH62" s="5"/>
      <c r="BI62" s="5"/>
      <c r="BJ62" s="5"/>
      <c r="BK62" s="5"/>
      <c r="BL62" s="5"/>
      <c r="BM62" s="5"/>
      <c r="BN62" s="5"/>
      <c r="BO62" s="5"/>
      <c r="BP62" s="5"/>
      <c r="BQ62" s="5"/>
      <c r="BR62" s="5"/>
      <c r="BS62" s="5"/>
      <c r="BT62" s="5"/>
      <c r="BU62" s="5"/>
      <c r="BV62" s="4" t="s">
        <v>126</v>
      </c>
      <c r="BW62" s="4" t="s">
        <v>352</v>
      </c>
      <c r="BX62" s="4" t="s">
        <v>374</v>
      </c>
    </row>
    <row r="63" spans="1:76" ht="38" customHeight="1">
      <c r="A63" s="4" t="s">
        <v>384</v>
      </c>
      <c r="B63" s="4" t="s">
        <v>385</v>
      </c>
      <c r="C63" s="5"/>
      <c r="D63" s="5"/>
      <c r="E63" s="5"/>
      <c r="F63" s="5"/>
      <c r="G63" s="5"/>
      <c r="H63" s="5"/>
      <c r="I63" s="5"/>
      <c r="J63" s="5"/>
      <c r="K63" s="5"/>
      <c r="L63" s="5"/>
      <c r="M63" s="5"/>
      <c r="N63" s="5"/>
      <c r="O63" s="5"/>
      <c r="P63" s="5"/>
      <c r="Q63" s="5"/>
      <c r="R63" s="7">
        <f>IF(COUNT(H63:Q63)=10,SUM(H63:Q63),"")</f>
        <v/>
      </c>
      <c r="S63" s="7">
        <f>IF(ISNUMBER(R63),R63/30*100,"")</f>
        <v/>
      </c>
      <c r="T63" s="7">
        <f>IF(COUNT(H63:J63,L63)=4,SUM(H63:J63,L63),"")</f>
        <v/>
      </c>
      <c r="U63" s="7">
        <f>IF(COUNT(K63,M63:O63)=4,SUM(K63,M63:O63),"")</f>
        <v/>
      </c>
      <c r="V63" s="7">
        <f>IF(COUNT(P63:Q63)=2,SUM(P63:Q63),"")</f>
        <v/>
      </c>
      <c r="W63" s="4" t="s">
        <v>113</v>
      </c>
      <c r="X63" s="5"/>
      <c r="Y63" s="5"/>
      <c r="Z63" s="5"/>
      <c r="AA63" s="6">
        <v>0</v>
      </c>
      <c r="AB63" s="5"/>
      <c r="AC63" s="5"/>
      <c r="AD63" s="5"/>
      <c r="AE63" s="5"/>
      <c r="AF63" s="5"/>
      <c r="AG63" s="5"/>
      <c r="AH63" s="9">
        <f>IF(AND(ISNUMBER(AG63),ISNUMBER(AF63),AF63&gt;0),AG63/AF63,"")</f>
        <v/>
      </c>
      <c r="AI63" s="5"/>
      <c r="AJ63" s="5"/>
      <c r="AK63" s="8">
        <v>0.06809999999999999</v>
      </c>
      <c r="AL63" s="5"/>
      <c r="AM63" s="5"/>
      <c r="AN63" s="4" t="s">
        <v>386</v>
      </c>
      <c r="AO63" s="4" t="s">
        <v>113</v>
      </c>
      <c r="AP63" s="4" t="s">
        <v>387</v>
      </c>
      <c r="AQ63" s="5"/>
      <c r="AR63" s="5"/>
      <c r="AS63" s="4" t="s">
        <v>388</v>
      </c>
      <c r="AT63" s="4" t="s">
        <v>315</v>
      </c>
      <c r="AU63" s="6">
        <v>24</v>
      </c>
      <c r="AV63" s="4" t="s">
        <v>389</v>
      </c>
      <c r="AW63" s="4" t="s">
        <v>390</v>
      </c>
      <c r="AX63" s="4" t="s">
        <v>123</v>
      </c>
      <c r="AY63" s="4" t="s">
        <v>123</v>
      </c>
      <c r="AZ63" s="4" t="s">
        <v>391</v>
      </c>
      <c r="BA63" s="4"/>
      <c r="BB63" s="7">
        <f>COUNT(H63:Q63)</f>
        <v>0</v>
      </c>
      <c r="BC63" s="7">
        <f>IF(AND(ISNUMBER(R63),ISNUMBER(AU63)),R63-AU63,"")</f>
        <v/>
      </c>
      <c r="BD63" s="4" t="s">
        <v>392</v>
      </c>
      <c r="BE63" s="5"/>
      <c r="BF63" s="5"/>
      <c r="BG63" s="5"/>
      <c r="BH63" s="5"/>
      <c r="BI63" s="5"/>
      <c r="BJ63" s="5"/>
      <c r="BK63" s="5"/>
      <c r="BL63" s="5"/>
      <c r="BM63" s="5"/>
      <c r="BN63" s="5"/>
      <c r="BO63" s="5"/>
      <c r="BP63" s="5"/>
      <c r="BQ63" s="5"/>
      <c r="BR63" s="5"/>
      <c r="BS63" s="5"/>
      <c r="BT63" s="5"/>
      <c r="BU63" s="5"/>
      <c r="BV63" s="4" t="s">
        <v>126</v>
      </c>
      <c r="BW63" s="4" t="s">
        <v>393</v>
      </c>
      <c r="BX63" s="4" t="s">
        <v>394</v>
      </c>
    </row>
    <row r="64" spans="1:76" ht="38" customHeight="1">
      <c r="A64" s="4" t="s">
        <v>395</v>
      </c>
      <c r="B64" s="4" t="s">
        <v>385</v>
      </c>
      <c r="C64" s="5"/>
      <c r="D64" s="5"/>
      <c r="E64" s="5"/>
      <c r="F64" s="5"/>
      <c r="G64" s="5"/>
      <c r="H64" s="5"/>
      <c r="I64" s="5"/>
      <c r="J64" s="5"/>
      <c r="K64" s="5"/>
      <c r="L64" s="5"/>
      <c r="M64" s="5"/>
      <c r="N64" s="5"/>
      <c r="O64" s="5"/>
      <c r="P64" s="5"/>
      <c r="Q64" s="5"/>
      <c r="R64" s="7">
        <f>IF(COUNT(H64:Q64)=10,SUM(H64:Q64),"")</f>
        <v/>
      </c>
      <c r="S64" s="7">
        <f>IF(ISNUMBER(R64),R64/30*100,"")</f>
        <v/>
      </c>
      <c r="T64" s="7">
        <f>IF(COUNT(H64:J64,L64)=4,SUM(H64:J64,L64),"")</f>
        <v/>
      </c>
      <c r="U64" s="7">
        <f>IF(COUNT(K64,M64:O64)=4,SUM(K64,M64:O64),"")</f>
        <v/>
      </c>
      <c r="V64" s="7">
        <f>IF(COUNT(P64:Q64)=2,SUM(P64:Q64),"")</f>
        <v/>
      </c>
      <c r="W64" s="4" t="s">
        <v>113</v>
      </c>
      <c r="X64" s="5"/>
      <c r="Y64" s="5"/>
      <c r="Z64" s="5"/>
      <c r="AA64" s="6">
        <v>0</v>
      </c>
      <c r="AB64" s="5"/>
      <c r="AC64" s="5"/>
      <c r="AD64" s="5"/>
      <c r="AE64" s="5"/>
      <c r="AF64" s="5"/>
      <c r="AG64" s="5"/>
      <c r="AH64" s="9">
        <f>IF(AND(ISNUMBER(AG64),ISNUMBER(AF64),AF64&gt;0),AG64/AF64,"")</f>
        <v/>
      </c>
      <c r="AI64" s="5"/>
      <c r="AJ64" s="5"/>
      <c r="AK64" s="8">
        <v>0.0621</v>
      </c>
      <c r="AL64" s="5"/>
      <c r="AM64" s="5"/>
      <c r="AN64" s="4" t="s">
        <v>386</v>
      </c>
      <c r="AO64" s="4" t="s">
        <v>113</v>
      </c>
      <c r="AP64" s="4" t="s">
        <v>387</v>
      </c>
      <c r="AQ64" s="5"/>
      <c r="AR64" s="5"/>
      <c r="AS64" s="4" t="s">
        <v>396</v>
      </c>
      <c r="AT64" s="4" t="s">
        <v>315</v>
      </c>
      <c r="AU64" s="6">
        <v>21</v>
      </c>
      <c r="AV64" s="4" t="s">
        <v>389</v>
      </c>
      <c r="AW64" s="4" t="s">
        <v>390</v>
      </c>
      <c r="AX64" s="4" t="s">
        <v>123</v>
      </c>
      <c r="AY64" s="4" t="s">
        <v>123</v>
      </c>
      <c r="AZ64" s="4" t="s">
        <v>391</v>
      </c>
      <c r="BA64" s="4"/>
      <c r="BB64" s="7">
        <f>COUNT(H64:Q64)</f>
        <v>0</v>
      </c>
      <c r="BC64" s="7">
        <f>IF(AND(ISNUMBER(R64),ISNUMBER(AU64)),R64-AU64,"")</f>
        <v/>
      </c>
      <c r="BD64" s="4" t="s">
        <v>392</v>
      </c>
      <c r="BE64" s="5"/>
      <c r="BF64" s="5"/>
      <c r="BG64" s="5"/>
      <c r="BH64" s="5"/>
      <c r="BI64" s="5"/>
      <c r="BJ64" s="5"/>
      <c r="BK64" s="5"/>
      <c r="BL64" s="5"/>
      <c r="BM64" s="5"/>
      <c r="BN64" s="5"/>
      <c r="BO64" s="5"/>
      <c r="BP64" s="5"/>
      <c r="BQ64" s="5"/>
      <c r="BR64" s="5"/>
      <c r="BS64" s="5"/>
      <c r="BT64" s="5"/>
      <c r="BU64" s="5"/>
      <c r="BV64" s="4" t="s">
        <v>126</v>
      </c>
      <c r="BW64" s="4" t="s">
        <v>393</v>
      </c>
      <c r="BX64" s="4" t="s">
        <v>394</v>
      </c>
    </row>
    <row r="65" spans="1:76" ht="38" customHeight="1">
      <c r="A65" s="4" t="s">
        <v>397</v>
      </c>
      <c r="B65" s="4" t="s">
        <v>385</v>
      </c>
      <c r="C65" s="5"/>
      <c r="D65" s="5"/>
      <c r="E65" s="5"/>
      <c r="F65" s="5"/>
      <c r="G65" s="5"/>
      <c r="H65" s="5"/>
      <c r="I65" s="5"/>
      <c r="J65" s="5"/>
      <c r="K65" s="5"/>
      <c r="L65" s="5"/>
      <c r="M65" s="5"/>
      <c r="N65" s="5"/>
      <c r="O65" s="5"/>
      <c r="P65" s="5"/>
      <c r="Q65" s="5"/>
      <c r="R65" s="7">
        <f>IF(COUNT(H65:Q65)=10,SUM(H65:Q65),"")</f>
        <v/>
      </c>
      <c r="S65" s="7">
        <f>IF(ISNUMBER(R65),R65/30*100,"")</f>
        <v/>
      </c>
      <c r="T65" s="7">
        <f>IF(COUNT(H65:J65,L65)=4,SUM(H65:J65,L65),"")</f>
        <v/>
      </c>
      <c r="U65" s="7">
        <f>IF(COUNT(K65,M65:O65)=4,SUM(K65,M65:O65),"")</f>
        <v/>
      </c>
      <c r="V65" s="7">
        <f>IF(COUNT(P65:Q65)=2,SUM(P65:Q65),"")</f>
        <v/>
      </c>
      <c r="W65" s="4" t="s">
        <v>113</v>
      </c>
      <c r="X65" s="5"/>
      <c r="Y65" s="5"/>
      <c r="Z65" s="5"/>
      <c r="AA65" s="6">
        <v>0</v>
      </c>
      <c r="AB65" s="5"/>
      <c r="AC65" s="5"/>
      <c r="AD65" s="5"/>
      <c r="AE65" s="5"/>
      <c r="AF65" s="5"/>
      <c r="AG65" s="5"/>
      <c r="AH65" s="9">
        <f>IF(AND(ISNUMBER(AG65),ISNUMBER(AF65),AF65&gt;0),AG65/AF65,"")</f>
        <v/>
      </c>
      <c r="AI65" s="5"/>
      <c r="AJ65" s="5"/>
      <c r="AK65" s="8">
        <v>0.1649</v>
      </c>
      <c r="AL65" s="5"/>
      <c r="AM65" s="5"/>
      <c r="AN65" s="4" t="s">
        <v>386</v>
      </c>
      <c r="AO65" s="4" t="s">
        <v>113</v>
      </c>
      <c r="AP65" s="4" t="s">
        <v>387</v>
      </c>
      <c r="AQ65" s="5"/>
      <c r="AR65" s="5"/>
      <c r="AS65" s="4" t="s">
        <v>398</v>
      </c>
      <c r="AT65" s="4" t="s">
        <v>315</v>
      </c>
      <c r="AU65" s="6">
        <v>17</v>
      </c>
      <c r="AV65" s="4" t="s">
        <v>389</v>
      </c>
      <c r="AW65" s="4" t="s">
        <v>390</v>
      </c>
      <c r="AX65" s="4" t="s">
        <v>123</v>
      </c>
      <c r="AY65" s="4" t="s">
        <v>123</v>
      </c>
      <c r="AZ65" s="4" t="s">
        <v>391</v>
      </c>
      <c r="BA65" s="4"/>
      <c r="BB65" s="7">
        <f>COUNT(H65:Q65)</f>
        <v>0</v>
      </c>
      <c r="BC65" s="7">
        <f>IF(AND(ISNUMBER(R65),ISNUMBER(AU65)),R65-AU65,"")</f>
        <v/>
      </c>
      <c r="BD65" s="4" t="s">
        <v>392</v>
      </c>
      <c r="BE65" s="5"/>
      <c r="BF65" s="5"/>
      <c r="BG65" s="5"/>
      <c r="BH65" s="5"/>
      <c r="BI65" s="5"/>
      <c r="BJ65" s="5"/>
      <c r="BK65" s="5"/>
      <c r="BL65" s="5"/>
      <c r="BM65" s="5"/>
      <c r="BN65" s="5"/>
      <c r="BO65" s="5"/>
      <c r="BP65" s="5"/>
      <c r="BQ65" s="5"/>
      <c r="BR65" s="5"/>
      <c r="BS65" s="5"/>
      <c r="BT65" s="5"/>
      <c r="BU65" s="5"/>
      <c r="BV65" s="4" t="s">
        <v>126</v>
      </c>
      <c r="BW65" s="4" t="s">
        <v>393</v>
      </c>
      <c r="BX65" s="4" t="s">
        <v>394</v>
      </c>
    </row>
    <row r="66" spans="1:76" ht="38" customHeight="1">
      <c r="A66" s="4" t="s">
        <v>399</v>
      </c>
      <c r="B66" s="4" t="s">
        <v>385</v>
      </c>
      <c r="C66" s="5"/>
      <c r="D66" s="5"/>
      <c r="E66" s="5"/>
      <c r="F66" s="5"/>
      <c r="G66" s="5"/>
      <c r="H66" s="5"/>
      <c r="I66" s="5"/>
      <c r="J66" s="5"/>
      <c r="K66" s="5"/>
      <c r="L66" s="5"/>
      <c r="M66" s="5"/>
      <c r="N66" s="5"/>
      <c r="O66" s="5"/>
      <c r="P66" s="5"/>
      <c r="Q66" s="5"/>
      <c r="R66" s="7">
        <f>IF(COUNT(H66:Q66)=10,SUM(H66:Q66),"")</f>
        <v/>
      </c>
      <c r="S66" s="7">
        <f>IF(ISNUMBER(R66),R66/30*100,"")</f>
        <v/>
      </c>
      <c r="T66" s="7">
        <f>IF(COUNT(H66:J66,L66)=4,SUM(H66:J66,L66),"")</f>
        <v/>
      </c>
      <c r="U66" s="7">
        <f>IF(COUNT(K66,M66:O66)=4,SUM(K66,M66:O66),"")</f>
        <v/>
      </c>
      <c r="V66" s="7">
        <f>IF(COUNT(P66:Q66)=2,SUM(P66:Q66),"")</f>
        <v/>
      </c>
      <c r="W66" s="4" t="s">
        <v>113</v>
      </c>
      <c r="X66" s="5"/>
      <c r="Y66" s="5"/>
      <c r="Z66" s="5"/>
      <c r="AA66" s="6">
        <v>0</v>
      </c>
      <c r="AB66" s="5"/>
      <c r="AC66" s="5"/>
      <c r="AD66" s="5"/>
      <c r="AE66" s="5"/>
      <c r="AF66" s="5"/>
      <c r="AG66" s="5"/>
      <c r="AH66" s="9">
        <f>IF(AND(ISNUMBER(AG66),ISNUMBER(AF66),AF66&gt;0),AG66/AF66,"")</f>
        <v/>
      </c>
      <c r="AI66" s="5"/>
      <c r="AJ66" s="5"/>
      <c r="AK66" s="5"/>
      <c r="AL66" s="5"/>
      <c r="AM66" s="5"/>
      <c r="AN66" s="4" t="s">
        <v>386</v>
      </c>
      <c r="AO66" s="4" t="s">
        <v>113</v>
      </c>
      <c r="AP66" s="4" t="s">
        <v>387</v>
      </c>
      <c r="AQ66" s="5"/>
      <c r="AR66" s="5"/>
      <c r="AS66" s="4" t="s">
        <v>400</v>
      </c>
      <c r="AT66" s="4" t="s">
        <v>315</v>
      </c>
      <c r="AU66" s="6">
        <v>17</v>
      </c>
      <c r="AV66" s="4" t="s">
        <v>389</v>
      </c>
      <c r="AW66" s="4" t="s">
        <v>390</v>
      </c>
      <c r="AX66" s="4" t="s">
        <v>123</v>
      </c>
      <c r="AY66" s="4" t="s">
        <v>123</v>
      </c>
      <c r="AZ66" s="4" t="s">
        <v>401</v>
      </c>
      <c r="BA66" s="4"/>
      <c r="BB66" s="7">
        <f>COUNT(H66:Q66)</f>
        <v>0</v>
      </c>
      <c r="BC66" s="7">
        <f>IF(AND(ISNUMBER(R66),ISNUMBER(AU66)),R66-AU66,"")</f>
        <v/>
      </c>
      <c r="BD66" s="4" t="s">
        <v>402</v>
      </c>
      <c r="BE66" s="5"/>
      <c r="BF66" s="5"/>
      <c r="BG66" s="5"/>
      <c r="BH66" s="5"/>
      <c r="BI66" s="5"/>
      <c r="BJ66" s="5"/>
      <c r="BK66" s="5"/>
      <c r="BL66" s="5"/>
      <c r="BM66" s="5"/>
      <c r="BN66" s="5"/>
      <c r="BO66" s="5"/>
      <c r="BP66" s="5"/>
      <c r="BQ66" s="5"/>
      <c r="BR66" s="5"/>
      <c r="BS66" s="5"/>
      <c r="BT66" s="5"/>
      <c r="BU66" s="5"/>
      <c r="BV66" s="4" t="s">
        <v>126</v>
      </c>
      <c r="BW66" s="4" t="s">
        <v>393</v>
      </c>
      <c r="BX66" s="4" t="s">
        <v>403</v>
      </c>
    </row>
    <row r="67" spans="1:76" ht="38" customHeight="1">
      <c r="A67" s="4" t="s">
        <v>404</v>
      </c>
      <c r="B67" s="4" t="s">
        <v>385</v>
      </c>
      <c r="C67" s="5"/>
      <c r="D67" s="5"/>
      <c r="E67" s="5"/>
      <c r="F67" s="5"/>
      <c r="G67" s="5"/>
      <c r="H67" s="5"/>
      <c r="I67" s="5"/>
      <c r="J67" s="5"/>
      <c r="K67" s="5"/>
      <c r="L67" s="5"/>
      <c r="M67" s="5"/>
      <c r="N67" s="5"/>
      <c r="O67" s="5"/>
      <c r="P67" s="5"/>
      <c r="Q67" s="5"/>
      <c r="R67" s="7">
        <f>IF(COUNT(H67:Q67)=10,SUM(H67:Q67),"")</f>
        <v/>
      </c>
      <c r="S67" s="7">
        <f>IF(ISNUMBER(R67),R67/30*100,"")</f>
        <v/>
      </c>
      <c r="T67" s="7">
        <f>IF(COUNT(H67:J67,L67)=4,SUM(H67:J67,L67),"")</f>
        <v/>
      </c>
      <c r="U67" s="7">
        <f>IF(COUNT(K67,M67:O67)=4,SUM(K67,M67:O67),"")</f>
        <v/>
      </c>
      <c r="V67" s="7">
        <f>IF(COUNT(P67:Q67)=2,SUM(P67:Q67),"")</f>
        <v/>
      </c>
      <c r="W67" s="4" t="s">
        <v>113</v>
      </c>
      <c r="X67" s="5"/>
      <c r="Y67" s="5"/>
      <c r="Z67" s="5"/>
      <c r="AA67" s="6">
        <v>0</v>
      </c>
      <c r="AB67" s="5"/>
      <c r="AC67" s="5"/>
      <c r="AD67" s="5"/>
      <c r="AE67" s="5"/>
      <c r="AF67" s="5"/>
      <c r="AG67" s="5"/>
      <c r="AH67" s="9">
        <f>IF(AND(ISNUMBER(AG67),ISNUMBER(AF67),AF67&gt;0),AG67/AF67,"")</f>
        <v/>
      </c>
      <c r="AI67" s="5"/>
      <c r="AJ67" s="5"/>
      <c r="AK67" s="8">
        <v>1.5222</v>
      </c>
      <c r="AL67" s="5"/>
      <c r="AM67" s="5"/>
      <c r="AN67" s="4" t="s">
        <v>386</v>
      </c>
      <c r="AO67" s="4" t="s">
        <v>113</v>
      </c>
      <c r="AP67" s="4" t="s">
        <v>387</v>
      </c>
      <c r="AQ67" s="5"/>
      <c r="AR67" s="5"/>
      <c r="AS67" s="4" t="s">
        <v>405</v>
      </c>
      <c r="AT67" s="4" t="s">
        <v>315</v>
      </c>
      <c r="AU67" s="6">
        <v>17</v>
      </c>
      <c r="AV67" s="4" t="s">
        <v>389</v>
      </c>
      <c r="AW67" s="4" t="s">
        <v>390</v>
      </c>
      <c r="AX67" s="4" t="s">
        <v>123</v>
      </c>
      <c r="AY67" s="4" t="s">
        <v>123</v>
      </c>
      <c r="AZ67" s="4" t="s">
        <v>391</v>
      </c>
      <c r="BA67" s="4"/>
      <c r="BB67" s="7">
        <f>COUNT(H67:Q67)</f>
        <v>0</v>
      </c>
      <c r="BC67" s="7">
        <f>IF(AND(ISNUMBER(R67),ISNUMBER(AU67)),R67-AU67,"")</f>
        <v/>
      </c>
      <c r="BD67" s="4" t="s">
        <v>406</v>
      </c>
      <c r="BE67" s="5"/>
      <c r="BF67" s="5"/>
      <c r="BG67" s="5"/>
      <c r="BH67" s="5"/>
      <c r="BI67" s="5"/>
      <c r="BJ67" s="5"/>
      <c r="BK67" s="5"/>
      <c r="BL67" s="5"/>
      <c r="BM67" s="5"/>
      <c r="BN67" s="5"/>
      <c r="BO67" s="5"/>
      <c r="BP67" s="5"/>
      <c r="BQ67" s="5"/>
      <c r="BR67" s="5"/>
      <c r="BS67" s="5"/>
      <c r="BT67" s="5"/>
      <c r="BU67" s="5"/>
      <c r="BV67" s="4" t="s">
        <v>126</v>
      </c>
      <c r="BW67" s="4" t="s">
        <v>393</v>
      </c>
      <c r="BX67" s="4" t="s">
        <v>394</v>
      </c>
    </row>
    <row r="68" spans="1:76" ht="38" customHeight="1">
      <c r="A68" s="4" t="s">
        <v>407</v>
      </c>
      <c r="B68" s="4" t="s">
        <v>385</v>
      </c>
      <c r="C68" s="5"/>
      <c r="D68" s="5"/>
      <c r="E68" s="5"/>
      <c r="F68" s="5"/>
      <c r="G68" s="5"/>
      <c r="H68" s="5"/>
      <c r="I68" s="5"/>
      <c r="J68" s="5"/>
      <c r="K68" s="5"/>
      <c r="L68" s="5"/>
      <c r="M68" s="5"/>
      <c r="N68" s="5"/>
      <c r="O68" s="5"/>
      <c r="P68" s="5"/>
      <c r="Q68" s="5"/>
      <c r="R68" s="7">
        <f>IF(COUNT(H68:Q68)=10,SUM(H68:Q68),"")</f>
        <v/>
      </c>
      <c r="S68" s="7">
        <f>IF(ISNUMBER(R68),R68/30*100,"")</f>
        <v/>
      </c>
      <c r="T68" s="7">
        <f>IF(COUNT(H68:J68,L68)=4,SUM(H68:J68,L68),"")</f>
        <v/>
      </c>
      <c r="U68" s="7">
        <f>IF(COUNT(K68,M68:O68)=4,SUM(K68,M68:O68),"")</f>
        <v/>
      </c>
      <c r="V68" s="7">
        <f>IF(COUNT(P68:Q68)=2,SUM(P68:Q68),"")</f>
        <v/>
      </c>
      <c r="W68" s="4" t="s">
        <v>113</v>
      </c>
      <c r="X68" s="5"/>
      <c r="Y68" s="5"/>
      <c r="Z68" s="5"/>
      <c r="AA68" s="6">
        <v>0</v>
      </c>
      <c r="AB68" s="5"/>
      <c r="AC68" s="5"/>
      <c r="AD68" s="5"/>
      <c r="AE68" s="5"/>
      <c r="AF68" s="5"/>
      <c r="AG68" s="5"/>
      <c r="AH68" s="9">
        <f>IF(AND(ISNUMBER(AG68),ISNUMBER(AF68),AF68&gt;0),AG68/AF68,"")</f>
        <v/>
      </c>
      <c r="AI68" s="5"/>
      <c r="AJ68" s="5"/>
      <c r="AK68" s="5"/>
      <c r="AL68" s="5"/>
      <c r="AM68" s="5"/>
      <c r="AN68" s="4" t="s">
        <v>386</v>
      </c>
      <c r="AO68" s="4" t="s">
        <v>113</v>
      </c>
      <c r="AP68" s="4" t="s">
        <v>387</v>
      </c>
      <c r="AQ68" s="5"/>
      <c r="AR68" s="5"/>
      <c r="AS68" s="4" t="s">
        <v>408</v>
      </c>
      <c r="AT68" s="4" t="s">
        <v>315</v>
      </c>
      <c r="AU68" s="6">
        <v>17</v>
      </c>
      <c r="AV68" s="4" t="s">
        <v>389</v>
      </c>
      <c r="AW68" s="4" t="s">
        <v>390</v>
      </c>
      <c r="AX68" s="4" t="s">
        <v>123</v>
      </c>
      <c r="AY68" s="4" t="s">
        <v>123</v>
      </c>
      <c r="AZ68" s="4" t="s">
        <v>409</v>
      </c>
      <c r="BA68" s="4"/>
      <c r="BB68" s="7">
        <f>COUNT(H68:Q68)</f>
        <v>0</v>
      </c>
      <c r="BC68" s="7">
        <f>IF(AND(ISNUMBER(R68),ISNUMBER(AU68)),R68-AU68,"")</f>
        <v/>
      </c>
      <c r="BD68" s="4" t="s">
        <v>410</v>
      </c>
      <c r="BE68" s="5"/>
      <c r="BF68" s="5"/>
      <c r="BG68" s="5"/>
      <c r="BH68" s="5"/>
      <c r="BI68" s="5"/>
      <c r="BJ68" s="5"/>
      <c r="BK68" s="5"/>
      <c r="BL68" s="5"/>
      <c r="BM68" s="5"/>
      <c r="BN68" s="5"/>
      <c r="BO68" s="5"/>
      <c r="BP68" s="5"/>
      <c r="BQ68" s="5"/>
      <c r="BR68" s="5"/>
      <c r="BS68" s="5"/>
      <c r="BT68" s="5"/>
      <c r="BU68" s="5"/>
      <c r="BV68" s="4" t="s">
        <v>126</v>
      </c>
      <c r="BW68" s="4" t="s">
        <v>393</v>
      </c>
      <c r="BX68" s="4" t="s">
        <v>411</v>
      </c>
    </row>
    <row r="69" spans="1:76" ht="38" customHeight="1">
      <c r="A69" s="4" t="s">
        <v>412</v>
      </c>
      <c r="B69" s="4" t="s">
        <v>385</v>
      </c>
      <c r="C69" s="5"/>
      <c r="D69" s="5"/>
      <c r="E69" s="5"/>
      <c r="F69" s="5"/>
      <c r="G69" s="5"/>
      <c r="H69" s="5"/>
      <c r="I69" s="5"/>
      <c r="J69" s="5"/>
      <c r="K69" s="5"/>
      <c r="L69" s="5"/>
      <c r="M69" s="5"/>
      <c r="N69" s="5"/>
      <c r="O69" s="5"/>
      <c r="P69" s="5"/>
      <c r="Q69" s="5"/>
      <c r="R69" s="7">
        <f>IF(COUNT(H69:Q69)=10,SUM(H69:Q69),"")</f>
        <v/>
      </c>
      <c r="S69" s="7">
        <f>IF(ISNUMBER(R69),R69/30*100,"")</f>
        <v/>
      </c>
      <c r="T69" s="7">
        <f>IF(COUNT(H69:J69,L69)=4,SUM(H69:J69,L69),"")</f>
        <v/>
      </c>
      <c r="U69" s="7">
        <f>IF(COUNT(K69,M69:O69)=4,SUM(K69,M69:O69),"")</f>
        <v/>
      </c>
      <c r="V69" s="7">
        <f>IF(COUNT(P69:Q69)=2,SUM(P69:Q69),"")</f>
        <v/>
      </c>
      <c r="W69" s="4" t="s">
        <v>113</v>
      </c>
      <c r="X69" s="5"/>
      <c r="Y69" s="5"/>
      <c r="Z69" s="5"/>
      <c r="AA69" s="6">
        <v>0</v>
      </c>
      <c r="AB69" s="5"/>
      <c r="AC69" s="5"/>
      <c r="AD69" s="5"/>
      <c r="AE69" s="5"/>
      <c r="AF69" s="5"/>
      <c r="AG69" s="5"/>
      <c r="AH69" s="9">
        <f>IF(AND(ISNUMBER(AG69),ISNUMBER(AF69),AF69&gt;0),AG69/AF69,"")</f>
        <v/>
      </c>
      <c r="AI69" s="5"/>
      <c r="AJ69" s="5"/>
      <c r="AK69" s="5"/>
      <c r="AL69" s="5"/>
      <c r="AM69" s="5"/>
      <c r="AN69" s="4" t="s">
        <v>386</v>
      </c>
      <c r="AO69" s="4" t="s">
        <v>113</v>
      </c>
      <c r="AP69" s="4" t="s">
        <v>387</v>
      </c>
      <c r="AQ69" s="5"/>
      <c r="AR69" s="5"/>
      <c r="AS69" s="4" t="s">
        <v>413</v>
      </c>
      <c r="AT69" s="4" t="s">
        <v>315</v>
      </c>
      <c r="AU69" s="6">
        <v>16</v>
      </c>
      <c r="AV69" s="4" t="s">
        <v>389</v>
      </c>
      <c r="AW69" s="4" t="s">
        <v>390</v>
      </c>
      <c r="AX69" s="4" t="s">
        <v>123</v>
      </c>
      <c r="AY69" s="4" t="s">
        <v>123</v>
      </c>
      <c r="AZ69" s="4" t="s">
        <v>414</v>
      </c>
      <c r="BA69" s="4"/>
      <c r="BB69" s="7">
        <f>COUNT(H69:Q69)</f>
        <v>0</v>
      </c>
      <c r="BC69" s="7">
        <f>IF(AND(ISNUMBER(R69),ISNUMBER(AU69)),R69-AU69,"")</f>
        <v/>
      </c>
      <c r="BD69" s="4" t="s">
        <v>415</v>
      </c>
      <c r="BE69" s="5"/>
      <c r="BF69" s="5"/>
      <c r="BG69" s="5"/>
      <c r="BH69" s="5"/>
      <c r="BI69" s="5"/>
      <c r="BJ69" s="5"/>
      <c r="BK69" s="5"/>
      <c r="BL69" s="5"/>
      <c r="BM69" s="5"/>
      <c r="BN69" s="5"/>
      <c r="BO69" s="5"/>
      <c r="BP69" s="5"/>
      <c r="BQ69" s="5"/>
      <c r="BR69" s="5"/>
      <c r="BS69" s="5"/>
      <c r="BT69" s="5"/>
      <c r="BU69" s="5"/>
      <c r="BV69" s="4" t="s">
        <v>126</v>
      </c>
      <c r="BW69" s="4" t="s">
        <v>393</v>
      </c>
      <c r="BX69" s="4" t="s">
        <v>416</v>
      </c>
    </row>
    <row r="70" spans="1:76" ht="38" customHeight="1">
      <c r="A70" s="4" t="s">
        <v>417</v>
      </c>
      <c r="B70" s="4" t="s">
        <v>385</v>
      </c>
      <c r="C70" s="5"/>
      <c r="D70" s="5"/>
      <c r="E70" s="5"/>
      <c r="F70" s="5"/>
      <c r="G70" s="5"/>
      <c r="H70" s="5"/>
      <c r="I70" s="5"/>
      <c r="J70" s="5"/>
      <c r="K70" s="5"/>
      <c r="L70" s="5"/>
      <c r="M70" s="5"/>
      <c r="N70" s="5"/>
      <c r="O70" s="5"/>
      <c r="P70" s="5"/>
      <c r="Q70" s="5"/>
      <c r="R70" s="7">
        <f>IF(COUNT(H70:Q70)=10,SUM(H70:Q70),"")</f>
        <v/>
      </c>
      <c r="S70" s="7">
        <f>IF(ISNUMBER(R70),R70/30*100,"")</f>
        <v/>
      </c>
      <c r="T70" s="7">
        <f>IF(COUNT(H70:J70,L70)=4,SUM(H70:J70,L70),"")</f>
        <v/>
      </c>
      <c r="U70" s="7">
        <f>IF(COUNT(K70,M70:O70)=4,SUM(K70,M70:O70),"")</f>
        <v/>
      </c>
      <c r="V70" s="7">
        <f>IF(COUNT(P70:Q70)=2,SUM(P70:Q70),"")</f>
        <v/>
      </c>
      <c r="W70" s="4" t="s">
        <v>113</v>
      </c>
      <c r="X70" s="5"/>
      <c r="Y70" s="5"/>
      <c r="Z70" s="5"/>
      <c r="AA70" s="6">
        <v>0</v>
      </c>
      <c r="AB70" s="5"/>
      <c r="AC70" s="5"/>
      <c r="AD70" s="5"/>
      <c r="AE70" s="5"/>
      <c r="AF70" s="5"/>
      <c r="AG70" s="5"/>
      <c r="AH70" s="9">
        <f>IF(AND(ISNUMBER(AG70),ISNUMBER(AF70),AF70&gt;0),AG70/AF70,"")</f>
        <v/>
      </c>
      <c r="AI70" s="5"/>
      <c r="AJ70" s="5"/>
      <c r="AK70" s="8">
        <v>0.4595</v>
      </c>
      <c r="AL70" s="5"/>
      <c r="AM70" s="5"/>
      <c r="AN70" s="4" t="s">
        <v>386</v>
      </c>
      <c r="AO70" s="4" t="s">
        <v>113</v>
      </c>
      <c r="AP70" s="4" t="s">
        <v>387</v>
      </c>
      <c r="AQ70" s="5"/>
      <c r="AR70" s="5"/>
      <c r="AS70" s="4" t="s">
        <v>418</v>
      </c>
      <c r="AT70" s="4" t="s">
        <v>315</v>
      </c>
      <c r="AU70" s="6">
        <v>14</v>
      </c>
      <c r="AV70" s="4" t="s">
        <v>389</v>
      </c>
      <c r="AW70" s="4" t="s">
        <v>390</v>
      </c>
      <c r="AX70" s="4" t="s">
        <v>123</v>
      </c>
      <c r="AY70" s="4" t="s">
        <v>123</v>
      </c>
      <c r="AZ70" s="4" t="s">
        <v>391</v>
      </c>
      <c r="BA70" s="4"/>
      <c r="BB70" s="7">
        <f>COUNT(H70:Q70)</f>
        <v>0</v>
      </c>
      <c r="BC70" s="7">
        <f>IF(AND(ISNUMBER(R70),ISNUMBER(AU70)),R70-AU70,"")</f>
        <v/>
      </c>
      <c r="BD70" s="4" t="s">
        <v>392</v>
      </c>
      <c r="BE70" s="5"/>
      <c r="BF70" s="5"/>
      <c r="BG70" s="5"/>
      <c r="BH70" s="5"/>
      <c r="BI70" s="5"/>
      <c r="BJ70" s="5"/>
      <c r="BK70" s="5"/>
      <c r="BL70" s="5"/>
      <c r="BM70" s="5"/>
      <c r="BN70" s="5"/>
      <c r="BO70" s="5"/>
      <c r="BP70" s="5"/>
      <c r="BQ70" s="5"/>
      <c r="BR70" s="5"/>
      <c r="BS70" s="5"/>
      <c r="BT70" s="5"/>
      <c r="BU70" s="5"/>
      <c r="BV70" s="4" t="s">
        <v>126</v>
      </c>
      <c r="BW70" s="4" t="s">
        <v>393</v>
      </c>
      <c r="BX70" s="4" t="s">
        <v>394</v>
      </c>
    </row>
    <row r="71" spans="1:76" ht="38" customHeight="1">
      <c r="A71" s="4" t="s">
        <v>419</v>
      </c>
      <c r="B71" s="4" t="s">
        <v>385</v>
      </c>
      <c r="C71" s="5"/>
      <c r="D71" s="5"/>
      <c r="E71" s="5"/>
      <c r="F71" s="5"/>
      <c r="G71" s="5"/>
      <c r="H71" s="5"/>
      <c r="I71" s="5"/>
      <c r="J71" s="5"/>
      <c r="K71" s="5"/>
      <c r="L71" s="5"/>
      <c r="M71" s="5"/>
      <c r="N71" s="5"/>
      <c r="O71" s="5"/>
      <c r="P71" s="5"/>
      <c r="Q71" s="5"/>
      <c r="R71" s="7">
        <f>IF(COUNT(H71:Q71)=10,SUM(H71:Q71),"")</f>
        <v/>
      </c>
      <c r="S71" s="7">
        <f>IF(ISNUMBER(R71),R71/30*100,"")</f>
        <v/>
      </c>
      <c r="T71" s="7">
        <f>IF(COUNT(H71:J71,L71)=4,SUM(H71:J71,L71),"")</f>
        <v/>
      </c>
      <c r="U71" s="7">
        <f>IF(COUNT(K71,M71:O71)=4,SUM(K71,M71:O71),"")</f>
        <v/>
      </c>
      <c r="V71" s="7">
        <f>IF(COUNT(P71:Q71)=2,SUM(P71:Q71),"")</f>
        <v/>
      </c>
      <c r="W71" s="4" t="s">
        <v>113</v>
      </c>
      <c r="X71" s="5"/>
      <c r="Y71" s="5"/>
      <c r="Z71" s="5"/>
      <c r="AA71" s="6">
        <v>0</v>
      </c>
      <c r="AB71" s="5"/>
      <c r="AC71" s="5"/>
      <c r="AD71" s="5"/>
      <c r="AE71" s="5"/>
      <c r="AF71" s="5"/>
      <c r="AG71" s="5"/>
      <c r="AH71" s="9">
        <f>IF(AND(ISNUMBER(AG71),ISNUMBER(AF71),AF71&gt;0),AG71/AF71,"")</f>
        <v/>
      </c>
      <c r="AI71" s="5"/>
      <c r="AJ71" s="5"/>
      <c r="AK71" s="8">
        <v>0.2611</v>
      </c>
      <c r="AL71" s="5"/>
      <c r="AM71" s="5"/>
      <c r="AN71" s="4" t="s">
        <v>386</v>
      </c>
      <c r="AO71" s="4" t="s">
        <v>113</v>
      </c>
      <c r="AP71" s="4" t="s">
        <v>387</v>
      </c>
      <c r="AQ71" s="5"/>
      <c r="AR71" s="5"/>
      <c r="AS71" s="4" t="s">
        <v>420</v>
      </c>
      <c r="AT71" s="4" t="s">
        <v>315</v>
      </c>
      <c r="AU71" s="6">
        <v>10</v>
      </c>
      <c r="AV71" s="4" t="s">
        <v>389</v>
      </c>
      <c r="AW71" s="4" t="s">
        <v>390</v>
      </c>
      <c r="AX71" s="4" t="s">
        <v>123</v>
      </c>
      <c r="AY71" s="4" t="s">
        <v>123</v>
      </c>
      <c r="AZ71" s="4" t="s">
        <v>391</v>
      </c>
      <c r="BA71" s="4"/>
      <c r="BB71" s="7">
        <f>COUNT(H71:Q71)</f>
        <v>0</v>
      </c>
      <c r="BC71" s="7">
        <f>IF(AND(ISNUMBER(R71),ISNUMBER(AU71)),R71-AU71,"")</f>
        <v/>
      </c>
      <c r="BD71" s="4" t="s">
        <v>392</v>
      </c>
      <c r="BE71" s="5"/>
      <c r="BF71" s="5"/>
      <c r="BG71" s="5"/>
      <c r="BH71" s="5"/>
      <c r="BI71" s="5"/>
      <c r="BJ71" s="5"/>
      <c r="BK71" s="5"/>
      <c r="BL71" s="5"/>
      <c r="BM71" s="5"/>
      <c r="BN71" s="5"/>
      <c r="BO71" s="5"/>
      <c r="BP71" s="5"/>
      <c r="BQ71" s="5"/>
      <c r="BR71" s="5"/>
      <c r="BS71" s="5"/>
      <c r="BT71" s="5"/>
      <c r="BU71" s="5"/>
      <c r="BV71" s="4" t="s">
        <v>126</v>
      </c>
      <c r="BW71" s="4" t="s">
        <v>393</v>
      </c>
      <c r="BX71" s="4" t="s">
        <v>394</v>
      </c>
    </row>
    <row r="72" spans="1:76" ht="38" customHeight="1">
      <c r="A72" s="4" t="s">
        <v>421</v>
      </c>
      <c r="B72" s="4" t="s">
        <v>385</v>
      </c>
      <c r="C72" s="5"/>
      <c r="D72" s="5"/>
      <c r="E72" s="5"/>
      <c r="F72" s="5"/>
      <c r="G72" s="5"/>
      <c r="H72" s="5"/>
      <c r="I72" s="5"/>
      <c r="J72" s="5"/>
      <c r="K72" s="5"/>
      <c r="L72" s="5"/>
      <c r="M72" s="5"/>
      <c r="N72" s="5"/>
      <c r="O72" s="5"/>
      <c r="P72" s="5"/>
      <c r="Q72" s="5"/>
      <c r="R72" s="7">
        <f>IF(COUNT(H72:Q72)=10,SUM(H72:Q72),"")</f>
        <v/>
      </c>
      <c r="S72" s="7">
        <f>IF(ISNUMBER(R72),R72/30*100,"")</f>
        <v/>
      </c>
      <c r="T72" s="7">
        <f>IF(COUNT(H72:J72,L72)=4,SUM(H72:J72,L72),"")</f>
        <v/>
      </c>
      <c r="U72" s="7">
        <f>IF(COUNT(K72,M72:O72)=4,SUM(K72,M72:O72),"")</f>
        <v/>
      </c>
      <c r="V72" s="7">
        <f>IF(COUNT(P72:Q72)=2,SUM(P72:Q72),"")</f>
        <v/>
      </c>
      <c r="W72" s="4" t="s">
        <v>113</v>
      </c>
      <c r="X72" s="5"/>
      <c r="Y72" s="5"/>
      <c r="Z72" s="5"/>
      <c r="AA72" s="6">
        <v>0</v>
      </c>
      <c r="AB72" s="5"/>
      <c r="AC72" s="5"/>
      <c r="AD72" s="5"/>
      <c r="AE72" s="5"/>
      <c r="AF72" s="5"/>
      <c r="AG72" s="5"/>
      <c r="AH72" s="9">
        <f>IF(AND(ISNUMBER(AG72),ISNUMBER(AF72),AF72&gt;0),AG72/AF72,"")</f>
        <v/>
      </c>
      <c r="AI72" s="5"/>
      <c r="AJ72" s="5"/>
      <c r="AK72" s="8">
        <v>0.1116</v>
      </c>
      <c r="AL72" s="5"/>
      <c r="AM72" s="5"/>
      <c r="AN72" s="4" t="s">
        <v>386</v>
      </c>
      <c r="AO72" s="4" t="s">
        <v>113</v>
      </c>
      <c r="AP72" s="4" t="s">
        <v>387</v>
      </c>
      <c r="AQ72" s="5"/>
      <c r="AR72" s="5"/>
      <c r="AS72" s="4" t="s">
        <v>422</v>
      </c>
      <c r="AT72" s="4" t="s">
        <v>315</v>
      </c>
      <c r="AU72" s="6">
        <v>10</v>
      </c>
      <c r="AV72" s="4" t="s">
        <v>389</v>
      </c>
      <c r="AW72" s="4" t="s">
        <v>390</v>
      </c>
      <c r="AX72" s="4" t="s">
        <v>123</v>
      </c>
      <c r="AY72" s="4" t="s">
        <v>123</v>
      </c>
      <c r="AZ72" s="4" t="s">
        <v>391</v>
      </c>
      <c r="BA72" s="4"/>
      <c r="BB72" s="7">
        <f>COUNT(H72:Q72)</f>
        <v>0</v>
      </c>
      <c r="BC72" s="7">
        <f>IF(AND(ISNUMBER(R72),ISNUMBER(AU72)),R72-AU72,"")</f>
        <v/>
      </c>
      <c r="BD72" s="4" t="s">
        <v>392</v>
      </c>
      <c r="BE72" s="5"/>
      <c r="BF72" s="5"/>
      <c r="BG72" s="5"/>
      <c r="BH72" s="5"/>
      <c r="BI72" s="5"/>
      <c r="BJ72" s="5"/>
      <c r="BK72" s="5"/>
      <c r="BL72" s="5"/>
      <c r="BM72" s="5"/>
      <c r="BN72" s="5"/>
      <c r="BO72" s="5"/>
      <c r="BP72" s="5"/>
      <c r="BQ72" s="5"/>
      <c r="BR72" s="5"/>
      <c r="BS72" s="5"/>
      <c r="BT72" s="5"/>
      <c r="BU72" s="5"/>
      <c r="BV72" s="4" t="s">
        <v>126</v>
      </c>
      <c r="BW72" s="4" t="s">
        <v>393</v>
      </c>
      <c r="BX72" s="4" t="s">
        <v>394</v>
      </c>
    </row>
    <row r="73" spans="1:76" ht="38" customHeight="1">
      <c r="A73" s="4" t="s">
        <v>423</v>
      </c>
      <c r="B73" s="4" t="s">
        <v>424</v>
      </c>
      <c r="C73" s="5"/>
      <c r="D73" s="5"/>
      <c r="E73" s="5"/>
      <c r="F73" s="5"/>
      <c r="G73" s="5"/>
      <c r="H73" s="6">
        <v>3</v>
      </c>
      <c r="I73" s="6">
        <v>3</v>
      </c>
      <c r="J73" s="6">
        <v>3</v>
      </c>
      <c r="K73" s="6">
        <v>3</v>
      </c>
      <c r="L73" s="6">
        <v>3</v>
      </c>
      <c r="M73" s="6">
        <v>3</v>
      </c>
      <c r="N73" s="6">
        <v>2</v>
      </c>
      <c r="O73" s="6">
        <v>3</v>
      </c>
      <c r="P73" s="6">
        <v>3</v>
      </c>
      <c r="Q73" s="6">
        <v>3</v>
      </c>
      <c r="R73" s="7">
        <f>IF(COUNT(H73:Q73)=10,SUM(H73:Q73),"")</f>
        <v>29</v>
      </c>
      <c r="S73" s="7">
        <f>IF(ISNUMBER(R73),R73/30*100,"")</f>
        <v>96.66666666666667</v>
      </c>
      <c r="T73" s="7">
        <f>IF(COUNT(H73:J73,L73)=4,SUM(H73:J73,L73),"")</f>
        <v>12</v>
      </c>
      <c r="U73" s="7">
        <f>IF(COUNT(K73,M73:O73)=4,SUM(K73,M73:O73),"")</f>
        <v>11</v>
      </c>
      <c r="V73" s="7">
        <f>IF(COUNT(P73:Q73)=2,SUM(P73:Q73),"")</f>
        <v>6</v>
      </c>
      <c r="W73" s="5"/>
      <c r="X73" s="5"/>
      <c r="Y73" s="5"/>
      <c r="Z73" s="5"/>
      <c r="AA73" s="6">
        <v>0</v>
      </c>
      <c r="AB73" s="5"/>
      <c r="AC73" s="5"/>
      <c r="AD73" s="5"/>
      <c r="AE73" s="5"/>
      <c r="AF73" s="5"/>
      <c r="AG73" s="5"/>
      <c r="AH73" s="9">
        <f>IF(AND(ISNUMBER(AG73),ISNUMBER(AF73),AF73&gt;0),AG73/AF73,"")</f>
        <v/>
      </c>
      <c r="AI73" s="5"/>
      <c r="AJ73" s="5"/>
      <c r="AK73" s="5"/>
      <c r="AL73" s="5"/>
      <c r="AM73" s="5"/>
      <c r="AN73" s="4" t="s">
        <v>425</v>
      </c>
      <c r="AO73" s="5"/>
      <c r="AP73" s="4" t="s">
        <v>426</v>
      </c>
      <c r="AQ73" s="4" t="s">
        <v>427</v>
      </c>
      <c r="AR73" s="5"/>
      <c r="AS73" s="4" t="s">
        <v>428</v>
      </c>
      <c r="AT73" s="4" t="s">
        <v>195</v>
      </c>
      <c r="AU73" s="6">
        <v>29</v>
      </c>
      <c r="AV73" s="4" t="s">
        <v>429</v>
      </c>
      <c r="AW73" s="4" t="s">
        <v>430</v>
      </c>
      <c r="AX73" s="4" t="s">
        <v>123</v>
      </c>
      <c r="AY73" s="4" t="s">
        <v>123</v>
      </c>
      <c r="AZ73" s="4" t="s">
        <v>164</v>
      </c>
      <c r="BA73" s="4"/>
      <c r="BB73" s="7">
        <f>COUNT(H73:Q73)</f>
        <v>10</v>
      </c>
      <c r="BC73" s="7">
        <f>IF(AND(ISNUMBER(R73),ISNUMBER(AU73)),R73-AU73,"")</f>
        <v>0</v>
      </c>
      <c r="BD73" s="4" t="s">
        <v>431</v>
      </c>
      <c r="BE73" s="4" t="s">
        <v>432</v>
      </c>
      <c r="BF73" s="5"/>
      <c r="BG73" s="5"/>
      <c r="BH73" s="5"/>
      <c r="BI73" s="5"/>
      <c r="BJ73" s="5"/>
      <c r="BK73" s="5"/>
      <c r="BL73" s="5"/>
      <c r="BM73" s="5"/>
      <c r="BN73" s="5"/>
      <c r="BO73" s="5"/>
      <c r="BP73" s="5"/>
      <c r="BQ73" s="5"/>
      <c r="BR73" s="5"/>
      <c r="BS73" s="5"/>
      <c r="BT73" s="5"/>
      <c r="BU73" s="5"/>
      <c r="BV73" s="4" t="s">
        <v>126</v>
      </c>
      <c r="BW73" s="4" t="s">
        <v>433</v>
      </c>
      <c r="BX73" s="4" t="s">
        <v>434</v>
      </c>
    </row>
    <row r="74" spans="1:76" ht="38" customHeight="1">
      <c r="A74" s="4" t="s">
        <v>435</v>
      </c>
      <c r="B74" s="4" t="s">
        <v>424</v>
      </c>
      <c r="C74" s="5"/>
      <c r="D74" s="5"/>
      <c r="E74" s="5"/>
      <c r="F74" s="5"/>
      <c r="G74" s="5"/>
      <c r="H74" s="6">
        <v>3</v>
      </c>
      <c r="I74" s="6">
        <v>3</v>
      </c>
      <c r="J74" s="6">
        <v>3</v>
      </c>
      <c r="K74" s="6">
        <v>3</v>
      </c>
      <c r="L74" s="6">
        <v>3</v>
      </c>
      <c r="M74" s="6">
        <v>3</v>
      </c>
      <c r="N74" s="6">
        <v>0</v>
      </c>
      <c r="O74" s="6">
        <v>3</v>
      </c>
      <c r="P74" s="6">
        <v>3</v>
      </c>
      <c r="Q74" s="6">
        <v>3</v>
      </c>
      <c r="R74" s="7">
        <f>IF(COUNT(H74:Q74)=10,SUM(H74:Q74),"")</f>
        <v>27</v>
      </c>
      <c r="S74" s="7">
        <f>IF(ISNUMBER(R74),R74/30*100,"")</f>
        <v>90.0</v>
      </c>
      <c r="T74" s="7">
        <f>IF(COUNT(H74:J74,L74)=4,SUM(H74:J74,L74),"")</f>
        <v>12</v>
      </c>
      <c r="U74" s="7">
        <f>IF(COUNT(K74,M74:O74)=4,SUM(K74,M74:O74),"")</f>
        <v>9</v>
      </c>
      <c r="V74" s="7">
        <f>IF(COUNT(P74:Q74)=2,SUM(P74:Q74),"")</f>
        <v>6</v>
      </c>
      <c r="W74" s="4" t="s">
        <v>130</v>
      </c>
      <c r="X74" s="5"/>
      <c r="Y74" s="5"/>
      <c r="Z74" s="5"/>
      <c r="AA74" s="6">
        <v>0</v>
      </c>
      <c r="AB74" s="5"/>
      <c r="AC74" s="5"/>
      <c r="AD74" s="5"/>
      <c r="AE74" s="5"/>
      <c r="AF74" s="5"/>
      <c r="AG74" s="5"/>
      <c r="AH74" s="9">
        <f>IF(AND(ISNUMBER(AG74),ISNUMBER(AF74),AF74&gt;0),AG74/AF74,"")</f>
        <v/>
      </c>
      <c r="AI74" s="5"/>
      <c r="AJ74" s="5"/>
      <c r="AK74" s="5"/>
      <c r="AL74" s="5"/>
      <c r="AM74" s="5"/>
      <c r="AN74" s="4" t="s">
        <v>436</v>
      </c>
      <c r="AO74" s="5"/>
      <c r="AP74" s="4" t="s">
        <v>426</v>
      </c>
      <c r="AQ74" s="4" t="s">
        <v>437</v>
      </c>
      <c r="AR74" s="5"/>
      <c r="AS74" s="4" t="s">
        <v>438</v>
      </c>
      <c r="AT74" s="4" t="s">
        <v>195</v>
      </c>
      <c r="AU74" s="6">
        <v>27</v>
      </c>
      <c r="AV74" s="4" t="s">
        <v>429</v>
      </c>
      <c r="AW74" s="4" t="s">
        <v>430</v>
      </c>
      <c r="AX74" s="4" t="s">
        <v>123</v>
      </c>
      <c r="AY74" s="4" t="s">
        <v>123</v>
      </c>
      <c r="AZ74" s="4" t="s">
        <v>164</v>
      </c>
      <c r="BA74" s="4"/>
      <c r="BB74" s="7">
        <f>COUNT(H74:Q74)</f>
        <v>10</v>
      </c>
      <c r="BC74" s="7">
        <f>IF(AND(ISNUMBER(R74),ISNUMBER(AU74)),R74-AU74,"")</f>
        <v>0</v>
      </c>
      <c r="BD74" s="4" t="s">
        <v>431</v>
      </c>
      <c r="BE74" s="4" t="s">
        <v>432</v>
      </c>
      <c r="BF74" s="5"/>
      <c r="BG74" s="5"/>
      <c r="BH74" s="5"/>
      <c r="BI74" s="5"/>
      <c r="BJ74" s="5"/>
      <c r="BK74" s="5"/>
      <c r="BL74" s="5"/>
      <c r="BM74" s="5"/>
      <c r="BN74" s="5"/>
      <c r="BO74" s="5"/>
      <c r="BP74" s="5"/>
      <c r="BQ74" s="5"/>
      <c r="BR74" s="5"/>
      <c r="BS74" s="5"/>
      <c r="BT74" s="5"/>
      <c r="BU74" s="5"/>
      <c r="BV74" s="4" t="s">
        <v>126</v>
      </c>
      <c r="BW74" s="4" t="s">
        <v>433</v>
      </c>
      <c r="BX74" s="4" t="s">
        <v>439</v>
      </c>
    </row>
    <row r="75" spans="1:76" ht="38" customHeight="1">
      <c r="A75" s="4" t="s">
        <v>440</v>
      </c>
      <c r="B75" s="4" t="s">
        <v>424</v>
      </c>
      <c r="C75" s="5"/>
      <c r="D75" s="5"/>
      <c r="E75" s="5"/>
      <c r="F75" s="4" t="s">
        <v>441</v>
      </c>
      <c r="G75" s="5"/>
      <c r="H75" s="6">
        <v>3</v>
      </c>
      <c r="I75" s="6">
        <v>3</v>
      </c>
      <c r="J75" s="6">
        <v>3</v>
      </c>
      <c r="K75" s="6">
        <v>3</v>
      </c>
      <c r="L75" s="6">
        <v>3</v>
      </c>
      <c r="M75" s="6">
        <v>3</v>
      </c>
      <c r="N75" s="6">
        <v>3</v>
      </c>
      <c r="O75" s="6">
        <v>3</v>
      </c>
      <c r="P75" s="6">
        <v>3</v>
      </c>
      <c r="Q75" s="6">
        <v>3</v>
      </c>
      <c r="R75" s="7">
        <f>IF(COUNT(H75:Q75)=10,SUM(H75:Q75),"")</f>
        <v>30</v>
      </c>
      <c r="S75" s="7">
        <f>IF(ISNUMBER(R75),R75/30*100,"")</f>
        <v>100.0</v>
      </c>
      <c r="T75" s="7">
        <f>IF(COUNT(H75:J75,L75)=4,SUM(H75:J75,L75),"")</f>
        <v>12</v>
      </c>
      <c r="U75" s="7">
        <f>IF(COUNT(K75,M75:O75)=4,SUM(K75,M75:O75),"")</f>
        <v>12</v>
      </c>
      <c r="V75" s="7">
        <f>IF(COUNT(P75:Q75)=2,SUM(P75:Q75),"")</f>
        <v>6</v>
      </c>
      <c r="W75" s="5"/>
      <c r="X75" s="5"/>
      <c r="Y75" s="5"/>
      <c r="Z75" s="5"/>
      <c r="AA75" s="6">
        <v>0</v>
      </c>
      <c r="AB75" s="5"/>
      <c r="AC75" s="5"/>
      <c r="AD75" s="5"/>
      <c r="AE75" s="5"/>
      <c r="AF75" s="5"/>
      <c r="AG75" s="5"/>
      <c r="AH75" s="9">
        <f>IF(AND(ISNUMBER(AG75),ISNUMBER(AF75),AF75&gt;0),AG75/AF75,"")</f>
        <v/>
      </c>
      <c r="AI75" s="5"/>
      <c r="AJ75" s="5"/>
      <c r="AK75" s="5"/>
      <c r="AL75" s="5"/>
      <c r="AM75" s="5"/>
      <c r="AN75" s="4" t="s">
        <v>442</v>
      </c>
      <c r="AO75" s="5"/>
      <c r="AP75" s="4" t="s">
        <v>426</v>
      </c>
      <c r="AQ75" s="4" t="s">
        <v>443</v>
      </c>
      <c r="AR75" s="5"/>
      <c r="AS75" s="4" t="s">
        <v>444</v>
      </c>
      <c r="AT75" s="4" t="s">
        <v>195</v>
      </c>
      <c r="AU75" s="6">
        <v>30</v>
      </c>
      <c r="AV75" s="4" t="s">
        <v>429</v>
      </c>
      <c r="AW75" s="4" t="s">
        <v>430</v>
      </c>
      <c r="AX75" s="4" t="s">
        <v>123</v>
      </c>
      <c r="AY75" s="4" t="s">
        <v>123</v>
      </c>
      <c r="AZ75" s="4" t="s">
        <v>164</v>
      </c>
      <c r="BA75" s="4"/>
      <c r="BB75" s="7">
        <f>COUNT(H75:Q75)</f>
        <v>10</v>
      </c>
      <c r="BC75" s="7">
        <f>IF(AND(ISNUMBER(R75),ISNUMBER(AU75)),R75-AU75,"")</f>
        <v>0</v>
      </c>
      <c r="BD75" s="4" t="s">
        <v>431</v>
      </c>
      <c r="BE75" s="4" t="s">
        <v>432</v>
      </c>
      <c r="BF75" s="5"/>
      <c r="BG75" s="5"/>
      <c r="BH75" s="5"/>
      <c r="BI75" s="5"/>
      <c r="BJ75" s="5"/>
      <c r="BK75" s="5"/>
      <c r="BL75" s="5"/>
      <c r="BM75" s="5"/>
      <c r="BN75" s="5"/>
      <c r="BO75" s="5"/>
      <c r="BP75" s="5"/>
      <c r="BQ75" s="5"/>
      <c r="BR75" s="5"/>
      <c r="BS75" s="5"/>
      <c r="BT75" s="5"/>
      <c r="BU75" s="5"/>
      <c r="BV75" s="4" t="s">
        <v>126</v>
      </c>
      <c r="BW75" s="4" t="s">
        <v>433</v>
      </c>
      <c r="BX75" s="4" t="s">
        <v>445</v>
      </c>
    </row>
    <row r="76" spans="1:76" ht="38" customHeight="1">
      <c r="A76" s="4" t="s">
        <v>446</v>
      </c>
      <c r="B76" s="4" t="s">
        <v>424</v>
      </c>
      <c r="C76" s="5"/>
      <c r="D76" s="5"/>
      <c r="E76" s="5"/>
      <c r="F76" s="4" t="s">
        <v>441</v>
      </c>
      <c r="G76" s="5"/>
      <c r="H76" s="6">
        <v>3</v>
      </c>
      <c r="I76" s="6">
        <v>3</v>
      </c>
      <c r="J76" s="6">
        <v>3</v>
      </c>
      <c r="K76" s="6">
        <v>3</v>
      </c>
      <c r="L76" s="6">
        <v>3</v>
      </c>
      <c r="M76" s="6">
        <v>3</v>
      </c>
      <c r="N76" s="6">
        <v>3</v>
      </c>
      <c r="O76" s="6">
        <v>3</v>
      </c>
      <c r="P76" s="6">
        <v>3</v>
      </c>
      <c r="Q76" s="6">
        <v>3</v>
      </c>
      <c r="R76" s="7">
        <f>IF(COUNT(H76:Q76)=10,SUM(H76:Q76),"")</f>
        <v>30</v>
      </c>
      <c r="S76" s="7">
        <f>IF(ISNUMBER(R76),R76/30*100,"")</f>
        <v>100.0</v>
      </c>
      <c r="T76" s="7">
        <f>IF(COUNT(H76:J76,L76)=4,SUM(H76:J76,L76),"")</f>
        <v>12</v>
      </c>
      <c r="U76" s="7">
        <f>IF(COUNT(K76,M76:O76)=4,SUM(K76,M76:O76),"")</f>
        <v>12</v>
      </c>
      <c r="V76" s="7">
        <f>IF(COUNT(P76:Q76)=2,SUM(P76:Q76),"")</f>
        <v>6</v>
      </c>
      <c r="W76" s="5"/>
      <c r="X76" s="5"/>
      <c r="Y76" s="5"/>
      <c r="Z76" s="5"/>
      <c r="AA76" s="6">
        <v>0</v>
      </c>
      <c r="AB76" s="5"/>
      <c r="AC76" s="5"/>
      <c r="AD76" s="5"/>
      <c r="AE76" s="5"/>
      <c r="AF76" s="5"/>
      <c r="AG76" s="5"/>
      <c r="AH76" s="9">
        <f>IF(AND(ISNUMBER(AG76),ISNUMBER(AF76),AF76&gt;0),AG76/AF76,"")</f>
        <v/>
      </c>
      <c r="AI76" s="5"/>
      <c r="AJ76" s="5"/>
      <c r="AK76" s="5"/>
      <c r="AL76" s="5"/>
      <c r="AM76" s="5"/>
      <c r="AN76" s="4" t="s">
        <v>447</v>
      </c>
      <c r="AO76" s="5"/>
      <c r="AP76" s="4" t="s">
        <v>426</v>
      </c>
      <c r="AQ76" s="5"/>
      <c r="AR76" s="5"/>
      <c r="AS76" s="4" t="s">
        <v>448</v>
      </c>
      <c r="AT76" s="4" t="s">
        <v>195</v>
      </c>
      <c r="AU76" s="6">
        <v>30</v>
      </c>
      <c r="AV76" s="4" t="s">
        <v>429</v>
      </c>
      <c r="AW76" s="4" t="s">
        <v>430</v>
      </c>
      <c r="AX76" s="4" t="s">
        <v>123</v>
      </c>
      <c r="AY76" s="4" t="s">
        <v>123</v>
      </c>
      <c r="AZ76" s="4" t="s">
        <v>164</v>
      </c>
      <c r="BA76" s="4"/>
      <c r="BB76" s="7">
        <f>COUNT(H76:Q76)</f>
        <v>10</v>
      </c>
      <c r="BC76" s="7">
        <f>IF(AND(ISNUMBER(R76),ISNUMBER(AU76)),R76-AU76,"")</f>
        <v>0</v>
      </c>
      <c r="BD76" s="4" t="s">
        <v>431</v>
      </c>
      <c r="BE76" s="4" t="s">
        <v>449</v>
      </c>
      <c r="BF76" s="5"/>
      <c r="BG76" s="5"/>
      <c r="BH76" s="5"/>
      <c r="BI76" s="5"/>
      <c r="BJ76" s="5"/>
      <c r="BK76" s="5"/>
      <c r="BL76" s="5"/>
      <c r="BM76" s="5"/>
      <c r="BN76" s="5"/>
      <c r="BO76" s="5"/>
      <c r="BP76" s="5"/>
      <c r="BQ76" s="5"/>
      <c r="BR76" s="5"/>
      <c r="BS76" s="5"/>
      <c r="BT76" s="5"/>
      <c r="BU76" s="5"/>
      <c r="BV76" s="4" t="s">
        <v>126</v>
      </c>
      <c r="BW76" s="4" t="s">
        <v>433</v>
      </c>
      <c r="BX76" s="4" t="s">
        <v>450</v>
      </c>
    </row>
    <row r="77" spans="1:76" ht="38" customHeight="1">
      <c r="A77" s="4" t="s">
        <v>451</v>
      </c>
      <c r="B77" s="4" t="s">
        <v>424</v>
      </c>
      <c r="C77" s="5"/>
      <c r="D77" s="5"/>
      <c r="E77" s="5"/>
      <c r="F77" s="5"/>
      <c r="G77" s="5"/>
      <c r="H77" s="6">
        <v>3</v>
      </c>
      <c r="I77" s="6">
        <v>0</v>
      </c>
      <c r="J77" s="6">
        <v>3</v>
      </c>
      <c r="K77" s="6">
        <v>3</v>
      </c>
      <c r="L77" s="6">
        <v>3</v>
      </c>
      <c r="M77" s="6">
        <v>3</v>
      </c>
      <c r="N77" s="6">
        <v>3</v>
      </c>
      <c r="O77" s="6">
        <v>3</v>
      </c>
      <c r="P77" s="6">
        <v>3</v>
      </c>
      <c r="Q77" s="6">
        <v>3</v>
      </c>
      <c r="R77" s="7">
        <f>IF(COUNT(H77:Q77)=10,SUM(H77:Q77),"")</f>
        <v>27</v>
      </c>
      <c r="S77" s="7">
        <f>IF(ISNUMBER(R77),R77/30*100,"")</f>
        <v>90.0</v>
      </c>
      <c r="T77" s="7">
        <f>IF(COUNT(H77:J77,L77)=4,SUM(H77:J77,L77),"")</f>
        <v>9</v>
      </c>
      <c r="U77" s="7">
        <f>IF(COUNT(K77,M77:O77)=4,SUM(K77,M77:O77),"")</f>
        <v>12</v>
      </c>
      <c r="V77" s="7">
        <f>IF(COUNT(P77:Q77)=2,SUM(P77:Q77),"")</f>
        <v>6</v>
      </c>
      <c r="W77" s="5"/>
      <c r="X77" s="5"/>
      <c r="Y77" s="5"/>
      <c r="Z77" s="5"/>
      <c r="AA77" s="6">
        <v>0</v>
      </c>
      <c r="AB77" s="5"/>
      <c r="AC77" s="5"/>
      <c r="AD77" s="5"/>
      <c r="AE77" s="5"/>
      <c r="AF77" s="5"/>
      <c r="AG77" s="5"/>
      <c r="AH77" s="9">
        <f>IF(AND(ISNUMBER(AG77),ISNUMBER(AF77),AF77&gt;0),AG77/AF77,"")</f>
        <v/>
      </c>
      <c r="AI77" s="5"/>
      <c r="AJ77" s="5"/>
      <c r="AK77" s="5"/>
      <c r="AL77" s="5"/>
      <c r="AM77" s="5"/>
      <c r="AN77" s="4" t="s">
        <v>452</v>
      </c>
      <c r="AO77" s="5"/>
      <c r="AP77" s="4" t="s">
        <v>426</v>
      </c>
      <c r="AQ77" s="4" t="s">
        <v>453</v>
      </c>
      <c r="AR77" s="5"/>
      <c r="AS77" s="4" t="s">
        <v>454</v>
      </c>
      <c r="AT77" s="4" t="s">
        <v>195</v>
      </c>
      <c r="AU77" s="6">
        <v>27</v>
      </c>
      <c r="AV77" s="4" t="s">
        <v>429</v>
      </c>
      <c r="AW77" s="4" t="s">
        <v>430</v>
      </c>
      <c r="AX77" s="4" t="s">
        <v>123</v>
      </c>
      <c r="AY77" s="4" t="s">
        <v>123</v>
      </c>
      <c r="AZ77" s="4" t="s">
        <v>164</v>
      </c>
      <c r="BA77" s="4"/>
      <c r="BB77" s="7">
        <f>COUNT(H77:Q77)</f>
        <v>10</v>
      </c>
      <c r="BC77" s="7">
        <f>IF(AND(ISNUMBER(R77),ISNUMBER(AU77)),R77-AU77,"")</f>
        <v>0</v>
      </c>
      <c r="BD77" s="4" t="s">
        <v>431</v>
      </c>
      <c r="BE77" s="4" t="s">
        <v>432</v>
      </c>
      <c r="BF77" s="5"/>
      <c r="BG77" s="5"/>
      <c r="BH77" s="5"/>
      <c r="BI77" s="5"/>
      <c r="BJ77" s="5"/>
      <c r="BK77" s="5"/>
      <c r="BL77" s="5"/>
      <c r="BM77" s="5"/>
      <c r="BN77" s="5"/>
      <c r="BO77" s="5"/>
      <c r="BP77" s="5"/>
      <c r="BQ77" s="5"/>
      <c r="BR77" s="5"/>
      <c r="BS77" s="5"/>
      <c r="BT77" s="5"/>
      <c r="BU77" s="5"/>
      <c r="BV77" s="4" t="s">
        <v>126</v>
      </c>
      <c r="BW77" s="4" t="s">
        <v>433</v>
      </c>
      <c r="BX77" s="4" t="s">
        <v>434</v>
      </c>
    </row>
    <row r="78" spans="1:76" ht="38" customHeight="1">
      <c r="A78" s="4" t="s">
        <v>455</v>
      </c>
      <c r="B78" s="4" t="s">
        <v>424</v>
      </c>
      <c r="C78" s="5"/>
      <c r="D78" s="5"/>
      <c r="E78" s="5"/>
      <c r="F78" s="5"/>
      <c r="G78" s="5"/>
      <c r="H78" s="6">
        <v>3</v>
      </c>
      <c r="I78" s="6">
        <v>3</v>
      </c>
      <c r="J78" s="6">
        <v>3</v>
      </c>
      <c r="K78" s="6">
        <v>3</v>
      </c>
      <c r="L78" s="6">
        <v>3</v>
      </c>
      <c r="M78" s="6">
        <v>3</v>
      </c>
      <c r="N78" s="6">
        <v>1</v>
      </c>
      <c r="O78" s="6">
        <v>3</v>
      </c>
      <c r="P78" s="6">
        <v>3</v>
      </c>
      <c r="Q78" s="6">
        <v>3</v>
      </c>
      <c r="R78" s="7">
        <f>IF(COUNT(H78:Q78)=10,SUM(H78:Q78),"")</f>
        <v>28</v>
      </c>
      <c r="S78" s="7">
        <f>IF(ISNUMBER(R78),R78/30*100,"")</f>
        <v>93.33333333333333</v>
      </c>
      <c r="T78" s="7">
        <f>IF(COUNT(H78:J78,L78)=4,SUM(H78:J78,L78),"")</f>
        <v>12</v>
      </c>
      <c r="U78" s="7">
        <f>IF(COUNT(K78,M78:O78)=4,SUM(K78,M78:O78),"")</f>
        <v>10</v>
      </c>
      <c r="V78" s="7">
        <f>IF(COUNT(P78:Q78)=2,SUM(P78:Q78),"")</f>
        <v>6</v>
      </c>
      <c r="W78" s="5"/>
      <c r="X78" s="5"/>
      <c r="Y78" s="5"/>
      <c r="Z78" s="5"/>
      <c r="AA78" s="6">
        <v>0</v>
      </c>
      <c r="AB78" s="5"/>
      <c r="AC78" s="5"/>
      <c r="AD78" s="5"/>
      <c r="AE78" s="5"/>
      <c r="AF78" s="5"/>
      <c r="AG78" s="5"/>
      <c r="AH78" s="9">
        <f>IF(AND(ISNUMBER(AG78),ISNUMBER(AF78),AF78&gt;0),AG78/AF78,"")</f>
        <v/>
      </c>
      <c r="AI78" s="5"/>
      <c r="AJ78" s="5"/>
      <c r="AK78" s="5"/>
      <c r="AL78" s="5"/>
      <c r="AM78" s="5"/>
      <c r="AN78" s="4" t="s">
        <v>447</v>
      </c>
      <c r="AO78" s="5"/>
      <c r="AP78" s="4" t="s">
        <v>426</v>
      </c>
      <c r="AQ78" s="5"/>
      <c r="AR78" s="5"/>
      <c r="AS78" s="4" t="s">
        <v>456</v>
      </c>
      <c r="AT78" s="4" t="s">
        <v>195</v>
      </c>
      <c r="AU78" s="6">
        <v>28</v>
      </c>
      <c r="AV78" s="4" t="s">
        <v>429</v>
      </c>
      <c r="AW78" s="4" t="s">
        <v>430</v>
      </c>
      <c r="AX78" s="4" t="s">
        <v>123</v>
      </c>
      <c r="AY78" s="4" t="s">
        <v>123</v>
      </c>
      <c r="AZ78" s="4" t="s">
        <v>164</v>
      </c>
      <c r="BA78" s="4"/>
      <c r="BB78" s="7">
        <f>COUNT(H78:Q78)</f>
        <v>10</v>
      </c>
      <c r="BC78" s="7">
        <f>IF(AND(ISNUMBER(R78),ISNUMBER(AU78)),R78-AU78,"")</f>
        <v>0</v>
      </c>
      <c r="BD78" s="4" t="s">
        <v>431</v>
      </c>
      <c r="BE78" s="4" t="s">
        <v>457</v>
      </c>
      <c r="BF78" s="5"/>
      <c r="BG78" s="5"/>
      <c r="BH78" s="5"/>
      <c r="BI78" s="5"/>
      <c r="BJ78" s="5"/>
      <c r="BK78" s="5"/>
      <c r="BL78" s="5"/>
      <c r="BM78" s="5"/>
      <c r="BN78" s="5"/>
      <c r="BO78" s="5"/>
      <c r="BP78" s="5"/>
      <c r="BQ78" s="5"/>
      <c r="BR78" s="5"/>
      <c r="BS78" s="5"/>
      <c r="BT78" s="5"/>
      <c r="BU78" s="5"/>
      <c r="BV78" s="4" t="s">
        <v>126</v>
      </c>
      <c r="BW78" s="4" t="s">
        <v>433</v>
      </c>
      <c r="BX78" s="4" t="s">
        <v>458</v>
      </c>
    </row>
    <row r="79" spans="1:76" ht="38" customHeight="1">
      <c r="A79" s="4" t="s">
        <v>459</v>
      </c>
      <c r="B79" s="4" t="s">
        <v>424</v>
      </c>
      <c r="C79" s="5"/>
      <c r="D79" s="5"/>
      <c r="E79" s="5"/>
      <c r="F79" s="4" t="s">
        <v>441</v>
      </c>
      <c r="G79" s="5"/>
      <c r="H79" s="6">
        <v>3</v>
      </c>
      <c r="I79" s="6">
        <v>3</v>
      </c>
      <c r="J79" s="6">
        <v>3</v>
      </c>
      <c r="K79" s="6">
        <v>3</v>
      </c>
      <c r="L79" s="6">
        <v>3</v>
      </c>
      <c r="M79" s="6">
        <v>3</v>
      </c>
      <c r="N79" s="6">
        <v>3</v>
      </c>
      <c r="O79" s="6">
        <v>3</v>
      </c>
      <c r="P79" s="6">
        <v>3</v>
      </c>
      <c r="Q79" s="6">
        <v>3</v>
      </c>
      <c r="R79" s="7">
        <f>IF(COUNT(H79:Q79)=10,SUM(H79:Q79),"")</f>
        <v>30</v>
      </c>
      <c r="S79" s="7">
        <f>IF(ISNUMBER(R79),R79/30*100,"")</f>
        <v>100.0</v>
      </c>
      <c r="T79" s="7">
        <f>IF(COUNT(H79:J79,L79)=4,SUM(H79:J79,L79),"")</f>
        <v>12</v>
      </c>
      <c r="U79" s="7">
        <f>IF(COUNT(K79,M79:O79)=4,SUM(K79,M79:O79),"")</f>
        <v>12</v>
      </c>
      <c r="V79" s="7">
        <f>IF(COUNT(P79:Q79)=2,SUM(P79:Q79),"")</f>
        <v>6</v>
      </c>
      <c r="W79" s="5"/>
      <c r="X79" s="5"/>
      <c r="Y79" s="5"/>
      <c r="Z79" s="5"/>
      <c r="AA79" s="6">
        <v>0</v>
      </c>
      <c r="AB79" s="5"/>
      <c r="AC79" s="5"/>
      <c r="AD79" s="5"/>
      <c r="AE79" s="5"/>
      <c r="AF79" s="5"/>
      <c r="AG79" s="5"/>
      <c r="AH79" s="9">
        <f>IF(AND(ISNUMBER(AG79),ISNUMBER(AF79),AF79&gt;0),AG79/AF79,"")</f>
        <v/>
      </c>
      <c r="AI79" s="5"/>
      <c r="AJ79" s="5"/>
      <c r="AK79" s="5"/>
      <c r="AL79" s="5"/>
      <c r="AM79" s="5"/>
      <c r="AN79" s="4" t="s">
        <v>460</v>
      </c>
      <c r="AO79" s="5"/>
      <c r="AP79" s="4" t="s">
        <v>426</v>
      </c>
      <c r="AQ79" s="4" t="s">
        <v>461</v>
      </c>
      <c r="AR79" s="5"/>
      <c r="AS79" s="4" t="s">
        <v>462</v>
      </c>
      <c r="AT79" s="4" t="s">
        <v>195</v>
      </c>
      <c r="AU79" s="6">
        <v>30</v>
      </c>
      <c r="AV79" s="4" t="s">
        <v>429</v>
      </c>
      <c r="AW79" s="4" t="s">
        <v>430</v>
      </c>
      <c r="AX79" s="4" t="s">
        <v>123</v>
      </c>
      <c r="AY79" s="4" t="s">
        <v>123</v>
      </c>
      <c r="AZ79" s="4" t="s">
        <v>164</v>
      </c>
      <c r="BA79" s="4"/>
      <c r="BB79" s="7">
        <f>COUNT(H79:Q79)</f>
        <v>10</v>
      </c>
      <c r="BC79" s="7">
        <f>IF(AND(ISNUMBER(R79),ISNUMBER(AU79)),R79-AU79,"")</f>
        <v>0</v>
      </c>
      <c r="BD79" s="4" t="s">
        <v>431</v>
      </c>
      <c r="BE79" s="4" t="s">
        <v>432</v>
      </c>
      <c r="BF79" s="5"/>
      <c r="BG79" s="5"/>
      <c r="BH79" s="5"/>
      <c r="BI79" s="5"/>
      <c r="BJ79" s="5"/>
      <c r="BK79" s="5"/>
      <c r="BL79" s="5"/>
      <c r="BM79" s="5"/>
      <c r="BN79" s="5"/>
      <c r="BO79" s="5"/>
      <c r="BP79" s="5"/>
      <c r="BQ79" s="5"/>
      <c r="BR79" s="5"/>
      <c r="BS79" s="5"/>
      <c r="BT79" s="5"/>
      <c r="BU79" s="5"/>
      <c r="BV79" s="4" t="s">
        <v>126</v>
      </c>
      <c r="BW79" s="4" t="s">
        <v>433</v>
      </c>
      <c r="BX79" s="4" t="s">
        <v>445</v>
      </c>
    </row>
    <row r="80" spans="1:76" ht="38" customHeight="1">
      <c r="A80" s="4" t="s">
        <v>463</v>
      </c>
      <c r="B80" s="4" t="s">
        <v>237</v>
      </c>
      <c r="C80" s="5"/>
      <c r="D80" s="6">
        <v>1</v>
      </c>
      <c r="E80" s="5"/>
      <c r="F80" s="4" t="s">
        <v>112</v>
      </c>
      <c r="G80" s="5"/>
      <c r="H80" s="5"/>
      <c r="I80" s="5"/>
      <c r="J80" s="5"/>
      <c r="K80" s="5"/>
      <c r="L80" s="5"/>
      <c r="M80" s="5"/>
      <c r="N80" s="5"/>
      <c r="O80" s="5"/>
      <c r="P80" s="5"/>
      <c r="Q80" s="5"/>
      <c r="R80" s="7">
        <f>IF(COUNT(H80:Q80)=10,SUM(H80:Q80),"")</f>
        <v/>
      </c>
      <c r="S80" s="7">
        <f>IF(ISNUMBER(R80),R80/30*100,"")</f>
        <v/>
      </c>
      <c r="T80" s="7">
        <f>IF(COUNT(H80:J80,L80)=4,SUM(H80:J80,L80),"")</f>
        <v/>
      </c>
      <c r="U80" s="7">
        <f>IF(COUNT(K80,M80:O80)=4,SUM(K80,M80:O80),"")</f>
        <v/>
      </c>
      <c r="V80" s="7">
        <f>IF(COUNT(P80:Q80)=2,SUM(P80:Q80),"")</f>
        <v/>
      </c>
      <c r="W80" s="5"/>
      <c r="X80" s="5"/>
      <c r="Y80" s="5"/>
      <c r="Z80" s="5"/>
      <c r="AA80" s="5"/>
      <c r="AB80" s="5"/>
      <c r="AC80" s="5"/>
      <c r="AD80" s="5"/>
      <c r="AE80" s="6">
        <v>2418</v>
      </c>
      <c r="AF80" s="5"/>
      <c r="AG80" s="6">
        <v>180.1</v>
      </c>
      <c r="AH80" s="9">
        <f>IF(AND(ISNUMBER(AG80),ISNUMBER(AF80),AF80&gt;0),AG80/AF80,"")</f>
        <v/>
      </c>
      <c r="AI80" s="5"/>
      <c r="AJ80" s="5"/>
      <c r="AK80" s="5"/>
      <c r="AL80" s="5"/>
      <c r="AM80" s="4" t="s">
        <v>144</v>
      </c>
      <c r="AN80" s="4" t="s">
        <v>464</v>
      </c>
      <c r="AO80" s="4" t="s">
        <v>130</v>
      </c>
      <c r="AP80" s="4" t="s">
        <v>465</v>
      </c>
      <c r="AQ80" s="5"/>
      <c r="AR80" s="5"/>
      <c r="AS80" s="4" t="s">
        <v>466</v>
      </c>
      <c r="AT80" s="4" t="s">
        <v>467</v>
      </c>
      <c r="AU80" s="5"/>
      <c r="AV80" s="4" t="s">
        <v>244</v>
      </c>
      <c r="AW80" s="4" t="s">
        <v>245</v>
      </c>
      <c r="AX80" s="4" t="s">
        <v>123</v>
      </c>
      <c r="AY80" s="4" t="s">
        <v>123</v>
      </c>
      <c r="AZ80" s="4" t="s">
        <v>277</v>
      </c>
      <c r="BA80" s="4"/>
      <c r="BB80" s="7">
        <f>COUNT(H80:Q80)</f>
        <v>0</v>
      </c>
      <c r="BC80" s="7">
        <f>IF(AND(ISNUMBER(R80),ISNUMBER(AU80)),R80-AU80,"")</f>
        <v/>
      </c>
      <c r="BD80" s="4"/>
      <c r="BE80" s="5"/>
      <c r="BF80" s="6">
        <v>1</v>
      </c>
      <c r="BG80" s="4" t="s">
        <v>246</v>
      </c>
      <c r="BH80" s="5"/>
      <c r="BI80" s="6">
        <v>3</v>
      </c>
      <c r="BJ80" s="5"/>
      <c r="BK80" s="5"/>
      <c r="BL80" s="5"/>
      <c r="BM80" s="5"/>
      <c r="BN80" s="5"/>
      <c r="BO80" s="4" t="s">
        <v>248</v>
      </c>
      <c r="BP80" s="5"/>
      <c r="BQ80" s="5"/>
      <c r="BR80" s="5"/>
      <c r="BS80" s="5"/>
      <c r="BT80" s="4" t="s">
        <v>295</v>
      </c>
      <c r="BU80" s="5"/>
      <c r="BV80" s="4" t="s">
        <v>126</v>
      </c>
      <c r="BW80" s="4" t="s">
        <v>250</v>
      </c>
      <c r="BX80" s="4" t="s">
        <v>468</v>
      </c>
    </row>
    <row r="81" spans="1:76" ht="38" customHeight="1">
      <c r="A81" s="4" t="s">
        <v>469</v>
      </c>
      <c r="B81" s="4" t="s">
        <v>237</v>
      </c>
      <c r="C81" s="5"/>
      <c r="D81" s="5"/>
      <c r="E81" s="5"/>
      <c r="F81" s="4" t="s">
        <v>134</v>
      </c>
      <c r="G81" s="5"/>
      <c r="H81" s="5"/>
      <c r="I81" s="5"/>
      <c r="J81" s="5"/>
      <c r="K81" s="5"/>
      <c r="L81" s="5"/>
      <c r="M81" s="5"/>
      <c r="N81" s="5"/>
      <c r="O81" s="5"/>
      <c r="P81" s="5"/>
      <c r="Q81" s="5"/>
      <c r="R81" s="7">
        <f>IF(COUNT(H81:Q81)=10,SUM(H81:Q81),"")</f>
        <v/>
      </c>
      <c r="S81" s="7">
        <f>IF(ISNUMBER(R81),R81/30*100,"")</f>
        <v/>
      </c>
      <c r="T81" s="7">
        <f>IF(COUNT(H81:J81,L81)=4,SUM(H81:J81,L81),"")</f>
        <v/>
      </c>
      <c r="U81" s="7">
        <f>IF(COUNT(K81,M81:O81)=4,SUM(K81,M81:O81),"")</f>
        <v/>
      </c>
      <c r="V81" s="7">
        <f>IF(COUNT(P81:Q81)=2,SUM(P81:Q81),"")</f>
        <v/>
      </c>
      <c r="W81" s="5"/>
      <c r="X81" s="5"/>
      <c r="Y81" s="5"/>
      <c r="Z81" s="5"/>
      <c r="AA81" s="5"/>
      <c r="AB81" s="5"/>
      <c r="AC81" s="5"/>
      <c r="AD81" s="5"/>
      <c r="AE81" s="5"/>
      <c r="AF81" s="5"/>
      <c r="AG81" s="5"/>
      <c r="AH81" s="9">
        <f>IF(AND(ISNUMBER(AG81),ISNUMBER(AF81),AF81&gt;0),AG81/AF81,"")</f>
        <v/>
      </c>
      <c r="AI81" s="5"/>
      <c r="AJ81" s="5"/>
      <c r="AK81" s="5"/>
      <c r="AL81" s="5"/>
      <c r="AM81" s="4" t="s">
        <v>144</v>
      </c>
      <c r="AN81" s="4" t="s">
        <v>464</v>
      </c>
      <c r="AO81" s="5"/>
      <c r="AP81" s="4" t="s">
        <v>465</v>
      </c>
      <c r="AQ81" s="5"/>
      <c r="AR81" s="5"/>
      <c r="AS81" s="4" t="s">
        <v>470</v>
      </c>
      <c r="AT81" s="4" t="s">
        <v>467</v>
      </c>
      <c r="AU81" s="5"/>
      <c r="AV81" s="4" t="s">
        <v>244</v>
      </c>
      <c r="AW81" s="4" t="s">
        <v>245</v>
      </c>
      <c r="AX81" s="4" t="s">
        <v>123</v>
      </c>
      <c r="AY81" s="4" t="s">
        <v>123</v>
      </c>
      <c r="AZ81" s="4" t="s">
        <v>164</v>
      </c>
      <c r="BA81" s="4"/>
      <c r="BB81" s="7">
        <f>COUNT(H81:Q81)</f>
        <v>0</v>
      </c>
      <c r="BC81" s="7">
        <f>IF(AND(ISNUMBER(R81),ISNUMBER(AU81)),R81-AU81,"")</f>
        <v/>
      </c>
      <c r="BD81" s="4"/>
      <c r="BE81" s="5"/>
      <c r="BF81" s="6">
        <v>1</v>
      </c>
      <c r="BG81" s="4" t="s">
        <v>246</v>
      </c>
      <c r="BH81" s="5"/>
      <c r="BI81" s="6">
        <v>0</v>
      </c>
      <c r="BJ81" s="5"/>
      <c r="BK81" s="5"/>
      <c r="BL81" s="5"/>
      <c r="BM81" s="5"/>
      <c r="BN81" s="5"/>
      <c r="BO81" s="4" t="s">
        <v>248</v>
      </c>
      <c r="BP81" s="5"/>
      <c r="BQ81" s="5"/>
      <c r="BR81" s="5"/>
      <c r="BS81" s="5"/>
      <c r="BT81" s="4" t="s">
        <v>295</v>
      </c>
      <c r="BU81" s="5"/>
      <c r="BV81" s="4" t="s">
        <v>126</v>
      </c>
      <c r="BW81" s="4" t="s">
        <v>250</v>
      </c>
      <c r="BX81" s="4" t="s">
        <v>471</v>
      </c>
    </row>
    <row r="82" spans="1:76" ht="38" customHeight="1">
      <c r="A82" s="4" t="s">
        <v>472</v>
      </c>
      <c r="B82" s="4" t="s">
        <v>237</v>
      </c>
      <c r="C82" s="5"/>
      <c r="D82" s="6">
        <v>1</v>
      </c>
      <c r="E82" s="5"/>
      <c r="F82" s="4" t="s">
        <v>112</v>
      </c>
      <c r="G82" s="5"/>
      <c r="H82" s="5"/>
      <c r="I82" s="5"/>
      <c r="J82" s="5"/>
      <c r="K82" s="5"/>
      <c r="L82" s="5"/>
      <c r="M82" s="5"/>
      <c r="N82" s="5"/>
      <c r="O82" s="5"/>
      <c r="P82" s="5"/>
      <c r="Q82" s="5"/>
      <c r="R82" s="7">
        <f>IF(COUNT(H82:Q82)=10,SUM(H82:Q82),"")</f>
        <v/>
      </c>
      <c r="S82" s="7">
        <f>IF(ISNUMBER(R82),R82/30*100,"")</f>
        <v/>
      </c>
      <c r="T82" s="7">
        <f>IF(COUNT(H82:J82,L82)=4,SUM(H82:J82,L82),"")</f>
        <v/>
      </c>
      <c r="U82" s="7">
        <f>IF(COUNT(K82,M82:O82)=4,SUM(K82,M82:O82),"")</f>
        <v/>
      </c>
      <c r="V82" s="7">
        <f>IF(COUNT(P82:Q82)=2,SUM(P82:Q82),"")</f>
        <v/>
      </c>
      <c r="W82" s="5"/>
      <c r="X82" s="5"/>
      <c r="Y82" s="5"/>
      <c r="Z82" s="5"/>
      <c r="AA82" s="5"/>
      <c r="AB82" s="5"/>
      <c r="AC82" s="5"/>
      <c r="AD82" s="5"/>
      <c r="AE82" s="6">
        <v>1867</v>
      </c>
      <c r="AF82" s="5"/>
      <c r="AG82" s="6">
        <v>150.2</v>
      </c>
      <c r="AH82" s="9">
        <f>IF(AND(ISNUMBER(AG82),ISNUMBER(AF82),AF82&gt;0),AG82/AF82,"")</f>
        <v/>
      </c>
      <c r="AI82" s="5"/>
      <c r="AJ82" s="5"/>
      <c r="AK82" s="5"/>
      <c r="AL82" s="5"/>
      <c r="AM82" s="4" t="s">
        <v>144</v>
      </c>
      <c r="AN82" s="4" t="s">
        <v>464</v>
      </c>
      <c r="AO82" s="4" t="s">
        <v>130</v>
      </c>
      <c r="AP82" s="4" t="s">
        <v>465</v>
      </c>
      <c r="AQ82" s="5"/>
      <c r="AR82" s="5"/>
      <c r="AS82" s="4" t="s">
        <v>473</v>
      </c>
      <c r="AT82" s="4" t="s">
        <v>467</v>
      </c>
      <c r="AU82" s="5"/>
      <c r="AV82" s="4" t="s">
        <v>244</v>
      </c>
      <c r="AW82" s="4" t="s">
        <v>245</v>
      </c>
      <c r="AX82" s="4" t="s">
        <v>123</v>
      </c>
      <c r="AY82" s="4" t="s">
        <v>123</v>
      </c>
      <c r="AZ82" s="4" t="s">
        <v>277</v>
      </c>
      <c r="BA82" s="4"/>
      <c r="BB82" s="7">
        <f>COUNT(H82:Q82)</f>
        <v>0</v>
      </c>
      <c r="BC82" s="7">
        <f>IF(AND(ISNUMBER(R82),ISNUMBER(AU82)),R82-AU82,"")</f>
        <v/>
      </c>
      <c r="BD82" s="4"/>
      <c r="BE82" s="5"/>
      <c r="BF82" s="6">
        <v>1</v>
      </c>
      <c r="BG82" s="4" t="s">
        <v>246</v>
      </c>
      <c r="BH82" s="5"/>
      <c r="BI82" s="6">
        <v>0</v>
      </c>
      <c r="BJ82" s="5"/>
      <c r="BK82" s="5"/>
      <c r="BL82" s="5"/>
      <c r="BM82" s="5"/>
      <c r="BN82" s="5"/>
      <c r="BO82" s="4" t="s">
        <v>248</v>
      </c>
      <c r="BP82" s="5"/>
      <c r="BQ82" s="5"/>
      <c r="BR82" s="5"/>
      <c r="BS82" s="5"/>
      <c r="BT82" s="4" t="s">
        <v>295</v>
      </c>
      <c r="BU82" s="5"/>
      <c r="BV82" s="4" t="s">
        <v>126</v>
      </c>
      <c r="BW82" s="4" t="s">
        <v>250</v>
      </c>
      <c r="BX82" s="4" t="s">
        <v>468</v>
      </c>
    </row>
    <row r="83" spans="1:76" ht="38" customHeight="1">
      <c r="A83" s="4" t="s">
        <v>282</v>
      </c>
      <c r="B83" s="4" t="s">
        <v>424</v>
      </c>
      <c r="C83" s="5"/>
      <c r="D83" s="5"/>
      <c r="E83" s="5"/>
      <c r="F83" s="5"/>
      <c r="G83" s="5"/>
      <c r="H83" s="6">
        <v>3</v>
      </c>
      <c r="I83" s="6">
        <v>0</v>
      </c>
      <c r="J83" s="6">
        <v>3</v>
      </c>
      <c r="K83" s="6">
        <v>3</v>
      </c>
      <c r="L83" s="6">
        <v>3</v>
      </c>
      <c r="M83" s="6">
        <v>0</v>
      </c>
      <c r="N83" s="6">
        <v>0</v>
      </c>
      <c r="O83" s="6">
        <v>3</v>
      </c>
      <c r="P83" s="6">
        <v>1</v>
      </c>
      <c r="Q83" s="6">
        <v>3</v>
      </c>
      <c r="R83" s="7">
        <f>IF(COUNT(H83:Q83)=10,SUM(H83:Q83),"")</f>
        <v>19</v>
      </c>
      <c r="S83" s="7">
        <f>IF(ISNUMBER(R83),R83/30*100,"")</f>
        <v>63.33333333333333</v>
      </c>
      <c r="T83" s="7">
        <f>IF(COUNT(H83:J83,L83)=4,SUM(H83:J83,L83),"")</f>
        <v>9</v>
      </c>
      <c r="U83" s="7">
        <f>IF(COUNT(K83,M83:O83)=4,SUM(K83,M83:O83),"")</f>
        <v>6</v>
      </c>
      <c r="V83" s="7">
        <f>IF(COUNT(P83:Q83)=2,SUM(P83:Q83),"")</f>
        <v>4</v>
      </c>
      <c r="W83" s="5"/>
      <c r="X83" s="5"/>
      <c r="Y83" s="5"/>
      <c r="Z83" s="5"/>
      <c r="AA83" s="5"/>
      <c r="AB83" s="5"/>
      <c r="AC83" s="5"/>
      <c r="AD83" s="5"/>
      <c r="AE83" s="5"/>
      <c r="AF83" s="5"/>
      <c r="AG83" s="5"/>
      <c r="AH83" s="9">
        <f>IF(AND(ISNUMBER(AG83),ISNUMBER(AF83),AF83&gt;0),AG83/AF83,"")</f>
        <v/>
      </c>
      <c r="AI83" s="5"/>
      <c r="AJ83" s="5"/>
      <c r="AK83" s="5"/>
      <c r="AL83" s="5"/>
      <c r="AM83" s="5"/>
      <c r="AN83" s="4" t="s">
        <v>429</v>
      </c>
      <c r="AO83" s="5"/>
      <c r="AP83" s="4" t="s">
        <v>474</v>
      </c>
      <c r="AQ83" s="5"/>
      <c r="AR83" s="5"/>
      <c r="AS83" s="4" t="s">
        <v>475</v>
      </c>
      <c r="AT83" s="4" t="s">
        <v>195</v>
      </c>
      <c r="AU83" s="6">
        <v>19</v>
      </c>
      <c r="AV83" s="4" t="s">
        <v>429</v>
      </c>
      <c r="AW83" s="4" t="s">
        <v>430</v>
      </c>
      <c r="AX83" s="4" t="s">
        <v>123</v>
      </c>
      <c r="AY83" s="4" t="s">
        <v>123</v>
      </c>
      <c r="AZ83" s="4" t="s">
        <v>164</v>
      </c>
      <c r="BA83" s="4" t="s">
        <v>285</v>
      </c>
      <c r="BB83" s="7">
        <f>COUNT(H83:Q83)</f>
        <v>10</v>
      </c>
      <c r="BC83" s="7">
        <f>IF(AND(ISNUMBER(R83),ISNUMBER(AU83)),R83-AU83,"")</f>
        <v>0</v>
      </c>
      <c r="BD83" s="4" t="s">
        <v>476</v>
      </c>
      <c r="BE83" s="4" t="s">
        <v>477</v>
      </c>
      <c r="BF83" s="5"/>
      <c r="BG83" s="5"/>
      <c r="BH83" s="5"/>
      <c r="BI83" s="5"/>
      <c r="BJ83" s="5"/>
      <c r="BK83" s="5"/>
      <c r="BL83" s="5"/>
      <c r="BM83" s="5"/>
      <c r="BN83" s="5"/>
      <c r="BO83" s="5"/>
      <c r="BP83" s="5"/>
      <c r="BQ83" s="5"/>
      <c r="BR83" s="5"/>
      <c r="BS83" s="5"/>
      <c r="BT83" s="5"/>
      <c r="BU83" s="5"/>
      <c r="BV83" s="4" t="s">
        <v>126</v>
      </c>
      <c r="BW83" s="4" t="s">
        <v>433</v>
      </c>
      <c r="BX83" s="4" t="s">
        <v>478</v>
      </c>
    </row>
  </sheetData>
  <autoFilter ref="A1:BX83"/>
  <conditionalFormatting sqref="AX2:AX83">
    <cfRule type="containsText" dxfId="0" priority="2" operator="containsText" text="Yes">
      <formula>NOT(ISERROR(SEARCH("Yes",AX2)))</formula>
    </cfRule>
  </conditionalFormatting>
  <conditionalFormatting sqref="H2:Q83">
    <cfRule type="colorScale" priority="1">
      <colorScale>
        <cfvo type="num" val="0"/>
        <cfvo type="num" val="1.5"/>
        <cfvo type="num" val="3"/>
        <color rgb="FFF8D7DA"/>
        <color rgb="FFFFF2CC"/>
        <color rgb="FFC6E0B4"/>
      </colorScale>
    </cfRule>
  </conditionalFormatting>
  <dataValidations count="2">
    <dataValidation type="whole" allowBlank="1" showInputMessage="1" showErrorMessage="1" error="Enter a whole number from 0 to 3." promptTitle="Disclosure indicator" prompt="0–3 only. Leave missing indicators blank." sqref="H2:Q83">
      <formula1>0</formula1>
      <formula2>3</formula2>
    </dataValidation>
    <dataValidation type="list" allowBlank="1" showInputMessage="1" showErrorMessage="1" sqref="AY2:AY83">
      <formula1>"Yes,No"</formula1>
    </dataValidation>
  </dataValidations>
  <pageMargins left="0.7" right="0.7" top="0.75" bottom="0.75" header="0.3" footer="0.3"/>
  <pageSetup fitToHeight="0" orientation="landscape"/>
  <legacyDrawing r:id="rId1"/>
</worksheet>
</file>

<file path=xl/worksheets/sheet3.xml><?xml version="1.0" encoding="utf-8"?>
<worksheet xmlns="http://schemas.openxmlformats.org/spreadsheetml/2006/main" xmlns:r="http://schemas.openxmlformats.org/officeDocument/2006/relationships">
  <sheetPr>
    <tabColor rgb="FFC8962E"/>
    <pageSetUpPr fitToPage="1"/>
  </sheetPr>
  <dimension ref="A1:S8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3.7109375" customWidth="1"/>
    <col min="2" max="2" width="28.7109375" customWidth="1"/>
    <col min="3" max="14" width="20.7109375" customWidth="1"/>
    <col min="15" max="15" width="70.7109375" customWidth="1"/>
    <col min="16" max="17" width="20.7109375" customWidth="1"/>
    <col min="18" max="18" width="55.7109375" customWidth="1"/>
    <col min="19" max="19" width="110.7109375" customWidth="1"/>
  </cols>
  <sheetData>
    <row r="1" spans="1:19" ht="42" customHeight="1">
      <c r="A1" s="2" t="s">
        <v>33</v>
      </c>
      <c r="B1" s="2" t="s">
        <v>34</v>
      </c>
      <c r="C1" s="2" t="s">
        <v>55</v>
      </c>
      <c r="D1" s="2" t="s">
        <v>73</v>
      </c>
      <c r="E1" s="2" t="s">
        <v>63</v>
      </c>
      <c r="F1" s="2" t="s">
        <v>64</v>
      </c>
      <c r="G1" s="2" t="s">
        <v>65</v>
      </c>
      <c r="H1" s="2" t="s">
        <v>67</v>
      </c>
      <c r="I1" s="2" t="s">
        <v>68</v>
      </c>
      <c r="J1" s="2" t="s">
        <v>69</v>
      </c>
      <c r="K1" s="2" t="s">
        <v>60</v>
      </c>
      <c r="L1" s="2" t="s">
        <v>61</v>
      </c>
      <c r="M1" s="2" t="s">
        <v>59</v>
      </c>
      <c r="N1" s="2" t="s">
        <v>35</v>
      </c>
      <c r="O1" s="2" t="s">
        <v>72</v>
      </c>
      <c r="P1" s="2" t="s">
        <v>2050</v>
      </c>
      <c r="Q1" s="2" t="s">
        <v>2051</v>
      </c>
      <c r="R1" s="2" t="s">
        <v>2052</v>
      </c>
      <c r="S1" s="2" t="s">
        <v>2053</v>
      </c>
    </row>
    <row r="2" spans="1:19" ht="31" customHeight="1">
      <c r="A2" s="4" t="s">
        <v>109</v>
      </c>
      <c r="B2" s="4" t="s">
        <v>110</v>
      </c>
      <c r="C2" s="4" t="s">
        <v>113</v>
      </c>
      <c r="D2" s="4" t="s">
        <v>117</v>
      </c>
      <c r="E2" s="6">
        <v>218543</v>
      </c>
      <c r="F2" s="6">
        <v>275459</v>
      </c>
      <c r="G2" s="6">
        <v>3174</v>
      </c>
      <c r="H2" s="6">
        <v>94801</v>
      </c>
      <c r="I2" s="6">
        <v>7341</v>
      </c>
      <c r="J2" s="4" t="s">
        <v>2054</v>
      </c>
      <c r="K2" s="6">
        <v>0.0332507103865143</v>
      </c>
      <c r="L2" s="6">
        <v>1</v>
      </c>
      <c r="M2" s="4" t="s">
        <v>2054</v>
      </c>
      <c r="N2" s="4" t="s">
        <v>2054</v>
      </c>
      <c r="O2" s="4" t="s">
        <v>116</v>
      </c>
      <c r="P2" s="6">
        <v>18</v>
      </c>
      <c r="Q2" s="6">
        <v>18</v>
      </c>
      <c r="R2" s="4" t="s">
        <v>120</v>
      </c>
      <c r="S2" s="4" t="s">
        <v>2055</v>
      </c>
    </row>
    <row r="3" spans="1:19" ht="31" customHeight="1">
      <c r="A3" s="4" t="s">
        <v>129</v>
      </c>
      <c r="B3" s="4" t="s">
        <v>110</v>
      </c>
      <c r="C3" s="4" t="s">
        <v>130</v>
      </c>
      <c r="D3" s="4" t="s">
        <v>117</v>
      </c>
      <c r="E3" s="6">
        <v>168824</v>
      </c>
      <c r="F3" s="6">
        <v>240445</v>
      </c>
      <c r="G3" s="6">
        <v>3491</v>
      </c>
      <c r="H3" s="6">
        <v>98752</v>
      </c>
      <c r="I3" s="6">
        <v>8412</v>
      </c>
      <c r="J3" s="4" t="s">
        <v>2054</v>
      </c>
      <c r="K3" s="6">
        <v>0.047558404018386</v>
      </c>
      <c r="L3" s="6">
        <v>1</v>
      </c>
      <c r="M3" s="4" t="s">
        <v>2054</v>
      </c>
      <c r="N3" s="4" t="s">
        <v>2054</v>
      </c>
      <c r="O3" s="4" t="s">
        <v>131</v>
      </c>
      <c r="P3" s="6">
        <v>16</v>
      </c>
      <c r="Q3" s="6">
        <v>16</v>
      </c>
      <c r="R3" s="4" t="s">
        <v>120</v>
      </c>
      <c r="S3" s="4" t="s">
        <v>2055</v>
      </c>
    </row>
    <row r="4" spans="1:19" ht="31" customHeight="1">
      <c r="A4" s="4" t="s">
        <v>133</v>
      </c>
      <c r="B4" s="4" t="s">
        <v>110</v>
      </c>
      <c r="C4" s="4" t="s">
        <v>113</v>
      </c>
      <c r="D4" s="4" t="s">
        <v>117</v>
      </c>
      <c r="E4" s="6">
        <v>102479</v>
      </c>
      <c r="F4" s="6">
        <v>136718</v>
      </c>
      <c r="G4" s="6">
        <v>2372</v>
      </c>
      <c r="H4" s="6">
        <v>36934</v>
      </c>
      <c r="I4" s="6">
        <v>2793</v>
      </c>
      <c r="J4" s="4" t="s">
        <v>2054</v>
      </c>
      <c r="K4" s="6">
        <v>0.00480127635905893</v>
      </c>
      <c r="L4" s="4" t="s">
        <v>135</v>
      </c>
      <c r="M4" s="4" t="s">
        <v>2054</v>
      </c>
      <c r="N4" s="4" t="s">
        <v>2054</v>
      </c>
      <c r="O4" s="4" t="s">
        <v>131</v>
      </c>
      <c r="P4" s="6">
        <v>16</v>
      </c>
      <c r="Q4" s="6">
        <v>16</v>
      </c>
      <c r="R4" s="4" t="s">
        <v>120</v>
      </c>
      <c r="S4" s="4" t="s">
        <v>2055</v>
      </c>
    </row>
    <row r="5" spans="1:19" ht="31" customHeight="1">
      <c r="A5" s="4" t="s">
        <v>138</v>
      </c>
      <c r="B5" s="4" t="s">
        <v>110</v>
      </c>
      <c r="C5" s="4" t="s">
        <v>130</v>
      </c>
      <c r="D5" s="4" t="s">
        <v>117</v>
      </c>
      <c r="E5" s="6">
        <v>50129</v>
      </c>
      <c r="F5" s="6">
        <v>85766</v>
      </c>
      <c r="G5" s="6">
        <v>2846</v>
      </c>
      <c r="H5" s="6">
        <v>18406</v>
      </c>
      <c r="I5" s="6">
        <v>1312</v>
      </c>
      <c r="J5" s="4" t="s">
        <v>2054</v>
      </c>
      <c r="K5" s="6">
        <v>0.0524516746793273</v>
      </c>
      <c r="L5" s="4" t="s">
        <v>135</v>
      </c>
      <c r="M5" s="4" t="s">
        <v>2054</v>
      </c>
      <c r="N5" s="4" t="s">
        <v>2054</v>
      </c>
      <c r="O5" s="4" t="s">
        <v>139</v>
      </c>
      <c r="P5" s="6">
        <v>19</v>
      </c>
      <c r="Q5" s="6">
        <v>19</v>
      </c>
      <c r="R5" s="4" t="s">
        <v>120</v>
      </c>
      <c r="S5" s="4" t="s">
        <v>2055</v>
      </c>
    </row>
    <row r="6" spans="1:19" ht="31" customHeight="1">
      <c r="A6" s="4" t="s">
        <v>141</v>
      </c>
      <c r="B6" s="4" t="s">
        <v>110</v>
      </c>
      <c r="C6" s="4" t="s">
        <v>113</v>
      </c>
      <c r="D6" s="4" t="s">
        <v>117</v>
      </c>
      <c r="E6" s="6">
        <v>39312</v>
      </c>
      <c r="F6" s="6">
        <v>35917</v>
      </c>
      <c r="G6" s="6">
        <v>2500</v>
      </c>
      <c r="H6" s="6">
        <v>6402</v>
      </c>
      <c r="I6" s="6">
        <v>612</v>
      </c>
      <c r="J6" s="4" t="s">
        <v>2054</v>
      </c>
      <c r="K6" s="6">
        <v>0.147224511599512</v>
      </c>
      <c r="L6" s="6">
        <v>1</v>
      </c>
      <c r="M6" s="4" t="s">
        <v>2054</v>
      </c>
      <c r="N6" s="4" t="s">
        <v>2054</v>
      </c>
      <c r="O6" s="4" t="s">
        <v>131</v>
      </c>
      <c r="P6" s="6">
        <v>17</v>
      </c>
      <c r="Q6" s="6">
        <v>17</v>
      </c>
      <c r="R6" s="4" t="s">
        <v>120</v>
      </c>
      <c r="S6" s="4" t="s">
        <v>2055</v>
      </c>
    </row>
    <row r="7" spans="1:19" ht="31" customHeight="1">
      <c r="A7" s="4" t="s">
        <v>143</v>
      </c>
      <c r="B7" s="4" t="s">
        <v>110</v>
      </c>
      <c r="C7" s="4" t="s">
        <v>2054</v>
      </c>
      <c r="D7" s="4" t="s">
        <v>117</v>
      </c>
      <c r="E7" s="6">
        <v>8503</v>
      </c>
      <c r="F7" s="6">
        <v>28470</v>
      </c>
      <c r="G7" s="6">
        <v>-2374</v>
      </c>
      <c r="H7" s="6">
        <v>5909</v>
      </c>
      <c r="I7" s="6">
        <v>652</v>
      </c>
      <c r="J7" s="4" t="s">
        <v>2054</v>
      </c>
      <c r="K7" s="6">
        <v>0</v>
      </c>
      <c r="L7" s="4" t="s">
        <v>135</v>
      </c>
      <c r="M7" s="4" t="s">
        <v>2054</v>
      </c>
      <c r="N7" s="4" t="s">
        <v>2054</v>
      </c>
      <c r="O7" s="4" t="s">
        <v>145</v>
      </c>
      <c r="P7" s="6">
        <v>14</v>
      </c>
      <c r="Q7" s="6">
        <v>14</v>
      </c>
      <c r="R7" s="4" t="s">
        <v>120</v>
      </c>
      <c r="S7" s="4" t="s">
        <v>2056</v>
      </c>
    </row>
    <row r="8" spans="1:19" ht="31" customHeight="1">
      <c r="A8" s="4" t="s">
        <v>148</v>
      </c>
      <c r="B8" s="4" t="s">
        <v>110</v>
      </c>
      <c r="C8" s="4" t="s">
        <v>113</v>
      </c>
      <c r="D8" s="4" t="s">
        <v>117</v>
      </c>
      <c r="E8" s="6">
        <v>15138</v>
      </c>
      <c r="F8" s="6">
        <v>16320</v>
      </c>
      <c r="G8" s="6">
        <v>909</v>
      </c>
      <c r="H8" s="6">
        <v>789</v>
      </c>
      <c r="I8" s="6">
        <v>144</v>
      </c>
      <c r="J8" s="4" t="s">
        <v>2054</v>
      </c>
      <c r="K8" s="6">
        <v>0.00548685427401242</v>
      </c>
      <c r="L8" s="4" t="s">
        <v>135</v>
      </c>
      <c r="M8" s="4" t="s">
        <v>2054</v>
      </c>
      <c r="N8" s="4" t="s">
        <v>2054</v>
      </c>
      <c r="O8" s="4" t="s">
        <v>149</v>
      </c>
      <c r="P8" s="6">
        <v>6</v>
      </c>
      <c r="Q8" s="6">
        <v>6</v>
      </c>
      <c r="R8" s="4" t="s">
        <v>120</v>
      </c>
      <c r="S8" s="4" t="s">
        <v>2055</v>
      </c>
    </row>
    <row r="9" spans="1:19" ht="31" customHeight="1">
      <c r="A9" s="4" t="s">
        <v>151</v>
      </c>
      <c r="B9" s="4" t="s">
        <v>110</v>
      </c>
      <c r="C9" s="4" t="s">
        <v>113</v>
      </c>
      <c r="D9" s="4" t="s">
        <v>117</v>
      </c>
      <c r="E9" s="6">
        <v>5375.73</v>
      </c>
      <c r="F9" s="6">
        <v>6157</v>
      </c>
      <c r="G9" s="6">
        <v>813</v>
      </c>
      <c r="H9" s="6">
        <v>309</v>
      </c>
      <c r="I9" s="6">
        <v>55.39</v>
      </c>
      <c r="J9" s="4" t="s">
        <v>2054</v>
      </c>
      <c r="K9" s="6">
        <v>0.0132986589728279</v>
      </c>
      <c r="L9" s="4" t="s">
        <v>135</v>
      </c>
      <c r="M9" s="4" t="s">
        <v>2054</v>
      </c>
      <c r="N9" s="4" t="s">
        <v>2054</v>
      </c>
      <c r="O9" s="4" t="s">
        <v>116</v>
      </c>
      <c r="P9" s="6">
        <v>13</v>
      </c>
      <c r="Q9" s="6">
        <v>13</v>
      </c>
      <c r="R9" s="4" t="s">
        <v>120</v>
      </c>
      <c r="S9" s="4" t="s">
        <v>2055</v>
      </c>
    </row>
    <row r="10" spans="1:19" ht="31" customHeight="1">
      <c r="A10" s="4" t="s">
        <v>153</v>
      </c>
      <c r="B10" s="4" t="s">
        <v>110</v>
      </c>
      <c r="C10" s="4" t="s">
        <v>130</v>
      </c>
      <c r="D10" s="4" t="s">
        <v>117</v>
      </c>
      <c r="E10" s="6">
        <v>1982</v>
      </c>
      <c r="F10" s="6">
        <v>2732</v>
      </c>
      <c r="G10" s="6">
        <v>256</v>
      </c>
      <c r="H10" s="6">
        <v>438</v>
      </c>
      <c r="I10" s="6">
        <v>19</v>
      </c>
      <c r="J10" s="4" t="s">
        <v>2054</v>
      </c>
      <c r="K10" s="6">
        <v>0.00704793138244198</v>
      </c>
      <c r="L10" s="4" t="s">
        <v>135</v>
      </c>
      <c r="M10" s="4" t="s">
        <v>2054</v>
      </c>
      <c r="N10" s="4" t="s">
        <v>2054</v>
      </c>
      <c r="O10" s="4" t="s">
        <v>116</v>
      </c>
      <c r="P10" s="6">
        <v>5</v>
      </c>
      <c r="Q10" s="6">
        <v>5</v>
      </c>
      <c r="R10" s="4" t="s">
        <v>120</v>
      </c>
      <c r="S10" s="4" t="s">
        <v>2055</v>
      </c>
    </row>
    <row r="11" spans="1:19" ht="31" customHeight="1">
      <c r="A11" s="4" t="s">
        <v>156</v>
      </c>
      <c r="B11" s="4" t="s">
        <v>157</v>
      </c>
      <c r="C11" s="4" t="s">
        <v>158</v>
      </c>
      <c r="D11" s="4" t="s">
        <v>2054</v>
      </c>
      <c r="E11" s="4" t="s">
        <v>2054</v>
      </c>
      <c r="F11" s="4" t="s">
        <v>2054</v>
      </c>
      <c r="G11" s="4" t="s">
        <v>2054</v>
      </c>
      <c r="H11" s="4" t="s">
        <v>2054</v>
      </c>
      <c r="I11" s="4" t="s">
        <v>2054</v>
      </c>
      <c r="J11" s="4" t="s">
        <v>2054</v>
      </c>
      <c r="K11" s="4" t="s">
        <v>2054</v>
      </c>
      <c r="L11" s="4" t="s">
        <v>135</v>
      </c>
      <c r="M11" s="6">
        <v>1</v>
      </c>
      <c r="N11" s="4" t="s">
        <v>2054</v>
      </c>
      <c r="O11" s="4" t="s">
        <v>159</v>
      </c>
      <c r="P11" s="6">
        <v>23</v>
      </c>
      <c r="Q11" s="6">
        <v>23</v>
      </c>
      <c r="R11" s="4" t="s">
        <v>161</v>
      </c>
      <c r="S11" s="4" t="s">
        <v>2057</v>
      </c>
    </row>
    <row r="12" spans="1:19" ht="31" customHeight="1">
      <c r="A12" s="4" t="s">
        <v>168</v>
      </c>
      <c r="B12" s="4" t="s">
        <v>157</v>
      </c>
      <c r="C12" s="4" t="s">
        <v>158</v>
      </c>
      <c r="D12" s="4" t="s">
        <v>2054</v>
      </c>
      <c r="E12" s="4" t="s">
        <v>2054</v>
      </c>
      <c r="F12" s="4" t="s">
        <v>2054</v>
      </c>
      <c r="G12" s="4" t="s">
        <v>2054</v>
      </c>
      <c r="H12" s="4" t="s">
        <v>2054</v>
      </c>
      <c r="I12" s="4" t="s">
        <v>2054</v>
      </c>
      <c r="J12" s="4" t="s">
        <v>2054</v>
      </c>
      <c r="K12" s="6">
        <v>0</v>
      </c>
      <c r="L12" s="4" t="s">
        <v>135</v>
      </c>
      <c r="M12" s="6">
        <v>1</v>
      </c>
      <c r="N12" s="4" t="s">
        <v>2054</v>
      </c>
      <c r="O12" s="4" t="s">
        <v>169</v>
      </c>
      <c r="P12" s="6">
        <v>22</v>
      </c>
      <c r="Q12" s="6">
        <v>22</v>
      </c>
      <c r="R12" s="4" t="s">
        <v>161</v>
      </c>
      <c r="S12" s="4" t="s">
        <v>2057</v>
      </c>
    </row>
    <row r="13" spans="1:19" ht="31" customHeight="1">
      <c r="A13" s="4" t="s">
        <v>172</v>
      </c>
      <c r="B13" s="4" t="s">
        <v>157</v>
      </c>
      <c r="C13" s="4" t="s">
        <v>173</v>
      </c>
      <c r="D13" s="4" t="s">
        <v>2054</v>
      </c>
      <c r="E13" s="4" t="s">
        <v>2054</v>
      </c>
      <c r="F13" s="4" t="s">
        <v>2054</v>
      </c>
      <c r="G13" s="4" t="s">
        <v>2054</v>
      </c>
      <c r="H13" s="4" t="s">
        <v>2054</v>
      </c>
      <c r="I13" s="4" t="s">
        <v>2054</v>
      </c>
      <c r="J13" s="4" t="s">
        <v>2054</v>
      </c>
      <c r="K13" s="6">
        <v>0</v>
      </c>
      <c r="L13" s="4" t="s">
        <v>135</v>
      </c>
      <c r="M13" s="6">
        <v>1</v>
      </c>
      <c r="N13" s="4" t="s">
        <v>2054</v>
      </c>
      <c r="O13" s="4" t="s">
        <v>174</v>
      </c>
      <c r="P13" s="6">
        <v>25</v>
      </c>
      <c r="Q13" s="6">
        <v>25</v>
      </c>
      <c r="R13" s="4" t="s">
        <v>161</v>
      </c>
      <c r="S13" s="4" t="s">
        <v>2057</v>
      </c>
    </row>
    <row r="14" spans="1:19" ht="31" customHeight="1">
      <c r="A14" s="4" t="s">
        <v>177</v>
      </c>
      <c r="B14" s="4" t="s">
        <v>157</v>
      </c>
      <c r="C14" s="4" t="s">
        <v>158</v>
      </c>
      <c r="D14" s="4" t="s">
        <v>2054</v>
      </c>
      <c r="E14" s="4" t="s">
        <v>2054</v>
      </c>
      <c r="F14" s="4" t="s">
        <v>2054</v>
      </c>
      <c r="G14" s="4" t="s">
        <v>2054</v>
      </c>
      <c r="H14" s="4" t="s">
        <v>2054</v>
      </c>
      <c r="I14" s="4" t="s">
        <v>2054</v>
      </c>
      <c r="J14" s="4" t="s">
        <v>2054</v>
      </c>
      <c r="K14" s="4" t="s">
        <v>2054</v>
      </c>
      <c r="L14" s="4" t="s">
        <v>135</v>
      </c>
      <c r="M14" s="6">
        <v>1</v>
      </c>
      <c r="N14" s="4" t="s">
        <v>2054</v>
      </c>
      <c r="O14" s="4" t="s">
        <v>178</v>
      </c>
      <c r="P14" s="6">
        <v>29</v>
      </c>
      <c r="Q14" s="6">
        <v>29</v>
      </c>
      <c r="R14" s="4" t="s">
        <v>161</v>
      </c>
      <c r="S14" s="4" t="s">
        <v>2057</v>
      </c>
    </row>
    <row r="15" spans="1:19" ht="31" customHeight="1">
      <c r="A15" s="4" t="s">
        <v>181</v>
      </c>
      <c r="B15" s="4" t="s">
        <v>157</v>
      </c>
      <c r="C15" s="4" t="s">
        <v>158</v>
      </c>
      <c r="D15" s="4" t="s">
        <v>2054</v>
      </c>
      <c r="E15" s="4" t="s">
        <v>2054</v>
      </c>
      <c r="F15" s="4" t="s">
        <v>2054</v>
      </c>
      <c r="G15" s="4" t="s">
        <v>2054</v>
      </c>
      <c r="H15" s="4" t="s">
        <v>2054</v>
      </c>
      <c r="I15" s="4" t="s">
        <v>2054</v>
      </c>
      <c r="J15" s="4" t="s">
        <v>2054</v>
      </c>
      <c r="K15" s="6">
        <v>0.0025</v>
      </c>
      <c r="L15" s="4" t="s">
        <v>135</v>
      </c>
      <c r="M15" s="6">
        <v>1</v>
      </c>
      <c r="N15" s="4" t="s">
        <v>2054</v>
      </c>
      <c r="O15" s="4" t="s">
        <v>182</v>
      </c>
      <c r="P15" s="6">
        <v>27</v>
      </c>
      <c r="Q15" s="6">
        <v>27</v>
      </c>
      <c r="R15" s="4" t="s">
        <v>161</v>
      </c>
      <c r="S15" s="4" t="s">
        <v>2057</v>
      </c>
    </row>
    <row r="16" spans="1:19" ht="31" customHeight="1">
      <c r="A16" s="4" t="s">
        <v>184</v>
      </c>
      <c r="B16" s="4" t="s">
        <v>157</v>
      </c>
      <c r="C16" s="4" t="s">
        <v>173</v>
      </c>
      <c r="D16" s="4" t="s">
        <v>2054</v>
      </c>
      <c r="E16" s="4" t="s">
        <v>2054</v>
      </c>
      <c r="F16" s="4" t="s">
        <v>2054</v>
      </c>
      <c r="G16" s="4" t="s">
        <v>2054</v>
      </c>
      <c r="H16" s="4" t="s">
        <v>2054</v>
      </c>
      <c r="I16" s="4" t="s">
        <v>2054</v>
      </c>
      <c r="J16" s="4" t="s">
        <v>2054</v>
      </c>
      <c r="K16" s="6">
        <v>0</v>
      </c>
      <c r="L16" s="4" t="s">
        <v>135</v>
      </c>
      <c r="M16" s="6">
        <v>1</v>
      </c>
      <c r="N16" s="4" t="s">
        <v>2054</v>
      </c>
      <c r="O16" s="4" t="s">
        <v>185</v>
      </c>
      <c r="P16" s="6">
        <v>21</v>
      </c>
      <c r="Q16" s="6">
        <v>21</v>
      </c>
      <c r="R16" s="4" t="s">
        <v>161</v>
      </c>
      <c r="S16" s="4" t="s">
        <v>2057</v>
      </c>
    </row>
    <row r="17" spans="1:19" ht="31" customHeight="1">
      <c r="A17" s="4" t="s">
        <v>187</v>
      </c>
      <c r="B17" s="4" t="s">
        <v>157</v>
      </c>
      <c r="C17" s="4" t="s">
        <v>158</v>
      </c>
      <c r="D17" s="4" t="s">
        <v>2054</v>
      </c>
      <c r="E17" s="4" t="s">
        <v>2054</v>
      </c>
      <c r="F17" s="4" t="s">
        <v>2054</v>
      </c>
      <c r="G17" s="4" t="s">
        <v>2054</v>
      </c>
      <c r="H17" s="4" t="s">
        <v>2054</v>
      </c>
      <c r="I17" s="4" t="s">
        <v>2054</v>
      </c>
      <c r="J17" s="4" t="s">
        <v>2054</v>
      </c>
      <c r="K17" s="6">
        <v>0</v>
      </c>
      <c r="L17" s="4" t="s">
        <v>135</v>
      </c>
      <c r="M17" s="6">
        <v>1</v>
      </c>
      <c r="N17" s="4" t="s">
        <v>2054</v>
      </c>
      <c r="O17" s="4" t="s">
        <v>188</v>
      </c>
      <c r="P17" s="6">
        <v>21</v>
      </c>
      <c r="Q17" s="6">
        <v>21</v>
      </c>
      <c r="R17" s="4" t="s">
        <v>161</v>
      </c>
      <c r="S17" s="4" t="s">
        <v>2057</v>
      </c>
    </row>
    <row r="18" spans="1:19" ht="31" customHeight="1">
      <c r="A18" s="4" t="s">
        <v>190</v>
      </c>
      <c r="B18" s="4" t="s">
        <v>191</v>
      </c>
      <c r="C18" s="4" t="s">
        <v>113</v>
      </c>
      <c r="D18" s="4" t="s">
        <v>113</v>
      </c>
      <c r="E18" s="6">
        <v>238496</v>
      </c>
      <c r="F18" s="6">
        <v>265991</v>
      </c>
      <c r="G18" s="6">
        <v>16002</v>
      </c>
      <c r="H18" s="4" t="s">
        <v>2054</v>
      </c>
      <c r="I18" s="4" t="s">
        <v>2054</v>
      </c>
      <c r="J18" s="6">
        <v>0.0587</v>
      </c>
      <c r="K18" s="4" t="s">
        <v>2054</v>
      </c>
      <c r="L18" s="4" t="s">
        <v>2054</v>
      </c>
      <c r="M18" s="6">
        <v>1</v>
      </c>
      <c r="N18" s="4" t="s">
        <v>2054</v>
      </c>
      <c r="O18" s="4" t="s">
        <v>192</v>
      </c>
      <c r="P18" s="6">
        <v>30</v>
      </c>
      <c r="Q18" s="6">
        <v>30</v>
      </c>
      <c r="R18" s="4" t="s">
        <v>195</v>
      </c>
      <c r="S18" s="4" t="s">
        <v>2058</v>
      </c>
    </row>
    <row r="19" spans="1:19" ht="31" customHeight="1">
      <c r="A19" s="4" t="s">
        <v>202</v>
      </c>
      <c r="B19" s="4" t="s">
        <v>191</v>
      </c>
      <c r="C19" s="4" t="s">
        <v>113</v>
      </c>
      <c r="D19" s="4" t="s">
        <v>2054</v>
      </c>
      <c r="E19" s="4" t="s">
        <v>2054</v>
      </c>
      <c r="F19" s="4" t="s">
        <v>2054</v>
      </c>
      <c r="G19" s="4" t="s">
        <v>2054</v>
      </c>
      <c r="H19" s="4" t="s">
        <v>2054</v>
      </c>
      <c r="I19" s="4" t="s">
        <v>2054</v>
      </c>
      <c r="J19" s="4" t="s">
        <v>2054</v>
      </c>
      <c r="K19" s="4" t="s">
        <v>2054</v>
      </c>
      <c r="L19" s="4" t="s">
        <v>2054</v>
      </c>
      <c r="M19" s="6">
        <v>1</v>
      </c>
      <c r="N19" s="4" t="s">
        <v>2054</v>
      </c>
      <c r="O19" s="4" t="s">
        <v>203</v>
      </c>
      <c r="P19" s="6">
        <v>30</v>
      </c>
      <c r="Q19" s="6">
        <v>30</v>
      </c>
      <c r="R19" s="4" t="s">
        <v>195</v>
      </c>
      <c r="S19" s="4" t="s">
        <v>2059</v>
      </c>
    </row>
    <row r="20" spans="1:19" ht="31" customHeight="1">
      <c r="A20" s="4" t="s">
        <v>208</v>
      </c>
      <c r="B20" s="4" t="s">
        <v>191</v>
      </c>
      <c r="C20" s="4" t="s">
        <v>113</v>
      </c>
      <c r="D20" s="4" t="s">
        <v>113</v>
      </c>
      <c r="E20" s="6">
        <v>16662.21</v>
      </c>
      <c r="F20" s="6">
        <v>22882</v>
      </c>
      <c r="G20" s="6">
        <v>5324.67</v>
      </c>
      <c r="H20" s="4" t="s">
        <v>2054</v>
      </c>
      <c r="I20" s="4" t="s">
        <v>2054</v>
      </c>
      <c r="J20" s="4" t="s">
        <v>2054</v>
      </c>
      <c r="K20" s="4" t="s">
        <v>2054</v>
      </c>
      <c r="L20" s="4" t="s">
        <v>2054</v>
      </c>
      <c r="M20" s="6">
        <v>1</v>
      </c>
      <c r="N20" s="4" t="s">
        <v>2054</v>
      </c>
      <c r="O20" s="4" t="s">
        <v>209</v>
      </c>
      <c r="P20" s="6">
        <v>30</v>
      </c>
      <c r="Q20" s="6">
        <v>30</v>
      </c>
      <c r="R20" s="4" t="s">
        <v>195</v>
      </c>
      <c r="S20" s="4" t="s">
        <v>2060</v>
      </c>
    </row>
    <row r="21" spans="1:19" ht="31" customHeight="1">
      <c r="A21" s="4" t="s">
        <v>212</v>
      </c>
      <c r="B21" s="4" t="s">
        <v>191</v>
      </c>
      <c r="C21" s="4" t="s">
        <v>113</v>
      </c>
      <c r="D21" s="4" t="s">
        <v>2054</v>
      </c>
      <c r="E21" s="4" t="s">
        <v>2054</v>
      </c>
      <c r="F21" s="4" t="s">
        <v>2054</v>
      </c>
      <c r="G21" s="4" t="s">
        <v>2054</v>
      </c>
      <c r="H21" s="4" t="s">
        <v>2054</v>
      </c>
      <c r="I21" s="4" t="s">
        <v>2054</v>
      </c>
      <c r="J21" s="4" t="s">
        <v>2054</v>
      </c>
      <c r="K21" s="4" t="s">
        <v>2054</v>
      </c>
      <c r="L21" s="4" t="s">
        <v>2054</v>
      </c>
      <c r="M21" s="6">
        <v>1</v>
      </c>
      <c r="N21" s="4" t="s">
        <v>2054</v>
      </c>
      <c r="O21" s="4" t="s">
        <v>214</v>
      </c>
      <c r="P21" s="6">
        <v>17</v>
      </c>
      <c r="Q21" s="6">
        <v>17</v>
      </c>
      <c r="R21" s="4" t="s">
        <v>195</v>
      </c>
      <c r="S21" s="4" t="s">
        <v>2059</v>
      </c>
    </row>
    <row r="22" spans="1:19" ht="31" customHeight="1">
      <c r="A22" s="4" t="s">
        <v>217</v>
      </c>
      <c r="B22" s="4" t="s">
        <v>191</v>
      </c>
      <c r="C22" s="4" t="s">
        <v>113</v>
      </c>
      <c r="D22" s="4" t="s">
        <v>113</v>
      </c>
      <c r="E22" s="6">
        <v>810.17</v>
      </c>
      <c r="F22" s="6">
        <v>299.63</v>
      </c>
      <c r="G22" s="6">
        <v>15.51</v>
      </c>
      <c r="H22" s="4" t="s">
        <v>2054</v>
      </c>
      <c r="I22" s="4" t="s">
        <v>2054</v>
      </c>
      <c r="J22" s="6">
        <v>0.0536</v>
      </c>
      <c r="K22" s="4" t="s">
        <v>2054</v>
      </c>
      <c r="L22" s="4" t="s">
        <v>2054</v>
      </c>
      <c r="M22" s="4" t="s">
        <v>2054</v>
      </c>
      <c r="N22" s="4" t="s">
        <v>2054</v>
      </c>
      <c r="O22" s="4" t="s">
        <v>218</v>
      </c>
      <c r="P22" s="6">
        <v>10</v>
      </c>
      <c r="Q22" s="6">
        <v>10</v>
      </c>
      <c r="R22" s="4" t="s">
        <v>195</v>
      </c>
      <c r="S22" s="4" t="s">
        <v>2058</v>
      </c>
    </row>
    <row r="23" spans="1:19" ht="31" customHeight="1">
      <c r="A23" s="4" t="s">
        <v>222</v>
      </c>
      <c r="B23" s="4" t="s">
        <v>191</v>
      </c>
      <c r="C23" s="4" t="s">
        <v>113</v>
      </c>
      <c r="D23" s="4" t="s">
        <v>130</v>
      </c>
      <c r="E23" s="6">
        <v>479.3</v>
      </c>
      <c r="F23" s="4" t="s">
        <v>2054</v>
      </c>
      <c r="G23" s="6">
        <v>10.97</v>
      </c>
      <c r="H23" s="4" t="s">
        <v>2054</v>
      </c>
      <c r="I23" s="4" t="s">
        <v>2054</v>
      </c>
      <c r="J23" s="4" t="s">
        <v>2054</v>
      </c>
      <c r="K23" s="4" t="s">
        <v>2054</v>
      </c>
      <c r="L23" s="4" t="s">
        <v>2054</v>
      </c>
      <c r="M23" s="4" t="s">
        <v>2054</v>
      </c>
      <c r="N23" s="4" t="s">
        <v>2054</v>
      </c>
      <c r="O23" s="4" t="s">
        <v>218</v>
      </c>
      <c r="P23" s="6">
        <v>9</v>
      </c>
      <c r="Q23" s="6">
        <v>9</v>
      </c>
      <c r="R23" s="4" t="s">
        <v>195</v>
      </c>
      <c r="S23" s="4" t="s">
        <v>2061</v>
      </c>
    </row>
    <row r="24" spans="1:19" ht="31" customHeight="1">
      <c r="A24" s="4" t="s">
        <v>225</v>
      </c>
      <c r="B24" s="4" t="s">
        <v>191</v>
      </c>
      <c r="C24" s="4" t="s">
        <v>113</v>
      </c>
      <c r="D24" s="4" t="s">
        <v>113</v>
      </c>
      <c r="E24" s="6">
        <v>491.4</v>
      </c>
      <c r="F24" s="6">
        <v>423.81</v>
      </c>
      <c r="G24" s="6">
        <v>31.66</v>
      </c>
      <c r="H24" s="4" t="s">
        <v>2054</v>
      </c>
      <c r="I24" s="4" t="s">
        <v>2054</v>
      </c>
      <c r="J24" s="4" t="s">
        <v>2054</v>
      </c>
      <c r="K24" s="4" t="s">
        <v>2054</v>
      </c>
      <c r="L24" s="4" t="s">
        <v>2054</v>
      </c>
      <c r="M24" s="4" t="s">
        <v>2054</v>
      </c>
      <c r="N24" s="4" t="s">
        <v>2054</v>
      </c>
      <c r="O24" s="4" t="s">
        <v>226</v>
      </c>
      <c r="P24" s="6">
        <v>9</v>
      </c>
      <c r="Q24" s="6">
        <v>9</v>
      </c>
      <c r="R24" s="4" t="s">
        <v>195</v>
      </c>
      <c r="S24" s="4" t="s">
        <v>2058</v>
      </c>
    </row>
    <row r="25" spans="1:19" ht="31" customHeight="1">
      <c r="A25" s="4" t="s">
        <v>229</v>
      </c>
      <c r="B25" s="4" t="s">
        <v>191</v>
      </c>
      <c r="C25" s="4" t="s">
        <v>113</v>
      </c>
      <c r="D25" s="4" t="s">
        <v>113</v>
      </c>
      <c r="E25" s="6">
        <v>509.15</v>
      </c>
      <c r="F25" s="6">
        <v>504.26</v>
      </c>
      <c r="G25" s="6">
        <v>6.05</v>
      </c>
      <c r="H25" s="4" t="s">
        <v>2054</v>
      </c>
      <c r="I25" s="4" t="s">
        <v>2054</v>
      </c>
      <c r="J25" s="6">
        <v>0.1339</v>
      </c>
      <c r="K25" s="4" t="s">
        <v>2054</v>
      </c>
      <c r="L25" s="4" t="s">
        <v>2054</v>
      </c>
      <c r="M25" s="4" t="s">
        <v>2054</v>
      </c>
      <c r="N25" s="4" t="s">
        <v>2054</v>
      </c>
      <c r="O25" s="4" t="s">
        <v>218</v>
      </c>
      <c r="P25" s="6">
        <v>8</v>
      </c>
      <c r="Q25" s="6">
        <v>8</v>
      </c>
      <c r="R25" s="4" t="s">
        <v>195</v>
      </c>
      <c r="S25" s="4" t="s">
        <v>2058</v>
      </c>
    </row>
    <row r="26" spans="1:19" ht="31" customHeight="1">
      <c r="A26" s="4" t="s">
        <v>231</v>
      </c>
      <c r="B26" s="4" t="s">
        <v>191</v>
      </c>
      <c r="C26" s="4" t="s">
        <v>113</v>
      </c>
      <c r="D26" s="4" t="s">
        <v>113</v>
      </c>
      <c r="E26" s="6">
        <v>188.52</v>
      </c>
      <c r="F26" s="6">
        <v>149.23</v>
      </c>
      <c r="G26" s="6">
        <v>18.09</v>
      </c>
      <c r="H26" s="4" t="s">
        <v>2054</v>
      </c>
      <c r="I26" s="4" t="s">
        <v>2054</v>
      </c>
      <c r="J26" s="6">
        <v>0.1264</v>
      </c>
      <c r="K26" s="4" t="s">
        <v>2054</v>
      </c>
      <c r="L26" s="4" t="s">
        <v>2054</v>
      </c>
      <c r="M26" s="4" t="s">
        <v>2054</v>
      </c>
      <c r="N26" s="4" t="s">
        <v>2054</v>
      </c>
      <c r="O26" s="4" t="s">
        <v>218</v>
      </c>
      <c r="P26" s="6">
        <v>8</v>
      </c>
      <c r="Q26" s="6">
        <v>8</v>
      </c>
      <c r="R26" s="4" t="s">
        <v>195</v>
      </c>
      <c r="S26" s="4" t="s">
        <v>2058</v>
      </c>
    </row>
    <row r="27" spans="1:19" ht="31" customHeight="1">
      <c r="A27" s="4" t="s">
        <v>233</v>
      </c>
      <c r="B27" s="4" t="s">
        <v>191</v>
      </c>
      <c r="C27" s="4" t="s">
        <v>113</v>
      </c>
      <c r="D27" s="4" t="s">
        <v>2054</v>
      </c>
      <c r="E27" s="4" t="s">
        <v>2054</v>
      </c>
      <c r="F27" s="4" t="s">
        <v>2054</v>
      </c>
      <c r="G27" s="4" t="s">
        <v>2054</v>
      </c>
      <c r="H27" s="4" t="s">
        <v>2054</v>
      </c>
      <c r="I27" s="4" t="s">
        <v>2054</v>
      </c>
      <c r="J27" s="4" t="s">
        <v>2054</v>
      </c>
      <c r="K27" s="4" t="s">
        <v>2054</v>
      </c>
      <c r="L27" s="4" t="s">
        <v>2054</v>
      </c>
      <c r="M27" s="4" t="s">
        <v>2054</v>
      </c>
      <c r="N27" s="4" t="s">
        <v>2054</v>
      </c>
      <c r="O27" s="4" t="s">
        <v>218</v>
      </c>
      <c r="P27" s="6">
        <v>7</v>
      </c>
      <c r="Q27" s="6">
        <v>7</v>
      </c>
      <c r="R27" s="4" t="s">
        <v>195</v>
      </c>
      <c r="S27" s="4" t="s">
        <v>2059</v>
      </c>
    </row>
    <row r="28" spans="1:19" ht="31" customHeight="1">
      <c r="A28" s="4" t="s">
        <v>236</v>
      </c>
      <c r="B28" s="4" t="s">
        <v>237</v>
      </c>
      <c r="C28" s="4" t="s">
        <v>130</v>
      </c>
      <c r="D28" s="4" t="s">
        <v>2054</v>
      </c>
      <c r="E28" s="4" t="s">
        <v>2054</v>
      </c>
      <c r="F28" s="4" t="s">
        <v>2054</v>
      </c>
      <c r="G28" s="4" t="s">
        <v>2054</v>
      </c>
      <c r="H28" s="4" t="s">
        <v>2054</v>
      </c>
      <c r="I28" s="4" t="s">
        <v>2054</v>
      </c>
      <c r="J28" s="4" t="s">
        <v>2054</v>
      </c>
      <c r="K28" s="4" t="s">
        <v>2054</v>
      </c>
      <c r="L28" s="4" t="s">
        <v>135</v>
      </c>
      <c r="M28" s="4" t="s">
        <v>2054</v>
      </c>
      <c r="N28" s="4" t="s">
        <v>2054</v>
      </c>
      <c r="O28" s="4" t="s">
        <v>240</v>
      </c>
      <c r="P28" s="4" t="s">
        <v>2062</v>
      </c>
      <c r="Q28" s="4" t="s">
        <v>2063</v>
      </c>
      <c r="R28" s="4" t="s">
        <v>243</v>
      </c>
      <c r="S28" s="4" t="s">
        <v>2064</v>
      </c>
    </row>
    <row r="29" spans="1:19" ht="31" customHeight="1">
      <c r="A29" s="4" t="s">
        <v>252</v>
      </c>
      <c r="B29" s="4" t="s">
        <v>237</v>
      </c>
      <c r="C29" s="4" t="s">
        <v>113</v>
      </c>
      <c r="D29" s="4" t="s">
        <v>130</v>
      </c>
      <c r="E29" s="6">
        <v>13538</v>
      </c>
      <c r="F29" s="4" t="s">
        <v>2054</v>
      </c>
      <c r="G29" s="4" t="s">
        <v>2054</v>
      </c>
      <c r="H29" s="4" t="s">
        <v>2054</v>
      </c>
      <c r="I29" s="4" t="s">
        <v>2054</v>
      </c>
      <c r="J29" s="4" t="s">
        <v>2054</v>
      </c>
      <c r="K29" s="4" t="s">
        <v>2054</v>
      </c>
      <c r="L29" s="4" t="s">
        <v>135</v>
      </c>
      <c r="M29" s="4" t="s">
        <v>2054</v>
      </c>
      <c r="N29" s="4" t="s">
        <v>2054</v>
      </c>
      <c r="O29" s="4" t="s">
        <v>253</v>
      </c>
      <c r="P29" s="6">
        <v>21</v>
      </c>
      <c r="Q29" s="4" t="s">
        <v>2063</v>
      </c>
      <c r="R29" s="4" t="s">
        <v>2065</v>
      </c>
      <c r="S29" s="4" t="s">
        <v>2066</v>
      </c>
    </row>
    <row r="30" spans="1:19" ht="31" customHeight="1">
      <c r="A30" s="4" t="s">
        <v>263</v>
      </c>
      <c r="B30" s="4" t="s">
        <v>237</v>
      </c>
      <c r="C30" s="4" t="s">
        <v>113</v>
      </c>
      <c r="D30" s="4" t="s">
        <v>130</v>
      </c>
      <c r="E30" s="6">
        <v>21567.9</v>
      </c>
      <c r="F30" s="4" t="s">
        <v>2054</v>
      </c>
      <c r="G30" s="6">
        <v>169.7</v>
      </c>
      <c r="H30" s="4" t="s">
        <v>2054</v>
      </c>
      <c r="I30" s="4" t="s">
        <v>2054</v>
      </c>
      <c r="J30" s="4" t="s">
        <v>2054</v>
      </c>
      <c r="K30" s="4" t="s">
        <v>2054</v>
      </c>
      <c r="L30" s="4" t="s">
        <v>135</v>
      </c>
      <c r="M30" s="4" t="s">
        <v>2054</v>
      </c>
      <c r="N30" s="4" t="s">
        <v>2054</v>
      </c>
      <c r="O30" s="4" t="s">
        <v>264</v>
      </c>
      <c r="P30" s="6">
        <v>16</v>
      </c>
      <c r="Q30" s="4" t="s">
        <v>2063</v>
      </c>
      <c r="R30" s="4" t="s">
        <v>2065</v>
      </c>
      <c r="S30" s="4" t="s">
        <v>2066</v>
      </c>
    </row>
    <row r="31" spans="1:19" ht="31" customHeight="1">
      <c r="A31" s="4" t="s">
        <v>268</v>
      </c>
      <c r="B31" s="4" t="s">
        <v>237</v>
      </c>
      <c r="C31" s="4" t="s">
        <v>113</v>
      </c>
      <c r="D31" s="4" t="s">
        <v>113</v>
      </c>
      <c r="E31" s="4" t="s">
        <v>2054</v>
      </c>
      <c r="F31" s="4" t="s">
        <v>2054</v>
      </c>
      <c r="G31" s="4" t="s">
        <v>2054</v>
      </c>
      <c r="H31" s="4" t="s">
        <v>2054</v>
      </c>
      <c r="I31" s="4" t="s">
        <v>2054</v>
      </c>
      <c r="J31" s="4" t="s">
        <v>2054</v>
      </c>
      <c r="K31" s="4" t="s">
        <v>2054</v>
      </c>
      <c r="L31" s="4" t="s">
        <v>135</v>
      </c>
      <c r="M31" s="4" t="s">
        <v>2054</v>
      </c>
      <c r="N31" s="4" t="s">
        <v>2054</v>
      </c>
      <c r="O31" s="4" t="s">
        <v>269</v>
      </c>
      <c r="P31" s="6">
        <v>16</v>
      </c>
      <c r="Q31" s="6">
        <v>12</v>
      </c>
      <c r="R31" s="4" t="s">
        <v>2065</v>
      </c>
      <c r="S31" s="4" t="s">
        <v>2066</v>
      </c>
    </row>
    <row r="32" spans="1:19" ht="31" customHeight="1">
      <c r="A32" s="4" t="s">
        <v>274</v>
      </c>
      <c r="B32" s="4" t="s">
        <v>237</v>
      </c>
      <c r="C32" s="4" t="s">
        <v>113</v>
      </c>
      <c r="D32" s="4" t="s">
        <v>113</v>
      </c>
      <c r="E32" s="4" t="s">
        <v>2054</v>
      </c>
      <c r="F32" s="6">
        <v>22261</v>
      </c>
      <c r="G32" s="4" t="s">
        <v>2054</v>
      </c>
      <c r="H32" s="6">
        <v>4527</v>
      </c>
      <c r="I32" s="4" t="s">
        <v>2054</v>
      </c>
      <c r="J32" s="4" t="s">
        <v>2054</v>
      </c>
      <c r="K32" s="4" t="s">
        <v>2054</v>
      </c>
      <c r="L32" s="4" t="s">
        <v>135</v>
      </c>
      <c r="M32" s="4" t="s">
        <v>2054</v>
      </c>
      <c r="N32" s="4" t="s">
        <v>2054</v>
      </c>
      <c r="O32" s="4" t="s">
        <v>275</v>
      </c>
      <c r="P32" s="6">
        <v>17</v>
      </c>
      <c r="Q32" s="4" t="s">
        <v>2063</v>
      </c>
      <c r="R32" s="4" t="s">
        <v>2065</v>
      </c>
      <c r="S32" s="4" t="s">
        <v>2066</v>
      </c>
    </row>
    <row r="33" spans="1:19" ht="31" customHeight="1">
      <c r="A33" s="4" t="s">
        <v>282</v>
      </c>
      <c r="B33" s="4" t="s">
        <v>237</v>
      </c>
      <c r="C33" s="4" t="s">
        <v>113</v>
      </c>
      <c r="D33" s="4" t="s">
        <v>2054</v>
      </c>
      <c r="E33" s="4" t="s">
        <v>2054</v>
      </c>
      <c r="F33" s="4" t="s">
        <v>2054</v>
      </c>
      <c r="G33" s="4" t="s">
        <v>2054</v>
      </c>
      <c r="H33" s="4" t="s">
        <v>2054</v>
      </c>
      <c r="I33" s="4" t="s">
        <v>2054</v>
      </c>
      <c r="J33" s="4" t="s">
        <v>2054</v>
      </c>
      <c r="K33" s="4" t="s">
        <v>2054</v>
      </c>
      <c r="L33" s="4" t="s">
        <v>135</v>
      </c>
      <c r="M33" s="4" t="s">
        <v>2054</v>
      </c>
      <c r="N33" s="4" t="s">
        <v>2054</v>
      </c>
      <c r="O33" s="4" t="s">
        <v>283</v>
      </c>
      <c r="P33" s="6">
        <v>19</v>
      </c>
      <c r="Q33" s="4" t="s">
        <v>2063</v>
      </c>
      <c r="R33" s="4" t="s">
        <v>2065</v>
      </c>
      <c r="S33" s="4" t="s">
        <v>2067</v>
      </c>
    </row>
    <row r="34" spans="1:19" ht="31" customHeight="1">
      <c r="A34" s="4" t="s">
        <v>290</v>
      </c>
      <c r="B34" s="4" t="s">
        <v>237</v>
      </c>
      <c r="C34" s="4" t="s">
        <v>113</v>
      </c>
      <c r="D34" s="4" t="s">
        <v>2054</v>
      </c>
      <c r="E34" s="4" t="s">
        <v>2054</v>
      </c>
      <c r="F34" s="4" t="s">
        <v>2054</v>
      </c>
      <c r="G34" s="4" t="s">
        <v>2054</v>
      </c>
      <c r="H34" s="4" t="s">
        <v>2054</v>
      </c>
      <c r="I34" s="4" t="s">
        <v>2054</v>
      </c>
      <c r="J34" s="4" t="s">
        <v>2054</v>
      </c>
      <c r="K34" s="4" t="s">
        <v>2054</v>
      </c>
      <c r="L34" s="4" t="s">
        <v>135</v>
      </c>
      <c r="M34" s="4" t="s">
        <v>2054</v>
      </c>
      <c r="N34" s="4" t="s">
        <v>2054</v>
      </c>
      <c r="O34" s="4" t="s">
        <v>291</v>
      </c>
      <c r="P34" s="6">
        <v>10</v>
      </c>
      <c r="Q34" s="6">
        <v>10</v>
      </c>
      <c r="R34" s="4" t="s">
        <v>293</v>
      </c>
      <c r="S34" s="4" t="s">
        <v>2067</v>
      </c>
    </row>
    <row r="35" spans="1:19" ht="31" customHeight="1">
      <c r="A35" s="4" t="s">
        <v>296</v>
      </c>
      <c r="B35" s="4" t="s">
        <v>237</v>
      </c>
      <c r="C35" s="4" t="s">
        <v>113</v>
      </c>
      <c r="D35" s="4" t="s">
        <v>2054</v>
      </c>
      <c r="E35" s="4" t="s">
        <v>2054</v>
      </c>
      <c r="F35" s="4" t="s">
        <v>2054</v>
      </c>
      <c r="G35" s="4" t="s">
        <v>2054</v>
      </c>
      <c r="H35" s="4" t="s">
        <v>2054</v>
      </c>
      <c r="I35" s="4" t="s">
        <v>2054</v>
      </c>
      <c r="J35" s="4" t="s">
        <v>2054</v>
      </c>
      <c r="K35" s="4" t="s">
        <v>2054</v>
      </c>
      <c r="L35" s="4" t="s">
        <v>135</v>
      </c>
      <c r="M35" s="4" t="s">
        <v>2054</v>
      </c>
      <c r="N35" s="4" t="s">
        <v>2054</v>
      </c>
      <c r="O35" s="4" t="s">
        <v>269</v>
      </c>
      <c r="P35" s="6">
        <v>6</v>
      </c>
      <c r="Q35" s="6">
        <v>6</v>
      </c>
      <c r="R35" s="4" t="s">
        <v>293</v>
      </c>
      <c r="S35" s="4" t="s">
        <v>2067</v>
      </c>
    </row>
    <row r="36" spans="1:19" ht="31" customHeight="1">
      <c r="A36" s="4" t="s">
        <v>298</v>
      </c>
      <c r="B36" s="4" t="s">
        <v>237</v>
      </c>
      <c r="C36" s="4" t="s">
        <v>113</v>
      </c>
      <c r="D36" s="4" t="s">
        <v>130</v>
      </c>
      <c r="E36" s="6">
        <v>1001.6</v>
      </c>
      <c r="F36" s="4" t="s">
        <v>2054</v>
      </c>
      <c r="G36" s="6">
        <v>68.8</v>
      </c>
      <c r="H36" s="4" t="s">
        <v>2054</v>
      </c>
      <c r="I36" s="4" t="s">
        <v>2054</v>
      </c>
      <c r="J36" s="4" t="s">
        <v>2054</v>
      </c>
      <c r="K36" s="4" t="s">
        <v>2054</v>
      </c>
      <c r="L36" s="4" t="s">
        <v>135</v>
      </c>
      <c r="M36" s="4" t="s">
        <v>2054</v>
      </c>
      <c r="N36" s="4" t="s">
        <v>2054</v>
      </c>
      <c r="O36" s="4" t="s">
        <v>291</v>
      </c>
      <c r="P36" s="6">
        <v>4</v>
      </c>
      <c r="Q36" s="6">
        <v>4</v>
      </c>
      <c r="R36" s="4" t="s">
        <v>2065</v>
      </c>
      <c r="S36" s="4" t="s">
        <v>2066</v>
      </c>
    </row>
    <row r="37" spans="1:19" ht="31" customHeight="1">
      <c r="A37" s="4" t="s">
        <v>300</v>
      </c>
      <c r="B37" s="4" t="s">
        <v>237</v>
      </c>
      <c r="C37" s="4" t="s">
        <v>113</v>
      </c>
      <c r="D37" s="4" t="s">
        <v>2054</v>
      </c>
      <c r="E37" s="4" t="s">
        <v>2054</v>
      </c>
      <c r="F37" s="4" t="s">
        <v>2054</v>
      </c>
      <c r="G37" s="4" t="s">
        <v>2054</v>
      </c>
      <c r="H37" s="4" t="s">
        <v>2054</v>
      </c>
      <c r="I37" s="4" t="s">
        <v>2054</v>
      </c>
      <c r="J37" s="4" t="s">
        <v>2054</v>
      </c>
      <c r="K37" s="4" t="s">
        <v>2054</v>
      </c>
      <c r="L37" s="4" t="s">
        <v>135</v>
      </c>
      <c r="M37" s="4" t="s">
        <v>2054</v>
      </c>
      <c r="N37" s="4" t="s">
        <v>2054</v>
      </c>
      <c r="O37" s="4" t="s">
        <v>301</v>
      </c>
      <c r="P37" s="6">
        <v>16</v>
      </c>
      <c r="Q37" s="4" t="s">
        <v>2063</v>
      </c>
      <c r="R37" s="4" t="s">
        <v>2065</v>
      </c>
      <c r="S37" s="4" t="s">
        <v>2068</v>
      </c>
    </row>
    <row r="38" spans="1:19" ht="31" customHeight="1">
      <c r="A38" s="4" t="s">
        <v>304</v>
      </c>
      <c r="B38" s="4" t="s">
        <v>237</v>
      </c>
      <c r="C38" s="4" t="s">
        <v>113</v>
      </c>
      <c r="D38" s="4" t="s">
        <v>2054</v>
      </c>
      <c r="E38" s="4" t="s">
        <v>2054</v>
      </c>
      <c r="F38" s="4" t="s">
        <v>2054</v>
      </c>
      <c r="G38" s="4" t="s">
        <v>2054</v>
      </c>
      <c r="H38" s="4" t="s">
        <v>2054</v>
      </c>
      <c r="I38" s="4" t="s">
        <v>2054</v>
      </c>
      <c r="J38" s="4" t="s">
        <v>2054</v>
      </c>
      <c r="K38" s="4" t="s">
        <v>2054</v>
      </c>
      <c r="L38" s="4" t="s">
        <v>135</v>
      </c>
      <c r="M38" s="4" t="s">
        <v>2054</v>
      </c>
      <c r="N38" s="4" t="s">
        <v>2054</v>
      </c>
      <c r="O38" s="4" t="s">
        <v>264</v>
      </c>
      <c r="P38" s="6">
        <v>16</v>
      </c>
      <c r="Q38" s="4" t="s">
        <v>2063</v>
      </c>
      <c r="R38" s="4" t="s">
        <v>2065</v>
      </c>
      <c r="S38" s="4" t="s">
        <v>2068</v>
      </c>
    </row>
    <row r="39" spans="1:19" ht="31" customHeight="1">
      <c r="A39" s="4" t="s">
        <v>306</v>
      </c>
      <c r="B39" s="4" t="s">
        <v>237</v>
      </c>
      <c r="C39" s="4" t="s">
        <v>130</v>
      </c>
      <c r="D39" s="4" t="s">
        <v>2054</v>
      </c>
      <c r="E39" s="4" t="s">
        <v>2054</v>
      </c>
      <c r="F39" s="4" t="s">
        <v>2054</v>
      </c>
      <c r="G39" s="4" t="s">
        <v>2054</v>
      </c>
      <c r="H39" s="4" t="s">
        <v>2054</v>
      </c>
      <c r="I39" s="4" t="s">
        <v>2054</v>
      </c>
      <c r="J39" s="4" t="s">
        <v>2054</v>
      </c>
      <c r="K39" s="4" t="s">
        <v>2054</v>
      </c>
      <c r="L39" s="4" t="s">
        <v>135</v>
      </c>
      <c r="M39" s="4" t="s">
        <v>2054</v>
      </c>
      <c r="N39" s="4" t="s">
        <v>2054</v>
      </c>
      <c r="O39" s="4" t="s">
        <v>307</v>
      </c>
      <c r="P39" s="6">
        <v>21</v>
      </c>
      <c r="Q39" s="4" t="s">
        <v>2063</v>
      </c>
      <c r="R39" s="4" t="s">
        <v>2065</v>
      </c>
      <c r="S39" s="4" t="s">
        <v>2068</v>
      </c>
    </row>
    <row r="40" spans="1:19" ht="31" customHeight="1">
      <c r="A40" s="4" t="s">
        <v>310</v>
      </c>
      <c r="B40" s="4" t="s">
        <v>311</v>
      </c>
      <c r="C40" s="4" t="s">
        <v>2054</v>
      </c>
      <c r="D40" s="4" t="s">
        <v>2054</v>
      </c>
      <c r="E40" s="4" t="s">
        <v>2054</v>
      </c>
      <c r="F40" s="4" t="s">
        <v>2054</v>
      </c>
      <c r="G40" s="4" t="s">
        <v>2054</v>
      </c>
      <c r="H40" s="4" t="s">
        <v>2054</v>
      </c>
      <c r="I40" s="4" t="s">
        <v>2054</v>
      </c>
      <c r="J40" s="4" t="s">
        <v>2054</v>
      </c>
      <c r="K40" s="4" t="s">
        <v>2054</v>
      </c>
      <c r="L40" s="4" t="s">
        <v>2054</v>
      </c>
      <c r="M40" s="6">
        <v>0</v>
      </c>
      <c r="N40" s="4" t="s">
        <v>2054</v>
      </c>
      <c r="O40" s="4" t="s">
        <v>312</v>
      </c>
      <c r="P40" s="4" t="s">
        <v>2062</v>
      </c>
      <c r="Q40" s="6">
        <v>25</v>
      </c>
      <c r="R40" s="4" t="s">
        <v>315</v>
      </c>
      <c r="S40" s="4" t="s">
        <v>2069</v>
      </c>
    </row>
    <row r="41" spans="1:19" ht="31" customHeight="1">
      <c r="A41" s="4" t="s">
        <v>321</v>
      </c>
      <c r="B41" s="4" t="s">
        <v>311</v>
      </c>
      <c r="C41" s="4" t="s">
        <v>2054</v>
      </c>
      <c r="D41" s="4" t="s">
        <v>2054</v>
      </c>
      <c r="E41" s="4" t="s">
        <v>2054</v>
      </c>
      <c r="F41" s="4" t="s">
        <v>2054</v>
      </c>
      <c r="G41" s="4" t="s">
        <v>2054</v>
      </c>
      <c r="H41" s="4" t="s">
        <v>2054</v>
      </c>
      <c r="I41" s="4" t="s">
        <v>2054</v>
      </c>
      <c r="J41" s="4" t="s">
        <v>2054</v>
      </c>
      <c r="K41" s="4" t="s">
        <v>2054</v>
      </c>
      <c r="L41" s="4" t="s">
        <v>2054</v>
      </c>
      <c r="M41" s="6">
        <v>0</v>
      </c>
      <c r="N41" s="4" t="s">
        <v>2054</v>
      </c>
      <c r="O41" s="4" t="s">
        <v>312</v>
      </c>
      <c r="P41" s="4" t="s">
        <v>2062</v>
      </c>
      <c r="Q41" s="6">
        <v>24</v>
      </c>
      <c r="R41" s="4" t="s">
        <v>315</v>
      </c>
      <c r="S41" s="4" t="s">
        <v>2069</v>
      </c>
    </row>
    <row r="42" spans="1:19" ht="31" customHeight="1">
      <c r="A42" s="4" t="s">
        <v>323</v>
      </c>
      <c r="B42" s="4" t="s">
        <v>311</v>
      </c>
      <c r="C42" s="4" t="s">
        <v>2054</v>
      </c>
      <c r="D42" s="4" t="s">
        <v>2054</v>
      </c>
      <c r="E42" s="4" t="s">
        <v>2054</v>
      </c>
      <c r="F42" s="4" t="s">
        <v>2054</v>
      </c>
      <c r="G42" s="4" t="s">
        <v>2054</v>
      </c>
      <c r="H42" s="4" t="s">
        <v>2054</v>
      </c>
      <c r="I42" s="4" t="s">
        <v>2054</v>
      </c>
      <c r="J42" s="4" t="s">
        <v>2054</v>
      </c>
      <c r="K42" s="4" t="s">
        <v>2054</v>
      </c>
      <c r="L42" s="4" t="s">
        <v>2054</v>
      </c>
      <c r="M42" s="6">
        <v>0</v>
      </c>
      <c r="N42" s="4" t="s">
        <v>2054</v>
      </c>
      <c r="O42" s="4" t="s">
        <v>312</v>
      </c>
      <c r="P42" s="4" t="s">
        <v>2062</v>
      </c>
      <c r="Q42" s="6">
        <v>18</v>
      </c>
      <c r="R42" s="4" t="s">
        <v>315</v>
      </c>
      <c r="S42" s="4" t="s">
        <v>2069</v>
      </c>
    </row>
    <row r="43" spans="1:19" ht="31" customHeight="1">
      <c r="A43" s="4" t="s">
        <v>325</v>
      </c>
      <c r="B43" s="4" t="s">
        <v>311</v>
      </c>
      <c r="C43" s="4" t="s">
        <v>2054</v>
      </c>
      <c r="D43" s="4" t="s">
        <v>2054</v>
      </c>
      <c r="E43" s="4" t="s">
        <v>2054</v>
      </c>
      <c r="F43" s="4" t="s">
        <v>2054</v>
      </c>
      <c r="G43" s="4" t="s">
        <v>2054</v>
      </c>
      <c r="H43" s="4" t="s">
        <v>2054</v>
      </c>
      <c r="I43" s="4" t="s">
        <v>2054</v>
      </c>
      <c r="J43" s="4" t="s">
        <v>2054</v>
      </c>
      <c r="K43" s="4" t="s">
        <v>2054</v>
      </c>
      <c r="L43" s="4" t="s">
        <v>2054</v>
      </c>
      <c r="M43" s="6">
        <v>0</v>
      </c>
      <c r="N43" s="4" t="s">
        <v>2054</v>
      </c>
      <c r="O43" s="4" t="s">
        <v>312</v>
      </c>
      <c r="P43" s="4" t="s">
        <v>2062</v>
      </c>
      <c r="Q43" s="6">
        <v>17</v>
      </c>
      <c r="R43" s="4" t="s">
        <v>315</v>
      </c>
      <c r="S43" s="4" t="s">
        <v>2069</v>
      </c>
    </row>
    <row r="44" spans="1:19" ht="31" customHeight="1">
      <c r="A44" s="4" t="s">
        <v>327</v>
      </c>
      <c r="B44" s="4" t="s">
        <v>311</v>
      </c>
      <c r="C44" s="4" t="s">
        <v>2054</v>
      </c>
      <c r="D44" s="4" t="s">
        <v>2054</v>
      </c>
      <c r="E44" s="4" t="s">
        <v>2054</v>
      </c>
      <c r="F44" s="4" t="s">
        <v>2054</v>
      </c>
      <c r="G44" s="4" t="s">
        <v>2054</v>
      </c>
      <c r="H44" s="4" t="s">
        <v>2054</v>
      </c>
      <c r="I44" s="4" t="s">
        <v>2054</v>
      </c>
      <c r="J44" s="4" t="s">
        <v>2054</v>
      </c>
      <c r="K44" s="4" t="s">
        <v>2054</v>
      </c>
      <c r="L44" s="4" t="s">
        <v>2054</v>
      </c>
      <c r="M44" s="6">
        <v>0</v>
      </c>
      <c r="N44" s="4" t="s">
        <v>2054</v>
      </c>
      <c r="O44" s="4" t="s">
        <v>312</v>
      </c>
      <c r="P44" s="4" t="s">
        <v>2062</v>
      </c>
      <c r="Q44" s="6">
        <v>15</v>
      </c>
      <c r="R44" s="4" t="s">
        <v>315</v>
      </c>
      <c r="S44" s="4" t="s">
        <v>2069</v>
      </c>
    </row>
    <row r="45" spans="1:19" ht="31" customHeight="1">
      <c r="A45" s="4" t="s">
        <v>329</v>
      </c>
      <c r="B45" s="4" t="s">
        <v>311</v>
      </c>
      <c r="C45" s="4" t="s">
        <v>2054</v>
      </c>
      <c r="D45" s="4" t="s">
        <v>2054</v>
      </c>
      <c r="E45" s="4" t="s">
        <v>2054</v>
      </c>
      <c r="F45" s="4" t="s">
        <v>2054</v>
      </c>
      <c r="G45" s="4" t="s">
        <v>2054</v>
      </c>
      <c r="H45" s="4" t="s">
        <v>2054</v>
      </c>
      <c r="I45" s="4" t="s">
        <v>2054</v>
      </c>
      <c r="J45" s="4" t="s">
        <v>2054</v>
      </c>
      <c r="K45" s="4" t="s">
        <v>2054</v>
      </c>
      <c r="L45" s="4" t="s">
        <v>2054</v>
      </c>
      <c r="M45" s="6">
        <v>0</v>
      </c>
      <c r="N45" s="4" t="s">
        <v>2054</v>
      </c>
      <c r="O45" s="4" t="s">
        <v>312</v>
      </c>
      <c r="P45" s="4" t="s">
        <v>2062</v>
      </c>
      <c r="Q45" s="6">
        <v>12</v>
      </c>
      <c r="R45" s="4" t="s">
        <v>315</v>
      </c>
      <c r="S45" s="4" t="s">
        <v>2069</v>
      </c>
    </row>
    <row r="46" spans="1:19" ht="31" customHeight="1">
      <c r="A46" s="4" t="s">
        <v>331</v>
      </c>
      <c r="B46" s="4" t="s">
        <v>311</v>
      </c>
      <c r="C46" s="4" t="s">
        <v>2054</v>
      </c>
      <c r="D46" s="4" t="s">
        <v>2054</v>
      </c>
      <c r="E46" s="4" t="s">
        <v>2054</v>
      </c>
      <c r="F46" s="4" t="s">
        <v>2054</v>
      </c>
      <c r="G46" s="4" t="s">
        <v>2054</v>
      </c>
      <c r="H46" s="4" t="s">
        <v>2054</v>
      </c>
      <c r="I46" s="4" t="s">
        <v>2054</v>
      </c>
      <c r="J46" s="4" t="s">
        <v>2054</v>
      </c>
      <c r="K46" s="4" t="s">
        <v>2054</v>
      </c>
      <c r="L46" s="4" t="s">
        <v>2054</v>
      </c>
      <c r="M46" s="6">
        <v>0</v>
      </c>
      <c r="N46" s="4" t="s">
        <v>2054</v>
      </c>
      <c r="O46" s="4" t="s">
        <v>312</v>
      </c>
      <c r="P46" s="4" t="s">
        <v>2062</v>
      </c>
      <c r="Q46" s="6">
        <v>12</v>
      </c>
      <c r="R46" s="4" t="s">
        <v>315</v>
      </c>
      <c r="S46" s="4" t="s">
        <v>2069</v>
      </c>
    </row>
    <row r="47" spans="1:19" ht="31" customHeight="1">
      <c r="A47" s="4" t="s">
        <v>333</v>
      </c>
      <c r="B47" s="4" t="s">
        <v>311</v>
      </c>
      <c r="C47" s="4" t="s">
        <v>2054</v>
      </c>
      <c r="D47" s="4" t="s">
        <v>2054</v>
      </c>
      <c r="E47" s="4" t="s">
        <v>2054</v>
      </c>
      <c r="F47" s="4" t="s">
        <v>2054</v>
      </c>
      <c r="G47" s="4" t="s">
        <v>2054</v>
      </c>
      <c r="H47" s="4" t="s">
        <v>2054</v>
      </c>
      <c r="I47" s="4" t="s">
        <v>2054</v>
      </c>
      <c r="J47" s="4" t="s">
        <v>2054</v>
      </c>
      <c r="K47" s="4" t="s">
        <v>2054</v>
      </c>
      <c r="L47" s="4" t="s">
        <v>2054</v>
      </c>
      <c r="M47" s="6">
        <v>0</v>
      </c>
      <c r="N47" s="4" t="s">
        <v>2054</v>
      </c>
      <c r="O47" s="4" t="s">
        <v>312</v>
      </c>
      <c r="P47" s="4" t="s">
        <v>2062</v>
      </c>
      <c r="Q47" s="6">
        <v>12</v>
      </c>
      <c r="R47" s="4" t="s">
        <v>315</v>
      </c>
      <c r="S47" s="4" t="s">
        <v>2069</v>
      </c>
    </row>
    <row r="48" spans="1:19" ht="31" customHeight="1">
      <c r="A48" s="4" t="s">
        <v>335</v>
      </c>
      <c r="B48" s="4" t="s">
        <v>311</v>
      </c>
      <c r="C48" s="4" t="s">
        <v>2054</v>
      </c>
      <c r="D48" s="4" t="s">
        <v>2054</v>
      </c>
      <c r="E48" s="4" t="s">
        <v>2054</v>
      </c>
      <c r="F48" s="4" t="s">
        <v>2054</v>
      </c>
      <c r="G48" s="4" t="s">
        <v>2054</v>
      </c>
      <c r="H48" s="4" t="s">
        <v>2054</v>
      </c>
      <c r="I48" s="4" t="s">
        <v>2054</v>
      </c>
      <c r="J48" s="4" t="s">
        <v>2054</v>
      </c>
      <c r="K48" s="4" t="s">
        <v>2054</v>
      </c>
      <c r="L48" s="4" t="s">
        <v>2054</v>
      </c>
      <c r="M48" s="6">
        <v>0</v>
      </c>
      <c r="N48" s="4" t="s">
        <v>2054</v>
      </c>
      <c r="O48" s="4" t="s">
        <v>312</v>
      </c>
      <c r="P48" s="4" t="s">
        <v>2062</v>
      </c>
      <c r="Q48" s="6">
        <v>10</v>
      </c>
      <c r="R48" s="4" t="s">
        <v>315</v>
      </c>
      <c r="S48" s="4" t="s">
        <v>2069</v>
      </c>
    </row>
    <row r="49" spans="1:19" ht="31" customHeight="1">
      <c r="A49" s="4" t="s">
        <v>337</v>
      </c>
      <c r="B49" s="4" t="s">
        <v>311</v>
      </c>
      <c r="C49" s="4" t="s">
        <v>2054</v>
      </c>
      <c r="D49" s="4" t="s">
        <v>2054</v>
      </c>
      <c r="E49" s="4" t="s">
        <v>2054</v>
      </c>
      <c r="F49" s="4" t="s">
        <v>2054</v>
      </c>
      <c r="G49" s="4" t="s">
        <v>2054</v>
      </c>
      <c r="H49" s="4" t="s">
        <v>2054</v>
      </c>
      <c r="I49" s="4" t="s">
        <v>2054</v>
      </c>
      <c r="J49" s="4" t="s">
        <v>2054</v>
      </c>
      <c r="K49" s="4" t="s">
        <v>2054</v>
      </c>
      <c r="L49" s="4" t="s">
        <v>2054</v>
      </c>
      <c r="M49" s="6">
        <v>0</v>
      </c>
      <c r="N49" s="4" t="s">
        <v>2054</v>
      </c>
      <c r="O49" s="4" t="s">
        <v>312</v>
      </c>
      <c r="P49" s="4" t="s">
        <v>2062</v>
      </c>
      <c r="Q49" s="6">
        <v>10</v>
      </c>
      <c r="R49" s="4" t="s">
        <v>315</v>
      </c>
      <c r="S49" s="4" t="s">
        <v>2069</v>
      </c>
    </row>
    <row r="50" spans="1:19" ht="31" customHeight="1">
      <c r="A50" s="4" t="s">
        <v>339</v>
      </c>
      <c r="B50" s="4" t="s">
        <v>311</v>
      </c>
      <c r="C50" s="4" t="s">
        <v>2054</v>
      </c>
      <c r="D50" s="4" t="s">
        <v>2054</v>
      </c>
      <c r="E50" s="4" t="s">
        <v>2054</v>
      </c>
      <c r="F50" s="4" t="s">
        <v>2054</v>
      </c>
      <c r="G50" s="4" t="s">
        <v>2054</v>
      </c>
      <c r="H50" s="4" t="s">
        <v>2054</v>
      </c>
      <c r="I50" s="4" t="s">
        <v>2054</v>
      </c>
      <c r="J50" s="4" t="s">
        <v>2054</v>
      </c>
      <c r="K50" s="4" t="s">
        <v>2054</v>
      </c>
      <c r="L50" s="4" t="s">
        <v>2054</v>
      </c>
      <c r="M50" s="6">
        <v>0</v>
      </c>
      <c r="N50" s="4" t="s">
        <v>2054</v>
      </c>
      <c r="O50" s="4" t="s">
        <v>312</v>
      </c>
      <c r="P50" s="4" t="s">
        <v>2062</v>
      </c>
      <c r="Q50" s="6">
        <v>9</v>
      </c>
      <c r="R50" s="4" t="s">
        <v>315</v>
      </c>
      <c r="S50" s="4" t="s">
        <v>2069</v>
      </c>
    </row>
    <row r="51" spans="1:19" ht="31" customHeight="1">
      <c r="A51" s="4" t="s">
        <v>341</v>
      </c>
      <c r="B51" s="4" t="s">
        <v>311</v>
      </c>
      <c r="C51" s="4" t="s">
        <v>2054</v>
      </c>
      <c r="D51" s="4" t="s">
        <v>2054</v>
      </c>
      <c r="E51" s="4" t="s">
        <v>2054</v>
      </c>
      <c r="F51" s="4" t="s">
        <v>2054</v>
      </c>
      <c r="G51" s="4" t="s">
        <v>2054</v>
      </c>
      <c r="H51" s="4" t="s">
        <v>2054</v>
      </c>
      <c r="I51" s="4" t="s">
        <v>2054</v>
      </c>
      <c r="J51" s="4" t="s">
        <v>2054</v>
      </c>
      <c r="K51" s="4" t="s">
        <v>2054</v>
      </c>
      <c r="L51" s="4" t="s">
        <v>2054</v>
      </c>
      <c r="M51" s="6">
        <v>0</v>
      </c>
      <c r="N51" s="4" t="s">
        <v>2054</v>
      </c>
      <c r="O51" s="4" t="s">
        <v>312</v>
      </c>
      <c r="P51" s="4" t="s">
        <v>2062</v>
      </c>
      <c r="Q51" s="6">
        <v>6</v>
      </c>
      <c r="R51" s="4" t="s">
        <v>315</v>
      </c>
      <c r="S51" s="4" t="s">
        <v>2069</v>
      </c>
    </row>
    <row r="52" spans="1:19" ht="31" customHeight="1">
      <c r="A52" s="4" t="s">
        <v>343</v>
      </c>
      <c r="B52" s="4" t="s">
        <v>311</v>
      </c>
      <c r="C52" s="4" t="s">
        <v>2054</v>
      </c>
      <c r="D52" s="4" t="s">
        <v>2054</v>
      </c>
      <c r="E52" s="4" t="s">
        <v>2054</v>
      </c>
      <c r="F52" s="4" t="s">
        <v>2054</v>
      </c>
      <c r="G52" s="4" t="s">
        <v>2054</v>
      </c>
      <c r="H52" s="4" t="s">
        <v>2054</v>
      </c>
      <c r="I52" s="4" t="s">
        <v>2054</v>
      </c>
      <c r="J52" s="4" t="s">
        <v>2054</v>
      </c>
      <c r="K52" s="4" t="s">
        <v>2054</v>
      </c>
      <c r="L52" s="4" t="s">
        <v>2054</v>
      </c>
      <c r="M52" s="6">
        <v>0</v>
      </c>
      <c r="N52" s="4" t="s">
        <v>2054</v>
      </c>
      <c r="O52" s="4" t="s">
        <v>312</v>
      </c>
      <c r="P52" s="4" t="s">
        <v>2062</v>
      </c>
      <c r="Q52" s="6">
        <v>3</v>
      </c>
      <c r="R52" s="4" t="s">
        <v>315</v>
      </c>
      <c r="S52" s="4" t="s">
        <v>2069</v>
      </c>
    </row>
    <row r="53" spans="1:19" ht="31" customHeight="1">
      <c r="A53" s="4" t="s">
        <v>345</v>
      </c>
      <c r="B53" s="4" t="s">
        <v>346</v>
      </c>
      <c r="C53" s="4" t="s">
        <v>173</v>
      </c>
      <c r="D53" s="4" t="s">
        <v>173</v>
      </c>
      <c r="E53" s="6">
        <v>4098.62</v>
      </c>
      <c r="F53" s="6">
        <v>3705.95</v>
      </c>
      <c r="G53" s="6">
        <v>202.08</v>
      </c>
      <c r="H53" s="6">
        <v>14</v>
      </c>
      <c r="I53" s="4" t="s">
        <v>2054</v>
      </c>
      <c r="J53" s="6">
        <v>1.8385</v>
      </c>
      <c r="K53" s="6">
        <v>0</v>
      </c>
      <c r="L53" s="6">
        <v>0</v>
      </c>
      <c r="M53" s="6">
        <v>0</v>
      </c>
      <c r="N53" s="4" t="s">
        <v>2054</v>
      </c>
      <c r="O53" s="4" t="s">
        <v>348</v>
      </c>
      <c r="P53" s="6">
        <v>8</v>
      </c>
      <c r="Q53" s="6">
        <v>8</v>
      </c>
      <c r="R53" s="4" t="s">
        <v>120</v>
      </c>
      <c r="S53" s="4" t="s">
        <v>2070</v>
      </c>
    </row>
    <row r="54" spans="1:19" ht="31" customHeight="1">
      <c r="A54" s="4" t="s">
        <v>354</v>
      </c>
      <c r="B54" s="4" t="s">
        <v>346</v>
      </c>
      <c r="C54" s="4" t="s">
        <v>158</v>
      </c>
      <c r="D54" s="4" t="s">
        <v>173</v>
      </c>
      <c r="E54" s="6">
        <v>5832.4</v>
      </c>
      <c r="F54" s="6">
        <v>5056</v>
      </c>
      <c r="G54" s="6">
        <v>518.9</v>
      </c>
      <c r="H54" s="6">
        <v>143.9</v>
      </c>
      <c r="I54" s="4" t="s">
        <v>2054</v>
      </c>
      <c r="J54" s="6">
        <v>0.3437</v>
      </c>
      <c r="K54" s="6">
        <v>0.0756463891365476</v>
      </c>
      <c r="L54" s="4" t="s">
        <v>135</v>
      </c>
      <c r="M54" s="6">
        <v>0</v>
      </c>
      <c r="N54" s="4" t="s">
        <v>2054</v>
      </c>
      <c r="O54" s="4" t="s">
        <v>348</v>
      </c>
      <c r="P54" s="6">
        <v>17</v>
      </c>
      <c r="Q54" s="6">
        <v>17</v>
      </c>
      <c r="R54" s="4" t="s">
        <v>120</v>
      </c>
      <c r="S54" s="4" t="s">
        <v>2070</v>
      </c>
    </row>
    <row r="55" spans="1:19" ht="31" customHeight="1">
      <c r="A55" s="4" t="s">
        <v>357</v>
      </c>
      <c r="B55" s="4" t="s">
        <v>346</v>
      </c>
      <c r="C55" s="4" t="s">
        <v>173</v>
      </c>
      <c r="D55" s="4" t="s">
        <v>2054</v>
      </c>
      <c r="E55" s="4" t="s">
        <v>2054</v>
      </c>
      <c r="F55" s="4" t="s">
        <v>2054</v>
      </c>
      <c r="G55" s="4" t="s">
        <v>2054</v>
      </c>
      <c r="H55" s="4" t="s">
        <v>2054</v>
      </c>
      <c r="I55" s="4" t="s">
        <v>2054</v>
      </c>
      <c r="J55" s="4" t="s">
        <v>2054</v>
      </c>
      <c r="K55" s="6">
        <v>0.0459</v>
      </c>
      <c r="L55" s="4" t="s">
        <v>135</v>
      </c>
      <c r="M55" s="4" t="s">
        <v>2054</v>
      </c>
      <c r="N55" s="4" t="s">
        <v>2054</v>
      </c>
      <c r="O55" s="4" t="s">
        <v>348</v>
      </c>
      <c r="P55" s="6">
        <v>13</v>
      </c>
      <c r="Q55" s="6">
        <v>13</v>
      </c>
      <c r="R55" s="4" t="s">
        <v>120</v>
      </c>
      <c r="S55" s="4" t="s">
        <v>2071</v>
      </c>
    </row>
    <row r="56" spans="1:19" ht="31" customHeight="1">
      <c r="A56" s="4" t="s">
        <v>360</v>
      </c>
      <c r="B56" s="4" t="s">
        <v>346</v>
      </c>
      <c r="C56" s="4" t="s">
        <v>173</v>
      </c>
      <c r="D56" s="4" t="s">
        <v>173</v>
      </c>
      <c r="E56" s="6">
        <v>4635.07</v>
      </c>
      <c r="F56" s="6">
        <v>3756.2</v>
      </c>
      <c r="G56" s="6">
        <v>300.02</v>
      </c>
      <c r="H56" s="6">
        <v>175.94</v>
      </c>
      <c r="I56" s="4" t="s">
        <v>2054</v>
      </c>
      <c r="J56" s="6">
        <v>0.1156</v>
      </c>
      <c r="K56" s="6">
        <v>0.0118207492011987</v>
      </c>
      <c r="L56" s="4" t="s">
        <v>135</v>
      </c>
      <c r="M56" s="6">
        <v>0</v>
      </c>
      <c r="N56" s="4" t="s">
        <v>2054</v>
      </c>
      <c r="O56" s="4" t="s">
        <v>348</v>
      </c>
      <c r="P56" s="6">
        <v>10</v>
      </c>
      <c r="Q56" s="6">
        <v>10</v>
      </c>
      <c r="R56" s="4" t="s">
        <v>120</v>
      </c>
      <c r="S56" s="4" t="s">
        <v>2070</v>
      </c>
    </row>
    <row r="57" spans="1:19" ht="31" customHeight="1">
      <c r="A57" s="4" t="s">
        <v>363</v>
      </c>
      <c r="B57" s="4" t="s">
        <v>346</v>
      </c>
      <c r="C57" s="4" t="s">
        <v>158</v>
      </c>
      <c r="D57" s="4" t="s">
        <v>173</v>
      </c>
      <c r="E57" s="6">
        <v>372.27</v>
      </c>
      <c r="F57" s="6">
        <v>6420.77</v>
      </c>
      <c r="G57" s="6">
        <v>61.35</v>
      </c>
      <c r="H57" s="6">
        <v>1431.74</v>
      </c>
      <c r="I57" s="4" t="s">
        <v>2054</v>
      </c>
      <c r="J57" s="6">
        <v>0.0927</v>
      </c>
      <c r="K57" s="6">
        <v>0</v>
      </c>
      <c r="L57" s="6">
        <v>0</v>
      </c>
      <c r="M57" s="6">
        <v>0</v>
      </c>
      <c r="N57" s="4" t="s">
        <v>2054</v>
      </c>
      <c r="O57" s="4" t="s">
        <v>348</v>
      </c>
      <c r="P57" s="6">
        <v>23</v>
      </c>
      <c r="Q57" s="6">
        <v>23</v>
      </c>
      <c r="R57" s="4" t="s">
        <v>120</v>
      </c>
      <c r="S57" s="4" t="s">
        <v>2070</v>
      </c>
    </row>
    <row r="58" spans="1:19" ht="31" customHeight="1">
      <c r="A58" s="4" t="s">
        <v>366</v>
      </c>
      <c r="B58" s="4" t="s">
        <v>346</v>
      </c>
      <c r="C58" s="4" t="s">
        <v>130</v>
      </c>
      <c r="D58" s="4" t="s">
        <v>173</v>
      </c>
      <c r="E58" s="6">
        <v>7993.66</v>
      </c>
      <c r="F58" s="6">
        <v>69475.37</v>
      </c>
      <c r="G58" s="6">
        <v>4366.82</v>
      </c>
      <c r="H58" s="6">
        <v>3854.03</v>
      </c>
      <c r="I58" s="4" t="s">
        <v>2054</v>
      </c>
      <c r="J58" s="6">
        <v>0.094</v>
      </c>
      <c r="K58" s="6">
        <v>0</v>
      </c>
      <c r="L58" s="6">
        <v>0</v>
      </c>
      <c r="M58" s="6">
        <v>0</v>
      </c>
      <c r="N58" s="4" t="s">
        <v>2054</v>
      </c>
      <c r="O58" s="4" t="s">
        <v>348</v>
      </c>
      <c r="P58" s="6">
        <v>18</v>
      </c>
      <c r="Q58" s="6">
        <v>18</v>
      </c>
      <c r="R58" s="4" t="s">
        <v>120</v>
      </c>
      <c r="S58" s="4" t="s">
        <v>2070</v>
      </c>
    </row>
    <row r="59" spans="1:19" ht="31" customHeight="1">
      <c r="A59" s="4" t="s">
        <v>371</v>
      </c>
      <c r="B59" s="4" t="s">
        <v>346</v>
      </c>
      <c r="C59" s="4" t="s">
        <v>130</v>
      </c>
      <c r="D59" s="4" t="s">
        <v>173</v>
      </c>
      <c r="E59" s="6">
        <v>255734.45</v>
      </c>
      <c r="F59" s="6">
        <v>379524.1</v>
      </c>
      <c r="G59" s="6">
        <v>17673.33</v>
      </c>
      <c r="H59" s="6">
        <v>129559.34</v>
      </c>
      <c r="I59" s="4" t="s">
        <v>2054</v>
      </c>
      <c r="J59" s="6">
        <v>0.0775</v>
      </c>
      <c r="K59" s="6">
        <v>0.498821609681449</v>
      </c>
      <c r="L59" s="4" t="s">
        <v>135</v>
      </c>
      <c r="M59" s="6">
        <v>1</v>
      </c>
      <c r="N59" s="4" t="s">
        <v>2054</v>
      </c>
      <c r="O59" s="4" t="s">
        <v>348</v>
      </c>
      <c r="P59" s="6">
        <v>24</v>
      </c>
      <c r="Q59" s="6">
        <v>24</v>
      </c>
      <c r="R59" s="4" t="s">
        <v>120</v>
      </c>
      <c r="S59" s="4" t="s">
        <v>2070</v>
      </c>
    </row>
    <row r="60" spans="1:19" ht="31" customHeight="1">
      <c r="A60" s="4" t="s">
        <v>375</v>
      </c>
      <c r="B60" s="4" t="s">
        <v>346</v>
      </c>
      <c r="C60" s="4" t="s">
        <v>130</v>
      </c>
      <c r="D60" s="4" t="s">
        <v>173</v>
      </c>
      <c r="E60" s="6">
        <v>13779.5</v>
      </c>
      <c r="F60" s="6">
        <v>49840.6</v>
      </c>
      <c r="G60" s="6">
        <v>2766.6</v>
      </c>
      <c r="H60" s="6">
        <v>7080.4</v>
      </c>
      <c r="I60" s="4" t="s">
        <v>2054</v>
      </c>
      <c r="J60" s="6">
        <v>0.0958</v>
      </c>
      <c r="K60" s="6">
        <v>0</v>
      </c>
      <c r="L60" s="6">
        <v>0</v>
      </c>
      <c r="M60" s="6">
        <v>0</v>
      </c>
      <c r="N60" s="4" t="s">
        <v>2054</v>
      </c>
      <c r="O60" s="4" t="s">
        <v>348</v>
      </c>
      <c r="P60" s="6">
        <v>20</v>
      </c>
      <c r="Q60" s="6">
        <v>20</v>
      </c>
      <c r="R60" s="4" t="s">
        <v>120</v>
      </c>
      <c r="S60" s="4" t="s">
        <v>2070</v>
      </c>
    </row>
    <row r="61" spans="1:19" ht="31" customHeight="1">
      <c r="A61" s="4" t="s">
        <v>378</v>
      </c>
      <c r="B61" s="4" t="s">
        <v>346</v>
      </c>
      <c r="C61" s="4" t="s">
        <v>130</v>
      </c>
      <c r="D61" s="4" t="s">
        <v>173</v>
      </c>
      <c r="E61" s="6">
        <v>4922.84</v>
      </c>
      <c r="F61" s="6">
        <v>55465.52</v>
      </c>
      <c r="G61" s="6">
        <v>1389.23</v>
      </c>
      <c r="H61" s="6">
        <v>12561.16</v>
      </c>
      <c r="I61" s="4" t="s">
        <v>2054</v>
      </c>
      <c r="J61" s="6">
        <v>0.0898</v>
      </c>
      <c r="K61" s="6">
        <v>0</v>
      </c>
      <c r="L61" s="6">
        <v>0</v>
      </c>
      <c r="M61" s="6">
        <v>0</v>
      </c>
      <c r="N61" s="4" t="s">
        <v>2054</v>
      </c>
      <c r="O61" s="4" t="s">
        <v>348</v>
      </c>
      <c r="P61" s="6">
        <v>21</v>
      </c>
      <c r="Q61" s="6">
        <v>21</v>
      </c>
      <c r="R61" s="4" t="s">
        <v>120</v>
      </c>
      <c r="S61" s="4" t="s">
        <v>2070</v>
      </c>
    </row>
    <row r="62" spans="1:19" ht="31" customHeight="1">
      <c r="A62" s="4" t="s">
        <v>381</v>
      </c>
      <c r="B62" s="4" t="s">
        <v>346</v>
      </c>
      <c r="C62" s="4" t="s">
        <v>130</v>
      </c>
      <c r="D62" s="4" t="s">
        <v>173</v>
      </c>
      <c r="E62" s="6">
        <v>22199.36</v>
      </c>
      <c r="F62" s="6">
        <v>21006.38</v>
      </c>
      <c r="G62" s="6">
        <v>868.25</v>
      </c>
      <c r="H62" s="6">
        <v>1593.58</v>
      </c>
      <c r="I62" s="4" t="s">
        <v>2054</v>
      </c>
      <c r="J62" s="6">
        <v>0.5285</v>
      </c>
      <c r="K62" s="6">
        <v>0.00166040822798495</v>
      </c>
      <c r="L62" s="4" t="s">
        <v>135</v>
      </c>
      <c r="M62" s="6">
        <v>0</v>
      </c>
      <c r="N62" s="4" t="s">
        <v>2054</v>
      </c>
      <c r="O62" s="4" t="s">
        <v>348</v>
      </c>
      <c r="P62" s="6">
        <v>18</v>
      </c>
      <c r="Q62" s="6">
        <v>18</v>
      </c>
      <c r="R62" s="4" t="s">
        <v>120</v>
      </c>
      <c r="S62" s="4" t="s">
        <v>2070</v>
      </c>
    </row>
    <row r="63" spans="1:19" ht="31" customHeight="1">
      <c r="A63" s="4" t="s">
        <v>384</v>
      </c>
      <c r="B63" s="4" t="s">
        <v>385</v>
      </c>
      <c r="C63" s="4" t="s">
        <v>113</v>
      </c>
      <c r="D63" s="4" t="s">
        <v>113</v>
      </c>
      <c r="E63" s="4" t="s">
        <v>2054</v>
      </c>
      <c r="F63" s="4" t="s">
        <v>2054</v>
      </c>
      <c r="G63" s="4" t="s">
        <v>2054</v>
      </c>
      <c r="H63" s="4" t="s">
        <v>2054</v>
      </c>
      <c r="I63" s="4" t="s">
        <v>2054</v>
      </c>
      <c r="J63" s="6">
        <v>0.06809999999999999</v>
      </c>
      <c r="K63" s="4" t="s">
        <v>2054</v>
      </c>
      <c r="L63" s="4" t="s">
        <v>2054</v>
      </c>
      <c r="M63" s="6">
        <v>0</v>
      </c>
      <c r="N63" s="4" t="s">
        <v>2054</v>
      </c>
      <c r="O63" s="4" t="s">
        <v>386</v>
      </c>
      <c r="P63" s="4" t="s">
        <v>2062</v>
      </c>
      <c r="Q63" s="6">
        <v>24</v>
      </c>
      <c r="R63" s="4" t="s">
        <v>315</v>
      </c>
      <c r="S63" s="4" t="s">
        <v>2072</v>
      </c>
    </row>
    <row r="64" spans="1:19" ht="31" customHeight="1">
      <c r="A64" s="4" t="s">
        <v>395</v>
      </c>
      <c r="B64" s="4" t="s">
        <v>385</v>
      </c>
      <c r="C64" s="4" t="s">
        <v>113</v>
      </c>
      <c r="D64" s="4" t="s">
        <v>113</v>
      </c>
      <c r="E64" s="4" t="s">
        <v>2054</v>
      </c>
      <c r="F64" s="4" t="s">
        <v>2054</v>
      </c>
      <c r="G64" s="4" t="s">
        <v>2054</v>
      </c>
      <c r="H64" s="4" t="s">
        <v>2054</v>
      </c>
      <c r="I64" s="4" t="s">
        <v>2054</v>
      </c>
      <c r="J64" s="6">
        <v>0.0621</v>
      </c>
      <c r="K64" s="4" t="s">
        <v>2054</v>
      </c>
      <c r="L64" s="4" t="s">
        <v>2054</v>
      </c>
      <c r="M64" s="6">
        <v>0</v>
      </c>
      <c r="N64" s="4" t="s">
        <v>2054</v>
      </c>
      <c r="O64" s="4" t="s">
        <v>386</v>
      </c>
      <c r="P64" s="4" t="s">
        <v>2062</v>
      </c>
      <c r="Q64" s="6">
        <v>21</v>
      </c>
      <c r="R64" s="4" t="s">
        <v>315</v>
      </c>
      <c r="S64" s="4" t="s">
        <v>2072</v>
      </c>
    </row>
    <row r="65" spans="1:19" ht="31" customHeight="1">
      <c r="A65" s="4" t="s">
        <v>397</v>
      </c>
      <c r="B65" s="4" t="s">
        <v>385</v>
      </c>
      <c r="C65" s="4" t="s">
        <v>113</v>
      </c>
      <c r="D65" s="4" t="s">
        <v>113</v>
      </c>
      <c r="E65" s="4" t="s">
        <v>2054</v>
      </c>
      <c r="F65" s="4" t="s">
        <v>2054</v>
      </c>
      <c r="G65" s="4" t="s">
        <v>2054</v>
      </c>
      <c r="H65" s="4" t="s">
        <v>2054</v>
      </c>
      <c r="I65" s="4" t="s">
        <v>2054</v>
      </c>
      <c r="J65" s="6">
        <v>0.1649</v>
      </c>
      <c r="K65" s="4" t="s">
        <v>2054</v>
      </c>
      <c r="L65" s="4" t="s">
        <v>2054</v>
      </c>
      <c r="M65" s="6">
        <v>0</v>
      </c>
      <c r="N65" s="4" t="s">
        <v>2054</v>
      </c>
      <c r="O65" s="4" t="s">
        <v>386</v>
      </c>
      <c r="P65" s="4" t="s">
        <v>2062</v>
      </c>
      <c r="Q65" s="6">
        <v>17</v>
      </c>
      <c r="R65" s="4" t="s">
        <v>315</v>
      </c>
      <c r="S65" s="4" t="s">
        <v>2072</v>
      </c>
    </row>
    <row r="66" spans="1:19" ht="31" customHeight="1">
      <c r="A66" s="4" t="s">
        <v>399</v>
      </c>
      <c r="B66" s="4" t="s">
        <v>385</v>
      </c>
      <c r="C66" s="4" t="s">
        <v>113</v>
      </c>
      <c r="D66" s="4" t="s">
        <v>113</v>
      </c>
      <c r="E66" s="4" t="s">
        <v>2054</v>
      </c>
      <c r="F66" s="4" t="s">
        <v>2054</v>
      </c>
      <c r="G66" s="4" t="s">
        <v>2054</v>
      </c>
      <c r="H66" s="4" t="s">
        <v>2054</v>
      </c>
      <c r="I66" s="4" t="s">
        <v>2054</v>
      </c>
      <c r="J66" s="4" t="s">
        <v>2054</v>
      </c>
      <c r="K66" s="4" t="s">
        <v>2054</v>
      </c>
      <c r="L66" s="4" t="s">
        <v>2054</v>
      </c>
      <c r="M66" s="6">
        <v>0</v>
      </c>
      <c r="N66" s="4" t="s">
        <v>2054</v>
      </c>
      <c r="O66" s="4" t="s">
        <v>386</v>
      </c>
      <c r="P66" s="4" t="s">
        <v>2062</v>
      </c>
      <c r="Q66" s="6">
        <v>17</v>
      </c>
      <c r="R66" s="4" t="s">
        <v>315</v>
      </c>
      <c r="S66" s="4" t="s">
        <v>2073</v>
      </c>
    </row>
    <row r="67" spans="1:19" ht="31" customHeight="1">
      <c r="A67" s="4" t="s">
        <v>404</v>
      </c>
      <c r="B67" s="4" t="s">
        <v>385</v>
      </c>
      <c r="C67" s="4" t="s">
        <v>113</v>
      </c>
      <c r="D67" s="4" t="s">
        <v>113</v>
      </c>
      <c r="E67" s="4" t="s">
        <v>2054</v>
      </c>
      <c r="F67" s="4" t="s">
        <v>2054</v>
      </c>
      <c r="G67" s="4" t="s">
        <v>2054</v>
      </c>
      <c r="H67" s="4" t="s">
        <v>2054</v>
      </c>
      <c r="I67" s="4" t="s">
        <v>2054</v>
      </c>
      <c r="J67" s="6">
        <v>1.5222</v>
      </c>
      <c r="K67" s="4" t="s">
        <v>2054</v>
      </c>
      <c r="L67" s="4" t="s">
        <v>2054</v>
      </c>
      <c r="M67" s="6">
        <v>0</v>
      </c>
      <c r="N67" s="4" t="s">
        <v>2054</v>
      </c>
      <c r="O67" s="4" t="s">
        <v>386</v>
      </c>
      <c r="P67" s="4" t="s">
        <v>2062</v>
      </c>
      <c r="Q67" s="6">
        <v>17</v>
      </c>
      <c r="R67" s="4" t="s">
        <v>315</v>
      </c>
      <c r="S67" s="4" t="s">
        <v>2072</v>
      </c>
    </row>
    <row r="68" spans="1:19" ht="31" customHeight="1">
      <c r="A68" s="4" t="s">
        <v>407</v>
      </c>
      <c r="B68" s="4" t="s">
        <v>385</v>
      </c>
      <c r="C68" s="4" t="s">
        <v>113</v>
      </c>
      <c r="D68" s="4" t="s">
        <v>113</v>
      </c>
      <c r="E68" s="4" t="s">
        <v>2054</v>
      </c>
      <c r="F68" s="4" t="s">
        <v>2054</v>
      </c>
      <c r="G68" s="4" t="s">
        <v>2054</v>
      </c>
      <c r="H68" s="4" t="s">
        <v>2054</v>
      </c>
      <c r="I68" s="4" t="s">
        <v>2054</v>
      </c>
      <c r="J68" s="4" t="s">
        <v>2054</v>
      </c>
      <c r="K68" s="4" t="s">
        <v>2054</v>
      </c>
      <c r="L68" s="4" t="s">
        <v>2054</v>
      </c>
      <c r="M68" s="6">
        <v>0</v>
      </c>
      <c r="N68" s="4" t="s">
        <v>2054</v>
      </c>
      <c r="O68" s="4" t="s">
        <v>386</v>
      </c>
      <c r="P68" s="4" t="s">
        <v>2062</v>
      </c>
      <c r="Q68" s="6">
        <v>17</v>
      </c>
      <c r="R68" s="4" t="s">
        <v>315</v>
      </c>
      <c r="S68" s="4" t="s">
        <v>2074</v>
      </c>
    </row>
    <row r="69" spans="1:19" ht="31" customHeight="1">
      <c r="A69" s="4" t="s">
        <v>412</v>
      </c>
      <c r="B69" s="4" t="s">
        <v>385</v>
      </c>
      <c r="C69" s="4" t="s">
        <v>113</v>
      </c>
      <c r="D69" s="4" t="s">
        <v>113</v>
      </c>
      <c r="E69" s="4" t="s">
        <v>2054</v>
      </c>
      <c r="F69" s="4" t="s">
        <v>2054</v>
      </c>
      <c r="G69" s="4" t="s">
        <v>2054</v>
      </c>
      <c r="H69" s="4" t="s">
        <v>2054</v>
      </c>
      <c r="I69" s="4" t="s">
        <v>2054</v>
      </c>
      <c r="J69" s="4" t="s">
        <v>2054</v>
      </c>
      <c r="K69" s="4" t="s">
        <v>2054</v>
      </c>
      <c r="L69" s="4" t="s">
        <v>2054</v>
      </c>
      <c r="M69" s="6">
        <v>0</v>
      </c>
      <c r="N69" s="4" t="s">
        <v>2054</v>
      </c>
      <c r="O69" s="4" t="s">
        <v>386</v>
      </c>
      <c r="P69" s="4" t="s">
        <v>2062</v>
      </c>
      <c r="Q69" s="6">
        <v>16</v>
      </c>
      <c r="R69" s="4" t="s">
        <v>315</v>
      </c>
      <c r="S69" s="4" t="s">
        <v>2075</v>
      </c>
    </row>
    <row r="70" spans="1:19" ht="31" customHeight="1">
      <c r="A70" s="4" t="s">
        <v>417</v>
      </c>
      <c r="B70" s="4" t="s">
        <v>385</v>
      </c>
      <c r="C70" s="4" t="s">
        <v>113</v>
      </c>
      <c r="D70" s="4" t="s">
        <v>113</v>
      </c>
      <c r="E70" s="4" t="s">
        <v>2054</v>
      </c>
      <c r="F70" s="4" t="s">
        <v>2054</v>
      </c>
      <c r="G70" s="4" t="s">
        <v>2054</v>
      </c>
      <c r="H70" s="4" t="s">
        <v>2054</v>
      </c>
      <c r="I70" s="4" t="s">
        <v>2054</v>
      </c>
      <c r="J70" s="6">
        <v>0.4595</v>
      </c>
      <c r="K70" s="4" t="s">
        <v>2054</v>
      </c>
      <c r="L70" s="4" t="s">
        <v>2054</v>
      </c>
      <c r="M70" s="6">
        <v>0</v>
      </c>
      <c r="N70" s="4" t="s">
        <v>2054</v>
      </c>
      <c r="O70" s="4" t="s">
        <v>386</v>
      </c>
      <c r="P70" s="4" t="s">
        <v>2062</v>
      </c>
      <c r="Q70" s="6">
        <v>14</v>
      </c>
      <c r="R70" s="4" t="s">
        <v>315</v>
      </c>
      <c r="S70" s="4" t="s">
        <v>2072</v>
      </c>
    </row>
    <row r="71" spans="1:19" ht="31" customHeight="1">
      <c r="A71" s="4" t="s">
        <v>419</v>
      </c>
      <c r="B71" s="4" t="s">
        <v>385</v>
      </c>
      <c r="C71" s="4" t="s">
        <v>113</v>
      </c>
      <c r="D71" s="4" t="s">
        <v>113</v>
      </c>
      <c r="E71" s="4" t="s">
        <v>2054</v>
      </c>
      <c r="F71" s="4" t="s">
        <v>2054</v>
      </c>
      <c r="G71" s="4" t="s">
        <v>2054</v>
      </c>
      <c r="H71" s="4" t="s">
        <v>2054</v>
      </c>
      <c r="I71" s="4" t="s">
        <v>2054</v>
      </c>
      <c r="J71" s="6">
        <v>0.2611</v>
      </c>
      <c r="K71" s="4" t="s">
        <v>2054</v>
      </c>
      <c r="L71" s="4" t="s">
        <v>2054</v>
      </c>
      <c r="M71" s="6">
        <v>0</v>
      </c>
      <c r="N71" s="4" t="s">
        <v>2054</v>
      </c>
      <c r="O71" s="4" t="s">
        <v>386</v>
      </c>
      <c r="P71" s="4" t="s">
        <v>2062</v>
      </c>
      <c r="Q71" s="6">
        <v>10</v>
      </c>
      <c r="R71" s="4" t="s">
        <v>315</v>
      </c>
      <c r="S71" s="4" t="s">
        <v>2072</v>
      </c>
    </row>
    <row r="72" spans="1:19" ht="31" customHeight="1">
      <c r="A72" s="4" t="s">
        <v>421</v>
      </c>
      <c r="B72" s="4" t="s">
        <v>385</v>
      </c>
      <c r="C72" s="4" t="s">
        <v>113</v>
      </c>
      <c r="D72" s="4" t="s">
        <v>113</v>
      </c>
      <c r="E72" s="4" t="s">
        <v>2054</v>
      </c>
      <c r="F72" s="4" t="s">
        <v>2054</v>
      </c>
      <c r="G72" s="4" t="s">
        <v>2054</v>
      </c>
      <c r="H72" s="4" t="s">
        <v>2054</v>
      </c>
      <c r="I72" s="4" t="s">
        <v>2054</v>
      </c>
      <c r="J72" s="6">
        <v>0.1116</v>
      </c>
      <c r="K72" s="4" t="s">
        <v>2054</v>
      </c>
      <c r="L72" s="4" t="s">
        <v>2054</v>
      </c>
      <c r="M72" s="6">
        <v>0</v>
      </c>
      <c r="N72" s="4" t="s">
        <v>2054</v>
      </c>
      <c r="O72" s="4" t="s">
        <v>386</v>
      </c>
      <c r="P72" s="4" t="s">
        <v>2062</v>
      </c>
      <c r="Q72" s="6">
        <v>10</v>
      </c>
      <c r="R72" s="4" t="s">
        <v>315</v>
      </c>
      <c r="S72" s="4" t="s">
        <v>2072</v>
      </c>
    </row>
    <row r="73" spans="1:19" ht="31" customHeight="1">
      <c r="A73" s="4" t="s">
        <v>423</v>
      </c>
      <c r="B73" s="4" t="s">
        <v>424</v>
      </c>
      <c r="C73" s="4" t="s">
        <v>2054</v>
      </c>
      <c r="D73" s="4" t="s">
        <v>2054</v>
      </c>
      <c r="E73" s="4" t="s">
        <v>2054</v>
      </c>
      <c r="F73" s="4" t="s">
        <v>2054</v>
      </c>
      <c r="G73" s="4" t="s">
        <v>2054</v>
      </c>
      <c r="H73" s="4" t="s">
        <v>2054</v>
      </c>
      <c r="I73" s="4" t="s">
        <v>2054</v>
      </c>
      <c r="J73" s="4" t="s">
        <v>2054</v>
      </c>
      <c r="K73" s="4" t="s">
        <v>2054</v>
      </c>
      <c r="L73" s="4" t="s">
        <v>2054</v>
      </c>
      <c r="M73" s="6">
        <v>0</v>
      </c>
      <c r="N73" s="4" t="s">
        <v>2054</v>
      </c>
      <c r="O73" s="4" t="s">
        <v>425</v>
      </c>
      <c r="P73" s="6">
        <v>29</v>
      </c>
      <c r="Q73" s="6">
        <v>29</v>
      </c>
      <c r="R73" s="4" t="s">
        <v>195</v>
      </c>
      <c r="S73" s="4" t="s">
        <v>2076</v>
      </c>
    </row>
    <row r="74" spans="1:19" ht="31" customHeight="1">
      <c r="A74" s="4" t="s">
        <v>435</v>
      </c>
      <c r="B74" s="4" t="s">
        <v>424</v>
      </c>
      <c r="C74" s="4" t="s">
        <v>130</v>
      </c>
      <c r="D74" s="4" t="s">
        <v>2054</v>
      </c>
      <c r="E74" s="4" t="s">
        <v>2054</v>
      </c>
      <c r="F74" s="4" t="s">
        <v>2054</v>
      </c>
      <c r="G74" s="4" t="s">
        <v>2054</v>
      </c>
      <c r="H74" s="4" t="s">
        <v>2054</v>
      </c>
      <c r="I74" s="4" t="s">
        <v>2054</v>
      </c>
      <c r="J74" s="4" t="s">
        <v>2054</v>
      </c>
      <c r="K74" s="4" t="s">
        <v>2054</v>
      </c>
      <c r="L74" s="4" t="s">
        <v>2054</v>
      </c>
      <c r="M74" s="6">
        <v>0</v>
      </c>
      <c r="N74" s="4" t="s">
        <v>2054</v>
      </c>
      <c r="O74" s="4" t="s">
        <v>436</v>
      </c>
      <c r="P74" s="6">
        <v>27</v>
      </c>
      <c r="Q74" s="6">
        <v>27</v>
      </c>
      <c r="R74" s="4" t="s">
        <v>195</v>
      </c>
      <c r="S74" s="4" t="s">
        <v>2077</v>
      </c>
    </row>
    <row r="75" spans="1:19" ht="31" customHeight="1">
      <c r="A75" s="4" t="s">
        <v>440</v>
      </c>
      <c r="B75" s="4" t="s">
        <v>424</v>
      </c>
      <c r="C75" s="4" t="s">
        <v>2054</v>
      </c>
      <c r="D75" s="4" t="s">
        <v>2054</v>
      </c>
      <c r="E75" s="4" t="s">
        <v>2054</v>
      </c>
      <c r="F75" s="4" t="s">
        <v>2054</v>
      </c>
      <c r="G75" s="4" t="s">
        <v>2054</v>
      </c>
      <c r="H75" s="4" t="s">
        <v>2054</v>
      </c>
      <c r="I75" s="4" t="s">
        <v>2054</v>
      </c>
      <c r="J75" s="4" t="s">
        <v>2054</v>
      </c>
      <c r="K75" s="4" t="s">
        <v>2054</v>
      </c>
      <c r="L75" s="4" t="s">
        <v>2054</v>
      </c>
      <c r="M75" s="6">
        <v>0</v>
      </c>
      <c r="N75" s="4" t="s">
        <v>2054</v>
      </c>
      <c r="O75" s="4" t="s">
        <v>442</v>
      </c>
      <c r="P75" s="6">
        <v>30</v>
      </c>
      <c r="Q75" s="6">
        <v>30</v>
      </c>
      <c r="R75" s="4" t="s">
        <v>195</v>
      </c>
      <c r="S75" s="4" t="s">
        <v>2078</v>
      </c>
    </row>
    <row r="76" spans="1:19" ht="31" customHeight="1">
      <c r="A76" s="4" t="s">
        <v>446</v>
      </c>
      <c r="B76" s="4" t="s">
        <v>424</v>
      </c>
      <c r="C76" s="4" t="s">
        <v>2054</v>
      </c>
      <c r="D76" s="4" t="s">
        <v>2054</v>
      </c>
      <c r="E76" s="4" t="s">
        <v>2054</v>
      </c>
      <c r="F76" s="4" t="s">
        <v>2054</v>
      </c>
      <c r="G76" s="4" t="s">
        <v>2054</v>
      </c>
      <c r="H76" s="4" t="s">
        <v>2054</v>
      </c>
      <c r="I76" s="4" t="s">
        <v>2054</v>
      </c>
      <c r="J76" s="4" t="s">
        <v>2054</v>
      </c>
      <c r="K76" s="4" t="s">
        <v>2054</v>
      </c>
      <c r="L76" s="4" t="s">
        <v>2054</v>
      </c>
      <c r="M76" s="6">
        <v>0</v>
      </c>
      <c r="N76" s="4" t="s">
        <v>2054</v>
      </c>
      <c r="O76" s="4" t="s">
        <v>447</v>
      </c>
      <c r="P76" s="6">
        <v>30</v>
      </c>
      <c r="Q76" s="6">
        <v>30</v>
      </c>
      <c r="R76" s="4" t="s">
        <v>195</v>
      </c>
      <c r="S76" s="4" t="s">
        <v>2079</v>
      </c>
    </row>
    <row r="77" spans="1:19" ht="31" customHeight="1">
      <c r="A77" s="4" t="s">
        <v>451</v>
      </c>
      <c r="B77" s="4" t="s">
        <v>424</v>
      </c>
      <c r="C77" s="4" t="s">
        <v>2054</v>
      </c>
      <c r="D77" s="4" t="s">
        <v>2054</v>
      </c>
      <c r="E77" s="4" t="s">
        <v>2054</v>
      </c>
      <c r="F77" s="4" t="s">
        <v>2054</v>
      </c>
      <c r="G77" s="4" t="s">
        <v>2054</v>
      </c>
      <c r="H77" s="4" t="s">
        <v>2054</v>
      </c>
      <c r="I77" s="4" t="s">
        <v>2054</v>
      </c>
      <c r="J77" s="4" t="s">
        <v>2054</v>
      </c>
      <c r="K77" s="4" t="s">
        <v>2054</v>
      </c>
      <c r="L77" s="4" t="s">
        <v>2054</v>
      </c>
      <c r="M77" s="6">
        <v>0</v>
      </c>
      <c r="N77" s="4" t="s">
        <v>2054</v>
      </c>
      <c r="O77" s="4" t="s">
        <v>452</v>
      </c>
      <c r="P77" s="6">
        <v>27</v>
      </c>
      <c r="Q77" s="6">
        <v>27</v>
      </c>
      <c r="R77" s="4" t="s">
        <v>195</v>
      </c>
      <c r="S77" s="4" t="s">
        <v>2076</v>
      </c>
    </row>
    <row r="78" spans="1:19" ht="31" customHeight="1">
      <c r="A78" s="4" t="s">
        <v>455</v>
      </c>
      <c r="B78" s="4" t="s">
        <v>424</v>
      </c>
      <c r="C78" s="4" t="s">
        <v>2054</v>
      </c>
      <c r="D78" s="4" t="s">
        <v>2054</v>
      </c>
      <c r="E78" s="4" t="s">
        <v>2054</v>
      </c>
      <c r="F78" s="4" t="s">
        <v>2054</v>
      </c>
      <c r="G78" s="4" t="s">
        <v>2054</v>
      </c>
      <c r="H78" s="4" t="s">
        <v>2054</v>
      </c>
      <c r="I78" s="4" t="s">
        <v>2054</v>
      </c>
      <c r="J78" s="4" t="s">
        <v>2054</v>
      </c>
      <c r="K78" s="4" t="s">
        <v>2054</v>
      </c>
      <c r="L78" s="4" t="s">
        <v>2054</v>
      </c>
      <c r="M78" s="6">
        <v>0</v>
      </c>
      <c r="N78" s="4" t="s">
        <v>2054</v>
      </c>
      <c r="O78" s="4" t="s">
        <v>447</v>
      </c>
      <c r="P78" s="6">
        <v>28</v>
      </c>
      <c r="Q78" s="6">
        <v>28</v>
      </c>
      <c r="R78" s="4" t="s">
        <v>195</v>
      </c>
      <c r="S78" s="4" t="s">
        <v>2080</v>
      </c>
    </row>
    <row r="79" spans="1:19" ht="31" customHeight="1">
      <c r="A79" s="4" t="s">
        <v>459</v>
      </c>
      <c r="B79" s="4" t="s">
        <v>424</v>
      </c>
      <c r="C79" s="4" t="s">
        <v>2054</v>
      </c>
      <c r="D79" s="4" t="s">
        <v>2054</v>
      </c>
      <c r="E79" s="4" t="s">
        <v>2054</v>
      </c>
      <c r="F79" s="4" t="s">
        <v>2054</v>
      </c>
      <c r="G79" s="4" t="s">
        <v>2054</v>
      </c>
      <c r="H79" s="4" t="s">
        <v>2054</v>
      </c>
      <c r="I79" s="4" t="s">
        <v>2054</v>
      </c>
      <c r="J79" s="4" t="s">
        <v>2054</v>
      </c>
      <c r="K79" s="4" t="s">
        <v>2054</v>
      </c>
      <c r="L79" s="4" t="s">
        <v>2054</v>
      </c>
      <c r="M79" s="6">
        <v>0</v>
      </c>
      <c r="N79" s="4" t="s">
        <v>2054</v>
      </c>
      <c r="O79" s="4" t="s">
        <v>460</v>
      </c>
      <c r="P79" s="6">
        <v>30</v>
      </c>
      <c r="Q79" s="6">
        <v>30</v>
      </c>
      <c r="R79" s="4" t="s">
        <v>195</v>
      </c>
      <c r="S79" s="4" t="s">
        <v>2078</v>
      </c>
    </row>
    <row r="80" spans="1:19" ht="31" customHeight="1">
      <c r="A80" s="4" t="s">
        <v>463</v>
      </c>
      <c r="B80" s="4" t="s">
        <v>237</v>
      </c>
      <c r="C80" s="4" t="s">
        <v>2054</v>
      </c>
      <c r="D80" s="4" t="s">
        <v>130</v>
      </c>
      <c r="E80" s="6">
        <v>2418</v>
      </c>
      <c r="F80" s="4" t="s">
        <v>2054</v>
      </c>
      <c r="G80" s="6">
        <v>180.1</v>
      </c>
      <c r="H80" s="4" t="s">
        <v>2054</v>
      </c>
      <c r="I80" s="4" t="s">
        <v>2054</v>
      </c>
      <c r="J80" s="4" t="s">
        <v>2054</v>
      </c>
      <c r="K80" s="4" t="s">
        <v>2054</v>
      </c>
      <c r="L80" s="4" t="s">
        <v>2054</v>
      </c>
      <c r="M80" s="4" t="s">
        <v>2054</v>
      </c>
      <c r="N80" s="4" t="s">
        <v>2054</v>
      </c>
      <c r="O80" s="4" t="s">
        <v>464</v>
      </c>
      <c r="P80" s="4" t="s">
        <v>2062</v>
      </c>
      <c r="Q80" s="4" t="s">
        <v>2063</v>
      </c>
      <c r="R80" s="4" t="s">
        <v>467</v>
      </c>
      <c r="S80" s="4" t="s">
        <v>2081</v>
      </c>
    </row>
    <row r="81" spans="1:19" ht="31" customHeight="1">
      <c r="A81" s="4" t="s">
        <v>469</v>
      </c>
      <c r="B81" s="4" t="s">
        <v>237</v>
      </c>
      <c r="C81" s="4" t="s">
        <v>2054</v>
      </c>
      <c r="D81" s="4" t="s">
        <v>2054</v>
      </c>
      <c r="E81" s="4" t="s">
        <v>2054</v>
      </c>
      <c r="F81" s="4" t="s">
        <v>2054</v>
      </c>
      <c r="G81" s="4" t="s">
        <v>2054</v>
      </c>
      <c r="H81" s="4" t="s">
        <v>2054</v>
      </c>
      <c r="I81" s="4" t="s">
        <v>2054</v>
      </c>
      <c r="J81" s="4" t="s">
        <v>2054</v>
      </c>
      <c r="K81" s="4" t="s">
        <v>2054</v>
      </c>
      <c r="L81" s="4" t="s">
        <v>2054</v>
      </c>
      <c r="M81" s="4" t="s">
        <v>2054</v>
      </c>
      <c r="N81" s="4" t="s">
        <v>2054</v>
      </c>
      <c r="O81" s="4" t="s">
        <v>464</v>
      </c>
      <c r="P81" s="4" t="s">
        <v>2062</v>
      </c>
      <c r="Q81" s="4" t="s">
        <v>2063</v>
      </c>
      <c r="R81" s="4" t="s">
        <v>467</v>
      </c>
      <c r="S81" s="4" t="s">
        <v>2081</v>
      </c>
    </row>
    <row r="82" spans="1:19" ht="31" customHeight="1">
      <c r="A82" s="4" t="s">
        <v>472</v>
      </c>
      <c r="B82" s="4" t="s">
        <v>237</v>
      </c>
      <c r="C82" s="4" t="s">
        <v>2054</v>
      </c>
      <c r="D82" s="4" t="s">
        <v>130</v>
      </c>
      <c r="E82" s="6">
        <v>1867</v>
      </c>
      <c r="F82" s="4" t="s">
        <v>2054</v>
      </c>
      <c r="G82" s="6">
        <v>150.2</v>
      </c>
      <c r="H82" s="4" t="s">
        <v>2054</v>
      </c>
      <c r="I82" s="4" t="s">
        <v>2054</v>
      </c>
      <c r="J82" s="4" t="s">
        <v>2054</v>
      </c>
      <c r="K82" s="4" t="s">
        <v>2054</v>
      </c>
      <c r="L82" s="4" t="s">
        <v>2054</v>
      </c>
      <c r="M82" s="4" t="s">
        <v>2054</v>
      </c>
      <c r="N82" s="4" t="s">
        <v>2054</v>
      </c>
      <c r="O82" s="4" t="s">
        <v>464</v>
      </c>
      <c r="P82" s="4" t="s">
        <v>2062</v>
      </c>
      <c r="Q82" s="4" t="s">
        <v>2063</v>
      </c>
      <c r="R82" s="4" t="s">
        <v>467</v>
      </c>
      <c r="S82" s="4" t="s">
        <v>2081</v>
      </c>
    </row>
    <row r="83" spans="1:19" ht="31" customHeight="1">
      <c r="A83" s="4" t="s">
        <v>282</v>
      </c>
      <c r="B83" s="4" t="s">
        <v>424</v>
      </c>
      <c r="C83" s="4" t="s">
        <v>2054</v>
      </c>
      <c r="D83" s="4" t="s">
        <v>2054</v>
      </c>
      <c r="E83" s="4" t="s">
        <v>2054</v>
      </c>
      <c r="F83" s="4" t="s">
        <v>2054</v>
      </c>
      <c r="G83" s="4" t="s">
        <v>2054</v>
      </c>
      <c r="H83" s="4" t="s">
        <v>2054</v>
      </c>
      <c r="I83" s="4" t="s">
        <v>2054</v>
      </c>
      <c r="J83" s="4" t="s">
        <v>2054</v>
      </c>
      <c r="K83" s="4" t="s">
        <v>2054</v>
      </c>
      <c r="L83" s="4" t="s">
        <v>2054</v>
      </c>
      <c r="M83" s="4" t="s">
        <v>2054</v>
      </c>
      <c r="N83" s="4" t="s">
        <v>2054</v>
      </c>
      <c r="O83" s="4" t="s">
        <v>429</v>
      </c>
      <c r="P83" s="6">
        <v>19</v>
      </c>
      <c r="Q83" s="6">
        <v>19</v>
      </c>
      <c r="R83" s="4" t="s">
        <v>195</v>
      </c>
      <c r="S83" s="4" t="s">
        <v>2082</v>
      </c>
    </row>
  </sheetData>
  <autoFilter ref="A1:S83"/>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237C89"/>
    <pageSetUpPr fitToPage="1"/>
  </sheetPr>
  <dimension ref="A1:J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9" width="20.7109375" customWidth="1"/>
    <col min="10" max="10" width="65.7109375" customWidth="1"/>
  </cols>
  <sheetData>
    <row r="1" spans="1:10" ht="42" customHeight="1">
      <c r="A1" s="2" t="s">
        <v>34</v>
      </c>
      <c r="B1" s="2" t="s">
        <v>479</v>
      </c>
      <c r="C1" s="2" t="s">
        <v>480</v>
      </c>
      <c r="D1" s="2" t="s">
        <v>481</v>
      </c>
      <c r="E1" s="2" t="s">
        <v>482</v>
      </c>
      <c r="F1" s="2" t="s">
        <v>483</v>
      </c>
      <c r="G1" s="2" t="s">
        <v>484</v>
      </c>
      <c r="H1" s="2" t="s">
        <v>485</v>
      </c>
      <c r="I1" s="2" t="s">
        <v>486</v>
      </c>
      <c r="J1" s="2" t="s">
        <v>487</v>
      </c>
    </row>
    <row r="2" spans="1:10" ht="31" customHeight="1">
      <c r="A2" s="4" t="s">
        <v>110</v>
      </c>
      <c r="B2" s="7">
        <f>COUNTIF(Master_Panel!$B$2:$B$83,A2)</f>
        <v>9</v>
      </c>
      <c r="C2" s="7">
        <f>COUNTIFS(Master_Panel!$B$2:$B$83,A2,Master_Panel!$BB$2:$BB$83,10)</f>
        <v>9</v>
      </c>
      <c r="D2" s="7">
        <f>COUNTIFS(Master_Panel!$B$2:$B$83,A2,Master_Panel!$AU$2:$AU$83,"&gt;=0")</f>
        <v>9</v>
      </c>
      <c r="E2" s="7">
        <f>COUNTIFS(Master_Panel!$B$2:$B$83,A2,Master_Panel!$AX$2:$AX$83,"Yes")</f>
        <v>0</v>
      </c>
      <c r="F2" s="7">
        <f>COUNTIFS(Master_Panel!$B$2:$B$83,A2,Master_Panel!$AY$2:$AY$83,"Yes")</f>
        <v>9</v>
      </c>
      <c r="G2" s="7">
        <f>IFERROR(AVERAGEIFS(Master_Panel!$R$2:$R$83,Master_Panel!$B$2:$B$83,A2,Master_Panel!$AY$2:$AY$83,"Yes"),"")</f>
        <v>13.777777777777779</v>
      </c>
      <c r="H2" s="7">
        <f t="array" ref="H2">IF(F2=0,"",MEDIAN(IF((Master_Panel!$B$2:$B$83=A2)*(Master_Panel!$AY$2:$AY$83="Yes")*ISNUMBER(Master_Panel!$R$2:$R$83),Master_Panel!$R$2:$R$83)))</f>
        <v>16</v>
      </c>
      <c r="I2" s="7">
        <f>IFERROR(AVERAGEIFS(Master_Panel!$AU$2:$AU$83,Master_Panel!$B$2:$B$83,A2),"")</f>
        <v>13.777777777777779</v>
      </c>
      <c r="J2" s="4" t="s">
        <v>488</v>
      </c>
    </row>
    <row r="3" spans="1:10" ht="31" customHeight="1">
      <c r="A3" s="4" t="s">
        <v>157</v>
      </c>
      <c r="B3" s="7">
        <f>COUNTIF(Master_Panel!$B$2:$B$83,A3)</f>
        <v>7</v>
      </c>
      <c r="C3" s="7">
        <f>COUNTIFS(Master_Panel!$B$2:$B$83,A3,Master_Panel!$BB$2:$BB$83,10)</f>
        <v>7</v>
      </c>
      <c r="D3" s="7">
        <f>COUNTIFS(Master_Panel!$B$2:$B$83,A3,Master_Panel!$AU$2:$AU$83,"&gt;=0")</f>
        <v>7</v>
      </c>
      <c r="E3" s="7">
        <f>COUNTIFS(Master_Panel!$B$2:$B$83,A3,Master_Panel!$AX$2:$AX$83,"Yes")</f>
        <v>0</v>
      </c>
      <c r="F3" s="7">
        <f>COUNTIFS(Master_Panel!$B$2:$B$83,A3,Master_Panel!$AY$2:$AY$83,"Yes")</f>
        <v>7</v>
      </c>
      <c r="G3" s="7">
        <f>IFERROR(AVERAGEIFS(Master_Panel!$R$2:$R$83,Master_Panel!$B$2:$B$83,A3,Master_Panel!$AY$2:$AY$83,"Yes"),"")</f>
        <v>24</v>
      </c>
      <c r="H3" s="7">
        <f t="array" ref="H3">IF(F3=0,"",MEDIAN(IF((Master_Panel!$B$2:$B$83=A3)*(Master_Panel!$AY$2:$AY$83="Yes")*ISNUMBER(Master_Panel!$R$2:$R$83),Master_Panel!$R$2:$R$83)))</f>
        <v>23</v>
      </c>
      <c r="I3" s="7">
        <f>IFERROR(AVERAGEIFS(Master_Panel!$AU$2:$AU$83,Master_Panel!$B$2:$B$83,A3),"")</f>
        <v>24</v>
      </c>
      <c r="J3" s="4" t="s">
        <v>488</v>
      </c>
    </row>
    <row r="4" spans="1:10" ht="31" customHeight="1">
      <c r="A4" s="4" t="s">
        <v>191</v>
      </c>
      <c r="B4" s="7">
        <f>COUNTIF(Master_Panel!$B$2:$B$83,A4)</f>
        <v>10</v>
      </c>
      <c r="C4" s="7">
        <f>COUNTIFS(Master_Panel!$B$2:$B$83,A4,Master_Panel!$BB$2:$BB$83,10)</f>
        <v>10</v>
      </c>
      <c r="D4" s="7">
        <f>COUNTIFS(Master_Panel!$B$2:$B$83,A4,Master_Panel!$AU$2:$AU$83,"&gt;=0")</f>
        <v>10</v>
      </c>
      <c r="E4" s="7">
        <f>COUNTIFS(Master_Panel!$B$2:$B$83,A4,Master_Panel!$AX$2:$AX$83,"Yes")</f>
        <v>0</v>
      </c>
      <c r="F4" s="7">
        <f>COUNTIFS(Master_Panel!$B$2:$B$83,A4,Master_Panel!$AY$2:$AY$83,"Yes")</f>
        <v>0</v>
      </c>
      <c r="G4" s="7">
        <f>IFERROR(AVERAGEIFS(Master_Panel!$R$2:$R$83,Master_Panel!$B$2:$B$83,A4,Master_Panel!$AY$2:$AY$83,"Yes"),"")</f>
        <v/>
      </c>
      <c r="H4" s="7" t="str">
        <f t="array" ref="H4">IF(F4=0,"",MEDIAN(IF((Master_Panel!$B$2:$B$83=A4)*(Master_Panel!$AY$2:$AY$83="Yes")*ISNUMBER(Master_Panel!$R$2:$R$83),Master_Panel!$R$2:$R$83)))</f>
        <v/>
      </c>
      <c r="I4" s="7">
        <f>IFERROR(AVERAGEIFS(Master_Panel!$AU$2:$AU$83,Master_Panel!$B$2:$B$83,A4),"")</f>
        <v>15.8</v>
      </c>
      <c r="J4" s="4" t="s">
        <v>488</v>
      </c>
    </row>
    <row r="5" spans="1:10" ht="31" customHeight="1">
      <c r="A5" s="4" t="s">
        <v>237</v>
      </c>
      <c r="B5" s="7">
        <f>COUNTIF(Master_Panel!$B$2:$B$83,A5)</f>
        <v>15</v>
      </c>
      <c r="C5" s="7">
        <f>COUNTIFS(Master_Panel!$B$2:$B$83,A5,Master_Panel!$BB$2:$BB$83,10)</f>
        <v>11</v>
      </c>
      <c r="D5" s="7">
        <f>COUNTIFS(Master_Panel!$B$2:$B$83,A5,Master_Panel!$AU$2:$AU$83,"&gt;=0")</f>
        <v>4</v>
      </c>
      <c r="E5" s="7">
        <f>COUNTIFS(Master_Panel!$B$2:$B$83,A5,Master_Panel!$AX$2:$AX$83,"Yes")</f>
        <v>9</v>
      </c>
      <c r="F5" s="7">
        <f>COUNTIFS(Master_Panel!$B$2:$B$83,A5,Master_Panel!$AY$2:$AY$83,"Yes")</f>
        <v>2</v>
      </c>
      <c r="G5" s="7">
        <f>IFERROR(AVERAGEIFS(Master_Panel!$R$2:$R$83,Master_Panel!$B$2:$B$83,A5,Master_Panel!$AY$2:$AY$83,"Yes"),"")</f>
        <v>8</v>
      </c>
      <c r="H5" s="7">
        <f t="array" ref="H5">IF(F5=0,"",MEDIAN(IF((Master_Panel!$B$2:$B$83=A5)*(Master_Panel!$AY$2:$AY$83="Yes")*ISNUMBER(Master_Panel!$R$2:$R$83),Master_Panel!$R$2:$R$83)))</f>
        <v>8.0</v>
      </c>
      <c r="I5" s="7">
        <f>IFERROR(AVERAGEIFS(Master_Panel!$AU$2:$AU$83,Master_Panel!$B$2:$B$83,A5),"")</f>
        <v>8</v>
      </c>
      <c r="J5" s="4" t="s">
        <v>488</v>
      </c>
    </row>
    <row r="6" spans="1:10" ht="31" customHeight="1">
      <c r="A6" s="4" t="s">
        <v>311</v>
      </c>
      <c r="B6" s="7">
        <f>COUNTIF(Master_Panel!$B$2:$B$83,A6)</f>
        <v>13</v>
      </c>
      <c r="C6" s="7">
        <f>COUNTIFS(Master_Panel!$B$2:$B$83,A6,Master_Panel!$BB$2:$BB$83,10)</f>
        <v>0</v>
      </c>
      <c r="D6" s="7">
        <f>COUNTIFS(Master_Panel!$B$2:$B$83,A6,Master_Panel!$AU$2:$AU$83,"&gt;=0")</f>
        <v>13</v>
      </c>
      <c r="E6" s="7">
        <f>COUNTIFS(Master_Panel!$B$2:$B$83,A6,Master_Panel!$AX$2:$AX$83,"Yes")</f>
        <v>0</v>
      </c>
      <c r="F6" s="7">
        <f>COUNTIFS(Master_Panel!$B$2:$B$83,A6,Master_Panel!$AY$2:$AY$83,"Yes")</f>
        <v>0</v>
      </c>
      <c r="G6" s="7">
        <f>IFERROR(AVERAGEIFS(Master_Panel!$R$2:$R$83,Master_Panel!$B$2:$B$83,A6,Master_Panel!$AY$2:$AY$83,"Yes"),"")</f>
        <v/>
      </c>
      <c r="H6" s="7" t="str">
        <f t="array" ref="H6">IF(F6=0,"",MEDIAN(IF((Master_Panel!$B$2:$B$83=A6)*(Master_Panel!$AY$2:$AY$83="Yes")*ISNUMBER(Master_Panel!$R$2:$R$83),Master_Panel!$R$2:$R$83)))</f>
        <v/>
      </c>
      <c r="I6" s="7">
        <f>IFERROR(AVERAGEIFS(Master_Panel!$AU$2:$AU$83,Master_Panel!$B$2:$B$83,A6),"")</f>
        <v>13.307692307692308</v>
      </c>
      <c r="J6" s="4" t="s">
        <v>488</v>
      </c>
    </row>
    <row r="7" spans="1:10" ht="31" customHeight="1">
      <c r="A7" s="4" t="s">
        <v>346</v>
      </c>
      <c r="B7" s="7">
        <f>COUNTIF(Master_Panel!$B$2:$B$83,A7)</f>
        <v>10</v>
      </c>
      <c r="C7" s="7">
        <f>COUNTIFS(Master_Panel!$B$2:$B$83,A7,Master_Panel!$BB$2:$BB$83,10)</f>
        <v>10</v>
      </c>
      <c r="D7" s="7">
        <f>COUNTIFS(Master_Panel!$B$2:$B$83,A7,Master_Panel!$AU$2:$AU$83,"&gt;=0")</f>
        <v>10</v>
      </c>
      <c r="E7" s="7">
        <f>COUNTIFS(Master_Panel!$B$2:$B$83,A7,Master_Panel!$AX$2:$AX$83,"Yes")</f>
        <v>0</v>
      </c>
      <c r="F7" s="7">
        <f>COUNTIFS(Master_Panel!$B$2:$B$83,A7,Master_Panel!$AY$2:$AY$83,"Yes")</f>
        <v>10</v>
      </c>
      <c r="G7" s="7">
        <f>IFERROR(AVERAGEIFS(Master_Panel!$R$2:$R$83,Master_Panel!$B$2:$B$83,A7,Master_Panel!$AY$2:$AY$83,"Yes"),"")</f>
        <v>17.2</v>
      </c>
      <c r="H7" s="7">
        <f t="array" ref="H7">IF(F7=0,"",MEDIAN(IF((Master_Panel!$B$2:$B$83=A7)*(Master_Panel!$AY$2:$AY$83="Yes")*ISNUMBER(Master_Panel!$R$2:$R$83),Master_Panel!$R$2:$R$83)))</f>
        <v>18.0</v>
      </c>
      <c r="I7" s="7">
        <f>IFERROR(AVERAGEIFS(Master_Panel!$AU$2:$AU$83,Master_Panel!$B$2:$B$83,A7),"")</f>
        <v>17.2</v>
      </c>
      <c r="J7" s="4" t="s">
        <v>488</v>
      </c>
    </row>
    <row r="8" spans="1:10" ht="31" customHeight="1">
      <c r="A8" s="4" t="s">
        <v>385</v>
      </c>
      <c r="B8" s="7">
        <f>COUNTIF(Master_Panel!$B$2:$B$83,A8)</f>
        <v>10</v>
      </c>
      <c r="C8" s="7">
        <f>COUNTIFS(Master_Panel!$B$2:$B$83,A8,Master_Panel!$BB$2:$BB$83,10)</f>
        <v>0</v>
      </c>
      <c r="D8" s="7">
        <f>COUNTIFS(Master_Panel!$B$2:$B$83,A8,Master_Panel!$AU$2:$AU$83,"&gt;=0")</f>
        <v>10</v>
      </c>
      <c r="E8" s="7">
        <f>COUNTIFS(Master_Panel!$B$2:$B$83,A8,Master_Panel!$AX$2:$AX$83,"Yes")</f>
        <v>0</v>
      </c>
      <c r="F8" s="7">
        <f>COUNTIFS(Master_Panel!$B$2:$B$83,A8,Master_Panel!$AY$2:$AY$83,"Yes")</f>
        <v>0</v>
      </c>
      <c r="G8" s="7">
        <f>IFERROR(AVERAGEIFS(Master_Panel!$R$2:$R$83,Master_Panel!$B$2:$B$83,A8,Master_Panel!$AY$2:$AY$83,"Yes"),"")</f>
        <v/>
      </c>
      <c r="H8" s="7" t="str">
        <f t="array" ref="H8">IF(F8=0,"",MEDIAN(IF((Master_Panel!$B$2:$B$83=A8)*(Master_Panel!$AY$2:$AY$83="Yes")*ISNUMBER(Master_Panel!$R$2:$R$83),Master_Panel!$R$2:$R$83)))</f>
        <v/>
      </c>
      <c r="I8" s="7">
        <f>IFERROR(AVERAGEIFS(Master_Panel!$AU$2:$AU$83,Master_Panel!$B$2:$B$83,A8),"")</f>
        <v>16.3</v>
      </c>
      <c r="J8" s="4" t="s">
        <v>488</v>
      </c>
    </row>
    <row r="9" spans="1:10" ht="31" customHeight="1">
      <c r="A9" s="4" t="s">
        <v>424</v>
      </c>
      <c r="B9" s="7">
        <f>COUNTIF(Master_Panel!$B$2:$B$83,A9)</f>
        <v>8</v>
      </c>
      <c r="C9" s="7">
        <f>COUNTIFS(Master_Panel!$B$2:$B$83,A9,Master_Panel!$BB$2:$BB$83,10)</f>
        <v>8</v>
      </c>
      <c r="D9" s="7">
        <f>COUNTIFS(Master_Panel!$B$2:$B$83,A9,Master_Panel!$AU$2:$AU$83,"&gt;=0")</f>
        <v>8</v>
      </c>
      <c r="E9" s="7">
        <f>COUNTIFS(Master_Panel!$B$2:$B$83,A9,Master_Panel!$AX$2:$AX$83,"Yes")</f>
        <v>0</v>
      </c>
      <c r="F9" s="7">
        <f>COUNTIFS(Master_Panel!$B$2:$B$83,A9,Master_Panel!$AY$2:$AY$83,"Yes")</f>
        <v>0</v>
      </c>
      <c r="G9" s="7">
        <f>IFERROR(AVERAGEIFS(Master_Panel!$R$2:$R$83,Master_Panel!$B$2:$B$83,A9,Master_Panel!$AY$2:$AY$83,"Yes"),"")</f>
        <v/>
      </c>
      <c r="H9" s="7" t="str">
        <f t="array" ref="H9">IF(F9=0,"",MEDIAN(IF((Master_Panel!$B$2:$B$83=A9)*(Master_Panel!$AY$2:$AY$83="Yes")*ISNUMBER(Master_Panel!$R$2:$R$83),Master_Panel!$R$2:$R$83)))</f>
        <v/>
      </c>
      <c r="I9" s="7">
        <f>IFERROR(AVERAGEIFS(Master_Panel!$AU$2:$AU$83,Master_Panel!$B$2:$B$83,A9),"")</f>
        <v>27.5</v>
      </c>
      <c r="J9" s="4" t="s">
        <v>488</v>
      </c>
    </row>
  </sheetData>
  <autoFilter ref="A1:J9"/>
  <pageMargins left="0.7" right="0.7" top="0.75" bottom="0.75" header="0.3" footer="0.3"/>
  <pageSetup fitToHeight="0" orientation="landscape"/>
  <drawing r:id="rId1"/>
</worksheet>
</file>

<file path=xl/worksheets/sheet5.xml><?xml version="1.0" encoding="utf-8"?>
<worksheet xmlns="http://schemas.openxmlformats.org/spreadsheetml/2006/main" xmlns:r="http://schemas.openxmlformats.org/officeDocument/2006/relationships">
  <sheetPr>
    <tabColor rgb="FF237C89"/>
    <pageSetUpPr fitToPage="1"/>
  </sheetPr>
  <dimension ref="A1:Q8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10" width="20.7109375" customWidth="1"/>
    <col min="11" max="11" width="48.7109375" customWidth="1"/>
    <col min="12" max="12" width="50.7109375" customWidth="1"/>
    <col min="13" max="14" width="20.7109375" customWidth="1"/>
    <col min="15" max="15" width="65.7109375" customWidth="1"/>
    <col min="16" max="16" width="40.7109375" customWidth="1"/>
    <col min="17" max="17" width="55.7109375" customWidth="1"/>
  </cols>
  <sheetData>
    <row r="1" spans="1:17" ht="42" customHeight="1">
      <c r="A1" s="2" t="s">
        <v>33</v>
      </c>
      <c r="B1" s="2" t="s">
        <v>34</v>
      </c>
      <c r="C1" s="2" t="s">
        <v>489</v>
      </c>
      <c r="D1" s="2" t="s">
        <v>490</v>
      </c>
      <c r="E1" s="2" t="s">
        <v>491</v>
      </c>
      <c r="F1" s="2" t="s">
        <v>492</v>
      </c>
      <c r="G1" s="2" t="s">
        <v>493</v>
      </c>
      <c r="H1" s="2" t="s">
        <v>494</v>
      </c>
      <c r="I1" s="2" t="s">
        <v>495</v>
      </c>
      <c r="J1" s="2" t="s">
        <v>496</v>
      </c>
      <c r="K1" s="2" t="s">
        <v>78</v>
      </c>
      <c r="L1" s="2" t="s">
        <v>497</v>
      </c>
      <c r="M1" s="2" t="s">
        <v>498</v>
      </c>
      <c r="N1" s="2" t="s">
        <v>499</v>
      </c>
      <c r="O1" s="2" t="s">
        <v>500</v>
      </c>
      <c r="P1" s="2" t="s">
        <v>501</v>
      </c>
      <c r="Q1" s="2" t="s">
        <v>502</v>
      </c>
    </row>
    <row r="2" spans="1:17">
      <c r="A2" s="4" t="s">
        <v>109</v>
      </c>
      <c r="B2" s="4" t="s">
        <v>110</v>
      </c>
      <c r="C2" s="5"/>
      <c r="D2" s="7">
        <f>IF(AND(ISNUMBER(Master_Panel!AE2),Master_Panel!AE2&gt;0),LN(Master_Panel!AE2),"")</f>
        <v>12.294738070494596</v>
      </c>
      <c r="E2" s="10" t="str">
        <f>IF(ISNUMBER(Master_Panel!AB2),IF(Master_Panel!AB2&gt;Assumptions!$B$2,"High","Low"),"")</f>
        <v>Low</v>
      </c>
      <c r="F2" s="10" t="str">
        <f>IF(AND(Master_Panel!AY2="Yes",ISNUMBER(Sector_Summary!H2)),IF(Master_Panel!R2&gt;=Sector_Summary!H2,"Leader","Laggard"),"")</f>
        <v>Leader</v>
      </c>
      <c r="G2" s="5"/>
      <c r="H2" s="5"/>
      <c r="I2" s="5"/>
      <c r="J2" s="6">
        <v>0.0774358920264554</v>
      </c>
      <c r="K2" s="4" t="s">
        <v>120</v>
      </c>
      <c r="L2" s="4" t="s">
        <v>505</v>
      </c>
      <c r="M2" s="6">
        <v>18</v>
      </c>
      <c r="N2" s="4" t="s">
        <v>506</v>
      </c>
      <c r="O2" s="4" t="s">
        <v>507</v>
      </c>
      <c r="P2" s="4" t="s">
        <v>508</v>
      </c>
      <c r="Q2" s="4" t="s">
        <v>509</v>
      </c>
    </row>
    <row r="3" spans="1:17">
      <c r="A3" s="4" t="s">
        <v>129</v>
      </c>
      <c r="B3" s="4" t="s">
        <v>110</v>
      </c>
      <c r="C3" s="5"/>
      <c r="D3" s="7">
        <f>IF(AND(ISNUMBER(Master_Panel!AE3),Master_Panel!AE3&gt;0),LN(Master_Panel!AE3),"")</f>
        <v>12.03661203113215</v>
      </c>
      <c r="E3" s="10" t="str">
        <f>IF(ISNUMBER(Master_Panel!AB3),IF(Master_Panel!AB3&gt;Assumptions!$B$2,"High","Low"),"")</f>
        <v>Low</v>
      </c>
      <c r="F3" s="10" t="str">
        <f>IF(AND(Master_Panel!AY3="Yes",ISNUMBER(Sector_Summary!H2)),IF(Master_Panel!R3&gt;=Sector_Summary!H2,"Leader","Laggard"),"")</f>
        <v>Leader</v>
      </c>
      <c r="G3" s="5"/>
      <c r="H3" s="6">
        <v>0.0202</v>
      </c>
      <c r="I3" s="5"/>
      <c r="J3" s="6">
        <v>0.0851830848995463</v>
      </c>
      <c r="K3" s="4" t="s">
        <v>120</v>
      </c>
      <c r="L3" s="4" t="s">
        <v>505</v>
      </c>
      <c r="M3" s="6">
        <v>16</v>
      </c>
      <c r="N3" s="4" t="s">
        <v>506</v>
      </c>
      <c r="O3" s="4" t="s">
        <v>507</v>
      </c>
      <c r="P3" s="4" t="s">
        <v>508</v>
      </c>
      <c r="Q3" s="4" t="s">
        <v>509</v>
      </c>
    </row>
    <row r="4" spans="1:17">
      <c r="A4" s="4" t="s">
        <v>133</v>
      </c>
      <c r="B4" s="4" t="s">
        <v>110</v>
      </c>
      <c r="C4" s="5"/>
      <c r="D4" s="7">
        <f>IF(AND(ISNUMBER(Master_Panel!AE4),Master_Panel!AE4&gt;0),LN(Master_Panel!AE4),"")</f>
        <v>11.537413178521446</v>
      </c>
      <c r="E4" s="10" t="str">
        <f>IF(ISNUMBER(Master_Panel!AB4),IF(Master_Panel!AB4&gt;Assumptions!$B$2,"High","Low"),"")</f>
        <v>Low</v>
      </c>
      <c r="F4" s="10" t="str">
        <f>IF(AND(Master_Panel!AY4="Yes",ISNUMBER(Sector_Summary!H2)),IF(Master_Panel!R4&gt;=Sector_Summary!H2,"Leader","Laggard"),"")</f>
        <v>Leader</v>
      </c>
      <c r="G4" s="5"/>
      <c r="H4" s="5"/>
      <c r="I4" s="5"/>
      <c r="J4" s="6">
        <v>0.07562137867547521</v>
      </c>
      <c r="K4" s="4" t="s">
        <v>120</v>
      </c>
      <c r="L4" s="4" t="s">
        <v>505</v>
      </c>
      <c r="M4" s="6">
        <v>16</v>
      </c>
      <c r="N4" s="4" t="s">
        <v>503</v>
      </c>
      <c r="O4" s="4" t="s">
        <v>507</v>
      </c>
      <c r="P4" s="4" t="s">
        <v>508</v>
      </c>
      <c r="Q4" s="4" t="s">
        <v>509</v>
      </c>
    </row>
    <row r="5" spans="1:17">
      <c r="A5" s="4" t="s">
        <v>138</v>
      </c>
      <c r="B5" s="4" t="s">
        <v>110</v>
      </c>
      <c r="C5" s="5"/>
      <c r="D5" s="7">
        <f>IF(AND(ISNUMBER(Master_Panel!AE5),Master_Panel!AE5&gt;0),LN(Master_Panel!AE5),"")</f>
        <v>10.822354961923732</v>
      </c>
      <c r="E5" s="10" t="str">
        <f>IF(ISNUMBER(Master_Panel!AB5),IF(Master_Panel!AB5&gt;Assumptions!$B$2,"High","Low"),"")</f>
        <v>Low</v>
      </c>
      <c r="F5" s="10" t="str">
        <f>IF(AND(Master_Panel!AY5="Yes",ISNUMBER(Sector_Summary!H2)),IF(Master_Panel!R5&gt;=Sector_Summary!H2,"Leader","Laggard"),"")</f>
        <v>Leader</v>
      </c>
      <c r="G5" s="5"/>
      <c r="H5" s="6">
        <v>0.0321</v>
      </c>
      <c r="I5" s="5"/>
      <c r="J5" s="6">
        <v>0.07128110398783009</v>
      </c>
      <c r="K5" s="4" t="s">
        <v>120</v>
      </c>
      <c r="L5" s="4" t="s">
        <v>505</v>
      </c>
      <c r="M5" s="6">
        <v>19</v>
      </c>
      <c r="N5" s="4" t="s">
        <v>506</v>
      </c>
      <c r="O5" s="4" t="s">
        <v>507</v>
      </c>
      <c r="P5" s="4" t="s">
        <v>508</v>
      </c>
      <c r="Q5" s="4" t="s">
        <v>509</v>
      </c>
    </row>
    <row r="6" spans="1:17">
      <c r="A6" s="4" t="s">
        <v>141</v>
      </c>
      <c r="B6" s="4" t="s">
        <v>110</v>
      </c>
      <c r="C6" s="5"/>
      <c r="D6" s="7">
        <f>IF(AND(ISNUMBER(Master_Panel!AE6),Master_Panel!AE6&gt;0),LN(Master_Panel!AE6),"")</f>
        <v>10.57928509476096</v>
      </c>
      <c r="E6" s="10" t="str">
        <f>IF(ISNUMBER(Master_Panel!AB6),IF(Master_Panel!AB6&gt;Assumptions!$B$2,"High","Low"),"")</f>
        <v>Low</v>
      </c>
      <c r="F6" s="10" t="str">
        <f>IF(AND(Master_Panel!AY6="Yes",ISNUMBER(Sector_Summary!H2)),IF(Master_Panel!R6&gt;=Sector_Summary!H2,"Leader","Laggard"),"")</f>
        <v>Leader</v>
      </c>
      <c r="G6" s="5"/>
      <c r="H6" s="5"/>
      <c r="I6" s="5"/>
      <c r="J6" s="6">
        <v>0.09559512652296159</v>
      </c>
      <c r="K6" s="4" t="s">
        <v>120</v>
      </c>
      <c r="L6" s="4" t="s">
        <v>505</v>
      </c>
      <c r="M6" s="6">
        <v>17</v>
      </c>
      <c r="N6" s="4" t="s">
        <v>506</v>
      </c>
      <c r="O6" s="4" t="s">
        <v>507</v>
      </c>
      <c r="P6" s="4" t="s">
        <v>508</v>
      </c>
      <c r="Q6" s="4" t="s">
        <v>509</v>
      </c>
    </row>
    <row r="7" spans="1:17">
      <c r="A7" s="4" t="s">
        <v>143</v>
      </c>
      <c r="B7" s="4" t="s">
        <v>110</v>
      </c>
      <c r="C7" s="5"/>
      <c r="D7" s="7">
        <f>IF(AND(ISNUMBER(Master_Panel!AE7),Master_Panel!AE7&gt;0),LN(Master_Panel!AE7),"")</f>
        <v>9.048174321385792</v>
      </c>
      <c r="E7" s="10" t="str">
        <f>IF(ISNUMBER(Master_Panel!AB7),IF(Master_Panel!AB7&gt;Assumptions!$B$2,"High","Low"),"")</f>
        <v>Low</v>
      </c>
      <c r="F7" s="10" t="str">
        <f>IF(AND(Master_Panel!AY7="Yes",ISNUMBER(Sector_Summary!H2)),IF(Master_Panel!R7&gt;=Sector_Summary!H2,"Leader","Laggard"),"")</f>
        <v>Laggard</v>
      </c>
      <c r="G7" s="5"/>
      <c r="H7" s="5"/>
      <c r="I7" s="5"/>
      <c r="J7" s="6">
        <v>0.11034015907937</v>
      </c>
      <c r="K7" s="4" t="s">
        <v>120</v>
      </c>
      <c r="L7" s="4" t="s">
        <v>505</v>
      </c>
      <c r="M7" s="6">
        <v>14</v>
      </c>
      <c r="N7" s="4" t="s">
        <v>503</v>
      </c>
      <c r="O7" s="4" t="s">
        <v>507</v>
      </c>
      <c r="P7" s="4" t="s">
        <v>508</v>
      </c>
      <c r="Q7" s="4" t="s">
        <v>509</v>
      </c>
    </row>
    <row r="8" spans="1:17">
      <c r="A8" s="4" t="s">
        <v>148</v>
      </c>
      <c r="B8" s="4" t="s">
        <v>110</v>
      </c>
      <c r="C8" s="5"/>
      <c r="D8" s="7">
        <f>IF(AND(ISNUMBER(Master_Panel!AE8),Master_Panel!AE8&gt;0),LN(Master_Panel!AE8),"")</f>
        <v>9.624963417869113</v>
      </c>
      <c r="E8" s="10" t="str">
        <f>IF(ISNUMBER(Master_Panel!AB8),IF(Master_Panel!AB8&gt;Assumptions!$B$2,"High","Low"),"")</f>
        <v>Low</v>
      </c>
      <c r="F8" s="10" t="str">
        <f>IF(AND(Master_Panel!AY8="Yes",ISNUMBER(Sector_Summary!H2)),IF(Master_Panel!R8&gt;=Sector_Summary!H2,"Leader","Laggard"),"")</f>
        <v>Laggard</v>
      </c>
      <c r="G8" s="5"/>
      <c r="H8" s="5"/>
      <c r="I8" s="5"/>
      <c r="J8" s="6">
        <v>0.182509505703422</v>
      </c>
      <c r="K8" s="4" t="s">
        <v>120</v>
      </c>
      <c r="L8" s="4" t="s">
        <v>505</v>
      </c>
      <c r="M8" s="6">
        <v>6</v>
      </c>
      <c r="N8" s="4" t="s">
        <v>503</v>
      </c>
      <c r="O8" s="4" t="s">
        <v>507</v>
      </c>
      <c r="P8" s="4" t="s">
        <v>508</v>
      </c>
      <c r="Q8" s="4" t="s">
        <v>509</v>
      </c>
    </row>
    <row r="9" spans="1:17">
      <c r="A9" s="4" t="s">
        <v>151</v>
      </c>
      <c r="B9" s="4" t="s">
        <v>110</v>
      </c>
      <c r="C9" s="5"/>
      <c r="D9" s="7">
        <f>IF(AND(ISNUMBER(Master_Panel!AE9),Master_Panel!AE9&gt;0),LN(Master_Panel!AE9),"")</f>
        <v>8.589649657727472</v>
      </c>
      <c r="E9" s="10" t="str">
        <f>IF(ISNUMBER(Master_Panel!AB9),IF(Master_Panel!AB9&gt;Assumptions!$B$2,"High","Low"),"")</f>
        <v>Low</v>
      </c>
      <c r="F9" s="10" t="str">
        <f>IF(AND(Master_Panel!AY9="Yes",ISNUMBER(Sector_Summary!H2)),IF(Master_Panel!R9&gt;=Sector_Summary!H2,"Leader","Laggard"),"")</f>
        <v>Laggard</v>
      </c>
      <c r="G9" s="5"/>
      <c r="H9" s="5"/>
      <c r="I9" s="5"/>
      <c r="J9" s="6">
        <v>0.179255663430421</v>
      </c>
      <c r="K9" s="4" t="s">
        <v>120</v>
      </c>
      <c r="L9" s="4" t="s">
        <v>505</v>
      </c>
      <c r="M9" s="6">
        <v>13</v>
      </c>
      <c r="N9" s="4" t="s">
        <v>506</v>
      </c>
      <c r="O9" s="4" t="s">
        <v>507</v>
      </c>
      <c r="P9" s="4" t="s">
        <v>508</v>
      </c>
      <c r="Q9" s="4" t="s">
        <v>509</v>
      </c>
    </row>
    <row r="10" spans="1:17">
      <c r="A10" s="4" t="s">
        <v>153</v>
      </c>
      <c r="B10" s="4" t="s">
        <v>110</v>
      </c>
      <c r="C10" s="5"/>
      <c r="D10" s="7">
        <f>IF(AND(ISNUMBER(Master_Panel!AE10),Master_Panel!AE10&gt;0),LN(Master_Panel!AE10),"")</f>
        <v>7.591861714889934</v>
      </c>
      <c r="E10" s="10" t="str">
        <f>IF(ISNUMBER(Master_Panel!AB10),IF(Master_Panel!AB10&gt;Assumptions!$B$2,"High","Low"),"")</f>
        <v>Low</v>
      </c>
      <c r="F10" s="10" t="str">
        <f>IF(AND(Master_Panel!AY10="Yes",ISNUMBER(Sector_Summary!H2)),IF(Master_Panel!R10&gt;=Sector_Summary!H2,"Leader","Laggard"),"")</f>
        <v>Laggard</v>
      </c>
      <c r="G10" s="5"/>
      <c r="H10" s="5"/>
      <c r="I10" s="5"/>
      <c r="J10" s="6">
        <v>0.04337899543379</v>
      </c>
      <c r="K10" s="4" t="s">
        <v>120</v>
      </c>
      <c r="L10" s="4" t="s">
        <v>505</v>
      </c>
      <c r="M10" s="6">
        <v>5</v>
      </c>
      <c r="N10" s="4" t="s">
        <v>503</v>
      </c>
      <c r="O10" s="4" t="s">
        <v>507</v>
      </c>
      <c r="P10" s="4" t="s">
        <v>508</v>
      </c>
      <c r="Q10" s="4" t="s">
        <v>509</v>
      </c>
    </row>
    <row r="11" spans="1:17">
      <c r="A11" s="4" t="s">
        <v>156</v>
      </c>
      <c r="B11" s="4" t="s">
        <v>157</v>
      </c>
      <c r="C11" s="5"/>
      <c r="D11" s="7">
        <f>IF(AND(ISNUMBER(Master_Panel!AE11),Master_Panel!AE11&gt;0),LN(Master_Panel!AE11),"")</f>
        <v/>
      </c>
      <c r="E11" s="10">
        <f>IF(ISNUMBER(Master_Panel!AB11),IF(Master_Panel!AB11&gt;Assumptions!$B$2,"High","Low"),"")</f>
        <v/>
      </c>
      <c r="F11" s="10" t="str">
        <f>IF(AND(Master_Panel!AY11="Yes",ISNUMBER(Sector_Summary!H3)),IF(Master_Panel!R11&gt;=Sector_Summary!H3,"Leader","Laggard"),"")</f>
        <v>Leader</v>
      </c>
      <c r="G11" s="5"/>
      <c r="H11" s="5"/>
      <c r="I11" s="5"/>
      <c r="J11" s="5"/>
      <c r="K11" s="4" t="s">
        <v>161</v>
      </c>
      <c r="L11" s="4" t="s">
        <v>511</v>
      </c>
      <c r="M11" s="6">
        <v>23</v>
      </c>
      <c r="N11" s="5"/>
      <c r="O11" s="4" t="s">
        <v>512</v>
      </c>
      <c r="P11" s="4" t="s">
        <v>508</v>
      </c>
      <c r="Q11" s="4" t="s">
        <v>509</v>
      </c>
    </row>
    <row r="12" spans="1:17">
      <c r="A12" s="4" t="s">
        <v>168</v>
      </c>
      <c r="B12" s="4" t="s">
        <v>157</v>
      </c>
      <c r="C12" s="5"/>
      <c r="D12" s="7">
        <f>IF(AND(ISNUMBER(Master_Panel!AE12),Master_Panel!AE12&gt;0),LN(Master_Panel!AE12),"")</f>
        <v/>
      </c>
      <c r="E12" s="10" t="str">
        <f>IF(ISNUMBER(Master_Panel!AB12),IF(Master_Panel!AB12&gt;Assumptions!$B$2,"High","Low"),"")</f>
        <v>Low</v>
      </c>
      <c r="F12" s="10" t="str">
        <f>IF(AND(Master_Panel!AY12="Yes",ISNUMBER(Sector_Summary!H3)),IF(Master_Panel!R12&gt;=Sector_Summary!H3,"Leader","Laggard"),"")</f>
        <v>Laggard</v>
      </c>
      <c r="G12" s="5"/>
      <c r="H12" s="5"/>
      <c r="I12" s="5"/>
      <c r="J12" s="5"/>
      <c r="K12" s="4" t="s">
        <v>161</v>
      </c>
      <c r="L12" s="4" t="s">
        <v>511</v>
      </c>
      <c r="M12" s="6">
        <v>22</v>
      </c>
      <c r="N12" s="5"/>
      <c r="O12" s="4" t="s">
        <v>512</v>
      </c>
      <c r="P12" s="4" t="s">
        <v>508</v>
      </c>
      <c r="Q12" s="4" t="s">
        <v>509</v>
      </c>
    </row>
    <row r="13" spans="1:17">
      <c r="A13" s="4" t="s">
        <v>172</v>
      </c>
      <c r="B13" s="4" t="s">
        <v>157</v>
      </c>
      <c r="C13" s="5"/>
      <c r="D13" s="7">
        <f>IF(AND(ISNUMBER(Master_Panel!AE13),Master_Panel!AE13&gt;0),LN(Master_Panel!AE13),"")</f>
        <v/>
      </c>
      <c r="E13" s="10" t="str">
        <f>IF(ISNUMBER(Master_Panel!AB13),IF(Master_Panel!AB13&gt;Assumptions!$B$2,"High","Low"),"")</f>
        <v>Low</v>
      </c>
      <c r="F13" s="10" t="str">
        <f>IF(AND(Master_Panel!AY13="Yes",ISNUMBER(Sector_Summary!H3)),IF(Master_Panel!R13&gt;=Sector_Summary!H3,"Leader","Laggard"),"")</f>
        <v>Leader</v>
      </c>
      <c r="G13" s="5"/>
      <c r="H13" s="5"/>
      <c r="I13" s="5"/>
      <c r="J13" s="5"/>
      <c r="K13" s="4" t="s">
        <v>161</v>
      </c>
      <c r="L13" s="4" t="s">
        <v>511</v>
      </c>
      <c r="M13" s="6">
        <v>25</v>
      </c>
      <c r="N13" s="5"/>
      <c r="O13" s="4" t="s">
        <v>512</v>
      </c>
      <c r="P13" s="4" t="s">
        <v>508</v>
      </c>
      <c r="Q13" s="4" t="s">
        <v>509</v>
      </c>
    </row>
    <row r="14" spans="1:17">
      <c r="A14" s="4" t="s">
        <v>177</v>
      </c>
      <c r="B14" s="4" t="s">
        <v>157</v>
      </c>
      <c r="C14" s="5"/>
      <c r="D14" s="7">
        <f>IF(AND(ISNUMBER(Master_Panel!AE14),Master_Panel!AE14&gt;0),LN(Master_Panel!AE14),"")</f>
        <v/>
      </c>
      <c r="E14" s="10">
        <f>IF(ISNUMBER(Master_Panel!AB14),IF(Master_Panel!AB14&gt;Assumptions!$B$2,"High","Low"),"")</f>
        <v/>
      </c>
      <c r="F14" s="10" t="str">
        <f>IF(AND(Master_Panel!AY14="Yes",ISNUMBER(Sector_Summary!H3)),IF(Master_Panel!R14&gt;=Sector_Summary!H3,"Leader","Laggard"),"")</f>
        <v>Leader</v>
      </c>
      <c r="G14" s="5"/>
      <c r="H14" s="5"/>
      <c r="I14" s="5"/>
      <c r="J14" s="5"/>
      <c r="K14" s="4" t="s">
        <v>161</v>
      </c>
      <c r="L14" s="4" t="s">
        <v>511</v>
      </c>
      <c r="M14" s="6">
        <v>29</v>
      </c>
      <c r="N14" s="5"/>
      <c r="O14" s="4" t="s">
        <v>512</v>
      </c>
      <c r="P14" s="4" t="s">
        <v>508</v>
      </c>
      <c r="Q14" s="4" t="s">
        <v>509</v>
      </c>
    </row>
    <row r="15" spans="1:17">
      <c r="A15" s="4" t="s">
        <v>181</v>
      </c>
      <c r="B15" s="4" t="s">
        <v>157</v>
      </c>
      <c r="C15" s="5"/>
      <c r="D15" s="7">
        <f>IF(AND(ISNUMBER(Master_Panel!AE15),Master_Panel!AE15&gt;0),LN(Master_Panel!AE15),"")</f>
        <v/>
      </c>
      <c r="E15" s="10" t="str">
        <f>IF(ISNUMBER(Master_Panel!AB15),IF(Master_Panel!AB15&gt;Assumptions!$B$2,"High","Low"),"")</f>
        <v>Low</v>
      </c>
      <c r="F15" s="10" t="str">
        <f>IF(AND(Master_Panel!AY15="Yes",ISNUMBER(Sector_Summary!H3)),IF(Master_Panel!R15&gt;=Sector_Summary!H3,"Leader","Laggard"),"")</f>
        <v>Leader</v>
      </c>
      <c r="G15" s="5"/>
      <c r="H15" s="5"/>
      <c r="I15" s="5"/>
      <c r="J15" s="5"/>
      <c r="K15" s="4" t="s">
        <v>161</v>
      </c>
      <c r="L15" s="4" t="s">
        <v>511</v>
      </c>
      <c r="M15" s="6">
        <v>27</v>
      </c>
      <c r="N15" s="5"/>
      <c r="O15" s="4" t="s">
        <v>512</v>
      </c>
      <c r="P15" s="4" t="s">
        <v>508</v>
      </c>
      <c r="Q15" s="4" t="s">
        <v>509</v>
      </c>
    </row>
    <row r="16" spans="1:17">
      <c r="A16" s="4" t="s">
        <v>184</v>
      </c>
      <c r="B16" s="4" t="s">
        <v>157</v>
      </c>
      <c r="C16" s="5"/>
      <c r="D16" s="7">
        <f>IF(AND(ISNUMBER(Master_Panel!AE16),Master_Panel!AE16&gt;0),LN(Master_Panel!AE16),"")</f>
        <v/>
      </c>
      <c r="E16" s="10" t="str">
        <f>IF(ISNUMBER(Master_Panel!AB16),IF(Master_Panel!AB16&gt;Assumptions!$B$2,"High","Low"),"")</f>
        <v>Low</v>
      </c>
      <c r="F16" s="10" t="str">
        <f>IF(AND(Master_Panel!AY16="Yes",ISNUMBER(Sector_Summary!H3)),IF(Master_Panel!R16&gt;=Sector_Summary!H3,"Leader","Laggard"),"")</f>
        <v>Laggard</v>
      </c>
      <c r="G16" s="5"/>
      <c r="H16" s="5"/>
      <c r="I16" s="5"/>
      <c r="J16" s="5"/>
      <c r="K16" s="4" t="s">
        <v>161</v>
      </c>
      <c r="L16" s="4" t="s">
        <v>511</v>
      </c>
      <c r="M16" s="6">
        <v>21</v>
      </c>
      <c r="N16" s="5"/>
      <c r="O16" s="4" t="s">
        <v>512</v>
      </c>
      <c r="P16" s="4" t="s">
        <v>508</v>
      </c>
      <c r="Q16" s="4" t="s">
        <v>509</v>
      </c>
    </row>
    <row r="17" spans="1:17">
      <c r="A17" s="4" t="s">
        <v>187</v>
      </c>
      <c r="B17" s="4" t="s">
        <v>157</v>
      </c>
      <c r="C17" s="5"/>
      <c r="D17" s="7">
        <f>IF(AND(ISNUMBER(Master_Panel!AE17),Master_Panel!AE17&gt;0),LN(Master_Panel!AE17),"")</f>
        <v/>
      </c>
      <c r="E17" s="10" t="str">
        <f>IF(ISNUMBER(Master_Panel!AB17),IF(Master_Panel!AB17&gt;Assumptions!$B$2,"High","Low"),"")</f>
        <v>Low</v>
      </c>
      <c r="F17" s="10" t="str">
        <f>IF(AND(Master_Panel!AY17="Yes",ISNUMBER(Sector_Summary!H3)),IF(Master_Panel!R17&gt;=Sector_Summary!H3,"Leader","Laggard"),"")</f>
        <v>Laggard</v>
      </c>
      <c r="G17" s="5"/>
      <c r="H17" s="5"/>
      <c r="I17" s="5"/>
      <c r="J17" s="5"/>
      <c r="K17" s="4" t="s">
        <v>161</v>
      </c>
      <c r="L17" s="4" t="s">
        <v>511</v>
      </c>
      <c r="M17" s="6">
        <v>21</v>
      </c>
      <c r="N17" s="5"/>
      <c r="O17" s="4" t="s">
        <v>512</v>
      </c>
      <c r="P17" s="4" t="s">
        <v>508</v>
      </c>
      <c r="Q17" s="4" t="s">
        <v>509</v>
      </c>
    </row>
    <row r="18" spans="1:17">
      <c r="A18" s="4" t="s">
        <v>190</v>
      </c>
      <c r="B18" s="4" t="s">
        <v>191</v>
      </c>
      <c r="C18" s="5"/>
      <c r="D18" s="7">
        <f>IF(AND(ISNUMBER(Master_Panel!AE18),Master_Panel!AE18&gt;0),LN(Master_Panel!AE18),"")</f>
        <v>12.38210781768142</v>
      </c>
      <c r="E18" s="10">
        <f>IF(ISNUMBER(Master_Panel!AB18),IF(Master_Panel!AB18&gt;Assumptions!$B$2,"High","Low"),"")</f>
        <v/>
      </c>
      <c r="F18" s="10">
        <f>IF(AND(Master_Panel!AY18="Yes",ISNUMBER(Sector_Summary!H4)),IF(Master_Panel!R18&gt;=Sector_Summary!H4,"Leader","Laggard"),"")</f>
        <v/>
      </c>
      <c r="G18" s="5"/>
      <c r="H18" s="5"/>
      <c r="I18" s="5"/>
      <c r="J18" s="5"/>
      <c r="K18" s="4" t="s">
        <v>195</v>
      </c>
      <c r="L18" s="4" t="s">
        <v>513</v>
      </c>
      <c r="M18" s="6">
        <v>30</v>
      </c>
      <c r="N18" s="5"/>
      <c r="O18" s="4" t="s">
        <v>514</v>
      </c>
      <c r="P18" s="4" t="s">
        <v>508</v>
      </c>
      <c r="Q18" s="4" t="s">
        <v>509</v>
      </c>
    </row>
    <row r="19" spans="1:17">
      <c r="A19" s="4" t="s">
        <v>202</v>
      </c>
      <c r="B19" s="4" t="s">
        <v>191</v>
      </c>
      <c r="C19" s="5"/>
      <c r="D19" s="7">
        <f>IF(AND(ISNUMBER(Master_Panel!AE19),Master_Panel!AE19&gt;0),LN(Master_Panel!AE19),"")</f>
        <v/>
      </c>
      <c r="E19" s="10">
        <f>IF(ISNUMBER(Master_Panel!AB19),IF(Master_Panel!AB19&gt;Assumptions!$B$2,"High","Low"),"")</f>
        <v/>
      </c>
      <c r="F19" s="10">
        <f>IF(AND(Master_Panel!AY19="Yes",ISNUMBER(Sector_Summary!H4)),IF(Master_Panel!R19&gt;=Sector_Summary!H4,"Leader","Laggard"),"")</f>
        <v/>
      </c>
      <c r="G19" s="5"/>
      <c r="H19" s="5"/>
      <c r="I19" s="5"/>
      <c r="J19" s="5"/>
      <c r="K19" s="4" t="s">
        <v>195</v>
      </c>
      <c r="L19" s="4" t="s">
        <v>513</v>
      </c>
      <c r="M19" s="6">
        <v>30</v>
      </c>
      <c r="N19" s="5"/>
      <c r="O19" s="4" t="s">
        <v>514</v>
      </c>
      <c r="P19" s="4" t="s">
        <v>508</v>
      </c>
      <c r="Q19" s="4" t="s">
        <v>509</v>
      </c>
    </row>
    <row r="20" spans="1:17">
      <c r="A20" s="4" t="s">
        <v>208</v>
      </c>
      <c r="B20" s="4" t="s">
        <v>191</v>
      </c>
      <c r="C20" s="5"/>
      <c r="D20" s="7">
        <f>IF(AND(ISNUMBER(Master_Panel!AE20),Master_Panel!AE20&gt;0),LN(Master_Panel!AE20),"")</f>
        <v>9.720898559984418</v>
      </c>
      <c r="E20" s="10">
        <f>IF(ISNUMBER(Master_Panel!AB20),IF(Master_Panel!AB20&gt;Assumptions!$B$2,"High","Low"),"")</f>
        <v/>
      </c>
      <c r="F20" s="10">
        <f>IF(AND(Master_Panel!AY20="Yes",ISNUMBER(Sector_Summary!H4)),IF(Master_Panel!R20&gt;=Sector_Summary!H4,"Leader","Laggard"),"")</f>
        <v/>
      </c>
      <c r="G20" s="5"/>
      <c r="H20" s="5"/>
      <c r="I20" s="5"/>
      <c r="J20" s="5"/>
      <c r="K20" s="4" t="s">
        <v>195</v>
      </c>
      <c r="L20" s="4" t="s">
        <v>513</v>
      </c>
      <c r="M20" s="6">
        <v>30</v>
      </c>
      <c r="N20" s="5"/>
      <c r="O20" s="4" t="s">
        <v>514</v>
      </c>
      <c r="P20" s="4" t="s">
        <v>508</v>
      </c>
      <c r="Q20" s="4" t="s">
        <v>509</v>
      </c>
    </row>
    <row r="21" spans="1:17">
      <c r="A21" s="4" t="s">
        <v>212</v>
      </c>
      <c r="B21" s="4" t="s">
        <v>191</v>
      </c>
      <c r="C21" s="5"/>
      <c r="D21" s="7">
        <f>IF(AND(ISNUMBER(Master_Panel!AE21),Master_Panel!AE21&gt;0),LN(Master_Panel!AE21),"")</f>
        <v/>
      </c>
      <c r="E21" s="10">
        <f>IF(ISNUMBER(Master_Panel!AB21),IF(Master_Panel!AB21&gt;Assumptions!$B$2,"High","Low"),"")</f>
        <v/>
      </c>
      <c r="F21" s="10">
        <f>IF(AND(Master_Panel!AY21="Yes",ISNUMBER(Sector_Summary!H4)),IF(Master_Panel!R21&gt;=Sector_Summary!H4,"Leader","Laggard"),"")</f>
        <v/>
      </c>
      <c r="G21" s="5"/>
      <c r="H21" s="5"/>
      <c r="I21" s="5"/>
      <c r="J21" s="5"/>
      <c r="K21" s="4" t="s">
        <v>195</v>
      </c>
      <c r="L21" s="4" t="s">
        <v>513</v>
      </c>
      <c r="M21" s="6">
        <v>17</v>
      </c>
      <c r="N21" s="5"/>
      <c r="O21" s="4" t="s">
        <v>514</v>
      </c>
      <c r="P21" s="4" t="s">
        <v>508</v>
      </c>
      <c r="Q21" s="4" t="s">
        <v>509</v>
      </c>
    </row>
    <row r="22" spans="1:17">
      <c r="A22" s="4" t="s">
        <v>217</v>
      </c>
      <c r="B22" s="4" t="s">
        <v>191</v>
      </c>
      <c r="C22" s="5"/>
      <c r="D22" s="7">
        <f>IF(AND(ISNUMBER(Master_Panel!AE22),Master_Panel!AE22&gt;0),LN(Master_Panel!AE22),"")</f>
        <v>6.6972441021886935</v>
      </c>
      <c r="E22" s="10">
        <f>IF(ISNUMBER(Master_Panel!AB22),IF(Master_Panel!AB22&gt;Assumptions!$B$2,"High","Low"),"")</f>
        <v/>
      </c>
      <c r="F22" s="10">
        <f>IF(AND(Master_Panel!AY22="Yes",ISNUMBER(Sector_Summary!H4)),IF(Master_Panel!R22&gt;=Sector_Summary!H4,"Leader","Laggard"),"")</f>
        <v/>
      </c>
      <c r="G22" s="5"/>
      <c r="H22" s="5"/>
      <c r="I22" s="5"/>
      <c r="J22" s="5"/>
      <c r="K22" s="4" t="s">
        <v>195</v>
      </c>
      <c r="L22" s="4" t="s">
        <v>513</v>
      </c>
      <c r="M22" s="6">
        <v>10</v>
      </c>
      <c r="N22" s="5"/>
      <c r="O22" s="4" t="s">
        <v>514</v>
      </c>
      <c r="P22" s="4" t="s">
        <v>508</v>
      </c>
      <c r="Q22" s="4" t="s">
        <v>509</v>
      </c>
    </row>
    <row r="23" spans="1:17">
      <c r="A23" s="4" t="s">
        <v>222</v>
      </c>
      <c r="B23" s="4" t="s">
        <v>191</v>
      </c>
      <c r="C23" s="5"/>
      <c r="D23" s="7">
        <f>IF(AND(ISNUMBER(Master_Panel!AE23),Master_Panel!AE23&gt;0),LN(Master_Panel!AE23),"")</f>
        <v>6.1723267061655855</v>
      </c>
      <c r="E23" s="10">
        <f>IF(ISNUMBER(Master_Panel!AB23),IF(Master_Panel!AB23&gt;Assumptions!$B$2,"High","Low"),"")</f>
        <v/>
      </c>
      <c r="F23" s="10">
        <f>IF(AND(Master_Panel!AY23="Yes",ISNUMBER(Sector_Summary!H4)),IF(Master_Panel!R23&gt;=Sector_Summary!H4,"Leader","Laggard"),"")</f>
        <v/>
      </c>
      <c r="G23" s="5"/>
      <c r="H23" s="5"/>
      <c r="I23" s="5"/>
      <c r="J23" s="5"/>
      <c r="K23" s="4" t="s">
        <v>195</v>
      </c>
      <c r="L23" s="4" t="s">
        <v>513</v>
      </c>
      <c r="M23" s="6">
        <v>9</v>
      </c>
      <c r="N23" s="5"/>
      <c r="O23" s="4" t="s">
        <v>514</v>
      </c>
      <c r="P23" s="4" t="s">
        <v>508</v>
      </c>
      <c r="Q23" s="4" t="s">
        <v>509</v>
      </c>
    </row>
    <row r="24" spans="1:17">
      <c r="A24" s="4" t="s">
        <v>225</v>
      </c>
      <c r="B24" s="4" t="s">
        <v>191</v>
      </c>
      <c r="C24" s="5"/>
      <c r="D24" s="7">
        <f>IF(AND(ISNUMBER(Master_Panel!AE24),Master_Panel!AE24&gt;0),LN(Master_Panel!AE24),"")</f>
        <v>6.197258460087078</v>
      </c>
      <c r="E24" s="10">
        <f>IF(ISNUMBER(Master_Panel!AB24),IF(Master_Panel!AB24&gt;Assumptions!$B$2,"High","Low"),"")</f>
        <v/>
      </c>
      <c r="F24" s="10">
        <f>IF(AND(Master_Panel!AY24="Yes",ISNUMBER(Sector_Summary!H4)),IF(Master_Panel!R24&gt;=Sector_Summary!H4,"Leader","Laggard"),"")</f>
        <v/>
      </c>
      <c r="G24" s="5"/>
      <c r="H24" s="5"/>
      <c r="I24" s="5"/>
      <c r="J24" s="5"/>
      <c r="K24" s="4" t="s">
        <v>195</v>
      </c>
      <c r="L24" s="4" t="s">
        <v>513</v>
      </c>
      <c r="M24" s="6">
        <v>9</v>
      </c>
      <c r="N24" s="5"/>
      <c r="O24" s="4" t="s">
        <v>514</v>
      </c>
      <c r="P24" s="4" t="s">
        <v>508</v>
      </c>
      <c r="Q24" s="4" t="s">
        <v>509</v>
      </c>
    </row>
    <row r="25" spans="1:17">
      <c r="A25" s="4" t="s">
        <v>229</v>
      </c>
      <c r="B25" s="4" t="s">
        <v>191</v>
      </c>
      <c r="C25" s="5"/>
      <c r="D25" s="7">
        <f>IF(AND(ISNUMBER(Master_Panel!AE25),Master_Panel!AE25&gt;0),LN(Master_Panel!AE25),"")</f>
        <v>6.232742668617674</v>
      </c>
      <c r="E25" s="10">
        <f>IF(ISNUMBER(Master_Panel!AB25),IF(Master_Panel!AB25&gt;Assumptions!$B$2,"High","Low"),"")</f>
        <v/>
      </c>
      <c r="F25" s="10">
        <f>IF(AND(Master_Panel!AY25="Yes",ISNUMBER(Sector_Summary!H4)),IF(Master_Panel!R25&gt;=Sector_Summary!H4,"Leader","Laggard"),"")</f>
        <v/>
      </c>
      <c r="G25" s="5"/>
      <c r="H25" s="5"/>
      <c r="I25" s="5"/>
      <c r="J25" s="5"/>
      <c r="K25" s="4" t="s">
        <v>195</v>
      </c>
      <c r="L25" s="4" t="s">
        <v>513</v>
      </c>
      <c r="M25" s="6">
        <v>8</v>
      </c>
      <c r="N25" s="5"/>
      <c r="O25" s="4" t="s">
        <v>514</v>
      </c>
      <c r="P25" s="4" t="s">
        <v>508</v>
      </c>
      <c r="Q25" s="4" t="s">
        <v>509</v>
      </c>
    </row>
    <row r="26" spans="1:17">
      <c r="A26" s="4" t="s">
        <v>231</v>
      </c>
      <c r="B26" s="4" t="s">
        <v>191</v>
      </c>
      <c r="C26" s="5"/>
      <c r="D26" s="7">
        <f>IF(AND(ISNUMBER(Master_Panel!AE26),Master_Panel!AE26&gt;0),LN(Master_Panel!AE26),"")</f>
        <v>5.23920410205553</v>
      </c>
      <c r="E26" s="10">
        <f>IF(ISNUMBER(Master_Panel!AB26),IF(Master_Panel!AB26&gt;Assumptions!$B$2,"High","Low"),"")</f>
        <v/>
      </c>
      <c r="F26" s="10">
        <f>IF(AND(Master_Panel!AY26="Yes",ISNUMBER(Sector_Summary!H4)),IF(Master_Panel!R26&gt;=Sector_Summary!H4,"Leader","Laggard"),"")</f>
        <v/>
      </c>
      <c r="G26" s="5"/>
      <c r="H26" s="5"/>
      <c r="I26" s="5"/>
      <c r="J26" s="5"/>
      <c r="K26" s="4" t="s">
        <v>195</v>
      </c>
      <c r="L26" s="4" t="s">
        <v>513</v>
      </c>
      <c r="M26" s="6">
        <v>8</v>
      </c>
      <c r="N26" s="5"/>
      <c r="O26" s="4" t="s">
        <v>514</v>
      </c>
      <c r="P26" s="4" t="s">
        <v>508</v>
      </c>
      <c r="Q26" s="4" t="s">
        <v>509</v>
      </c>
    </row>
    <row r="27" spans="1:17">
      <c r="A27" s="4" t="s">
        <v>233</v>
      </c>
      <c r="B27" s="4" t="s">
        <v>191</v>
      </c>
      <c r="C27" s="5"/>
      <c r="D27" s="7">
        <f>IF(AND(ISNUMBER(Master_Panel!AE27),Master_Panel!AE27&gt;0),LN(Master_Panel!AE27),"")</f>
        <v/>
      </c>
      <c r="E27" s="10">
        <f>IF(ISNUMBER(Master_Panel!AB27),IF(Master_Panel!AB27&gt;Assumptions!$B$2,"High","Low"),"")</f>
        <v/>
      </c>
      <c r="F27" s="10">
        <f>IF(AND(Master_Panel!AY27="Yes",ISNUMBER(Sector_Summary!H4)),IF(Master_Panel!R27&gt;=Sector_Summary!H4,"Leader","Laggard"),"")</f>
        <v/>
      </c>
      <c r="G27" s="5"/>
      <c r="H27" s="5"/>
      <c r="I27" s="5"/>
      <c r="J27" s="5"/>
      <c r="K27" s="4" t="s">
        <v>195</v>
      </c>
      <c r="L27" s="4" t="s">
        <v>513</v>
      </c>
      <c r="M27" s="6">
        <v>7</v>
      </c>
      <c r="N27" s="5"/>
      <c r="O27" s="4" t="s">
        <v>514</v>
      </c>
      <c r="P27" s="4" t="s">
        <v>508</v>
      </c>
      <c r="Q27" s="4" t="s">
        <v>509</v>
      </c>
    </row>
    <row r="28" spans="1:17">
      <c r="A28" s="4" t="s">
        <v>236</v>
      </c>
      <c r="B28" s="4" t="s">
        <v>237</v>
      </c>
      <c r="C28" s="5"/>
      <c r="D28" s="7">
        <f>IF(AND(ISNUMBER(Master_Panel!AE28),Master_Panel!AE28&gt;0),LN(Master_Panel!AE28),"")</f>
        <v/>
      </c>
      <c r="E28" s="10">
        <f>IF(ISNUMBER(Master_Panel!AB28),IF(Master_Panel!AB28&gt;Assumptions!$B$2,"High","Low"),"")</f>
        <v/>
      </c>
      <c r="F28" s="10">
        <f>IF(AND(Master_Panel!AY28="Yes",ISNUMBER(Sector_Summary!H5)),IF(Master_Panel!R28&gt;=Sector_Summary!H5,"Leader","Laggard"),"")</f>
        <v/>
      </c>
      <c r="G28" s="5"/>
      <c r="H28" s="5"/>
      <c r="I28" s="5"/>
      <c r="J28" s="5"/>
      <c r="K28" s="4" t="s">
        <v>243</v>
      </c>
      <c r="L28" s="4" t="s">
        <v>515</v>
      </c>
      <c r="M28" s="5"/>
      <c r="N28" s="5"/>
      <c r="O28" s="4" t="s">
        <v>516</v>
      </c>
      <c r="P28" s="4" t="s">
        <v>508</v>
      </c>
      <c r="Q28" s="4" t="s">
        <v>509</v>
      </c>
    </row>
    <row r="29" spans="1:17">
      <c r="A29" s="4" t="s">
        <v>252</v>
      </c>
      <c r="B29" s="4" t="s">
        <v>237</v>
      </c>
      <c r="C29" s="5"/>
      <c r="D29" s="7">
        <f>IF(AND(ISNUMBER(Master_Panel!AE29),Master_Panel!AE29&gt;0),LN(Master_Panel!AE29),"")</f>
        <v>9.513255825068553</v>
      </c>
      <c r="E29" s="10">
        <f>IF(ISNUMBER(Master_Panel!AB29),IF(Master_Panel!AB29&gt;Assumptions!$B$2,"High","Low"),"")</f>
        <v/>
      </c>
      <c r="F29" s="10">
        <f>IF(AND(Master_Panel!AY29="Yes",ISNUMBER(Sector_Summary!H5)),IF(Master_Panel!R29&gt;=Sector_Summary!H5,"Leader","Laggard"),"")</f>
        <v/>
      </c>
      <c r="G29" s="5"/>
      <c r="H29" s="5"/>
      <c r="I29" s="5"/>
      <c r="J29" s="5"/>
      <c r="K29" s="4" t="s">
        <v>256</v>
      </c>
      <c r="L29" s="4" t="s">
        <v>515</v>
      </c>
      <c r="M29" s="5"/>
      <c r="N29" s="5"/>
      <c r="O29" s="4" t="s">
        <v>516</v>
      </c>
      <c r="P29" s="4" t="s">
        <v>508</v>
      </c>
      <c r="Q29" s="4" t="s">
        <v>509</v>
      </c>
    </row>
    <row r="30" spans="1:17">
      <c r="A30" s="4" t="s">
        <v>263</v>
      </c>
      <c r="B30" s="4" t="s">
        <v>237</v>
      </c>
      <c r="C30" s="5"/>
      <c r="D30" s="7">
        <f>IF(AND(ISNUMBER(Master_Panel!AE30),Master_Panel!AE30&gt;0),LN(Master_Panel!AE30),"")</f>
        <v>9.978961377202769</v>
      </c>
      <c r="E30" s="10">
        <f>IF(ISNUMBER(Master_Panel!AB30),IF(Master_Panel!AB30&gt;Assumptions!$B$2,"High","Low"),"")</f>
        <v/>
      </c>
      <c r="F30" s="10">
        <f>IF(AND(Master_Panel!AY30="Yes",ISNUMBER(Sector_Summary!H5)),IF(Master_Panel!R30&gt;=Sector_Summary!H5,"Leader","Laggard"),"")</f>
        <v/>
      </c>
      <c r="G30" s="5"/>
      <c r="H30" s="5"/>
      <c r="I30" s="5"/>
      <c r="J30" s="5"/>
      <c r="K30" s="4" t="s">
        <v>256</v>
      </c>
      <c r="L30" s="4" t="s">
        <v>515</v>
      </c>
      <c r="M30" s="5"/>
      <c r="N30" s="5"/>
      <c r="O30" s="4" t="s">
        <v>516</v>
      </c>
      <c r="P30" s="4" t="s">
        <v>508</v>
      </c>
      <c r="Q30" s="4" t="s">
        <v>509</v>
      </c>
    </row>
    <row r="31" spans="1:17">
      <c r="A31" s="4" t="s">
        <v>268</v>
      </c>
      <c r="B31" s="4" t="s">
        <v>237</v>
      </c>
      <c r="C31" s="5"/>
      <c r="D31" s="7">
        <f>IF(AND(ISNUMBER(Master_Panel!AE31),Master_Panel!AE31&gt;0),LN(Master_Panel!AE31),"")</f>
        <v/>
      </c>
      <c r="E31" s="10">
        <f>IF(ISNUMBER(Master_Panel!AB31),IF(Master_Panel!AB31&gt;Assumptions!$B$2,"High","Low"),"")</f>
        <v/>
      </c>
      <c r="F31" s="10">
        <f>IF(AND(Master_Panel!AY31="Yes",ISNUMBER(Sector_Summary!H5)),IF(Master_Panel!R31&gt;=Sector_Summary!H5,"Leader","Laggard"),"")</f>
        <v/>
      </c>
      <c r="G31" s="5"/>
      <c r="H31" s="5"/>
      <c r="I31" s="5"/>
      <c r="J31" s="5"/>
      <c r="K31" s="4" t="s">
        <v>256</v>
      </c>
      <c r="L31" s="4" t="s">
        <v>515</v>
      </c>
      <c r="M31" s="6">
        <v>12</v>
      </c>
      <c r="N31" s="5"/>
      <c r="O31" s="4" t="s">
        <v>516</v>
      </c>
      <c r="P31" s="4" t="s">
        <v>508</v>
      </c>
      <c r="Q31" s="4" t="s">
        <v>509</v>
      </c>
    </row>
    <row r="32" spans="1:17">
      <c r="A32" s="4" t="s">
        <v>274</v>
      </c>
      <c r="B32" s="4" t="s">
        <v>237</v>
      </c>
      <c r="C32" s="5"/>
      <c r="D32" s="7">
        <f>IF(AND(ISNUMBER(Master_Panel!AE32),Master_Panel!AE32&gt;0),LN(Master_Panel!AE32),"")</f>
        <v/>
      </c>
      <c r="E32" s="10">
        <f>IF(ISNUMBER(Master_Panel!AB32),IF(Master_Panel!AB32&gt;Assumptions!$B$2,"High","Low"),"")</f>
        <v/>
      </c>
      <c r="F32" s="10">
        <f>IF(AND(Master_Panel!AY32="Yes",ISNUMBER(Sector_Summary!H5)),IF(Master_Panel!R32&gt;=Sector_Summary!H5,"Leader","Laggard"),"")</f>
        <v/>
      </c>
      <c r="G32" s="6">
        <v>6.76</v>
      </c>
      <c r="H32" s="5"/>
      <c r="I32" s="5"/>
      <c r="J32" s="5"/>
      <c r="K32" s="4" t="s">
        <v>256</v>
      </c>
      <c r="L32" s="4" t="s">
        <v>515</v>
      </c>
      <c r="M32" s="5"/>
      <c r="N32" s="5"/>
      <c r="O32" s="4" t="s">
        <v>516</v>
      </c>
      <c r="P32" s="4" t="s">
        <v>508</v>
      </c>
      <c r="Q32" s="4" t="s">
        <v>509</v>
      </c>
    </row>
    <row r="33" spans="1:17">
      <c r="A33" s="4" t="s">
        <v>282</v>
      </c>
      <c r="B33" s="4" t="s">
        <v>237</v>
      </c>
      <c r="C33" s="5"/>
      <c r="D33" s="7">
        <f>IF(AND(ISNUMBER(Master_Panel!AE33),Master_Panel!AE33&gt;0),LN(Master_Panel!AE33),"")</f>
        <v/>
      </c>
      <c r="E33" s="10">
        <f>IF(ISNUMBER(Master_Panel!AB33),IF(Master_Panel!AB33&gt;Assumptions!$B$2,"High","Low"),"")</f>
        <v/>
      </c>
      <c r="F33" s="10">
        <f>IF(AND(Master_Panel!AY33="Yes",ISNUMBER(Sector_Summary!H5)),IF(Master_Panel!R33&gt;=Sector_Summary!H5,"Leader","Laggard"),"")</f>
        <v/>
      </c>
      <c r="G33" s="5"/>
      <c r="H33" s="5"/>
      <c r="I33" s="5"/>
      <c r="J33" s="5"/>
      <c r="K33" s="4" t="s">
        <v>256</v>
      </c>
      <c r="L33" s="4" t="s">
        <v>515</v>
      </c>
      <c r="M33" s="5"/>
      <c r="N33" s="5"/>
      <c r="O33" s="4" t="s">
        <v>516</v>
      </c>
      <c r="P33" s="4" t="s">
        <v>508</v>
      </c>
      <c r="Q33" s="4" t="s">
        <v>509</v>
      </c>
    </row>
    <row r="34" spans="1:17">
      <c r="A34" s="4" t="s">
        <v>290</v>
      </c>
      <c r="B34" s="4" t="s">
        <v>237</v>
      </c>
      <c r="C34" s="5"/>
      <c r="D34" s="7">
        <f>IF(AND(ISNUMBER(Master_Panel!AE34),Master_Panel!AE34&gt;0),LN(Master_Panel!AE34),"")</f>
        <v/>
      </c>
      <c r="E34" s="10">
        <f>IF(ISNUMBER(Master_Panel!AB34),IF(Master_Panel!AB34&gt;Assumptions!$B$2,"High","Low"),"")</f>
        <v/>
      </c>
      <c r="F34" s="10" t="str">
        <f>IF(AND(Master_Panel!AY34="Yes",ISNUMBER(Sector_Summary!H5)),IF(Master_Panel!R34&gt;=Sector_Summary!H5,"Leader","Laggard"),"")</f>
        <v>Leader</v>
      </c>
      <c r="G34" s="5"/>
      <c r="H34" s="5"/>
      <c r="I34" s="5"/>
      <c r="J34" s="5"/>
      <c r="K34" s="4" t="s">
        <v>293</v>
      </c>
      <c r="L34" s="4" t="s">
        <v>515</v>
      </c>
      <c r="M34" s="6">
        <v>10</v>
      </c>
      <c r="N34" s="5"/>
      <c r="O34" s="4" t="s">
        <v>516</v>
      </c>
      <c r="P34" s="4" t="s">
        <v>508</v>
      </c>
      <c r="Q34" s="4" t="s">
        <v>509</v>
      </c>
    </row>
    <row r="35" spans="1:17">
      <c r="A35" s="4" t="s">
        <v>296</v>
      </c>
      <c r="B35" s="4" t="s">
        <v>237</v>
      </c>
      <c r="C35" s="5"/>
      <c r="D35" s="7">
        <f>IF(AND(ISNUMBER(Master_Panel!AE35),Master_Panel!AE35&gt;0),LN(Master_Panel!AE35),"")</f>
        <v/>
      </c>
      <c r="E35" s="10">
        <f>IF(ISNUMBER(Master_Panel!AB35),IF(Master_Panel!AB35&gt;Assumptions!$B$2,"High","Low"),"")</f>
        <v/>
      </c>
      <c r="F35" s="10" t="str">
        <f>IF(AND(Master_Panel!AY35="Yes",ISNUMBER(Sector_Summary!H5)),IF(Master_Panel!R35&gt;=Sector_Summary!H5,"Leader","Laggard"),"")</f>
        <v>Laggard</v>
      </c>
      <c r="G35" s="5"/>
      <c r="H35" s="5"/>
      <c r="I35" s="5"/>
      <c r="J35" s="5"/>
      <c r="K35" s="4" t="s">
        <v>293</v>
      </c>
      <c r="L35" s="4" t="s">
        <v>515</v>
      </c>
      <c r="M35" s="6">
        <v>6</v>
      </c>
      <c r="N35" s="5"/>
      <c r="O35" s="4" t="s">
        <v>516</v>
      </c>
      <c r="P35" s="4" t="s">
        <v>508</v>
      </c>
      <c r="Q35" s="4" t="s">
        <v>509</v>
      </c>
    </row>
    <row r="36" spans="1:17">
      <c r="A36" s="4" t="s">
        <v>298</v>
      </c>
      <c r="B36" s="4" t="s">
        <v>237</v>
      </c>
      <c r="C36" s="5"/>
      <c r="D36" s="7">
        <f>IF(AND(ISNUMBER(Master_Panel!AE36),Master_Panel!AE36&gt;0),LN(Master_Panel!AE36),"")</f>
        <v>6.909354000345834</v>
      </c>
      <c r="E36" s="10">
        <f>IF(ISNUMBER(Master_Panel!AB36),IF(Master_Panel!AB36&gt;Assumptions!$B$2,"High","Low"),"")</f>
        <v/>
      </c>
      <c r="F36" s="10">
        <f>IF(AND(Master_Panel!AY36="Yes",ISNUMBER(Sector_Summary!H5)),IF(Master_Panel!R36&gt;=Sector_Summary!H5,"Leader","Laggard"),"")</f>
        <v/>
      </c>
      <c r="G36" s="5"/>
      <c r="H36" s="5"/>
      <c r="I36" s="5"/>
      <c r="J36" s="5"/>
      <c r="K36" s="4" t="s">
        <v>256</v>
      </c>
      <c r="L36" s="4" t="s">
        <v>515</v>
      </c>
      <c r="M36" s="6">
        <v>4</v>
      </c>
      <c r="N36" s="5"/>
      <c r="O36" s="4" t="s">
        <v>516</v>
      </c>
      <c r="P36" s="4" t="s">
        <v>508</v>
      </c>
      <c r="Q36" s="4" t="s">
        <v>509</v>
      </c>
    </row>
    <row r="37" spans="1:17">
      <c r="A37" s="4" t="s">
        <v>300</v>
      </c>
      <c r="B37" s="4" t="s">
        <v>237</v>
      </c>
      <c r="C37" s="5"/>
      <c r="D37" s="7">
        <f>IF(AND(ISNUMBER(Master_Panel!AE37),Master_Panel!AE37&gt;0),LN(Master_Panel!AE37),"")</f>
        <v/>
      </c>
      <c r="E37" s="10">
        <f>IF(ISNUMBER(Master_Panel!AB37),IF(Master_Panel!AB37&gt;Assumptions!$B$2,"High","Low"),"")</f>
        <v/>
      </c>
      <c r="F37" s="10">
        <f>IF(AND(Master_Panel!AY37="Yes",ISNUMBER(Sector_Summary!H5)),IF(Master_Panel!R37&gt;=Sector_Summary!H5,"Leader","Laggard"),"")</f>
        <v/>
      </c>
      <c r="G37" s="5"/>
      <c r="H37" s="5"/>
      <c r="I37" s="5"/>
      <c r="J37" s="5"/>
      <c r="K37" s="4" t="s">
        <v>256</v>
      </c>
      <c r="L37" s="4" t="s">
        <v>515</v>
      </c>
      <c r="M37" s="5"/>
      <c r="N37" s="5"/>
      <c r="O37" s="4" t="s">
        <v>516</v>
      </c>
      <c r="P37" s="4" t="s">
        <v>508</v>
      </c>
      <c r="Q37" s="4" t="s">
        <v>509</v>
      </c>
    </row>
    <row r="38" spans="1:17">
      <c r="A38" s="4" t="s">
        <v>304</v>
      </c>
      <c r="B38" s="4" t="s">
        <v>237</v>
      </c>
      <c r="C38" s="5"/>
      <c r="D38" s="7">
        <f>IF(AND(ISNUMBER(Master_Panel!AE38),Master_Panel!AE38&gt;0),LN(Master_Panel!AE38),"")</f>
        <v/>
      </c>
      <c r="E38" s="10">
        <f>IF(ISNUMBER(Master_Panel!AB38),IF(Master_Panel!AB38&gt;Assumptions!$B$2,"High","Low"),"")</f>
        <v/>
      </c>
      <c r="F38" s="10">
        <f>IF(AND(Master_Panel!AY38="Yes",ISNUMBER(Sector_Summary!H5)),IF(Master_Panel!R38&gt;=Sector_Summary!H5,"Leader","Laggard"),"")</f>
        <v/>
      </c>
      <c r="G38" s="5"/>
      <c r="H38" s="5"/>
      <c r="I38" s="5"/>
      <c r="J38" s="5"/>
      <c r="K38" s="4" t="s">
        <v>256</v>
      </c>
      <c r="L38" s="4" t="s">
        <v>515</v>
      </c>
      <c r="M38" s="5"/>
      <c r="N38" s="5"/>
      <c r="O38" s="4" t="s">
        <v>516</v>
      </c>
      <c r="P38" s="4" t="s">
        <v>508</v>
      </c>
      <c r="Q38" s="4" t="s">
        <v>509</v>
      </c>
    </row>
    <row r="39" spans="1:17">
      <c r="A39" s="4" t="s">
        <v>306</v>
      </c>
      <c r="B39" s="4" t="s">
        <v>237</v>
      </c>
      <c r="C39" s="5"/>
      <c r="D39" s="7">
        <f>IF(AND(ISNUMBER(Master_Panel!AE39),Master_Panel!AE39&gt;0),LN(Master_Panel!AE39),"")</f>
        <v/>
      </c>
      <c r="E39" s="10">
        <f>IF(ISNUMBER(Master_Panel!AB39),IF(Master_Panel!AB39&gt;Assumptions!$B$2,"High","Low"),"")</f>
        <v/>
      </c>
      <c r="F39" s="10">
        <f>IF(AND(Master_Panel!AY39="Yes",ISNUMBER(Sector_Summary!H5)),IF(Master_Panel!R39&gt;=Sector_Summary!H5,"Leader","Laggard"),"")</f>
        <v/>
      </c>
      <c r="G39" s="5"/>
      <c r="H39" s="5"/>
      <c r="I39" s="5"/>
      <c r="J39" s="5"/>
      <c r="K39" s="4" t="s">
        <v>256</v>
      </c>
      <c r="L39" s="4" t="s">
        <v>515</v>
      </c>
      <c r="M39" s="5"/>
      <c r="N39" s="5"/>
      <c r="O39" s="4" t="s">
        <v>516</v>
      </c>
      <c r="P39" s="4" t="s">
        <v>508</v>
      </c>
      <c r="Q39" s="4" t="s">
        <v>509</v>
      </c>
    </row>
    <row r="40" spans="1:17">
      <c r="A40" s="4" t="s">
        <v>310</v>
      </c>
      <c r="B40" s="4" t="s">
        <v>311</v>
      </c>
      <c r="C40" s="5"/>
      <c r="D40" s="7">
        <f>IF(AND(ISNUMBER(Master_Panel!AE40),Master_Panel!AE40&gt;0),LN(Master_Panel!AE40),"")</f>
        <v/>
      </c>
      <c r="E40" s="10">
        <f>IF(ISNUMBER(Master_Panel!AB40),IF(Master_Panel!AB40&gt;Assumptions!$B$2,"High","Low"),"")</f>
        <v/>
      </c>
      <c r="F40" s="10">
        <f>IF(AND(Master_Panel!AY40="Yes",ISNUMBER(Sector_Summary!H6)),IF(Master_Panel!R40&gt;=Sector_Summary!H6,"Leader","Laggard"),"")</f>
        <v/>
      </c>
      <c r="G40" s="5"/>
      <c r="H40" s="5"/>
      <c r="I40" s="5"/>
      <c r="J40" s="5"/>
      <c r="K40" s="4" t="s">
        <v>315</v>
      </c>
      <c r="L40" s="4" t="s">
        <v>517</v>
      </c>
      <c r="M40" s="6">
        <v>25</v>
      </c>
      <c r="N40" s="5"/>
      <c r="O40" s="4" t="s">
        <v>518</v>
      </c>
      <c r="P40" s="4" t="s">
        <v>508</v>
      </c>
      <c r="Q40" s="4" t="s">
        <v>509</v>
      </c>
    </row>
    <row r="41" spans="1:17">
      <c r="A41" s="4" t="s">
        <v>321</v>
      </c>
      <c r="B41" s="4" t="s">
        <v>311</v>
      </c>
      <c r="C41" s="5"/>
      <c r="D41" s="7">
        <f>IF(AND(ISNUMBER(Master_Panel!AE41),Master_Panel!AE41&gt;0),LN(Master_Panel!AE41),"")</f>
        <v/>
      </c>
      <c r="E41" s="10">
        <f>IF(ISNUMBER(Master_Panel!AB41),IF(Master_Panel!AB41&gt;Assumptions!$B$2,"High","Low"),"")</f>
        <v/>
      </c>
      <c r="F41" s="10">
        <f>IF(AND(Master_Panel!AY41="Yes",ISNUMBER(Sector_Summary!H6)),IF(Master_Panel!R41&gt;=Sector_Summary!H6,"Leader","Laggard"),"")</f>
        <v/>
      </c>
      <c r="G41" s="5"/>
      <c r="H41" s="5"/>
      <c r="I41" s="5"/>
      <c r="J41" s="5"/>
      <c r="K41" s="4" t="s">
        <v>315</v>
      </c>
      <c r="L41" s="4" t="s">
        <v>517</v>
      </c>
      <c r="M41" s="6">
        <v>24</v>
      </c>
      <c r="N41" s="5"/>
      <c r="O41" s="4" t="s">
        <v>518</v>
      </c>
      <c r="P41" s="4" t="s">
        <v>508</v>
      </c>
      <c r="Q41" s="4" t="s">
        <v>509</v>
      </c>
    </row>
    <row r="42" spans="1:17">
      <c r="A42" s="4" t="s">
        <v>323</v>
      </c>
      <c r="B42" s="4" t="s">
        <v>311</v>
      </c>
      <c r="C42" s="5"/>
      <c r="D42" s="7">
        <f>IF(AND(ISNUMBER(Master_Panel!AE42),Master_Panel!AE42&gt;0),LN(Master_Panel!AE42),"")</f>
        <v/>
      </c>
      <c r="E42" s="10">
        <f>IF(ISNUMBER(Master_Panel!AB42),IF(Master_Panel!AB42&gt;Assumptions!$B$2,"High","Low"),"")</f>
        <v/>
      </c>
      <c r="F42" s="10">
        <f>IF(AND(Master_Panel!AY42="Yes",ISNUMBER(Sector_Summary!H6)),IF(Master_Panel!R42&gt;=Sector_Summary!H6,"Leader","Laggard"),"")</f>
        <v/>
      </c>
      <c r="G42" s="5"/>
      <c r="H42" s="5"/>
      <c r="I42" s="5"/>
      <c r="J42" s="5"/>
      <c r="K42" s="4" t="s">
        <v>315</v>
      </c>
      <c r="L42" s="4" t="s">
        <v>517</v>
      </c>
      <c r="M42" s="6">
        <v>18</v>
      </c>
      <c r="N42" s="5"/>
      <c r="O42" s="4" t="s">
        <v>518</v>
      </c>
      <c r="P42" s="4" t="s">
        <v>508</v>
      </c>
      <c r="Q42" s="4" t="s">
        <v>509</v>
      </c>
    </row>
    <row r="43" spans="1:17">
      <c r="A43" s="4" t="s">
        <v>325</v>
      </c>
      <c r="B43" s="4" t="s">
        <v>311</v>
      </c>
      <c r="C43" s="5"/>
      <c r="D43" s="7">
        <f>IF(AND(ISNUMBER(Master_Panel!AE43),Master_Panel!AE43&gt;0),LN(Master_Panel!AE43),"")</f>
        <v/>
      </c>
      <c r="E43" s="10">
        <f>IF(ISNUMBER(Master_Panel!AB43),IF(Master_Panel!AB43&gt;Assumptions!$B$2,"High","Low"),"")</f>
        <v/>
      </c>
      <c r="F43" s="10">
        <f>IF(AND(Master_Panel!AY43="Yes",ISNUMBER(Sector_Summary!H6)),IF(Master_Panel!R43&gt;=Sector_Summary!H6,"Leader","Laggard"),"")</f>
        <v/>
      </c>
      <c r="G43" s="5"/>
      <c r="H43" s="5"/>
      <c r="I43" s="5"/>
      <c r="J43" s="5"/>
      <c r="K43" s="4" t="s">
        <v>315</v>
      </c>
      <c r="L43" s="4" t="s">
        <v>517</v>
      </c>
      <c r="M43" s="6">
        <v>17</v>
      </c>
      <c r="N43" s="5"/>
      <c r="O43" s="4" t="s">
        <v>518</v>
      </c>
      <c r="P43" s="4" t="s">
        <v>508</v>
      </c>
      <c r="Q43" s="4" t="s">
        <v>509</v>
      </c>
    </row>
    <row r="44" spans="1:17">
      <c r="A44" s="4" t="s">
        <v>327</v>
      </c>
      <c r="B44" s="4" t="s">
        <v>311</v>
      </c>
      <c r="C44" s="5"/>
      <c r="D44" s="7">
        <f>IF(AND(ISNUMBER(Master_Panel!AE44),Master_Panel!AE44&gt;0),LN(Master_Panel!AE44),"")</f>
        <v/>
      </c>
      <c r="E44" s="10">
        <f>IF(ISNUMBER(Master_Panel!AB44),IF(Master_Panel!AB44&gt;Assumptions!$B$2,"High","Low"),"")</f>
        <v/>
      </c>
      <c r="F44" s="10">
        <f>IF(AND(Master_Panel!AY44="Yes",ISNUMBER(Sector_Summary!H6)),IF(Master_Panel!R44&gt;=Sector_Summary!H6,"Leader","Laggard"),"")</f>
        <v/>
      </c>
      <c r="G44" s="5"/>
      <c r="H44" s="5"/>
      <c r="I44" s="5"/>
      <c r="J44" s="5"/>
      <c r="K44" s="4" t="s">
        <v>315</v>
      </c>
      <c r="L44" s="4" t="s">
        <v>517</v>
      </c>
      <c r="M44" s="6">
        <v>15</v>
      </c>
      <c r="N44" s="5"/>
      <c r="O44" s="4" t="s">
        <v>518</v>
      </c>
      <c r="P44" s="4" t="s">
        <v>508</v>
      </c>
      <c r="Q44" s="4" t="s">
        <v>509</v>
      </c>
    </row>
    <row r="45" spans="1:17">
      <c r="A45" s="4" t="s">
        <v>329</v>
      </c>
      <c r="B45" s="4" t="s">
        <v>311</v>
      </c>
      <c r="C45" s="5"/>
      <c r="D45" s="7">
        <f>IF(AND(ISNUMBER(Master_Panel!AE45),Master_Panel!AE45&gt;0),LN(Master_Panel!AE45),"")</f>
        <v/>
      </c>
      <c r="E45" s="10">
        <f>IF(ISNUMBER(Master_Panel!AB45),IF(Master_Panel!AB45&gt;Assumptions!$B$2,"High","Low"),"")</f>
        <v/>
      </c>
      <c r="F45" s="10">
        <f>IF(AND(Master_Panel!AY45="Yes",ISNUMBER(Sector_Summary!H6)),IF(Master_Panel!R45&gt;=Sector_Summary!H6,"Leader","Laggard"),"")</f>
        <v/>
      </c>
      <c r="G45" s="5"/>
      <c r="H45" s="5"/>
      <c r="I45" s="5"/>
      <c r="J45" s="5"/>
      <c r="K45" s="4" t="s">
        <v>315</v>
      </c>
      <c r="L45" s="4" t="s">
        <v>517</v>
      </c>
      <c r="M45" s="6">
        <v>12</v>
      </c>
      <c r="N45" s="5"/>
      <c r="O45" s="4" t="s">
        <v>518</v>
      </c>
      <c r="P45" s="4" t="s">
        <v>508</v>
      </c>
      <c r="Q45" s="4" t="s">
        <v>509</v>
      </c>
    </row>
    <row r="46" spans="1:17">
      <c r="A46" s="4" t="s">
        <v>331</v>
      </c>
      <c r="B46" s="4" t="s">
        <v>311</v>
      </c>
      <c r="C46" s="5"/>
      <c r="D46" s="7">
        <f>IF(AND(ISNUMBER(Master_Panel!AE46),Master_Panel!AE46&gt;0),LN(Master_Panel!AE46),"")</f>
        <v/>
      </c>
      <c r="E46" s="10">
        <f>IF(ISNUMBER(Master_Panel!AB46),IF(Master_Panel!AB46&gt;Assumptions!$B$2,"High","Low"),"")</f>
        <v/>
      </c>
      <c r="F46" s="10">
        <f>IF(AND(Master_Panel!AY46="Yes",ISNUMBER(Sector_Summary!H6)),IF(Master_Panel!R46&gt;=Sector_Summary!H6,"Leader","Laggard"),"")</f>
        <v/>
      </c>
      <c r="G46" s="5"/>
      <c r="H46" s="5"/>
      <c r="I46" s="5"/>
      <c r="J46" s="5"/>
      <c r="K46" s="4" t="s">
        <v>315</v>
      </c>
      <c r="L46" s="4" t="s">
        <v>517</v>
      </c>
      <c r="M46" s="6">
        <v>12</v>
      </c>
      <c r="N46" s="5"/>
      <c r="O46" s="4" t="s">
        <v>518</v>
      </c>
      <c r="P46" s="4" t="s">
        <v>508</v>
      </c>
      <c r="Q46" s="4" t="s">
        <v>509</v>
      </c>
    </row>
    <row r="47" spans="1:17">
      <c r="A47" s="4" t="s">
        <v>333</v>
      </c>
      <c r="B47" s="4" t="s">
        <v>311</v>
      </c>
      <c r="C47" s="5"/>
      <c r="D47" s="7">
        <f>IF(AND(ISNUMBER(Master_Panel!AE47),Master_Panel!AE47&gt;0),LN(Master_Panel!AE47),"")</f>
        <v/>
      </c>
      <c r="E47" s="10">
        <f>IF(ISNUMBER(Master_Panel!AB47),IF(Master_Panel!AB47&gt;Assumptions!$B$2,"High","Low"),"")</f>
        <v/>
      </c>
      <c r="F47" s="10">
        <f>IF(AND(Master_Panel!AY47="Yes",ISNUMBER(Sector_Summary!H6)),IF(Master_Panel!R47&gt;=Sector_Summary!H6,"Leader","Laggard"),"")</f>
        <v/>
      </c>
      <c r="G47" s="5"/>
      <c r="H47" s="5"/>
      <c r="I47" s="5"/>
      <c r="J47" s="5"/>
      <c r="K47" s="4" t="s">
        <v>315</v>
      </c>
      <c r="L47" s="4" t="s">
        <v>517</v>
      </c>
      <c r="M47" s="6">
        <v>12</v>
      </c>
      <c r="N47" s="5"/>
      <c r="O47" s="4" t="s">
        <v>518</v>
      </c>
      <c r="P47" s="4" t="s">
        <v>508</v>
      </c>
      <c r="Q47" s="4" t="s">
        <v>509</v>
      </c>
    </row>
    <row r="48" spans="1:17">
      <c r="A48" s="4" t="s">
        <v>335</v>
      </c>
      <c r="B48" s="4" t="s">
        <v>311</v>
      </c>
      <c r="C48" s="5"/>
      <c r="D48" s="7">
        <f>IF(AND(ISNUMBER(Master_Panel!AE48),Master_Panel!AE48&gt;0),LN(Master_Panel!AE48),"")</f>
        <v/>
      </c>
      <c r="E48" s="10">
        <f>IF(ISNUMBER(Master_Panel!AB48),IF(Master_Panel!AB48&gt;Assumptions!$B$2,"High","Low"),"")</f>
        <v/>
      </c>
      <c r="F48" s="10">
        <f>IF(AND(Master_Panel!AY48="Yes",ISNUMBER(Sector_Summary!H6)),IF(Master_Panel!R48&gt;=Sector_Summary!H6,"Leader","Laggard"),"")</f>
        <v/>
      </c>
      <c r="G48" s="5"/>
      <c r="H48" s="5"/>
      <c r="I48" s="5"/>
      <c r="J48" s="5"/>
      <c r="K48" s="4" t="s">
        <v>315</v>
      </c>
      <c r="L48" s="4" t="s">
        <v>517</v>
      </c>
      <c r="M48" s="6">
        <v>10</v>
      </c>
      <c r="N48" s="5"/>
      <c r="O48" s="4" t="s">
        <v>518</v>
      </c>
      <c r="P48" s="4" t="s">
        <v>508</v>
      </c>
      <c r="Q48" s="4" t="s">
        <v>509</v>
      </c>
    </row>
    <row r="49" spans="1:17">
      <c r="A49" s="4" t="s">
        <v>337</v>
      </c>
      <c r="B49" s="4" t="s">
        <v>311</v>
      </c>
      <c r="C49" s="5"/>
      <c r="D49" s="7">
        <f>IF(AND(ISNUMBER(Master_Panel!AE49),Master_Panel!AE49&gt;0),LN(Master_Panel!AE49),"")</f>
        <v/>
      </c>
      <c r="E49" s="10">
        <f>IF(ISNUMBER(Master_Panel!AB49),IF(Master_Panel!AB49&gt;Assumptions!$B$2,"High","Low"),"")</f>
        <v/>
      </c>
      <c r="F49" s="10">
        <f>IF(AND(Master_Panel!AY49="Yes",ISNUMBER(Sector_Summary!H6)),IF(Master_Panel!R49&gt;=Sector_Summary!H6,"Leader","Laggard"),"")</f>
        <v/>
      </c>
      <c r="G49" s="5"/>
      <c r="H49" s="5"/>
      <c r="I49" s="5"/>
      <c r="J49" s="5"/>
      <c r="K49" s="4" t="s">
        <v>315</v>
      </c>
      <c r="L49" s="4" t="s">
        <v>517</v>
      </c>
      <c r="M49" s="6">
        <v>10</v>
      </c>
      <c r="N49" s="5"/>
      <c r="O49" s="4" t="s">
        <v>518</v>
      </c>
      <c r="P49" s="4" t="s">
        <v>508</v>
      </c>
      <c r="Q49" s="4" t="s">
        <v>509</v>
      </c>
    </row>
    <row r="50" spans="1:17">
      <c r="A50" s="4" t="s">
        <v>339</v>
      </c>
      <c r="B50" s="4" t="s">
        <v>311</v>
      </c>
      <c r="C50" s="5"/>
      <c r="D50" s="7">
        <f>IF(AND(ISNUMBER(Master_Panel!AE50),Master_Panel!AE50&gt;0),LN(Master_Panel!AE50),"")</f>
        <v/>
      </c>
      <c r="E50" s="10">
        <f>IF(ISNUMBER(Master_Panel!AB50),IF(Master_Panel!AB50&gt;Assumptions!$B$2,"High","Low"),"")</f>
        <v/>
      </c>
      <c r="F50" s="10">
        <f>IF(AND(Master_Panel!AY50="Yes",ISNUMBER(Sector_Summary!H6)),IF(Master_Panel!R50&gt;=Sector_Summary!H6,"Leader","Laggard"),"")</f>
        <v/>
      </c>
      <c r="G50" s="5"/>
      <c r="H50" s="5"/>
      <c r="I50" s="5"/>
      <c r="J50" s="5"/>
      <c r="K50" s="4" t="s">
        <v>315</v>
      </c>
      <c r="L50" s="4" t="s">
        <v>517</v>
      </c>
      <c r="M50" s="6">
        <v>9</v>
      </c>
      <c r="N50" s="5"/>
      <c r="O50" s="4" t="s">
        <v>518</v>
      </c>
      <c r="P50" s="4" t="s">
        <v>508</v>
      </c>
      <c r="Q50" s="4" t="s">
        <v>509</v>
      </c>
    </row>
    <row r="51" spans="1:17">
      <c r="A51" s="4" t="s">
        <v>341</v>
      </c>
      <c r="B51" s="4" t="s">
        <v>311</v>
      </c>
      <c r="C51" s="5"/>
      <c r="D51" s="7">
        <f>IF(AND(ISNUMBER(Master_Panel!AE51),Master_Panel!AE51&gt;0),LN(Master_Panel!AE51),"")</f>
        <v/>
      </c>
      <c r="E51" s="10">
        <f>IF(ISNUMBER(Master_Panel!AB51),IF(Master_Panel!AB51&gt;Assumptions!$B$2,"High","Low"),"")</f>
        <v/>
      </c>
      <c r="F51" s="10">
        <f>IF(AND(Master_Panel!AY51="Yes",ISNUMBER(Sector_Summary!H6)),IF(Master_Panel!R51&gt;=Sector_Summary!H6,"Leader","Laggard"),"")</f>
        <v/>
      </c>
      <c r="G51" s="5"/>
      <c r="H51" s="5"/>
      <c r="I51" s="5"/>
      <c r="J51" s="5"/>
      <c r="K51" s="4" t="s">
        <v>315</v>
      </c>
      <c r="L51" s="4" t="s">
        <v>517</v>
      </c>
      <c r="M51" s="6">
        <v>6</v>
      </c>
      <c r="N51" s="5"/>
      <c r="O51" s="4" t="s">
        <v>518</v>
      </c>
      <c r="P51" s="4" t="s">
        <v>508</v>
      </c>
      <c r="Q51" s="4" t="s">
        <v>509</v>
      </c>
    </row>
    <row r="52" spans="1:17">
      <c r="A52" s="4" t="s">
        <v>343</v>
      </c>
      <c r="B52" s="4" t="s">
        <v>311</v>
      </c>
      <c r="C52" s="5"/>
      <c r="D52" s="7">
        <f>IF(AND(ISNUMBER(Master_Panel!AE52),Master_Panel!AE52&gt;0),LN(Master_Panel!AE52),"")</f>
        <v/>
      </c>
      <c r="E52" s="10">
        <f>IF(ISNUMBER(Master_Panel!AB52),IF(Master_Panel!AB52&gt;Assumptions!$B$2,"High","Low"),"")</f>
        <v/>
      </c>
      <c r="F52" s="10">
        <f>IF(AND(Master_Panel!AY52="Yes",ISNUMBER(Sector_Summary!H6)),IF(Master_Panel!R52&gt;=Sector_Summary!H6,"Leader","Laggard"),"")</f>
        <v/>
      </c>
      <c r="G52" s="5"/>
      <c r="H52" s="5"/>
      <c r="I52" s="5"/>
      <c r="J52" s="5"/>
      <c r="K52" s="4" t="s">
        <v>315</v>
      </c>
      <c r="L52" s="4" t="s">
        <v>517</v>
      </c>
      <c r="M52" s="6">
        <v>3</v>
      </c>
      <c r="N52" s="5"/>
      <c r="O52" s="4" t="s">
        <v>518</v>
      </c>
      <c r="P52" s="4" t="s">
        <v>508</v>
      </c>
      <c r="Q52" s="4" t="s">
        <v>509</v>
      </c>
    </row>
    <row r="53" spans="1:17">
      <c r="A53" s="4" t="s">
        <v>345</v>
      </c>
      <c r="B53" s="4" t="s">
        <v>346</v>
      </c>
      <c r="C53" s="6">
        <v>44.97</v>
      </c>
      <c r="D53" s="7">
        <f>IF(AND(ISNUMBER(Master_Panel!AE53),Master_Panel!AE53&gt;0),LN(Master_Panel!AE53),"")</f>
        <v>8.318405610668977</v>
      </c>
      <c r="E53" s="10" t="str">
        <f>IF(ISNUMBER(Master_Panel!AB53),IF(Master_Panel!AB53&gt;Assumptions!$B$2,"High","Low"),"")</f>
        <v>Low</v>
      </c>
      <c r="F53" s="10" t="str">
        <f>IF(AND(Master_Panel!AY53="Yes",ISNUMBER(Sector_Summary!H7)),IF(Master_Panel!R53&gt;=Sector_Summary!H7,"Leader","Laggard"),"")</f>
        <v>Laggard</v>
      </c>
      <c r="G53" s="6">
        <v>3.49007756679363</v>
      </c>
      <c r="H53" s="6">
        <v>0.055</v>
      </c>
      <c r="I53" s="4" t="s">
        <v>519</v>
      </c>
      <c r="J53" s="5"/>
      <c r="K53" s="4" t="s">
        <v>120</v>
      </c>
      <c r="L53" s="4" t="s">
        <v>520</v>
      </c>
      <c r="M53" s="6">
        <v>8</v>
      </c>
      <c r="N53" s="5"/>
      <c r="O53" s="4" t="s">
        <v>521</v>
      </c>
      <c r="P53" s="4" t="s">
        <v>508</v>
      </c>
      <c r="Q53" s="4" t="s">
        <v>509</v>
      </c>
    </row>
    <row r="54" spans="1:17">
      <c r="A54" s="4" t="s">
        <v>354</v>
      </c>
      <c r="B54" s="4" t="s">
        <v>346</v>
      </c>
      <c r="C54" s="6">
        <v>96.40000000000001</v>
      </c>
      <c r="D54" s="7">
        <f>IF(AND(ISNUMBER(Master_Panel!AE54),Master_Panel!AE54&gt;0),LN(Master_Panel!AE54),"")</f>
        <v>8.67118385844213</v>
      </c>
      <c r="E54" s="10" t="str">
        <f>IF(ISNUMBER(Master_Panel!AB54),IF(Master_Panel!AB54&gt;Assumptions!$B$2,"High","Low"),"")</f>
        <v>Low</v>
      </c>
      <c r="F54" s="10" t="str">
        <f>IF(AND(Master_Panel!AY54="Yes",ISNUMBER(Sector_Summary!H7)),IF(Master_Panel!R54&gt;=Sector_Summary!H7,"Leader","Laggard"),"")</f>
        <v>Laggard</v>
      </c>
      <c r="G54" s="6">
        <v>14.8768651664094</v>
      </c>
      <c r="H54" s="6">
        <v>0.091</v>
      </c>
      <c r="I54" s="4" t="s">
        <v>522</v>
      </c>
      <c r="J54" s="5"/>
      <c r="K54" s="4" t="s">
        <v>120</v>
      </c>
      <c r="L54" s="4" t="s">
        <v>520</v>
      </c>
      <c r="M54" s="6">
        <v>17</v>
      </c>
      <c r="N54" s="5"/>
      <c r="O54" s="4" t="s">
        <v>521</v>
      </c>
      <c r="P54" s="4" t="s">
        <v>508</v>
      </c>
      <c r="Q54" s="4" t="s">
        <v>509</v>
      </c>
    </row>
    <row r="55" spans="1:17">
      <c r="A55" s="4" t="s">
        <v>357</v>
      </c>
      <c r="B55" s="4" t="s">
        <v>346</v>
      </c>
      <c r="C55" s="5"/>
      <c r="D55" s="7">
        <f>IF(AND(ISNUMBER(Master_Panel!AE55),Master_Panel!AE55&gt;0),LN(Master_Panel!AE55),"")</f>
        <v/>
      </c>
      <c r="E55" s="10" t="str">
        <f>IF(ISNUMBER(Master_Panel!AB55),IF(Master_Panel!AB55&gt;Assumptions!$B$2,"High","Low"),"")</f>
        <v>Low</v>
      </c>
      <c r="F55" s="10" t="str">
        <f>IF(AND(Master_Panel!AY55="Yes",ISNUMBER(Sector_Summary!H7)),IF(Master_Panel!R55&gt;=Sector_Summary!H7,"Leader","Laggard"),"")</f>
        <v>Laggard</v>
      </c>
      <c r="G55" s="5"/>
      <c r="H55" s="5"/>
      <c r="I55" s="5"/>
      <c r="J55" s="5"/>
      <c r="K55" s="4" t="s">
        <v>120</v>
      </c>
      <c r="L55" s="4" t="s">
        <v>520</v>
      </c>
      <c r="M55" s="6">
        <v>13</v>
      </c>
      <c r="N55" s="5"/>
      <c r="O55" s="4" t="s">
        <v>521</v>
      </c>
      <c r="P55" s="4" t="s">
        <v>508</v>
      </c>
      <c r="Q55" s="4" t="s">
        <v>509</v>
      </c>
    </row>
    <row r="56" spans="1:17">
      <c r="A56" s="4" t="s">
        <v>360</v>
      </c>
      <c r="B56" s="4" t="s">
        <v>346</v>
      </c>
      <c r="C56" s="6">
        <v>170.59</v>
      </c>
      <c r="D56" s="7">
        <f>IF(AND(ISNUMBER(Master_Panel!AE56),Master_Panel!AE56&gt;0),LN(Master_Panel!AE56),"")</f>
        <v>8.441406580367037</v>
      </c>
      <c r="E56" s="10" t="str">
        <f>IF(ISNUMBER(Master_Panel!AB56),IF(Master_Panel!AB56&gt;Assumptions!$B$2,"High","Low"),"")</f>
        <v>Low</v>
      </c>
      <c r="F56" s="10" t="str">
        <f>IF(AND(Master_Panel!AY56="Yes",ISNUMBER(Sector_Summary!H7)),IF(Master_Panel!R56&gt;=Sector_Summary!H7,"Leader","Laggard"),"")</f>
        <v>Laggard</v>
      </c>
      <c r="G56" s="6">
        <v>6.88646271115872</v>
      </c>
      <c r="H56" s="6">
        <v>0.052</v>
      </c>
      <c r="I56" s="4" t="s">
        <v>523</v>
      </c>
      <c r="J56" s="5"/>
      <c r="K56" s="4" t="s">
        <v>120</v>
      </c>
      <c r="L56" s="4" t="s">
        <v>520</v>
      </c>
      <c r="M56" s="6">
        <v>10</v>
      </c>
      <c r="N56" s="5"/>
      <c r="O56" s="4" t="s">
        <v>521</v>
      </c>
      <c r="P56" s="4" t="s">
        <v>508</v>
      </c>
      <c r="Q56" s="4" t="s">
        <v>509</v>
      </c>
    </row>
    <row r="57" spans="1:17">
      <c r="A57" s="4" t="s">
        <v>363</v>
      </c>
      <c r="B57" s="4" t="s">
        <v>346</v>
      </c>
      <c r="C57" s="6">
        <v>872.77</v>
      </c>
      <c r="D57" s="7">
        <f>IF(AND(ISNUMBER(Master_Panel!AE57),Master_Panel!AE57&gt;0),LN(Master_Panel!AE57),"")</f>
        <v>5.919619397454638</v>
      </c>
      <c r="E57" s="10" t="str">
        <f>IF(ISNUMBER(Master_Panel!AB57),IF(Master_Panel!AB57&gt;Assumptions!$B$2,"High","Low"),"")</f>
        <v>Low</v>
      </c>
      <c r="F57" s="10" t="str">
        <f>IF(AND(Master_Panel!AY57="Yes",ISNUMBER(Sector_Summary!H7)),IF(Master_Panel!R57&gt;=Sector_Summary!H7,"Leader","Laggard"),"")</f>
        <v>Leader</v>
      </c>
      <c r="G57" s="6">
        <v>4.35097664901808</v>
      </c>
      <c r="H57" s="6">
        <v>0.092</v>
      </c>
      <c r="I57" s="4" t="s">
        <v>524</v>
      </c>
      <c r="J57" s="5"/>
      <c r="K57" s="4" t="s">
        <v>120</v>
      </c>
      <c r="L57" s="4" t="s">
        <v>520</v>
      </c>
      <c r="M57" s="6">
        <v>23</v>
      </c>
      <c r="N57" s="5"/>
      <c r="O57" s="4" t="s">
        <v>521</v>
      </c>
      <c r="P57" s="4" t="s">
        <v>508</v>
      </c>
      <c r="Q57" s="4" t="s">
        <v>509</v>
      </c>
    </row>
    <row r="58" spans="1:17">
      <c r="A58" s="4" t="s">
        <v>366</v>
      </c>
      <c r="B58" s="4" t="s">
        <v>346</v>
      </c>
      <c r="C58" s="6">
        <v>4598.71</v>
      </c>
      <c r="D58" s="7">
        <f>IF(AND(ISNUMBER(Master_Panel!AE58),Master_Panel!AE58&gt;0),LN(Master_Panel!AE58),"")</f>
        <v>8.986404006467838</v>
      </c>
      <c r="E58" s="10" t="str">
        <f>IF(ISNUMBER(Master_Panel!AB58),IF(Master_Panel!AB58&gt;Assumptions!$B$2,"High","Low"),"")</f>
        <v>Low</v>
      </c>
      <c r="F58" s="10" t="str">
        <f>IF(AND(Master_Panel!AY58="Yes",ISNUMBER(Sector_Summary!H7)),IF(Master_Panel!R58&gt;=Sector_Summary!H7,"Leader","Laggard"),"")</f>
        <v>Leader</v>
      </c>
      <c r="G58" s="6">
        <v>4.84995706250167</v>
      </c>
      <c r="H58" s="6">
        <v>0.06</v>
      </c>
      <c r="I58" s="4" t="s">
        <v>525</v>
      </c>
      <c r="J58" s="5"/>
      <c r="K58" s="4" t="s">
        <v>120</v>
      </c>
      <c r="L58" s="4" t="s">
        <v>520</v>
      </c>
      <c r="M58" s="6">
        <v>18</v>
      </c>
      <c r="N58" s="5"/>
      <c r="O58" s="4" t="s">
        <v>521</v>
      </c>
      <c r="P58" s="4" t="s">
        <v>508</v>
      </c>
      <c r="Q58" s="4" t="s">
        <v>509</v>
      </c>
    </row>
    <row r="59" spans="1:17">
      <c r="A59" s="4" t="s">
        <v>371</v>
      </c>
      <c r="B59" s="4" t="s">
        <v>346</v>
      </c>
      <c r="C59" s="6">
        <v>114039.77</v>
      </c>
      <c r="D59" s="7">
        <f>IF(AND(ISNUMBER(Master_Panel!AE59),Master_Panel!AE59&gt;0),LN(Master_Panel!AE59),"")</f>
        <v>12.451894880401355</v>
      </c>
      <c r="E59" s="10" t="str">
        <f>IF(ISNUMBER(Master_Panel!AB59),IF(Master_Panel!AB59&gt;Assumptions!$B$2,"High","Low"),"")</f>
        <v>High</v>
      </c>
      <c r="F59" s="10" t="str">
        <f>IF(AND(Master_Panel!AY59="Yes",ISNUMBER(Sector_Summary!H7)),IF(Master_Panel!R59&gt;=Sector_Summary!H7,"Leader","Laggard"),"")</f>
        <v>Leader</v>
      </c>
      <c r="G59" s="6">
        <v>3.95270809388401</v>
      </c>
      <c r="H59" s="6">
        <v>0.12</v>
      </c>
      <c r="I59" s="4" t="s">
        <v>526</v>
      </c>
      <c r="J59" s="5"/>
      <c r="K59" s="4" t="s">
        <v>120</v>
      </c>
      <c r="L59" s="4" t="s">
        <v>520</v>
      </c>
      <c r="M59" s="6">
        <v>24</v>
      </c>
      <c r="N59" s="5"/>
      <c r="O59" s="4" t="s">
        <v>521</v>
      </c>
      <c r="P59" s="4" t="s">
        <v>508</v>
      </c>
      <c r="Q59" s="4" t="s">
        <v>509</v>
      </c>
    </row>
    <row r="60" spans="1:17">
      <c r="A60" s="4" t="s">
        <v>375</v>
      </c>
      <c r="B60" s="4" t="s">
        <v>346</v>
      </c>
      <c r="C60" s="6">
        <v>7679.9</v>
      </c>
      <c r="D60" s="7">
        <f>IF(AND(ISNUMBER(Master_Panel!AE60),Master_Panel!AE60&gt;0),LN(Master_Panel!AE60),"")</f>
        <v>9.530937259439105</v>
      </c>
      <c r="E60" s="10" t="str">
        <f>IF(ISNUMBER(Master_Panel!AB60),IF(Master_Panel!AB60&gt;Assumptions!$B$2,"High","Low"),"")</f>
        <v>Low</v>
      </c>
      <c r="F60" s="10" t="str">
        <f>IF(AND(Master_Panel!AY60="Yes",ISNUMBER(Sector_Summary!H7)),IF(Master_Panel!R60&gt;=Sector_Summary!H7,"Leader","Laggard"),"")</f>
        <v>Leader</v>
      </c>
      <c r="G60" s="6">
        <v>5.81448717695408</v>
      </c>
      <c r="H60" s="6">
        <v>0.075</v>
      </c>
      <c r="I60" s="4" t="s">
        <v>527</v>
      </c>
      <c r="J60" s="5"/>
      <c r="K60" s="4" t="s">
        <v>120</v>
      </c>
      <c r="L60" s="4" t="s">
        <v>520</v>
      </c>
      <c r="M60" s="6">
        <v>20</v>
      </c>
      <c r="N60" s="5"/>
      <c r="O60" s="4" t="s">
        <v>521</v>
      </c>
      <c r="P60" s="4" t="s">
        <v>508</v>
      </c>
      <c r="Q60" s="4" t="s">
        <v>509</v>
      </c>
    </row>
    <row r="61" spans="1:17">
      <c r="A61" s="4" t="s">
        <v>378</v>
      </c>
      <c r="B61" s="4" t="s">
        <v>346</v>
      </c>
      <c r="C61" s="6">
        <v>10656.46</v>
      </c>
      <c r="D61" s="7">
        <f>IF(AND(ISNUMBER(Master_Panel!AE61),Master_Panel!AE61&gt;0),LN(Master_Panel!AE61),"")</f>
        <v>8.501640878722228</v>
      </c>
      <c r="E61" s="10" t="str">
        <f>IF(ISNUMBER(Master_Panel!AB61),IF(Master_Panel!AB61&gt;Assumptions!$B$2,"High","Low"),"")</f>
        <v>Low</v>
      </c>
      <c r="F61" s="10" t="str">
        <f>IF(AND(Master_Panel!AY61="Yes",ISNUMBER(Sector_Summary!H7)),IF(Master_Panel!R61&gt;=Sector_Summary!H7,"Leader","Laggard"),"")</f>
        <v>Leader</v>
      </c>
      <c r="G61" s="6">
        <v>3.6847470628034</v>
      </c>
      <c r="H61" s="6">
        <v>0.058</v>
      </c>
      <c r="I61" s="4" t="s">
        <v>528</v>
      </c>
      <c r="J61" s="5"/>
      <c r="K61" s="4" t="s">
        <v>120</v>
      </c>
      <c r="L61" s="4" t="s">
        <v>520</v>
      </c>
      <c r="M61" s="6">
        <v>21</v>
      </c>
      <c r="N61" s="5"/>
      <c r="O61" s="4" t="s">
        <v>521</v>
      </c>
      <c r="P61" s="4" t="s">
        <v>508</v>
      </c>
      <c r="Q61" s="4" t="s">
        <v>509</v>
      </c>
    </row>
    <row r="62" spans="1:17">
      <c r="A62" s="4" t="s">
        <v>381</v>
      </c>
      <c r="B62" s="4" t="s">
        <v>346</v>
      </c>
      <c r="C62" s="6">
        <v>980.02</v>
      </c>
      <c r="D62" s="7">
        <f>IF(AND(ISNUMBER(Master_Panel!AE62),Master_Panel!AE62&gt;0),LN(Master_Panel!AE62),"")</f>
        <v>10.007818738615983</v>
      </c>
      <c r="E62" s="10" t="str">
        <f>IF(ISNUMBER(Master_Panel!AB62),IF(Master_Panel!AB62&gt;Assumptions!$B$2,"High","Low"),"")</f>
        <v>Low</v>
      </c>
      <c r="F62" s="10" t="str">
        <f>IF(AND(Master_Panel!AY62="Yes",ISNUMBER(Sector_Summary!H7)),IF(Master_Panel!R62&gt;=Sector_Summary!H7,"Leader","Laggard"),"")</f>
        <v>Leader</v>
      </c>
      <c r="G62" s="6">
        <v>2.05029830295211</v>
      </c>
      <c r="H62" s="6">
        <v>0.07099999999999999</v>
      </c>
      <c r="I62" s="4" t="s">
        <v>524</v>
      </c>
      <c r="J62" s="5"/>
      <c r="K62" s="4" t="s">
        <v>120</v>
      </c>
      <c r="L62" s="4" t="s">
        <v>520</v>
      </c>
      <c r="M62" s="6">
        <v>18</v>
      </c>
      <c r="N62" s="5"/>
      <c r="O62" s="4" t="s">
        <v>521</v>
      </c>
      <c r="P62" s="4" t="s">
        <v>508</v>
      </c>
      <c r="Q62" s="4" t="s">
        <v>509</v>
      </c>
    </row>
    <row r="63" spans="1:17">
      <c r="A63" s="4" t="s">
        <v>384</v>
      </c>
      <c r="B63" s="4" t="s">
        <v>385</v>
      </c>
      <c r="C63" s="5"/>
      <c r="D63" s="7">
        <f>IF(AND(ISNUMBER(Master_Panel!AE63),Master_Panel!AE63&gt;0),LN(Master_Panel!AE63),"")</f>
        <v/>
      </c>
      <c r="E63" s="10">
        <f>IF(ISNUMBER(Master_Panel!AB63),IF(Master_Panel!AB63&gt;Assumptions!$B$2,"High","Low"),"")</f>
        <v/>
      </c>
      <c r="F63" s="10">
        <f>IF(AND(Master_Panel!AY63="Yes",ISNUMBER(Sector_Summary!H8)),IF(Master_Panel!R63&gt;=Sector_Summary!H8,"Leader","Laggard"),"")</f>
        <v/>
      </c>
      <c r="G63" s="5"/>
      <c r="H63" s="5"/>
      <c r="I63" s="5"/>
      <c r="J63" s="5"/>
      <c r="K63" s="4" t="s">
        <v>315</v>
      </c>
      <c r="L63" s="4" t="s">
        <v>529</v>
      </c>
      <c r="M63" s="6">
        <v>24</v>
      </c>
      <c r="N63" s="5"/>
      <c r="O63" s="4" t="s">
        <v>521</v>
      </c>
      <c r="P63" s="4" t="s">
        <v>508</v>
      </c>
      <c r="Q63" s="4" t="s">
        <v>509</v>
      </c>
    </row>
    <row r="64" spans="1:17">
      <c r="A64" s="4" t="s">
        <v>395</v>
      </c>
      <c r="B64" s="4" t="s">
        <v>385</v>
      </c>
      <c r="C64" s="5"/>
      <c r="D64" s="7">
        <f>IF(AND(ISNUMBER(Master_Panel!AE64),Master_Panel!AE64&gt;0),LN(Master_Panel!AE64),"")</f>
        <v/>
      </c>
      <c r="E64" s="10">
        <f>IF(ISNUMBER(Master_Panel!AB64),IF(Master_Panel!AB64&gt;Assumptions!$B$2,"High","Low"),"")</f>
        <v/>
      </c>
      <c r="F64" s="10">
        <f>IF(AND(Master_Panel!AY64="Yes",ISNUMBER(Sector_Summary!H8)),IF(Master_Panel!R64&gt;=Sector_Summary!H8,"Leader","Laggard"),"")</f>
        <v/>
      </c>
      <c r="G64" s="5"/>
      <c r="H64" s="5"/>
      <c r="I64" s="5"/>
      <c r="J64" s="5"/>
      <c r="K64" s="4" t="s">
        <v>315</v>
      </c>
      <c r="L64" s="4" t="s">
        <v>529</v>
      </c>
      <c r="M64" s="6">
        <v>21</v>
      </c>
      <c r="N64" s="5"/>
      <c r="O64" s="4" t="s">
        <v>521</v>
      </c>
      <c r="P64" s="4" t="s">
        <v>508</v>
      </c>
      <c r="Q64" s="4" t="s">
        <v>509</v>
      </c>
    </row>
    <row r="65" spans="1:17">
      <c r="A65" s="4" t="s">
        <v>397</v>
      </c>
      <c r="B65" s="4" t="s">
        <v>385</v>
      </c>
      <c r="C65" s="5"/>
      <c r="D65" s="7">
        <f>IF(AND(ISNUMBER(Master_Panel!AE65),Master_Panel!AE65&gt;0),LN(Master_Panel!AE65),"")</f>
        <v/>
      </c>
      <c r="E65" s="10">
        <f>IF(ISNUMBER(Master_Panel!AB65),IF(Master_Panel!AB65&gt;Assumptions!$B$2,"High","Low"),"")</f>
        <v/>
      </c>
      <c r="F65" s="10">
        <f>IF(AND(Master_Panel!AY65="Yes",ISNUMBER(Sector_Summary!H8)),IF(Master_Panel!R65&gt;=Sector_Summary!H8,"Leader","Laggard"),"")</f>
        <v/>
      </c>
      <c r="G65" s="5"/>
      <c r="H65" s="5"/>
      <c r="I65" s="5"/>
      <c r="J65" s="5"/>
      <c r="K65" s="4" t="s">
        <v>315</v>
      </c>
      <c r="L65" s="4" t="s">
        <v>529</v>
      </c>
      <c r="M65" s="6">
        <v>17</v>
      </c>
      <c r="N65" s="5"/>
      <c r="O65" s="4" t="s">
        <v>521</v>
      </c>
      <c r="P65" s="4" t="s">
        <v>508</v>
      </c>
      <c r="Q65" s="4" t="s">
        <v>509</v>
      </c>
    </row>
    <row r="66" spans="1:17">
      <c r="A66" s="4" t="s">
        <v>399</v>
      </c>
      <c r="B66" s="4" t="s">
        <v>385</v>
      </c>
      <c r="C66" s="5"/>
      <c r="D66" s="7">
        <f>IF(AND(ISNUMBER(Master_Panel!AE66),Master_Panel!AE66&gt;0),LN(Master_Panel!AE66),"")</f>
        <v/>
      </c>
      <c r="E66" s="10">
        <f>IF(ISNUMBER(Master_Panel!AB66),IF(Master_Panel!AB66&gt;Assumptions!$B$2,"High","Low"),"")</f>
        <v/>
      </c>
      <c r="F66" s="10">
        <f>IF(AND(Master_Panel!AY66="Yes",ISNUMBER(Sector_Summary!H8)),IF(Master_Panel!R66&gt;=Sector_Summary!H8,"Leader","Laggard"),"")</f>
        <v/>
      </c>
      <c r="G66" s="5"/>
      <c r="H66" s="5"/>
      <c r="I66" s="5"/>
      <c r="J66" s="5"/>
      <c r="K66" s="4" t="s">
        <v>315</v>
      </c>
      <c r="L66" s="4" t="s">
        <v>529</v>
      </c>
      <c r="M66" s="6">
        <v>17</v>
      </c>
      <c r="N66" s="5"/>
      <c r="O66" s="4" t="s">
        <v>521</v>
      </c>
      <c r="P66" s="4" t="s">
        <v>508</v>
      </c>
      <c r="Q66" s="4" t="s">
        <v>509</v>
      </c>
    </row>
    <row r="67" spans="1:17">
      <c r="A67" s="4" t="s">
        <v>404</v>
      </c>
      <c r="B67" s="4" t="s">
        <v>385</v>
      </c>
      <c r="C67" s="5"/>
      <c r="D67" s="7">
        <f>IF(AND(ISNUMBER(Master_Panel!AE67),Master_Panel!AE67&gt;0),LN(Master_Panel!AE67),"")</f>
        <v/>
      </c>
      <c r="E67" s="10">
        <f>IF(ISNUMBER(Master_Panel!AB67),IF(Master_Panel!AB67&gt;Assumptions!$B$2,"High","Low"),"")</f>
        <v/>
      </c>
      <c r="F67" s="10">
        <f>IF(AND(Master_Panel!AY67="Yes",ISNUMBER(Sector_Summary!H8)),IF(Master_Panel!R67&gt;=Sector_Summary!H8,"Leader","Laggard"),"")</f>
        <v/>
      </c>
      <c r="G67" s="5"/>
      <c r="H67" s="5"/>
      <c r="I67" s="5"/>
      <c r="J67" s="5"/>
      <c r="K67" s="4" t="s">
        <v>315</v>
      </c>
      <c r="L67" s="4" t="s">
        <v>529</v>
      </c>
      <c r="M67" s="6">
        <v>17</v>
      </c>
      <c r="N67" s="5"/>
      <c r="O67" s="4" t="s">
        <v>521</v>
      </c>
      <c r="P67" s="4" t="s">
        <v>508</v>
      </c>
      <c r="Q67" s="4" t="s">
        <v>509</v>
      </c>
    </row>
    <row r="68" spans="1:17">
      <c r="A68" s="4" t="s">
        <v>407</v>
      </c>
      <c r="B68" s="4" t="s">
        <v>385</v>
      </c>
      <c r="C68" s="5"/>
      <c r="D68" s="7">
        <f>IF(AND(ISNUMBER(Master_Panel!AE68),Master_Panel!AE68&gt;0),LN(Master_Panel!AE68),"")</f>
        <v/>
      </c>
      <c r="E68" s="10">
        <f>IF(ISNUMBER(Master_Panel!AB68),IF(Master_Panel!AB68&gt;Assumptions!$B$2,"High","Low"),"")</f>
        <v/>
      </c>
      <c r="F68" s="10">
        <f>IF(AND(Master_Panel!AY68="Yes",ISNUMBER(Sector_Summary!H8)),IF(Master_Panel!R68&gt;=Sector_Summary!H8,"Leader","Laggard"),"")</f>
        <v/>
      </c>
      <c r="G68" s="5"/>
      <c r="H68" s="5"/>
      <c r="I68" s="5"/>
      <c r="J68" s="5"/>
      <c r="K68" s="4" t="s">
        <v>315</v>
      </c>
      <c r="L68" s="4" t="s">
        <v>529</v>
      </c>
      <c r="M68" s="6">
        <v>17</v>
      </c>
      <c r="N68" s="5"/>
      <c r="O68" s="4" t="s">
        <v>521</v>
      </c>
      <c r="P68" s="4" t="s">
        <v>508</v>
      </c>
      <c r="Q68" s="4" t="s">
        <v>509</v>
      </c>
    </row>
    <row r="69" spans="1:17">
      <c r="A69" s="4" t="s">
        <v>412</v>
      </c>
      <c r="B69" s="4" t="s">
        <v>385</v>
      </c>
      <c r="C69" s="5"/>
      <c r="D69" s="7">
        <f>IF(AND(ISNUMBER(Master_Panel!AE69),Master_Panel!AE69&gt;0),LN(Master_Panel!AE69),"")</f>
        <v/>
      </c>
      <c r="E69" s="10">
        <f>IF(ISNUMBER(Master_Panel!AB69),IF(Master_Panel!AB69&gt;Assumptions!$B$2,"High","Low"),"")</f>
        <v/>
      </c>
      <c r="F69" s="10">
        <f>IF(AND(Master_Panel!AY69="Yes",ISNUMBER(Sector_Summary!H8)),IF(Master_Panel!R69&gt;=Sector_Summary!H8,"Leader","Laggard"),"")</f>
        <v/>
      </c>
      <c r="G69" s="5"/>
      <c r="H69" s="5"/>
      <c r="I69" s="5"/>
      <c r="J69" s="5"/>
      <c r="K69" s="4" t="s">
        <v>315</v>
      </c>
      <c r="L69" s="4" t="s">
        <v>529</v>
      </c>
      <c r="M69" s="6">
        <v>16</v>
      </c>
      <c r="N69" s="5"/>
      <c r="O69" s="4" t="s">
        <v>521</v>
      </c>
      <c r="P69" s="4" t="s">
        <v>508</v>
      </c>
      <c r="Q69" s="4" t="s">
        <v>509</v>
      </c>
    </row>
    <row r="70" spans="1:17">
      <c r="A70" s="4" t="s">
        <v>417</v>
      </c>
      <c r="B70" s="4" t="s">
        <v>385</v>
      </c>
      <c r="C70" s="5"/>
      <c r="D70" s="7">
        <f>IF(AND(ISNUMBER(Master_Panel!AE70),Master_Panel!AE70&gt;0),LN(Master_Panel!AE70),"")</f>
        <v/>
      </c>
      <c r="E70" s="10">
        <f>IF(ISNUMBER(Master_Panel!AB70),IF(Master_Panel!AB70&gt;Assumptions!$B$2,"High","Low"),"")</f>
        <v/>
      </c>
      <c r="F70" s="10">
        <f>IF(AND(Master_Panel!AY70="Yes",ISNUMBER(Sector_Summary!H8)),IF(Master_Panel!R70&gt;=Sector_Summary!H8,"Leader","Laggard"),"")</f>
        <v/>
      </c>
      <c r="G70" s="5"/>
      <c r="H70" s="5"/>
      <c r="I70" s="5"/>
      <c r="J70" s="5"/>
      <c r="K70" s="4" t="s">
        <v>315</v>
      </c>
      <c r="L70" s="4" t="s">
        <v>529</v>
      </c>
      <c r="M70" s="6">
        <v>14</v>
      </c>
      <c r="N70" s="5"/>
      <c r="O70" s="4" t="s">
        <v>521</v>
      </c>
      <c r="P70" s="4" t="s">
        <v>508</v>
      </c>
      <c r="Q70" s="4" t="s">
        <v>509</v>
      </c>
    </row>
    <row r="71" spans="1:17">
      <c r="A71" s="4" t="s">
        <v>419</v>
      </c>
      <c r="B71" s="4" t="s">
        <v>385</v>
      </c>
      <c r="C71" s="5"/>
      <c r="D71" s="7">
        <f>IF(AND(ISNUMBER(Master_Panel!AE71),Master_Panel!AE71&gt;0),LN(Master_Panel!AE71),"")</f>
        <v/>
      </c>
      <c r="E71" s="10">
        <f>IF(ISNUMBER(Master_Panel!AB71),IF(Master_Panel!AB71&gt;Assumptions!$B$2,"High","Low"),"")</f>
        <v/>
      </c>
      <c r="F71" s="10">
        <f>IF(AND(Master_Panel!AY71="Yes",ISNUMBER(Sector_Summary!H8)),IF(Master_Panel!R71&gt;=Sector_Summary!H8,"Leader","Laggard"),"")</f>
        <v/>
      </c>
      <c r="G71" s="5"/>
      <c r="H71" s="5"/>
      <c r="I71" s="5"/>
      <c r="J71" s="5"/>
      <c r="K71" s="4" t="s">
        <v>315</v>
      </c>
      <c r="L71" s="4" t="s">
        <v>529</v>
      </c>
      <c r="M71" s="6">
        <v>10</v>
      </c>
      <c r="N71" s="5"/>
      <c r="O71" s="4" t="s">
        <v>521</v>
      </c>
      <c r="P71" s="4" t="s">
        <v>508</v>
      </c>
      <c r="Q71" s="4" t="s">
        <v>509</v>
      </c>
    </row>
    <row r="72" spans="1:17">
      <c r="A72" s="4" t="s">
        <v>421</v>
      </c>
      <c r="B72" s="4" t="s">
        <v>385</v>
      </c>
      <c r="C72" s="5"/>
      <c r="D72" s="7">
        <f>IF(AND(ISNUMBER(Master_Panel!AE72),Master_Panel!AE72&gt;0),LN(Master_Panel!AE72),"")</f>
        <v/>
      </c>
      <c r="E72" s="10">
        <f>IF(ISNUMBER(Master_Panel!AB72),IF(Master_Panel!AB72&gt;Assumptions!$B$2,"High","Low"),"")</f>
        <v/>
      </c>
      <c r="F72" s="10">
        <f>IF(AND(Master_Panel!AY72="Yes",ISNUMBER(Sector_Summary!H8)),IF(Master_Panel!R72&gt;=Sector_Summary!H8,"Leader","Laggard"),"")</f>
        <v/>
      </c>
      <c r="G72" s="5"/>
      <c r="H72" s="5"/>
      <c r="I72" s="5"/>
      <c r="J72" s="5"/>
      <c r="K72" s="4" t="s">
        <v>315</v>
      </c>
      <c r="L72" s="4" t="s">
        <v>529</v>
      </c>
      <c r="M72" s="6">
        <v>10</v>
      </c>
      <c r="N72" s="5"/>
      <c r="O72" s="4" t="s">
        <v>521</v>
      </c>
      <c r="P72" s="4" t="s">
        <v>508</v>
      </c>
      <c r="Q72" s="4" t="s">
        <v>509</v>
      </c>
    </row>
    <row r="73" spans="1:17">
      <c r="A73" s="4" t="s">
        <v>423</v>
      </c>
      <c r="B73" s="4" t="s">
        <v>424</v>
      </c>
      <c r="C73" s="5"/>
      <c r="D73" s="7">
        <f>IF(AND(ISNUMBER(Master_Panel!AE73),Master_Panel!AE73&gt;0),LN(Master_Panel!AE73),"")</f>
        <v/>
      </c>
      <c r="E73" s="10">
        <f>IF(ISNUMBER(Master_Panel!AB73),IF(Master_Panel!AB73&gt;Assumptions!$B$2,"High","Low"),"")</f>
        <v/>
      </c>
      <c r="F73" s="10">
        <f>IF(AND(Master_Panel!AY73="Yes",ISNUMBER(Sector_Summary!H9)),IF(Master_Panel!R73&gt;=Sector_Summary!H9,"Leader","Laggard"),"")</f>
        <v/>
      </c>
      <c r="G73" s="5"/>
      <c r="H73" s="5"/>
      <c r="I73" s="5"/>
      <c r="J73" s="5"/>
      <c r="K73" s="4" t="s">
        <v>195</v>
      </c>
      <c r="L73" s="4" t="s">
        <v>530</v>
      </c>
      <c r="M73" s="6">
        <v>29</v>
      </c>
      <c r="N73" s="5"/>
      <c r="O73" s="4" t="s">
        <v>531</v>
      </c>
      <c r="P73" s="4" t="s">
        <v>508</v>
      </c>
      <c r="Q73" s="4" t="s">
        <v>509</v>
      </c>
    </row>
    <row r="74" spans="1:17">
      <c r="A74" s="4" t="s">
        <v>435</v>
      </c>
      <c r="B74" s="4" t="s">
        <v>424</v>
      </c>
      <c r="C74" s="5"/>
      <c r="D74" s="7">
        <f>IF(AND(ISNUMBER(Master_Panel!AE74),Master_Panel!AE74&gt;0),LN(Master_Panel!AE74),"")</f>
        <v/>
      </c>
      <c r="E74" s="10">
        <f>IF(ISNUMBER(Master_Panel!AB74),IF(Master_Panel!AB74&gt;Assumptions!$B$2,"High","Low"),"")</f>
        <v/>
      </c>
      <c r="F74" s="10">
        <f>IF(AND(Master_Panel!AY74="Yes",ISNUMBER(Sector_Summary!H9)),IF(Master_Panel!R74&gt;=Sector_Summary!H9,"Leader","Laggard"),"")</f>
        <v/>
      </c>
      <c r="G74" s="5"/>
      <c r="H74" s="5"/>
      <c r="I74" s="5"/>
      <c r="J74" s="5"/>
      <c r="K74" s="4" t="s">
        <v>195</v>
      </c>
      <c r="L74" s="4" t="s">
        <v>530</v>
      </c>
      <c r="M74" s="6">
        <v>27</v>
      </c>
      <c r="N74" s="5"/>
      <c r="O74" s="4" t="s">
        <v>531</v>
      </c>
      <c r="P74" s="4" t="s">
        <v>508</v>
      </c>
      <c r="Q74" s="4" t="s">
        <v>509</v>
      </c>
    </row>
    <row r="75" spans="1:17">
      <c r="A75" s="4" t="s">
        <v>440</v>
      </c>
      <c r="B75" s="4" t="s">
        <v>424</v>
      </c>
      <c r="C75" s="5"/>
      <c r="D75" s="7">
        <f>IF(AND(ISNUMBER(Master_Panel!AE75),Master_Panel!AE75&gt;0),LN(Master_Panel!AE75),"")</f>
        <v/>
      </c>
      <c r="E75" s="10">
        <f>IF(ISNUMBER(Master_Panel!AB75),IF(Master_Panel!AB75&gt;Assumptions!$B$2,"High","Low"),"")</f>
        <v/>
      </c>
      <c r="F75" s="10">
        <f>IF(AND(Master_Panel!AY75="Yes",ISNUMBER(Sector_Summary!H9)),IF(Master_Panel!R75&gt;=Sector_Summary!H9,"Leader","Laggard"),"")</f>
        <v/>
      </c>
      <c r="G75" s="5"/>
      <c r="H75" s="5"/>
      <c r="I75" s="5"/>
      <c r="J75" s="5"/>
      <c r="K75" s="4" t="s">
        <v>195</v>
      </c>
      <c r="L75" s="4" t="s">
        <v>530</v>
      </c>
      <c r="M75" s="6">
        <v>30</v>
      </c>
      <c r="N75" s="5"/>
      <c r="O75" s="4" t="s">
        <v>531</v>
      </c>
      <c r="P75" s="4" t="s">
        <v>508</v>
      </c>
      <c r="Q75" s="4" t="s">
        <v>509</v>
      </c>
    </row>
    <row r="76" spans="1:17">
      <c r="A76" s="4" t="s">
        <v>446</v>
      </c>
      <c r="B76" s="4" t="s">
        <v>424</v>
      </c>
      <c r="C76" s="5"/>
      <c r="D76" s="7">
        <f>IF(AND(ISNUMBER(Master_Panel!AE76),Master_Panel!AE76&gt;0),LN(Master_Panel!AE76),"")</f>
        <v/>
      </c>
      <c r="E76" s="10">
        <f>IF(ISNUMBER(Master_Panel!AB76),IF(Master_Panel!AB76&gt;Assumptions!$B$2,"High","Low"),"")</f>
        <v/>
      </c>
      <c r="F76" s="10">
        <f>IF(AND(Master_Panel!AY76="Yes",ISNUMBER(Sector_Summary!H9)),IF(Master_Panel!R76&gt;=Sector_Summary!H9,"Leader","Laggard"),"")</f>
        <v/>
      </c>
      <c r="G76" s="5"/>
      <c r="H76" s="5"/>
      <c r="I76" s="5"/>
      <c r="J76" s="5"/>
      <c r="K76" s="4" t="s">
        <v>195</v>
      </c>
      <c r="L76" s="4" t="s">
        <v>530</v>
      </c>
      <c r="M76" s="6">
        <v>30</v>
      </c>
      <c r="N76" s="5"/>
      <c r="O76" s="4" t="s">
        <v>531</v>
      </c>
      <c r="P76" s="4" t="s">
        <v>508</v>
      </c>
      <c r="Q76" s="4" t="s">
        <v>509</v>
      </c>
    </row>
    <row r="77" spans="1:17">
      <c r="A77" s="4" t="s">
        <v>451</v>
      </c>
      <c r="B77" s="4" t="s">
        <v>424</v>
      </c>
      <c r="C77" s="5"/>
      <c r="D77" s="7">
        <f>IF(AND(ISNUMBER(Master_Panel!AE77),Master_Panel!AE77&gt;0),LN(Master_Panel!AE77),"")</f>
        <v/>
      </c>
      <c r="E77" s="10">
        <f>IF(ISNUMBER(Master_Panel!AB77),IF(Master_Panel!AB77&gt;Assumptions!$B$2,"High","Low"),"")</f>
        <v/>
      </c>
      <c r="F77" s="10">
        <f>IF(AND(Master_Panel!AY77="Yes",ISNUMBER(Sector_Summary!H9)),IF(Master_Panel!R77&gt;=Sector_Summary!H9,"Leader","Laggard"),"")</f>
        <v/>
      </c>
      <c r="G77" s="5"/>
      <c r="H77" s="5"/>
      <c r="I77" s="5"/>
      <c r="J77" s="5"/>
      <c r="K77" s="4" t="s">
        <v>195</v>
      </c>
      <c r="L77" s="4" t="s">
        <v>530</v>
      </c>
      <c r="M77" s="6">
        <v>27</v>
      </c>
      <c r="N77" s="5"/>
      <c r="O77" s="4" t="s">
        <v>531</v>
      </c>
      <c r="P77" s="4" t="s">
        <v>508</v>
      </c>
      <c r="Q77" s="4" t="s">
        <v>509</v>
      </c>
    </row>
    <row r="78" spans="1:17">
      <c r="A78" s="4" t="s">
        <v>455</v>
      </c>
      <c r="B78" s="4" t="s">
        <v>424</v>
      </c>
      <c r="C78" s="5"/>
      <c r="D78" s="7">
        <f>IF(AND(ISNUMBER(Master_Panel!AE78),Master_Panel!AE78&gt;0),LN(Master_Panel!AE78),"")</f>
        <v/>
      </c>
      <c r="E78" s="10">
        <f>IF(ISNUMBER(Master_Panel!AB78),IF(Master_Panel!AB78&gt;Assumptions!$B$2,"High","Low"),"")</f>
        <v/>
      </c>
      <c r="F78" s="10">
        <f>IF(AND(Master_Panel!AY78="Yes",ISNUMBER(Sector_Summary!H9)),IF(Master_Panel!R78&gt;=Sector_Summary!H9,"Leader","Laggard"),"")</f>
        <v/>
      </c>
      <c r="G78" s="5"/>
      <c r="H78" s="5"/>
      <c r="I78" s="5"/>
      <c r="J78" s="5"/>
      <c r="K78" s="4" t="s">
        <v>195</v>
      </c>
      <c r="L78" s="4" t="s">
        <v>530</v>
      </c>
      <c r="M78" s="6">
        <v>28</v>
      </c>
      <c r="N78" s="5"/>
      <c r="O78" s="4" t="s">
        <v>531</v>
      </c>
      <c r="P78" s="4" t="s">
        <v>508</v>
      </c>
      <c r="Q78" s="4" t="s">
        <v>509</v>
      </c>
    </row>
    <row r="79" spans="1:17">
      <c r="A79" s="4" t="s">
        <v>459</v>
      </c>
      <c r="B79" s="4" t="s">
        <v>424</v>
      </c>
      <c r="C79" s="5"/>
      <c r="D79" s="7">
        <f>IF(AND(ISNUMBER(Master_Panel!AE79),Master_Panel!AE79&gt;0),LN(Master_Panel!AE79),"")</f>
        <v/>
      </c>
      <c r="E79" s="10">
        <f>IF(ISNUMBER(Master_Panel!AB79),IF(Master_Panel!AB79&gt;Assumptions!$B$2,"High","Low"),"")</f>
        <v/>
      </c>
      <c r="F79" s="10">
        <f>IF(AND(Master_Panel!AY79="Yes",ISNUMBER(Sector_Summary!H9)),IF(Master_Panel!R79&gt;=Sector_Summary!H9,"Leader","Laggard"),"")</f>
        <v/>
      </c>
      <c r="G79" s="5"/>
      <c r="H79" s="5"/>
      <c r="I79" s="5"/>
      <c r="J79" s="5"/>
      <c r="K79" s="4" t="s">
        <v>195</v>
      </c>
      <c r="L79" s="4" t="s">
        <v>530</v>
      </c>
      <c r="M79" s="6">
        <v>30</v>
      </c>
      <c r="N79" s="5"/>
      <c r="O79" s="4" t="s">
        <v>531</v>
      </c>
      <c r="P79" s="4" t="s">
        <v>508</v>
      </c>
      <c r="Q79" s="4" t="s">
        <v>509</v>
      </c>
    </row>
    <row r="80" spans="1:17">
      <c r="A80" s="4" t="s">
        <v>463</v>
      </c>
      <c r="B80" s="4" t="s">
        <v>237</v>
      </c>
      <c r="C80" s="5"/>
      <c r="D80" s="7">
        <f>IF(AND(ISNUMBER(Master_Panel!AE80),Master_Panel!AE80&gt;0),LN(Master_Panel!AE80),"")</f>
        <v>7.790696031174738</v>
      </c>
      <c r="E80" s="10">
        <f>IF(ISNUMBER(Master_Panel!AB80),IF(Master_Panel!AB80&gt;Assumptions!$B$2,"High","Low"),"")</f>
        <v/>
      </c>
      <c r="F80" s="10">
        <f>IF(AND(Master_Panel!AY80="Yes",ISNUMBER(Sector_Summary!H5)),IF(Master_Panel!R80&gt;=Sector_Summary!H5,"Leader","Laggard"),"")</f>
        <v/>
      </c>
      <c r="G80" s="5"/>
      <c r="H80" s="5"/>
      <c r="I80" s="4" t="s">
        <v>532</v>
      </c>
      <c r="J80" s="5"/>
      <c r="K80" s="4" t="s">
        <v>467</v>
      </c>
      <c r="L80" s="5"/>
      <c r="M80" s="5"/>
      <c r="N80" s="5"/>
      <c r="O80" s="5"/>
      <c r="P80" s="4" t="s">
        <v>508</v>
      </c>
      <c r="Q80" s="4" t="s">
        <v>509</v>
      </c>
    </row>
    <row r="81" spans="1:17">
      <c r="A81" s="4" t="s">
        <v>469</v>
      </c>
      <c r="B81" s="4" t="s">
        <v>237</v>
      </c>
      <c r="C81" s="5"/>
      <c r="D81" s="7">
        <f>IF(AND(ISNUMBER(Master_Panel!AE81),Master_Panel!AE81&gt;0),LN(Master_Panel!AE81),"")</f>
        <v/>
      </c>
      <c r="E81" s="10">
        <f>IF(ISNUMBER(Master_Panel!AB81),IF(Master_Panel!AB81&gt;Assumptions!$B$2,"High","Low"),"")</f>
        <v/>
      </c>
      <c r="F81" s="10">
        <f>IF(AND(Master_Panel!AY81="Yes",ISNUMBER(Sector_Summary!H5)),IF(Master_Panel!R81&gt;=Sector_Summary!H5,"Leader","Laggard"),"")</f>
        <v/>
      </c>
      <c r="G81" s="5"/>
      <c r="H81" s="5"/>
      <c r="I81" s="5"/>
      <c r="J81" s="5"/>
      <c r="K81" s="4" t="s">
        <v>467</v>
      </c>
      <c r="L81" s="5"/>
      <c r="M81" s="5"/>
      <c r="N81" s="5"/>
      <c r="O81" s="5"/>
      <c r="P81" s="4" t="s">
        <v>508</v>
      </c>
      <c r="Q81" s="4" t="s">
        <v>509</v>
      </c>
    </row>
    <row r="82" spans="1:17">
      <c r="A82" s="4" t="s">
        <v>472</v>
      </c>
      <c r="B82" s="4" t="s">
        <v>237</v>
      </c>
      <c r="C82" s="5"/>
      <c r="D82" s="7">
        <f>IF(AND(ISNUMBER(Master_Panel!AE82),Master_Panel!AE82&gt;0),LN(Master_Panel!AE82),"")</f>
        <v>7.532088143541722</v>
      </c>
      <c r="E82" s="10">
        <f>IF(ISNUMBER(Master_Panel!AB82),IF(Master_Panel!AB82&gt;Assumptions!$B$2,"High","Low"),"")</f>
        <v/>
      </c>
      <c r="F82" s="10">
        <f>IF(AND(Master_Panel!AY82="Yes",ISNUMBER(Sector_Summary!H5)),IF(Master_Panel!R82&gt;=Sector_Summary!H5,"Leader","Laggard"),"")</f>
        <v/>
      </c>
      <c r="G82" s="5"/>
      <c r="H82" s="5"/>
      <c r="I82" s="5"/>
      <c r="J82" s="5"/>
      <c r="K82" s="4" t="s">
        <v>467</v>
      </c>
      <c r="L82" s="5"/>
      <c r="M82" s="5"/>
      <c r="N82" s="5"/>
      <c r="O82" s="5"/>
      <c r="P82" s="4" t="s">
        <v>508</v>
      </c>
      <c r="Q82" s="4" t="s">
        <v>509</v>
      </c>
    </row>
    <row r="83" spans="1:17">
      <c r="A83" s="4" t="s">
        <v>282</v>
      </c>
      <c r="B83" s="4" t="s">
        <v>424</v>
      </c>
      <c r="C83" s="5"/>
      <c r="D83" s="7">
        <f>IF(AND(ISNUMBER(Master_Panel!AE83),Master_Panel!AE83&gt;0),LN(Master_Panel!AE83),"")</f>
        <v/>
      </c>
      <c r="E83" s="10">
        <f>IF(ISNUMBER(Master_Panel!AB83),IF(Master_Panel!AB83&gt;Assumptions!$B$2,"High","Low"),"")</f>
        <v/>
      </c>
      <c r="F83" s="10">
        <f>IF(AND(Master_Panel!AY83="Yes",ISNUMBER(Sector_Summary!H9)),IF(Master_Panel!R83&gt;=Sector_Summary!H9,"Leader","Laggard"),"")</f>
        <v/>
      </c>
      <c r="G83" s="5"/>
      <c r="H83" s="5"/>
      <c r="I83" s="5"/>
      <c r="J83" s="5"/>
      <c r="K83" s="4" t="s">
        <v>195</v>
      </c>
      <c r="L83" s="5"/>
      <c r="M83" s="6">
        <v>19</v>
      </c>
      <c r="N83" s="5"/>
      <c r="O83" s="5"/>
      <c r="P83" s="4" t="s">
        <v>508</v>
      </c>
      <c r="Q83" s="4" t="s">
        <v>509</v>
      </c>
    </row>
  </sheetData>
  <autoFilter ref="A1:Q83"/>
  <pageMargins left="0.7" right="0.7" top="0.75" bottom="0.75" header="0.3" footer="0.3"/>
  <pageSetup fitToHeight="0" orientation="landscape"/>
</worksheet>
</file>

<file path=xl/worksheets/sheet6.xml><?xml version="1.0" encoding="utf-8"?>
<worksheet xmlns="http://schemas.openxmlformats.org/spreadsheetml/2006/main" xmlns:r="http://schemas.openxmlformats.org/officeDocument/2006/relationships">
  <sheetPr>
    <tabColor rgb="FF237C89"/>
    <pageSetUpPr fitToPage="1"/>
  </sheetPr>
  <dimension ref="A1:F8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3.7109375" customWidth="1"/>
    <col min="2" max="3" width="20.7109375" customWidth="1"/>
    <col min="4" max="5" width="110.7109375" customWidth="1"/>
    <col min="6" max="6" width="20.7109375" customWidth="1"/>
  </cols>
  <sheetData>
    <row r="1" spans="1:6" ht="42" customHeight="1">
      <c r="A1" s="2" t="s">
        <v>1094</v>
      </c>
      <c r="B1" s="2" t="s">
        <v>34</v>
      </c>
      <c r="C1" s="2" t="s">
        <v>1702</v>
      </c>
      <c r="D1" s="2" t="s">
        <v>2083</v>
      </c>
      <c r="E1" s="2" t="s">
        <v>2084</v>
      </c>
      <c r="F1" s="2" t="s">
        <v>2085</v>
      </c>
    </row>
    <row r="2" spans="1:6" ht="31" customHeight="1">
      <c r="A2" s="4" t="s">
        <v>109</v>
      </c>
      <c r="B2" s="4" t="s">
        <v>110</v>
      </c>
      <c r="C2" s="4" t="s">
        <v>2086</v>
      </c>
      <c r="D2" s="4" t="s">
        <v>127</v>
      </c>
      <c r="E2" s="4" t="s">
        <v>2055</v>
      </c>
      <c r="F2" s="6">
        <v>4</v>
      </c>
    </row>
    <row r="3" spans="1:6" ht="31" customHeight="1">
      <c r="A3" s="4" t="s">
        <v>129</v>
      </c>
      <c r="B3" s="4" t="s">
        <v>110</v>
      </c>
      <c r="C3" s="4" t="s">
        <v>2086</v>
      </c>
      <c r="D3" s="4" t="s">
        <v>127</v>
      </c>
      <c r="E3" s="4" t="s">
        <v>2055</v>
      </c>
      <c r="F3" s="6">
        <v>3</v>
      </c>
    </row>
    <row r="4" spans="1:6" ht="31" customHeight="1">
      <c r="A4" s="4" t="s">
        <v>133</v>
      </c>
      <c r="B4" s="4" t="s">
        <v>110</v>
      </c>
      <c r="C4" s="4" t="s">
        <v>2086</v>
      </c>
      <c r="D4" s="4" t="s">
        <v>127</v>
      </c>
      <c r="E4" s="4" t="s">
        <v>2055</v>
      </c>
      <c r="F4" s="6">
        <v>3</v>
      </c>
    </row>
    <row r="5" spans="1:6" ht="31" customHeight="1">
      <c r="A5" s="4" t="s">
        <v>138</v>
      </c>
      <c r="B5" s="4" t="s">
        <v>110</v>
      </c>
      <c r="C5" s="4" t="s">
        <v>2086</v>
      </c>
      <c r="D5" s="4" t="s">
        <v>127</v>
      </c>
      <c r="E5" s="4" t="s">
        <v>2055</v>
      </c>
      <c r="F5" s="6">
        <v>2</v>
      </c>
    </row>
    <row r="6" spans="1:6" ht="31" customHeight="1">
      <c r="A6" s="4" t="s">
        <v>141</v>
      </c>
      <c r="B6" s="4" t="s">
        <v>110</v>
      </c>
      <c r="C6" s="4" t="s">
        <v>2086</v>
      </c>
      <c r="D6" s="4" t="s">
        <v>127</v>
      </c>
      <c r="E6" s="4" t="s">
        <v>2055</v>
      </c>
      <c r="F6" s="6">
        <v>3</v>
      </c>
    </row>
    <row r="7" spans="1:6" ht="31" customHeight="1">
      <c r="A7" s="4" t="s">
        <v>143</v>
      </c>
      <c r="B7" s="4" t="s">
        <v>110</v>
      </c>
      <c r="C7" s="4" t="s">
        <v>2086</v>
      </c>
      <c r="D7" s="4" t="s">
        <v>127</v>
      </c>
      <c r="E7" s="4" t="s">
        <v>2056</v>
      </c>
      <c r="F7" s="6">
        <v>2</v>
      </c>
    </row>
    <row r="8" spans="1:6" ht="31" customHeight="1">
      <c r="A8" s="4" t="s">
        <v>148</v>
      </c>
      <c r="B8" s="4" t="s">
        <v>110</v>
      </c>
      <c r="C8" s="4" t="s">
        <v>2086</v>
      </c>
      <c r="D8" s="4" t="s">
        <v>127</v>
      </c>
      <c r="E8" s="4" t="s">
        <v>2055</v>
      </c>
      <c r="F8" s="6">
        <v>2</v>
      </c>
    </row>
    <row r="9" spans="1:6" ht="31" customHeight="1">
      <c r="A9" s="4" t="s">
        <v>151</v>
      </c>
      <c r="B9" s="4" t="s">
        <v>110</v>
      </c>
      <c r="C9" s="4" t="s">
        <v>2086</v>
      </c>
      <c r="D9" s="4" t="s">
        <v>127</v>
      </c>
      <c r="E9" s="4" t="s">
        <v>2055</v>
      </c>
      <c r="F9" s="6">
        <v>3</v>
      </c>
    </row>
    <row r="10" spans="1:6" ht="31" customHeight="1">
      <c r="A10" s="4" t="s">
        <v>153</v>
      </c>
      <c r="B10" s="4" t="s">
        <v>110</v>
      </c>
      <c r="C10" s="4" t="s">
        <v>2086</v>
      </c>
      <c r="D10" s="4" t="s">
        <v>127</v>
      </c>
      <c r="E10" s="4" t="s">
        <v>2055</v>
      </c>
      <c r="F10" s="6">
        <v>2</v>
      </c>
    </row>
    <row r="11" spans="1:6" ht="31" customHeight="1">
      <c r="A11" s="4" t="s">
        <v>156</v>
      </c>
      <c r="B11" s="4" t="s">
        <v>157</v>
      </c>
      <c r="C11" s="4" t="s">
        <v>2086</v>
      </c>
      <c r="D11" s="4" t="s">
        <v>166</v>
      </c>
      <c r="E11" s="4" t="s">
        <v>2057</v>
      </c>
      <c r="F11" s="6">
        <v>3</v>
      </c>
    </row>
    <row r="12" spans="1:6" ht="31" customHeight="1">
      <c r="A12" s="4" t="s">
        <v>168</v>
      </c>
      <c r="B12" s="4" t="s">
        <v>157</v>
      </c>
      <c r="C12" s="4" t="s">
        <v>2086</v>
      </c>
      <c r="D12" s="4" t="s">
        <v>166</v>
      </c>
      <c r="E12" s="4" t="s">
        <v>2057</v>
      </c>
      <c r="F12" s="6">
        <v>3</v>
      </c>
    </row>
    <row r="13" spans="1:6" ht="31" customHeight="1">
      <c r="A13" s="4" t="s">
        <v>172</v>
      </c>
      <c r="B13" s="4" t="s">
        <v>157</v>
      </c>
      <c r="C13" s="4" t="s">
        <v>2086</v>
      </c>
      <c r="D13" s="4" t="s">
        <v>166</v>
      </c>
      <c r="E13" s="4" t="s">
        <v>2057</v>
      </c>
      <c r="F13" s="6">
        <v>3</v>
      </c>
    </row>
    <row r="14" spans="1:6" ht="31" customHeight="1">
      <c r="A14" s="4" t="s">
        <v>177</v>
      </c>
      <c r="B14" s="4" t="s">
        <v>157</v>
      </c>
      <c r="C14" s="4" t="s">
        <v>2086</v>
      </c>
      <c r="D14" s="4" t="s">
        <v>166</v>
      </c>
      <c r="E14" s="4" t="s">
        <v>2057</v>
      </c>
      <c r="F14" s="6">
        <v>2</v>
      </c>
    </row>
    <row r="15" spans="1:6" ht="31" customHeight="1">
      <c r="A15" s="4" t="s">
        <v>181</v>
      </c>
      <c r="B15" s="4" t="s">
        <v>157</v>
      </c>
      <c r="C15" s="4" t="s">
        <v>2086</v>
      </c>
      <c r="D15" s="4" t="s">
        <v>166</v>
      </c>
      <c r="E15" s="4" t="s">
        <v>2057</v>
      </c>
      <c r="F15" s="6">
        <v>3</v>
      </c>
    </row>
    <row r="16" spans="1:6" ht="31" customHeight="1">
      <c r="A16" s="4" t="s">
        <v>184</v>
      </c>
      <c r="B16" s="4" t="s">
        <v>157</v>
      </c>
      <c r="C16" s="4" t="s">
        <v>2086</v>
      </c>
      <c r="D16" s="4" t="s">
        <v>166</v>
      </c>
      <c r="E16" s="4" t="s">
        <v>2057</v>
      </c>
      <c r="F16" s="6">
        <v>3</v>
      </c>
    </row>
    <row r="17" spans="1:6" ht="31" customHeight="1">
      <c r="A17" s="4" t="s">
        <v>187</v>
      </c>
      <c r="B17" s="4" t="s">
        <v>157</v>
      </c>
      <c r="C17" s="4" t="s">
        <v>2086</v>
      </c>
      <c r="D17" s="4" t="s">
        <v>166</v>
      </c>
      <c r="E17" s="4" t="s">
        <v>2057</v>
      </c>
      <c r="F17" s="6">
        <v>2</v>
      </c>
    </row>
    <row r="18" spans="1:6" ht="31" customHeight="1">
      <c r="A18" s="4" t="s">
        <v>190</v>
      </c>
      <c r="B18" s="4" t="s">
        <v>191</v>
      </c>
      <c r="C18" s="4" t="s">
        <v>2086</v>
      </c>
      <c r="D18" s="4" t="s">
        <v>200</v>
      </c>
      <c r="E18" s="4" t="s">
        <v>2058</v>
      </c>
      <c r="F18" s="6">
        <v>2</v>
      </c>
    </row>
    <row r="19" spans="1:6" ht="31" customHeight="1">
      <c r="A19" s="4" t="s">
        <v>202</v>
      </c>
      <c r="B19" s="4" t="s">
        <v>191</v>
      </c>
      <c r="C19" s="4" t="s">
        <v>2086</v>
      </c>
      <c r="D19" s="4" t="s">
        <v>200</v>
      </c>
      <c r="E19" s="4" t="s">
        <v>2059</v>
      </c>
      <c r="F19" s="6">
        <v>2</v>
      </c>
    </row>
    <row r="20" spans="1:6" ht="31" customHeight="1">
      <c r="A20" s="4" t="s">
        <v>208</v>
      </c>
      <c r="B20" s="4" t="s">
        <v>191</v>
      </c>
      <c r="C20" s="4" t="s">
        <v>2086</v>
      </c>
      <c r="D20" s="4" t="s">
        <v>200</v>
      </c>
      <c r="E20" s="4" t="s">
        <v>2060</v>
      </c>
      <c r="F20" s="6">
        <v>2</v>
      </c>
    </row>
    <row r="21" spans="1:6" ht="31" customHeight="1">
      <c r="A21" s="4" t="s">
        <v>212</v>
      </c>
      <c r="B21" s="4" t="s">
        <v>191</v>
      </c>
      <c r="C21" s="4" t="s">
        <v>2086</v>
      </c>
      <c r="D21" s="4" t="s">
        <v>200</v>
      </c>
      <c r="E21" s="4" t="s">
        <v>2059</v>
      </c>
      <c r="F21" s="6">
        <v>3</v>
      </c>
    </row>
    <row r="22" spans="1:6" ht="31" customHeight="1">
      <c r="A22" s="4" t="s">
        <v>217</v>
      </c>
      <c r="B22" s="4" t="s">
        <v>191</v>
      </c>
      <c r="C22" s="4" t="s">
        <v>2086</v>
      </c>
      <c r="D22" s="4" t="s">
        <v>200</v>
      </c>
      <c r="E22" s="4" t="s">
        <v>2058</v>
      </c>
      <c r="F22" s="6">
        <v>2</v>
      </c>
    </row>
    <row r="23" spans="1:6" ht="31" customHeight="1">
      <c r="A23" s="4" t="s">
        <v>222</v>
      </c>
      <c r="B23" s="4" t="s">
        <v>191</v>
      </c>
      <c r="C23" s="4" t="s">
        <v>2086</v>
      </c>
      <c r="D23" s="4" t="s">
        <v>200</v>
      </c>
      <c r="E23" s="4" t="s">
        <v>2061</v>
      </c>
      <c r="F23" s="6">
        <v>2</v>
      </c>
    </row>
    <row r="24" spans="1:6" ht="31" customHeight="1">
      <c r="A24" s="4" t="s">
        <v>225</v>
      </c>
      <c r="B24" s="4" t="s">
        <v>191</v>
      </c>
      <c r="C24" s="4" t="s">
        <v>2086</v>
      </c>
      <c r="D24" s="4" t="s">
        <v>200</v>
      </c>
      <c r="E24" s="4" t="s">
        <v>2058</v>
      </c>
      <c r="F24" s="6">
        <v>2</v>
      </c>
    </row>
    <row r="25" spans="1:6" ht="31" customHeight="1">
      <c r="A25" s="4" t="s">
        <v>229</v>
      </c>
      <c r="B25" s="4" t="s">
        <v>191</v>
      </c>
      <c r="C25" s="4" t="s">
        <v>2086</v>
      </c>
      <c r="D25" s="4" t="s">
        <v>200</v>
      </c>
      <c r="E25" s="4" t="s">
        <v>2058</v>
      </c>
      <c r="F25" s="6">
        <v>2</v>
      </c>
    </row>
    <row r="26" spans="1:6" ht="31" customHeight="1">
      <c r="A26" s="4" t="s">
        <v>231</v>
      </c>
      <c r="B26" s="4" t="s">
        <v>191</v>
      </c>
      <c r="C26" s="4" t="s">
        <v>2086</v>
      </c>
      <c r="D26" s="4" t="s">
        <v>200</v>
      </c>
      <c r="E26" s="4" t="s">
        <v>2058</v>
      </c>
      <c r="F26" s="6">
        <v>2</v>
      </c>
    </row>
    <row r="27" spans="1:6" ht="31" customHeight="1">
      <c r="A27" s="4" t="s">
        <v>233</v>
      </c>
      <c r="B27" s="4" t="s">
        <v>191</v>
      </c>
      <c r="C27" s="4" t="s">
        <v>2086</v>
      </c>
      <c r="D27" s="4" t="s">
        <v>200</v>
      </c>
      <c r="E27" s="4" t="s">
        <v>2059</v>
      </c>
      <c r="F27" s="6">
        <v>2</v>
      </c>
    </row>
    <row r="28" spans="1:6" ht="31" customHeight="1">
      <c r="A28" s="4" t="s">
        <v>236</v>
      </c>
      <c r="B28" s="4" t="s">
        <v>237</v>
      </c>
      <c r="C28" s="4" t="s">
        <v>2086</v>
      </c>
      <c r="D28" s="4" t="s">
        <v>250</v>
      </c>
      <c r="E28" s="4" t="s">
        <v>2064</v>
      </c>
      <c r="F28" s="6">
        <v>7</v>
      </c>
    </row>
    <row r="29" spans="1:6" ht="31" customHeight="1">
      <c r="A29" s="4" t="s">
        <v>252</v>
      </c>
      <c r="B29" s="4" t="s">
        <v>237</v>
      </c>
      <c r="C29" s="4" t="s">
        <v>2086</v>
      </c>
      <c r="D29" s="4" t="s">
        <v>250</v>
      </c>
      <c r="E29" s="4" t="s">
        <v>2066</v>
      </c>
      <c r="F29" s="6">
        <v>14</v>
      </c>
    </row>
    <row r="30" spans="1:6" ht="31" customHeight="1">
      <c r="A30" s="4" t="s">
        <v>263</v>
      </c>
      <c r="B30" s="4" t="s">
        <v>237</v>
      </c>
      <c r="C30" s="4" t="s">
        <v>2086</v>
      </c>
      <c r="D30" s="4" t="s">
        <v>250</v>
      </c>
      <c r="E30" s="4" t="s">
        <v>2066</v>
      </c>
      <c r="F30" s="6">
        <v>12</v>
      </c>
    </row>
    <row r="31" spans="1:6" ht="31" customHeight="1">
      <c r="A31" s="4" t="s">
        <v>268</v>
      </c>
      <c r="B31" s="4" t="s">
        <v>237</v>
      </c>
      <c r="C31" s="4" t="s">
        <v>2086</v>
      </c>
      <c r="D31" s="4" t="s">
        <v>250</v>
      </c>
      <c r="E31" s="4" t="s">
        <v>2066</v>
      </c>
      <c r="F31" s="6">
        <v>12</v>
      </c>
    </row>
    <row r="32" spans="1:6" ht="31" customHeight="1">
      <c r="A32" s="4" t="s">
        <v>274</v>
      </c>
      <c r="B32" s="4" t="s">
        <v>237</v>
      </c>
      <c r="C32" s="4" t="s">
        <v>2086</v>
      </c>
      <c r="D32" s="4" t="s">
        <v>250</v>
      </c>
      <c r="E32" s="4" t="s">
        <v>2066</v>
      </c>
      <c r="F32" s="6">
        <v>16</v>
      </c>
    </row>
    <row r="33" spans="1:6" ht="31" customHeight="1">
      <c r="A33" s="4" t="s">
        <v>282</v>
      </c>
      <c r="B33" s="4" t="s">
        <v>237</v>
      </c>
      <c r="C33" s="4" t="s">
        <v>2086</v>
      </c>
      <c r="D33" s="4" t="s">
        <v>250</v>
      </c>
      <c r="E33" s="4" t="s">
        <v>2067</v>
      </c>
      <c r="F33" s="6">
        <v>8</v>
      </c>
    </row>
    <row r="34" spans="1:6" ht="31" customHeight="1">
      <c r="A34" s="4" t="s">
        <v>290</v>
      </c>
      <c r="B34" s="4" t="s">
        <v>237</v>
      </c>
      <c r="C34" s="4" t="s">
        <v>2086</v>
      </c>
      <c r="D34" s="4" t="s">
        <v>250</v>
      </c>
      <c r="E34" s="4" t="s">
        <v>2067</v>
      </c>
      <c r="F34" s="6">
        <v>8</v>
      </c>
    </row>
    <row r="35" spans="1:6" ht="31" customHeight="1">
      <c r="A35" s="4" t="s">
        <v>296</v>
      </c>
      <c r="B35" s="4" t="s">
        <v>237</v>
      </c>
      <c r="C35" s="4" t="s">
        <v>2086</v>
      </c>
      <c r="D35" s="4" t="s">
        <v>250</v>
      </c>
      <c r="E35" s="4" t="s">
        <v>2067</v>
      </c>
      <c r="F35" s="6">
        <v>8</v>
      </c>
    </row>
    <row r="36" spans="1:6" ht="31" customHeight="1">
      <c r="A36" s="4" t="s">
        <v>298</v>
      </c>
      <c r="B36" s="4" t="s">
        <v>237</v>
      </c>
      <c r="C36" s="4" t="s">
        <v>2086</v>
      </c>
      <c r="D36" s="4" t="s">
        <v>250</v>
      </c>
      <c r="E36" s="4" t="s">
        <v>2066</v>
      </c>
      <c r="F36" s="6">
        <v>12</v>
      </c>
    </row>
    <row r="37" spans="1:6" ht="31" customHeight="1">
      <c r="A37" s="4" t="s">
        <v>300</v>
      </c>
      <c r="B37" s="4" t="s">
        <v>237</v>
      </c>
      <c r="C37" s="4" t="s">
        <v>2086</v>
      </c>
      <c r="D37" s="4" t="s">
        <v>250</v>
      </c>
      <c r="E37" s="4" t="s">
        <v>2068</v>
      </c>
      <c r="F37" s="6">
        <v>0</v>
      </c>
    </row>
    <row r="38" spans="1:6" ht="31" customHeight="1">
      <c r="A38" s="4" t="s">
        <v>304</v>
      </c>
      <c r="B38" s="4" t="s">
        <v>237</v>
      </c>
      <c r="C38" s="4" t="s">
        <v>2086</v>
      </c>
      <c r="D38" s="4" t="s">
        <v>250</v>
      </c>
      <c r="E38" s="4" t="s">
        <v>2068</v>
      </c>
      <c r="F38" s="6">
        <v>0</v>
      </c>
    </row>
    <row r="39" spans="1:6" ht="31" customHeight="1">
      <c r="A39" s="4" t="s">
        <v>306</v>
      </c>
      <c r="B39" s="4" t="s">
        <v>237</v>
      </c>
      <c r="C39" s="4" t="s">
        <v>2086</v>
      </c>
      <c r="D39" s="4" t="s">
        <v>250</v>
      </c>
      <c r="E39" s="4" t="s">
        <v>2068</v>
      </c>
      <c r="F39" s="6">
        <v>0</v>
      </c>
    </row>
    <row r="40" spans="1:6" ht="31" customHeight="1">
      <c r="A40" s="4" t="s">
        <v>310</v>
      </c>
      <c r="B40" s="4" t="s">
        <v>311</v>
      </c>
      <c r="C40" s="4" t="s">
        <v>2086</v>
      </c>
      <c r="D40" s="4" t="s">
        <v>319</v>
      </c>
      <c r="E40" s="4" t="s">
        <v>2069</v>
      </c>
      <c r="F40" s="6">
        <v>3</v>
      </c>
    </row>
    <row r="41" spans="1:6" ht="31" customHeight="1">
      <c r="A41" s="4" t="s">
        <v>321</v>
      </c>
      <c r="B41" s="4" t="s">
        <v>311</v>
      </c>
      <c r="C41" s="4" t="s">
        <v>2086</v>
      </c>
      <c r="D41" s="4" t="s">
        <v>319</v>
      </c>
      <c r="E41" s="4" t="s">
        <v>2069</v>
      </c>
      <c r="F41" s="6">
        <v>3</v>
      </c>
    </row>
    <row r="42" spans="1:6" ht="31" customHeight="1">
      <c r="A42" s="4" t="s">
        <v>323</v>
      </c>
      <c r="B42" s="4" t="s">
        <v>311</v>
      </c>
      <c r="C42" s="4" t="s">
        <v>2086</v>
      </c>
      <c r="D42" s="4" t="s">
        <v>319</v>
      </c>
      <c r="E42" s="4" t="s">
        <v>2069</v>
      </c>
      <c r="F42" s="6">
        <v>3</v>
      </c>
    </row>
    <row r="43" spans="1:6" ht="31" customHeight="1">
      <c r="A43" s="4" t="s">
        <v>325</v>
      </c>
      <c r="B43" s="4" t="s">
        <v>311</v>
      </c>
      <c r="C43" s="4" t="s">
        <v>2086</v>
      </c>
      <c r="D43" s="4" t="s">
        <v>319</v>
      </c>
      <c r="E43" s="4" t="s">
        <v>2069</v>
      </c>
      <c r="F43" s="6">
        <v>3</v>
      </c>
    </row>
    <row r="44" spans="1:6" ht="31" customHeight="1">
      <c r="A44" s="4" t="s">
        <v>327</v>
      </c>
      <c r="B44" s="4" t="s">
        <v>311</v>
      </c>
      <c r="C44" s="4" t="s">
        <v>2086</v>
      </c>
      <c r="D44" s="4" t="s">
        <v>319</v>
      </c>
      <c r="E44" s="4" t="s">
        <v>2069</v>
      </c>
      <c r="F44" s="6">
        <v>3</v>
      </c>
    </row>
    <row r="45" spans="1:6" ht="31" customHeight="1">
      <c r="A45" s="4" t="s">
        <v>329</v>
      </c>
      <c r="B45" s="4" t="s">
        <v>311</v>
      </c>
      <c r="C45" s="4" t="s">
        <v>2086</v>
      </c>
      <c r="D45" s="4" t="s">
        <v>319</v>
      </c>
      <c r="E45" s="4" t="s">
        <v>2069</v>
      </c>
      <c r="F45" s="6">
        <v>3</v>
      </c>
    </row>
    <row r="46" spans="1:6" ht="31" customHeight="1">
      <c r="A46" s="4" t="s">
        <v>331</v>
      </c>
      <c r="B46" s="4" t="s">
        <v>311</v>
      </c>
      <c r="C46" s="4" t="s">
        <v>2086</v>
      </c>
      <c r="D46" s="4" t="s">
        <v>319</v>
      </c>
      <c r="E46" s="4" t="s">
        <v>2069</v>
      </c>
      <c r="F46" s="6">
        <v>3</v>
      </c>
    </row>
    <row r="47" spans="1:6" ht="31" customHeight="1">
      <c r="A47" s="4" t="s">
        <v>333</v>
      </c>
      <c r="B47" s="4" t="s">
        <v>311</v>
      </c>
      <c r="C47" s="4" t="s">
        <v>2086</v>
      </c>
      <c r="D47" s="4" t="s">
        <v>319</v>
      </c>
      <c r="E47" s="4" t="s">
        <v>2069</v>
      </c>
      <c r="F47" s="6">
        <v>3</v>
      </c>
    </row>
    <row r="48" spans="1:6" ht="31" customHeight="1">
      <c r="A48" s="4" t="s">
        <v>335</v>
      </c>
      <c r="B48" s="4" t="s">
        <v>311</v>
      </c>
      <c r="C48" s="4" t="s">
        <v>2086</v>
      </c>
      <c r="D48" s="4" t="s">
        <v>319</v>
      </c>
      <c r="E48" s="4" t="s">
        <v>2069</v>
      </c>
      <c r="F48" s="6">
        <v>3</v>
      </c>
    </row>
    <row r="49" spans="1:6" ht="31" customHeight="1">
      <c r="A49" s="4" t="s">
        <v>337</v>
      </c>
      <c r="B49" s="4" t="s">
        <v>311</v>
      </c>
      <c r="C49" s="4" t="s">
        <v>2086</v>
      </c>
      <c r="D49" s="4" t="s">
        <v>319</v>
      </c>
      <c r="E49" s="4" t="s">
        <v>2069</v>
      </c>
      <c r="F49" s="6">
        <v>3</v>
      </c>
    </row>
    <row r="50" spans="1:6" ht="31" customHeight="1">
      <c r="A50" s="4" t="s">
        <v>339</v>
      </c>
      <c r="B50" s="4" t="s">
        <v>311</v>
      </c>
      <c r="C50" s="4" t="s">
        <v>2086</v>
      </c>
      <c r="D50" s="4" t="s">
        <v>319</v>
      </c>
      <c r="E50" s="4" t="s">
        <v>2069</v>
      </c>
      <c r="F50" s="6">
        <v>3</v>
      </c>
    </row>
    <row r="51" spans="1:6" ht="31" customHeight="1">
      <c r="A51" s="4" t="s">
        <v>341</v>
      </c>
      <c r="B51" s="4" t="s">
        <v>311</v>
      </c>
      <c r="C51" s="4" t="s">
        <v>2086</v>
      </c>
      <c r="D51" s="4" t="s">
        <v>319</v>
      </c>
      <c r="E51" s="4" t="s">
        <v>2069</v>
      </c>
      <c r="F51" s="6">
        <v>3</v>
      </c>
    </row>
    <row r="52" spans="1:6" ht="31" customHeight="1">
      <c r="A52" s="4" t="s">
        <v>343</v>
      </c>
      <c r="B52" s="4" t="s">
        <v>311</v>
      </c>
      <c r="C52" s="4" t="s">
        <v>2086</v>
      </c>
      <c r="D52" s="4" t="s">
        <v>319</v>
      </c>
      <c r="E52" s="4" t="s">
        <v>2069</v>
      </c>
      <c r="F52" s="6">
        <v>3</v>
      </c>
    </row>
    <row r="53" spans="1:6" ht="31" customHeight="1">
      <c r="A53" s="4" t="s">
        <v>345</v>
      </c>
      <c r="B53" s="4" t="s">
        <v>346</v>
      </c>
      <c r="C53" s="4" t="s">
        <v>2086</v>
      </c>
      <c r="D53" s="4" t="s">
        <v>352</v>
      </c>
      <c r="E53" s="4" t="s">
        <v>2070</v>
      </c>
      <c r="F53" s="6">
        <v>2</v>
      </c>
    </row>
    <row r="54" spans="1:6" ht="31" customHeight="1">
      <c r="A54" s="4" t="s">
        <v>354</v>
      </c>
      <c r="B54" s="4" t="s">
        <v>346</v>
      </c>
      <c r="C54" s="4" t="s">
        <v>2086</v>
      </c>
      <c r="D54" s="4" t="s">
        <v>352</v>
      </c>
      <c r="E54" s="4" t="s">
        <v>2070</v>
      </c>
      <c r="F54" s="6">
        <v>1</v>
      </c>
    </row>
    <row r="55" spans="1:6" ht="31" customHeight="1">
      <c r="A55" s="4" t="s">
        <v>357</v>
      </c>
      <c r="B55" s="4" t="s">
        <v>346</v>
      </c>
      <c r="C55" s="4" t="s">
        <v>2086</v>
      </c>
      <c r="D55" s="4" t="s">
        <v>352</v>
      </c>
      <c r="E55" s="4" t="s">
        <v>2071</v>
      </c>
      <c r="F55" s="6">
        <v>3</v>
      </c>
    </row>
    <row r="56" spans="1:6" ht="31" customHeight="1">
      <c r="A56" s="4" t="s">
        <v>360</v>
      </c>
      <c r="B56" s="4" t="s">
        <v>346</v>
      </c>
      <c r="C56" s="4" t="s">
        <v>2086</v>
      </c>
      <c r="D56" s="4" t="s">
        <v>352</v>
      </c>
      <c r="E56" s="4" t="s">
        <v>2070</v>
      </c>
      <c r="F56" s="6">
        <v>2</v>
      </c>
    </row>
    <row r="57" spans="1:6" ht="31" customHeight="1">
      <c r="A57" s="4" t="s">
        <v>363</v>
      </c>
      <c r="B57" s="4" t="s">
        <v>346</v>
      </c>
      <c r="C57" s="4" t="s">
        <v>2086</v>
      </c>
      <c r="D57" s="4" t="s">
        <v>352</v>
      </c>
      <c r="E57" s="4" t="s">
        <v>2070</v>
      </c>
      <c r="F57" s="6">
        <v>3</v>
      </c>
    </row>
    <row r="58" spans="1:6" ht="31" customHeight="1">
      <c r="A58" s="4" t="s">
        <v>366</v>
      </c>
      <c r="B58" s="4" t="s">
        <v>346</v>
      </c>
      <c r="C58" s="4" t="s">
        <v>2086</v>
      </c>
      <c r="D58" s="4" t="s">
        <v>352</v>
      </c>
      <c r="E58" s="4" t="s">
        <v>2070</v>
      </c>
      <c r="F58" s="6">
        <v>3</v>
      </c>
    </row>
    <row r="59" spans="1:6" ht="31" customHeight="1">
      <c r="A59" s="4" t="s">
        <v>371</v>
      </c>
      <c r="B59" s="4" t="s">
        <v>346</v>
      </c>
      <c r="C59" s="4" t="s">
        <v>2086</v>
      </c>
      <c r="D59" s="4" t="s">
        <v>352</v>
      </c>
      <c r="E59" s="4" t="s">
        <v>2070</v>
      </c>
      <c r="F59" s="6">
        <v>2</v>
      </c>
    </row>
    <row r="60" spans="1:6" ht="31" customHeight="1">
      <c r="A60" s="4" t="s">
        <v>375</v>
      </c>
      <c r="B60" s="4" t="s">
        <v>346</v>
      </c>
      <c r="C60" s="4" t="s">
        <v>2086</v>
      </c>
      <c r="D60" s="4" t="s">
        <v>352</v>
      </c>
      <c r="E60" s="4" t="s">
        <v>2070</v>
      </c>
      <c r="F60" s="6">
        <v>3</v>
      </c>
    </row>
    <row r="61" spans="1:6" ht="31" customHeight="1">
      <c r="A61" s="4" t="s">
        <v>378</v>
      </c>
      <c r="B61" s="4" t="s">
        <v>346</v>
      </c>
      <c r="C61" s="4" t="s">
        <v>2086</v>
      </c>
      <c r="D61" s="4" t="s">
        <v>352</v>
      </c>
      <c r="E61" s="4" t="s">
        <v>2070</v>
      </c>
      <c r="F61" s="6">
        <v>3</v>
      </c>
    </row>
    <row r="62" spans="1:6" ht="31" customHeight="1">
      <c r="A62" s="4" t="s">
        <v>381</v>
      </c>
      <c r="B62" s="4" t="s">
        <v>346</v>
      </c>
      <c r="C62" s="4" t="s">
        <v>2086</v>
      </c>
      <c r="D62" s="4" t="s">
        <v>352</v>
      </c>
      <c r="E62" s="4" t="s">
        <v>2070</v>
      </c>
      <c r="F62" s="6">
        <v>2</v>
      </c>
    </row>
    <row r="63" spans="1:6" ht="31" customHeight="1">
      <c r="A63" s="4" t="s">
        <v>384</v>
      </c>
      <c r="B63" s="4" t="s">
        <v>385</v>
      </c>
      <c r="C63" s="4" t="s">
        <v>2086</v>
      </c>
      <c r="D63" s="4" t="s">
        <v>393</v>
      </c>
      <c r="E63" s="4" t="s">
        <v>2072</v>
      </c>
      <c r="F63" s="6">
        <v>5</v>
      </c>
    </row>
    <row r="64" spans="1:6" ht="31" customHeight="1">
      <c r="A64" s="4" t="s">
        <v>395</v>
      </c>
      <c r="B64" s="4" t="s">
        <v>385</v>
      </c>
      <c r="C64" s="4" t="s">
        <v>2086</v>
      </c>
      <c r="D64" s="4" t="s">
        <v>393</v>
      </c>
      <c r="E64" s="4" t="s">
        <v>2072</v>
      </c>
      <c r="F64" s="6">
        <v>5</v>
      </c>
    </row>
    <row r="65" spans="1:6" ht="31" customHeight="1">
      <c r="A65" s="4" t="s">
        <v>397</v>
      </c>
      <c r="B65" s="4" t="s">
        <v>385</v>
      </c>
      <c r="C65" s="4" t="s">
        <v>2086</v>
      </c>
      <c r="D65" s="4" t="s">
        <v>393</v>
      </c>
      <c r="E65" s="4" t="s">
        <v>2072</v>
      </c>
      <c r="F65" s="6">
        <v>5</v>
      </c>
    </row>
    <row r="66" spans="1:6" ht="31" customHeight="1">
      <c r="A66" s="4" t="s">
        <v>399</v>
      </c>
      <c r="B66" s="4" t="s">
        <v>385</v>
      </c>
      <c r="C66" s="4" t="s">
        <v>2086</v>
      </c>
      <c r="D66" s="4" t="s">
        <v>393</v>
      </c>
      <c r="E66" s="4" t="s">
        <v>2073</v>
      </c>
      <c r="F66" s="6">
        <v>5</v>
      </c>
    </row>
    <row r="67" spans="1:6" ht="31" customHeight="1">
      <c r="A67" s="4" t="s">
        <v>404</v>
      </c>
      <c r="B67" s="4" t="s">
        <v>385</v>
      </c>
      <c r="C67" s="4" t="s">
        <v>2086</v>
      </c>
      <c r="D67" s="4" t="s">
        <v>393</v>
      </c>
      <c r="E67" s="4" t="s">
        <v>2072</v>
      </c>
      <c r="F67" s="6">
        <v>5</v>
      </c>
    </row>
    <row r="68" spans="1:6" ht="31" customHeight="1">
      <c r="A68" s="4" t="s">
        <v>407</v>
      </c>
      <c r="B68" s="4" t="s">
        <v>385</v>
      </c>
      <c r="C68" s="4" t="s">
        <v>2086</v>
      </c>
      <c r="D68" s="4" t="s">
        <v>393</v>
      </c>
      <c r="E68" s="4" t="s">
        <v>2074</v>
      </c>
      <c r="F68" s="6">
        <v>5</v>
      </c>
    </row>
    <row r="69" spans="1:6" ht="31" customHeight="1">
      <c r="A69" s="4" t="s">
        <v>412</v>
      </c>
      <c r="B69" s="4" t="s">
        <v>385</v>
      </c>
      <c r="C69" s="4" t="s">
        <v>2086</v>
      </c>
      <c r="D69" s="4" t="s">
        <v>393</v>
      </c>
      <c r="E69" s="4" t="s">
        <v>2075</v>
      </c>
      <c r="F69" s="6">
        <v>5</v>
      </c>
    </row>
    <row r="70" spans="1:6" ht="31" customHeight="1">
      <c r="A70" s="4" t="s">
        <v>417</v>
      </c>
      <c r="B70" s="4" t="s">
        <v>385</v>
      </c>
      <c r="C70" s="4" t="s">
        <v>2086</v>
      </c>
      <c r="D70" s="4" t="s">
        <v>393</v>
      </c>
      <c r="E70" s="4" t="s">
        <v>2072</v>
      </c>
      <c r="F70" s="6">
        <v>5</v>
      </c>
    </row>
    <row r="71" spans="1:6" ht="31" customHeight="1">
      <c r="A71" s="4" t="s">
        <v>419</v>
      </c>
      <c r="B71" s="4" t="s">
        <v>385</v>
      </c>
      <c r="C71" s="4" t="s">
        <v>2086</v>
      </c>
      <c r="D71" s="4" t="s">
        <v>393</v>
      </c>
      <c r="E71" s="4" t="s">
        <v>2072</v>
      </c>
      <c r="F71" s="6">
        <v>5</v>
      </c>
    </row>
    <row r="72" spans="1:6" ht="31" customHeight="1">
      <c r="A72" s="4" t="s">
        <v>421</v>
      </c>
      <c r="B72" s="4" t="s">
        <v>385</v>
      </c>
      <c r="C72" s="4" t="s">
        <v>2086</v>
      </c>
      <c r="D72" s="4" t="s">
        <v>393</v>
      </c>
      <c r="E72" s="4" t="s">
        <v>2072</v>
      </c>
      <c r="F72" s="6">
        <v>5</v>
      </c>
    </row>
    <row r="73" spans="1:6" ht="31" customHeight="1">
      <c r="A73" s="4" t="s">
        <v>423</v>
      </c>
      <c r="B73" s="4" t="s">
        <v>424</v>
      </c>
      <c r="C73" s="4" t="s">
        <v>2086</v>
      </c>
      <c r="D73" s="4" t="s">
        <v>433</v>
      </c>
      <c r="E73" s="4" t="s">
        <v>2076</v>
      </c>
      <c r="F73" s="6">
        <v>2</v>
      </c>
    </row>
    <row r="74" spans="1:6" ht="31" customHeight="1">
      <c r="A74" s="4" t="s">
        <v>435</v>
      </c>
      <c r="B74" s="4" t="s">
        <v>424</v>
      </c>
      <c r="C74" s="4" t="s">
        <v>2086</v>
      </c>
      <c r="D74" s="4" t="s">
        <v>433</v>
      </c>
      <c r="E74" s="4" t="s">
        <v>2077</v>
      </c>
      <c r="F74" s="6">
        <v>2</v>
      </c>
    </row>
    <row r="75" spans="1:6" ht="31" customHeight="1">
      <c r="A75" s="4" t="s">
        <v>440</v>
      </c>
      <c r="B75" s="4" t="s">
        <v>424</v>
      </c>
      <c r="C75" s="4" t="s">
        <v>2086</v>
      </c>
      <c r="D75" s="4" t="s">
        <v>433</v>
      </c>
      <c r="E75" s="4" t="s">
        <v>2078</v>
      </c>
      <c r="F75" s="6">
        <v>2</v>
      </c>
    </row>
    <row r="76" spans="1:6" ht="31" customHeight="1">
      <c r="A76" s="4" t="s">
        <v>446</v>
      </c>
      <c r="B76" s="4" t="s">
        <v>424</v>
      </c>
      <c r="C76" s="4" t="s">
        <v>2086</v>
      </c>
      <c r="D76" s="4" t="s">
        <v>433</v>
      </c>
      <c r="E76" s="4" t="s">
        <v>2079</v>
      </c>
      <c r="F76" s="6">
        <v>2</v>
      </c>
    </row>
    <row r="77" spans="1:6" ht="31" customHeight="1">
      <c r="A77" s="4" t="s">
        <v>451</v>
      </c>
      <c r="B77" s="4" t="s">
        <v>424</v>
      </c>
      <c r="C77" s="4" t="s">
        <v>2086</v>
      </c>
      <c r="D77" s="4" t="s">
        <v>433</v>
      </c>
      <c r="E77" s="4" t="s">
        <v>2076</v>
      </c>
      <c r="F77" s="6">
        <v>2</v>
      </c>
    </row>
    <row r="78" spans="1:6" ht="31" customHeight="1">
      <c r="A78" s="4" t="s">
        <v>455</v>
      </c>
      <c r="B78" s="4" t="s">
        <v>424</v>
      </c>
      <c r="C78" s="4" t="s">
        <v>2086</v>
      </c>
      <c r="D78" s="4" t="s">
        <v>433</v>
      </c>
      <c r="E78" s="4" t="s">
        <v>2080</v>
      </c>
      <c r="F78" s="6">
        <v>2</v>
      </c>
    </row>
    <row r="79" spans="1:6" ht="31" customHeight="1">
      <c r="A79" s="4" t="s">
        <v>459</v>
      </c>
      <c r="B79" s="4" t="s">
        <v>424</v>
      </c>
      <c r="C79" s="4" t="s">
        <v>2086</v>
      </c>
      <c r="D79" s="4" t="s">
        <v>433</v>
      </c>
      <c r="E79" s="4" t="s">
        <v>2078</v>
      </c>
      <c r="F79" s="6">
        <v>2</v>
      </c>
    </row>
    <row r="80" spans="1:6" ht="31" customHeight="1">
      <c r="A80" s="4" t="s">
        <v>463</v>
      </c>
      <c r="B80" s="4" t="s">
        <v>237</v>
      </c>
      <c r="C80" s="4" t="s">
        <v>2086</v>
      </c>
      <c r="D80" s="4" t="s">
        <v>250</v>
      </c>
      <c r="E80" s="4" t="s">
        <v>2081</v>
      </c>
      <c r="F80" s="6">
        <v>15</v>
      </c>
    </row>
    <row r="81" spans="1:6" ht="31" customHeight="1">
      <c r="A81" s="4" t="s">
        <v>469</v>
      </c>
      <c r="B81" s="4" t="s">
        <v>237</v>
      </c>
      <c r="C81" s="4" t="s">
        <v>2086</v>
      </c>
      <c r="D81" s="4" t="s">
        <v>250</v>
      </c>
      <c r="E81" s="4" t="s">
        <v>2081</v>
      </c>
      <c r="F81" s="6">
        <v>9</v>
      </c>
    </row>
    <row r="82" spans="1:6" ht="31" customHeight="1">
      <c r="A82" s="4" t="s">
        <v>472</v>
      </c>
      <c r="B82" s="4" t="s">
        <v>237</v>
      </c>
      <c r="C82" s="4" t="s">
        <v>2086</v>
      </c>
      <c r="D82" s="4" t="s">
        <v>250</v>
      </c>
      <c r="E82" s="4" t="s">
        <v>2081</v>
      </c>
      <c r="F82" s="6">
        <v>14</v>
      </c>
    </row>
    <row r="83" spans="1:6" ht="31" customHeight="1">
      <c r="A83" s="4" t="s">
        <v>282</v>
      </c>
      <c r="B83" s="4" t="s">
        <v>424</v>
      </c>
      <c r="C83" s="4" t="s">
        <v>2086</v>
      </c>
      <c r="D83" s="4" t="s">
        <v>433</v>
      </c>
      <c r="E83" s="4" t="s">
        <v>2082</v>
      </c>
      <c r="F83" s="6">
        <v>2</v>
      </c>
    </row>
  </sheetData>
  <autoFilter ref="A1:F83"/>
  <pageMargins left="0.7" right="0.7" top="0.75" bottom="0.75" header="0.3" footer="0.3"/>
  <pageSetup fitToHeight="0" orientation="landscape"/>
</worksheet>
</file>

<file path=xl/worksheets/sheet7.xml><?xml version="1.0" encoding="utf-8"?>
<worksheet xmlns="http://schemas.openxmlformats.org/spreadsheetml/2006/main" xmlns:r="http://schemas.openxmlformats.org/officeDocument/2006/relationships">
  <sheetPr>
    <tabColor rgb="FF237C89"/>
    <pageSetUpPr fitToPage="1"/>
  </sheetPr>
  <dimension ref="A1:E1818"/>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3.7109375" customWidth="1"/>
    <col min="2" max="2" width="20.7109375" customWidth="1"/>
    <col min="3" max="3" width="40.7109375" customWidth="1"/>
    <col min="4" max="5" width="110.7109375" customWidth="1"/>
  </cols>
  <sheetData>
    <row r="1" spans="1:5" ht="42" customHeight="1">
      <c r="A1" s="2" t="s">
        <v>1094</v>
      </c>
      <c r="B1" s="2" t="s">
        <v>34</v>
      </c>
      <c r="C1" s="2" t="s">
        <v>1225</v>
      </c>
      <c r="D1" s="2" t="s">
        <v>2087</v>
      </c>
      <c r="E1" s="2" t="s">
        <v>2083</v>
      </c>
    </row>
    <row r="2" spans="1:5" ht="31" customHeight="1">
      <c r="A2" s="4" t="s">
        <v>109</v>
      </c>
      <c r="B2" s="4" t="s">
        <v>110</v>
      </c>
      <c r="C2" s="4" t="s">
        <v>35</v>
      </c>
      <c r="D2" s="4" t="s">
        <v>2088</v>
      </c>
      <c r="E2" s="4" t="s">
        <v>127</v>
      </c>
    </row>
    <row r="3" spans="1:5" ht="31" customHeight="1">
      <c r="A3" s="4" t="s">
        <v>109</v>
      </c>
      <c r="B3" s="4" t="s">
        <v>110</v>
      </c>
      <c r="C3" s="4" t="s">
        <v>59</v>
      </c>
      <c r="D3" s="4" t="s">
        <v>2089</v>
      </c>
      <c r="E3" s="4" t="s">
        <v>127</v>
      </c>
    </row>
    <row r="4" spans="1:5" ht="31" customHeight="1">
      <c r="A4" s="4" t="s">
        <v>109</v>
      </c>
      <c r="B4" s="4" t="s">
        <v>110</v>
      </c>
      <c r="C4" s="4" t="s">
        <v>62</v>
      </c>
      <c r="D4" s="4" t="s">
        <v>2089</v>
      </c>
      <c r="E4" s="4" t="s">
        <v>127</v>
      </c>
    </row>
    <row r="5" spans="1:5" ht="31" customHeight="1">
      <c r="A5" s="4" t="s">
        <v>109</v>
      </c>
      <c r="B5" s="4" t="s">
        <v>110</v>
      </c>
      <c r="C5" s="4" t="s">
        <v>69</v>
      </c>
      <c r="D5" s="4" t="s">
        <v>2090</v>
      </c>
      <c r="E5" s="4" t="s">
        <v>127</v>
      </c>
    </row>
    <row r="6" spans="1:5" ht="31" customHeight="1">
      <c r="A6" s="4" t="s">
        <v>109</v>
      </c>
      <c r="B6" s="4" t="s">
        <v>110</v>
      </c>
      <c r="C6" s="4" t="s">
        <v>70</v>
      </c>
      <c r="D6" s="4" t="s">
        <v>2089</v>
      </c>
      <c r="E6" s="4" t="s">
        <v>127</v>
      </c>
    </row>
    <row r="7" spans="1:5" ht="31" customHeight="1">
      <c r="A7" s="4" t="s">
        <v>109</v>
      </c>
      <c r="B7" s="4" t="s">
        <v>110</v>
      </c>
      <c r="C7" s="4" t="s">
        <v>75</v>
      </c>
      <c r="D7" s="4" t="s">
        <v>2089</v>
      </c>
      <c r="E7" s="4" t="s">
        <v>127</v>
      </c>
    </row>
    <row r="8" spans="1:5" ht="31" customHeight="1">
      <c r="A8" s="4" t="s">
        <v>109</v>
      </c>
      <c r="B8" s="4" t="s">
        <v>110</v>
      </c>
      <c r="C8" s="4" t="s">
        <v>76</v>
      </c>
      <c r="D8" s="4" t="s">
        <v>2091</v>
      </c>
      <c r="E8" s="4" t="s">
        <v>127</v>
      </c>
    </row>
    <row r="9" spans="1:5" ht="31" customHeight="1">
      <c r="A9" s="4" t="s">
        <v>129</v>
      </c>
      <c r="B9" s="4" t="s">
        <v>110</v>
      </c>
      <c r="C9" s="4" t="s">
        <v>35</v>
      </c>
      <c r="D9" s="4" t="s">
        <v>2088</v>
      </c>
      <c r="E9" s="4" t="s">
        <v>127</v>
      </c>
    </row>
    <row r="10" spans="1:5" ht="31" customHeight="1">
      <c r="A10" s="4" t="s">
        <v>129</v>
      </c>
      <c r="B10" s="4" t="s">
        <v>110</v>
      </c>
      <c r="C10" s="4" t="s">
        <v>59</v>
      </c>
      <c r="D10" s="4" t="s">
        <v>2089</v>
      </c>
      <c r="E10" s="4" t="s">
        <v>127</v>
      </c>
    </row>
    <row r="11" spans="1:5" ht="31" customHeight="1">
      <c r="A11" s="4" t="s">
        <v>129</v>
      </c>
      <c r="B11" s="4" t="s">
        <v>110</v>
      </c>
      <c r="C11" s="4" t="s">
        <v>62</v>
      </c>
      <c r="D11" s="4" t="s">
        <v>2089</v>
      </c>
      <c r="E11" s="4" t="s">
        <v>127</v>
      </c>
    </row>
    <row r="12" spans="1:5" ht="31" customHeight="1">
      <c r="A12" s="4" t="s">
        <v>129</v>
      </c>
      <c r="B12" s="4" t="s">
        <v>110</v>
      </c>
      <c r="C12" s="4" t="s">
        <v>69</v>
      </c>
      <c r="D12" s="4" t="s">
        <v>2090</v>
      </c>
      <c r="E12" s="4" t="s">
        <v>127</v>
      </c>
    </row>
    <row r="13" spans="1:5" ht="31" customHeight="1">
      <c r="A13" s="4" t="s">
        <v>129</v>
      </c>
      <c r="B13" s="4" t="s">
        <v>110</v>
      </c>
      <c r="C13" s="4" t="s">
        <v>70</v>
      </c>
      <c r="D13" s="4" t="s">
        <v>2089</v>
      </c>
      <c r="E13" s="4" t="s">
        <v>127</v>
      </c>
    </row>
    <row r="14" spans="1:5" ht="31" customHeight="1">
      <c r="A14" s="4" t="s">
        <v>129</v>
      </c>
      <c r="B14" s="4" t="s">
        <v>110</v>
      </c>
      <c r="C14" s="4" t="s">
        <v>75</v>
      </c>
      <c r="D14" s="4" t="s">
        <v>2089</v>
      </c>
      <c r="E14" s="4" t="s">
        <v>127</v>
      </c>
    </row>
    <row r="15" spans="1:5" ht="31" customHeight="1">
      <c r="A15" s="4" t="s">
        <v>129</v>
      </c>
      <c r="B15" s="4" t="s">
        <v>110</v>
      </c>
      <c r="C15" s="4" t="s">
        <v>76</v>
      </c>
      <c r="D15" s="4" t="s">
        <v>2091</v>
      </c>
      <c r="E15" s="4" t="s">
        <v>127</v>
      </c>
    </row>
    <row r="16" spans="1:5" ht="31" customHeight="1">
      <c r="A16" s="4" t="s">
        <v>133</v>
      </c>
      <c r="B16" s="4" t="s">
        <v>110</v>
      </c>
      <c r="C16" s="4" t="s">
        <v>35</v>
      </c>
      <c r="D16" s="4" t="s">
        <v>2088</v>
      </c>
      <c r="E16" s="4" t="s">
        <v>127</v>
      </c>
    </row>
    <row r="17" spans="1:5" ht="31" customHeight="1">
      <c r="A17" s="4" t="s">
        <v>133</v>
      </c>
      <c r="B17" s="4" t="s">
        <v>110</v>
      </c>
      <c r="C17" s="4" t="s">
        <v>59</v>
      </c>
      <c r="D17" s="4" t="s">
        <v>2089</v>
      </c>
      <c r="E17" s="4" t="s">
        <v>127</v>
      </c>
    </row>
    <row r="18" spans="1:5" ht="31" customHeight="1">
      <c r="A18" s="4" t="s">
        <v>133</v>
      </c>
      <c r="B18" s="4" t="s">
        <v>110</v>
      </c>
      <c r="C18" s="4" t="s">
        <v>61</v>
      </c>
      <c r="D18" s="4" t="s">
        <v>2089</v>
      </c>
      <c r="E18" s="4" t="s">
        <v>127</v>
      </c>
    </row>
    <row r="19" spans="1:5" ht="31" customHeight="1">
      <c r="A19" s="4" t="s">
        <v>133</v>
      </c>
      <c r="B19" s="4" t="s">
        <v>110</v>
      </c>
      <c r="C19" s="4" t="s">
        <v>62</v>
      </c>
      <c r="D19" s="4" t="s">
        <v>2089</v>
      </c>
      <c r="E19" s="4" t="s">
        <v>127</v>
      </c>
    </row>
    <row r="20" spans="1:5" ht="31" customHeight="1">
      <c r="A20" s="4" t="s">
        <v>133</v>
      </c>
      <c r="B20" s="4" t="s">
        <v>110</v>
      </c>
      <c r="C20" s="4" t="s">
        <v>69</v>
      </c>
      <c r="D20" s="4" t="s">
        <v>2090</v>
      </c>
      <c r="E20" s="4" t="s">
        <v>127</v>
      </c>
    </row>
    <row r="21" spans="1:5" ht="31" customHeight="1">
      <c r="A21" s="4" t="s">
        <v>133</v>
      </c>
      <c r="B21" s="4" t="s">
        <v>110</v>
      </c>
      <c r="C21" s="4" t="s">
        <v>70</v>
      </c>
      <c r="D21" s="4" t="s">
        <v>2089</v>
      </c>
      <c r="E21" s="4" t="s">
        <v>127</v>
      </c>
    </row>
    <row r="22" spans="1:5" ht="31" customHeight="1">
      <c r="A22" s="4" t="s">
        <v>133</v>
      </c>
      <c r="B22" s="4" t="s">
        <v>110</v>
      </c>
      <c r="C22" s="4" t="s">
        <v>75</v>
      </c>
      <c r="D22" s="4" t="s">
        <v>2089</v>
      </c>
      <c r="E22" s="4" t="s">
        <v>127</v>
      </c>
    </row>
    <row r="23" spans="1:5" ht="31" customHeight="1">
      <c r="A23" s="4" t="s">
        <v>133</v>
      </c>
      <c r="B23" s="4" t="s">
        <v>110</v>
      </c>
      <c r="C23" s="4" t="s">
        <v>76</v>
      </c>
      <c r="D23" s="4" t="s">
        <v>2091</v>
      </c>
      <c r="E23" s="4" t="s">
        <v>127</v>
      </c>
    </row>
    <row r="24" spans="1:5" ht="31" customHeight="1">
      <c r="A24" s="4" t="s">
        <v>138</v>
      </c>
      <c r="B24" s="4" t="s">
        <v>110</v>
      </c>
      <c r="C24" s="4" t="s">
        <v>35</v>
      </c>
      <c r="D24" s="4" t="s">
        <v>2088</v>
      </c>
      <c r="E24" s="4" t="s">
        <v>127</v>
      </c>
    </row>
    <row r="25" spans="1:5" ht="31" customHeight="1">
      <c r="A25" s="4" t="s">
        <v>138</v>
      </c>
      <c r="B25" s="4" t="s">
        <v>110</v>
      </c>
      <c r="C25" s="4" t="s">
        <v>59</v>
      </c>
      <c r="D25" s="4" t="s">
        <v>2089</v>
      </c>
      <c r="E25" s="4" t="s">
        <v>127</v>
      </c>
    </row>
    <row r="26" spans="1:5" ht="31" customHeight="1">
      <c r="A26" s="4" t="s">
        <v>138</v>
      </c>
      <c r="B26" s="4" t="s">
        <v>110</v>
      </c>
      <c r="C26" s="4" t="s">
        <v>61</v>
      </c>
      <c r="D26" s="4" t="s">
        <v>2089</v>
      </c>
      <c r="E26" s="4" t="s">
        <v>127</v>
      </c>
    </row>
    <row r="27" spans="1:5" ht="31" customHeight="1">
      <c r="A27" s="4" t="s">
        <v>138</v>
      </c>
      <c r="B27" s="4" t="s">
        <v>110</v>
      </c>
      <c r="C27" s="4" t="s">
        <v>62</v>
      </c>
      <c r="D27" s="4" t="s">
        <v>2089</v>
      </c>
      <c r="E27" s="4" t="s">
        <v>127</v>
      </c>
    </row>
    <row r="28" spans="1:5" ht="31" customHeight="1">
      <c r="A28" s="4" t="s">
        <v>138</v>
      </c>
      <c r="B28" s="4" t="s">
        <v>110</v>
      </c>
      <c r="C28" s="4" t="s">
        <v>69</v>
      </c>
      <c r="D28" s="4" t="s">
        <v>2090</v>
      </c>
      <c r="E28" s="4" t="s">
        <v>127</v>
      </c>
    </row>
    <row r="29" spans="1:5" ht="31" customHeight="1">
      <c r="A29" s="4" t="s">
        <v>138</v>
      </c>
      <c r="B29" s="4" t="s">
        <v>110</v>
      </c>
      <c r="C29" s="4" t="s">
        <v>70</v>
      </c>
      <c r="D29" s="4" t="s">
        <v>2089</v>
      </c>
      <c r="E29" s="4" t="s">
        <v>127</v>
      </c>
    </row>
    <row r="30" spans="1:5" ht="31" customHeight="1">
      <c r="A30" s="4" t="s">
        <v>138</v>
      </c>
      <c r="B30" s="4" t="s">
        <v>110</v>
      </c>
      <c r="C30" s="4" t="s">
        <v>75</v>
      </c>
      <c r="D30" s="4" t="s">
        <v>2089</v>
      </c>
      <c r="E30" s="4" t="s">
        <v>127</v>
      </c>
    </row>
    <row r="31" spans="1:5" ht="31" customHeight="1">
      <c r="A31" s="4" t="s">
        <v>138</v>
      </c>
      <c r="B31" s="4" t="s">
        <v>110</v>
      </c>
      <c r="C31" s="4" t="s">
        <v>76</v>
      </c>
      <c r="D31" s="4" t="s">
        <v>2091</v>
      </c>
      <c r="E31" s="4" t="s">
        <v>127</v>
      </c>
    </row>
    <row r="32" spans="1:5" ht="31" customHeight="1">
      <c r="A32" s="4" t="s">
        <v>141</v>
      </c>
      <c r="B32" s="4" t="s">
        <v>110</v>
      </c>
      <c r="C32" s="4" t="s">
        <v>35</v>
      </c>
      <c r="D32" s="4" t="s">
        <v>2088</v>
      </c>
      <c r="E32" s="4" t="s">
        <v>127</v>
      </c>
    </row>
    <row r="33" spans="1:5" ht="31" customHeight="1">
      <c r="A33" s="4" t="s">
        <v>141</v>
      </c>
      <c r="B33" s="4" t="s">
        <v>110</v>
      </c>
      <c r="C33" s="4" t="s">
        <v>59</v>
      </c>
      <c r="D33" s="4" t="s">
        <v>2089</v>
      </c>
      <c r="E33" s="4" t="s">
        <v>127</v>
      </c>
    </row>
    <row r="34" spans="1:5" ht="31" customHeight="1">
      <c r="A34" s="4" t="s">
        <v>141</v>
      </c>
      <c r="B34" s="4" t="s">
        <v>110</v>
      </c>
      <c r="C34" s="4" t="s">
        <v>62</v>
      </c>
      <c r="D34" s="4" t="s">
        <v>2089</v>
      </c>
      <c r="E34" s="4" t="s">
        <v>127</v>
      </c>
    </row>
    <row r="35" spans="1:5" ht="31" customHeight="1">
      <c r="A35" s="4" t="s">
        <v>141</v>
      </c>
      <c r="B35" s="4" t="s">
        <v>110</v>
      </c>
      <c r="C35" s="4" t="s">
        <v>69</v>
      </c>
      <c r="D35" s="4" t="s">
        <v>2090</v>
      </c>
      <c r="E35" s="4" t="s">
        <v>127</v>
      </c>
    </row>
    <row r="36" spans="1:5" ht="31" customHeight="1">
      <c r="A36" s="4" t="s">
        <v>141</v>
      </c>
      <c r="B36" s="4" t="s">
        <v>110</v>
      </c>
      <c r="C36" s="4" t="s">
        <v>70</v>
      </c>
      <c r="D36" s="4" t="s">
        <v>2089</v>
      </c>
      <c r="E36" s="4" t="s">
        <v>127</v>
      </c>
    </row>
    <row r="37" spans="1:5" ht="31" customHeight="1">
      <c r="A37" s="4" t="s">
        <v>141</v>
      </c>
      <c r="B37" s="4" t="s">
        <v>110</v>
      </c>
      <c r="C37" s="4" t="s">
        <v>75</v>
      </c>
      <c r="D37" s="4" t="s">
        <v>2089</v>
      </c>
      <c r="E37" s="4" t="s">
        <v>127</v>
      </c>
    </row>
    <row r="38" spans="1:5" ht="31" customHeight="1">
      <c r="A38" s="4" t="s">
        <v>141</v>
      </c>
      <c r="B38" s="4" t="s">
        <v>110</v>
      </c>
      <c r="C38" s="4" t="s">
        <v>76</v>
      </c>
      <c r="D38" s="4" t="s">
        <v>2091</v>
      </c>
      <c r="E38" s="4" t="s">
        <v>127</v>
      </c>
    </row>
    <row r="39" spans="1:5" ht="31" customHeight="1">
      <c r="A39" s="4" t="s">
        <v>143</v>
      </c>
      <c r="B39" s="4" t="s">
        <v>110</v>
      </c>
      <c r="C39" s="4" t="s">
        <v>35</v>
      </c>
      <c r="D39" s="4" t="s">
        <v>2088</v>
      </c>
      <c r="E39" s="4" t="s">
        <v>127</v>
      </c>
    </row>
    <row r="40" spans="1:5" ht="31" customHeight="1">
      <c r="A40" s="4" t="s">
        <v>143</v>
      </c>
      <c r="B40" s="4" t="s">
        <v>110</v>
      </c>
      <c r="C40" s="4" t="s">
        <v>55</v>
      </c>
      <c r="D40" s="4" t="s">
        <v>2089</v>
      </c>
      <c r="E40" s="4" t="s">
        <v>127</v>
      </c>
    </row>
    <row r="41" spans="1:5" ht="31" customHeight="1">
      <c r="A41" s="4" t="s">
        <v>143</v>
      </c>
      <c r="B41" s="4" t="s">
        <v>110</v>
      </c>
      <c r="C41" s="4" t="s">
        <v>59</v>
      </c>
      <c r="D41" s="4" t="s">
        <v>2089</v>
      </c>
      <c r="E41" s="4" t="s">
        <v>127</v>
      </c>
    </row>
    <row r="42" spans="1:5" ht="31" customHeight="1">
      <c r="A42" s="4" t="s">
        <v>143</v>
      </c>
      <c r="B42" s="4" t="s">
        <v>110</v>
      </c>
      <c r="C42" s="4" t="s">
        <v>61</v>
      </c>
      <c r="D42" s="4" t="s">
        <v>2089</v>
      </c>
      <c r="E42" s="4" t="s">
        <v>127</v>
      </c>
    </row>
    <row r="43" spans="1:5" ht="31" customHeight="1">
      <c r="A43" s="4" t="s">
        <v>143</v>
      </c>
      <c r="B43" s="4" t="s">
        <v>110</v>
      </c>
      <c r="C43" s="4" t="s">
        <v>62</v>
      </c>
      <c r="D43" s="4" t="s">
        <v>2089</v>
      </c>
      <c r="E43" s="4" t="s">
        <v>127</v>
      </c>
    </row>
    <row r="44" spans="1:5" ht="31" customHeight="1">
      <c r="A44" s="4" t="s">
        <v>143</v>
      </c>
      <c r="B44" s="4" t="s">
        <v>110</v>
      </c>
      <c r="C44" s="4" t="s">
        <v>69</v>
      </c>
      <c r="D44" s="4" t="s">
        <v>2090</v>
      </c>
      <c r="E44" s="4" t="s">
        <v>127</v>
      </c>
    </row>
    <row r="45" spans="1:5" ht="31" customHeight="1">
      <c r="A45" s="4" t="s">
        <v>143</v>
      </c>
      <c r="B45" s="4" t="s">
        <v>110</v>
      </c>
      <c r="C45" s="4" t="s">
        <v>70</v>
      </c>
      <c r="D45" s="4" t="s">
        <v>2089</v>
      </c>
      <c r="E45" s="4" t="s">
        <v>127</v>
      </c>
    </row>
    <row r="46" spans="1:5" ht="31" customHeight="1">
      <c r="A46" s="4" t="s">
        <v>143</v>
      </c>
      <c r="B46" s="4" t="s">
        <v>110</v>
      </c>
      <c r="C46" s="4" t="s">
        <v>75</v>
      </c>
      <c r="D46" s="4" t="s">
        <v>2089</v>
      </c>
      <c r="E46" s="4" t="s">
        <v>127</v>
      </c>
    </row>
    <row r="47" spans="1:5" ht="31" customHeight="1">
      <c r="A47" s="4" t="s">
        <v>143</v>
      </c>
      <c r="B47" s="4" t="s">
        <v>110</v>
      </c>
      <c r="C47" s="4" t="s">
        <v>76</v>
      </c>
      <c r="D47" s="4" t="s">
        <v>2091</v>
      </c>
      <c r="E47" s="4" t="s">
        <v>127</v>
      </c>
    </row>
    <row r="48" spans="1:5" ht="31" customHeight="1">
      <c r="A48" s="4" t="s">
        <v>148</v>
      </c>
      <c r="B48" s="4" t="s">
        <v>110</v>
      </c>
      <c r="C48" s="4" t="s">
        <v>35</v>
      </c>
      <c r="D48" s="4" t="s">
        <v>2088</v>
      </c>
      <c r="E48" s="4" t="s">
        <v>127</v>
      </c>
    </row>
    <row r="49" spans="1:5" ht="31" customHeight="1">
      <c r="A49" s="4" t="s">
        <v>148</v>
      </c>
      <c r="B49" s="4" t="s">
        <v>110</v>
      </c>
      <c r="C49" s="4" t="s">
        <v>59</v>
      </c>
      <c r="D49" s="4" t="s">
        <v>2089</v>
      </c>
      <c r="E49" s="4" t="s">
        <v>127</v>
      </c>
    </row>
    <row r="50" spans="1:5" ht="31" customHeight="1">
      <c r="A50" s="4" t="s">
        <v>148</v>
      </c>
      <c r="B50" s="4" t="s">
        <v>110</v>
      </c>
      <c r="C50" s="4" t="s">
        <v>61</v>
      </c>
      <c r="D50" s="4" t="s">
        <v>2089</v>
      </c>
      <c r="E50" s="4" t="s">
        <v>127</v>
      </c>
    </row>
    <row r="51" spans="1:5" ht="31" customHeight="1">
      <c r="A51" s="4" t="s">
        <v>148</v>
      </c>
      <c r="B51" s="4" t="s">
        <v>110</v>
      </c>
      <c r="C51" s="4" t="s">
        <v>62</v>
      </c>
      <c r="D51" s="4" t="s">
        <v>2089</v>
      </c>
      <c r="E51" s="4" t="s">
        <v>127</v>
      </c>
    </row>
    <row r="52" spans="1:5" ht="31" customHeight="1">
      <c r="A52" s="4" t="s">
        <v>148</v>
      </c>
      <c r="B52" s="4" t="s">
        <v>110</v>
      </c>
      <c r="C52" s="4" t="s">
        <v>69</v>
      </c>
      <c r="D52" s="4" t="s">
        <v>2090</v>
      </c>
      <c r="E52" s="4" t="s">
        <v>127</v>
      </c>
    </row>
    <row r="53" spans="1:5" ht="31" customHeight="1">
      <c r="A53" s="4" t="s">
        <v>148</v>
      </c>
      <c r="B53" s="4" t="s">
        <v>110</v>
      </c>
      <c r="C53" s="4" t="s">
        <v>70</v>
      </c>
      <c r="D53" s="4" t="s">
        <v>2089</v>
      </c>
      <c r="E53" s="4" t="s">
        <v>127</v>
      </c>
    </row>
    <row r="54" spans="1:5" ht="31" customHeight="1">
      <c r="A54" s="4" t="s">
        <v>148</v>
      </c>
      <c r="B54" s="4" t="s">
        <v>110</v>
      </c>
      <c r="C54" s="4" t="s">
        <v>75</v>
      </c>
      <c r="D54" s="4" t="s">
        <v>2089</v>
      </c>
      <c r="E54" s="4" t="s">
        <v>127</v>
      </c>
    </row>
    <row r="55" spans="1:5" ht="31" customHeight="1">
      <c r="A55" s="4" t="s">
        <v>148</v>
      </c>
      <c r="B55" s="4" t="s">
        <v>110</v>
      </c>
      <c r="C55" s="4" t="s">
        <v>76</v>
      </c>
      <c r="D55" s="4" t="s">
        <v>2091</v>
      </c>
      <c r="E55" s="4" t="s">
        <v>127</v>
      </c>
    </row>
    <row r="56" spans="1:5" ht="31" customHeight="1">
      <c r="A56" s="4" t="s">
        <v>151</v>
      </c>
      <c r="B56" s="4" t="s">
        <v>110</v>
      </c>
      <c r="C56" s="4" t="s">
        <v>35</v>
      </c>
      <c r="D56" s="4" t="s">
        <v>2088</v>
      </c>
      <c r="E56" s="4" t="s">
        <v>127</v>
      </c>
    </row>
    <row r="57" spans="1:5" ht="31" customHeight="1">
      <c r="A57" s="4" t="s">
        <v>151</v>
      </c>
      <c r="B57" s="4" t="s">
        <v>110</v>
      </c>
      <c r="C57" s="4" t="s">
        <v>59</v>
      </c>
      <c r="D57" s="4" t="s">
        <v>2089</v>
      </c>
      <c r="E57" s="4" t="s">
        <v>127</v>
      </c>
    </row>
    <row r="58" spans="1:5" ht="31" customHeight="1">
      <c r="A58" s="4" t="s">
        <v>151</v>
      </c>
      <c r="B58" s="4" t="s">
        <v>110</v>
      </c>
      <c r="C58" s="4" t="s">
        <v>61</v>
      </c>
      <c r="D58" s="4" t="s">
        <v>2089</v>
      </c>
      <c r="E58" s="4" t="s">
        <v>127</v>
      </c>
    </row>
    <row r="59" spans="1:5" ht="31" customHeight="1">
      <c r="A59" s="4" t="s">
        <v>151</v>
      </c>
      <c r="B59" s="4" t="s">
        <v>110</v>
      </c>
      <c r="C59" s="4" t="s">
        <v>62</v>
      </c>
      <c r="D59" s="4" t="s">
        <v>2089</v>
      </c>
      <c r="E59" s="4" t="s">
        <v>127</v>
      </c>
    </row>
    <row r="60" spans="1:5" ht="31" customHeight="1">
      <c r="A60" s="4" t="s">
        <v>151</v>
      </c>
      <c r="B60" s="4" t="s">
        <v>110</v>
      </c>
      <c r="C60" s="4" t="s">
        <v>69</v>
      </c>
      <c r="D60" s="4" t="s">
        <v>2090</v>
      </c>
      <c r="E60" s="4" t="s">
        <v>127</v>
      </c>
    </row>
    <row r="61" spans="1:5" ht="31" customHeight="1">
      <c r="A61" s="4" t="s">
        <v>151</v>
      </c>
      <c r="B61" s="4" t="s">
        <v>110</v>
      </c>
      <c r="C61" s="4" t="s">
        <v>70</v>
      </c>
      <c r="D61" s="4" t="s">
        <v>2089</v>
      </c>
      <c r="E61" s="4" t="s">
        <v>127</v>
      </c>
    </row>
    <row r="62" spans="1:5" ht="31" customHeight="1">
      <c r="A62" s="4" t="s">
        <v>151</v>
      </c>
      <c r="B62" s="4" t="s">
        <v>110</v>
      </c>
      <c r="C62" s="4" t="s">
        <v>75</v>
      </c>
      <c r="D62" s="4" t="s">
        <v>2089</v>
      </c>
      <c r="E62" s="4" t="s">
        <v>127</v>
      </c>
    </row>
    <row r="63" spans="1:5" ht="31" customHeight="1">
      <c r="A63" s="4" t="s">
        <v>151</v>
      </c>
      <c r="B63" s="4" t="s">
        <v>110</v>
      </c>
      <c r="C63" s="4" t="s">
        <v>76</v>
      </c>
      <c r="D63" s="4" t="s">
        <v>2091</v>
      </c>
      <c r="E63" s="4" t="s">
        <v>127</v>
      </c>
    </row>
    <row r="64" spans="1:5" ht="31" customHeight="1">
      <c r="A64" s="4" t="s">
        <v>153</v>
      </c>
      <c r="B64" s="4" t="s">
        <v>110</v>
      </c>
      <c r="C64" s="4" t="s">
        <v>35</v>
      </c>
      <c r="D64" s="4" t="s">
        <v>2088</v>
      </c>
      <c r="E64" s="4" t="s">
        <v>127</v>
      </c>
    </row>
    <row r="65" spans="1:5" ht="31" customHeight="1">
      <c r="A65" s="4" t="s">
        <v>153</v>
      </c>
      <c r="B65" s="4" t="s">
        <v>110</v>
      </c>
      <c r="C65" s="4" t="s">
        <v>59</v>
      </c>
      <c r="D65" s="4" t="s">
        <v>2089</v>
      </c>
      <c r="E65" s="4" t="s">
        <v>127</v>
      </c>
    </row>
    <row r="66" spans="1:5" ht="31" customHeight="1">
      <c r="A66" s="4" t="s">
        <v>153</v>
      </c>
      <c r="B66" s="4" t="s">
        <v>110</v>
      </c>
      <c r="C66" s="4" t="s">
        <v>61</v>
      </c>
      <c r="D66" s="4" t="s">
        <v>2089</v>
      </c>
      <c r="E66" s="4" t="s">
        <v>127</v>
      </c>
    </row>
    <row r="67" spans="1:5" ht="31" customHeight="1">
      <c r="A67" s="4" t="s">
        <v>153</v>
      </c>
      <c r="B67" s="4" t="s">
        <v>110</v>
      </c>
      <c r="C67" s="4" t="s">
        <v>69</v>
      </c>
      <c r="D67" s="4" t="s">
        <v>2090</v>
      </c>
      <c r="E67" s="4" t="s">
        <v>127</v>
      </c>
    </row>
    <row r="68" spans="1:5" ht="31" customHeight="1">
      <c r="A68" s="4" t="s">
        <v>153</v>
      </c>
      <c r="B68" s="4" t="s">
        <v>110</v>
      </c>
      <c r="C68" s="4" t="s">
        <v>70</v>
      </c>
      <c r="D68" s="4" t="s">
        <v>2089</v>
      </c>
      <c r="E68" s="4" t="s">
        <v>127</v>
      </c>
    </row>
    <row r="69" spans="1:5" ht="31" customHeight="1">
      <c r="A69" s="4" t="s">
        <v>153</v>
      </c>
      <c r="B69" s="4" t="s">
        <v>110</v>
      </c>
      <c r="C69" s="4" t="s">
        <v>75</v>
      </c>
      <c r="D69" s="4" t="s">
        <v>2089</v>
      </c>
      <c r="E69" s="4" t="s">
        <v>127</v>
      </c>
    </row>
    <row r="70" spans="1:5" ht="31" customHeight="1">
      <c r="A70" s="4" t="s">
        <v>153</v>
      </c>
      <c r="B70" s="4" t="s">
        <v>110</v>
      </c>
      <c r="C70" s="4" t="s">
        <v>76</v>
      </c>
      <c r="D70" s="4" t="s">
        <v>2091</v>
      </c>
      <c r="E70" s="4" t="s">
        <v>127</v>
      </c>
    </row>
    <row r="71" spans="1:5" ht="31" customHeight="1">
      <c r="A71" s="4" t="s">
        <v>156</v>
      </c>
      <c r="B71" s="4" t="s">
        <v>157</v>
      </c>
      <c r="C71" s="4" t="s">
        <v>35</v>
      </c>
      <c r="D71" s="4" t="s">
        <v>2088</v>
      </c>
      <c r="E71" s="4" t="s">
        <v>166</v>
      </c>
    </row>
    <row r="72" spans="1:5" ht="31" customHeight="1">
      <c r="A72" s="4" t="s">
        <v>156</v>
      </c>
      <c r="B72" s="4" t="s">
        <v>157</v>
      </c>
      <c r="C72" s="4" t="s">
        <v>37</v>
      </c>
      <c r="D72" s="4" t="s">
        <v>2089</v>
      </c>
      <c r="E72" s="4" t="s">
        <v>166</v>
      </c>
    </row>
    <row r="73" spans="1:5" ht="31" customHeight="1">
      <c r="A73" s="4" t="s">
        <v>156</v>
      </c>
      <c r="B73" s="4" t="s">
        <v>157</v>
      </c>
      <c r="C73" s="4" t="s">
        <v>38</v>
      </c>
      <c r="D73" s="4" t="s">
        <v>2089</v>
      </c>
      <c r="E73" s="4" t="s">
        <v>166</v>
      </c>
    </row>
    <row r="74" spans="1:5" ht="31" customHeight="1">
      <c r="A74" s="4" t="s">
        <v>156</v>
      </c>
      <c r="B74" s="4" t="s">
        <v>157</v>
      </c>
      <c r="C74" s="4" t="s">
        <v>56</v>
      </c>
      <c r="D74" s="4" t="s">
        <v>2089</v>
      </c>
      <c r="E74" s="4" t="s">
        <v>166</v>
      </c>
    </row>
    <row r="75" spans="1:5" ht="31" customHeight="1">
      <c r="A75" s="4" t="s">
        <v>156</v>
      </c>
      <c r="B75" s="4" t="s">
        <v>157</v>
      </c>
      <c r="C75" s="4" t="s">
        <v>57</v>
      </c>
      <c r="D75" s="4" t="s">
        <v>2092</v>
      </c>
      <c r="E75" s="4" t="s">
        <v>166</v>
      </c>
    </row>
    <row r="76" spans="1:5" ht="31" customHeight="1">
      <c r="A76" s="4" t="s">
        <v>156</v>
      </c>
      <c r="B76" s="4" t="s">
        <v>157</v>
      </c>
      <c r="C76" s="4" t="s">
        <v>58</v>
      </c>
      <c r="D76" s="4" t="s">
        <v>2092</v>
      </c>
      <c r="E76" s="4" t="s">
        <v>166</v>
      </c>
    </row>
    <row r="77" spans="1:5" ht="31" customHeight="1">
      <c r="A77" s="4" t="s">
        <v>156</v>
      </c>
      <c r="B77" s="4" t="s">
        <v>157</v>
      </c>
      <c r="C77" s="4" t="s">
        <v>60</v>
      </c>
      <c r="D77" s="4" t="s">
        <v>2089</v>
      </c>
      <c r="E77" s="4" t="s">
        <v>166</v>
      </c>
    </row>
    <row r="78" spans="1:5" ht="31" customHeight="1">
      <c r="A78" s="4" t="s">
        <v>156</v>
      </c>
      <c r="B78" s="4" t="s">
        <v>157</v>
      </c>
      <c r="C78" s="4" t="s">
        <v>61</v>
      </c>
      <c r="D78" s="4" t="s">
        <v>2089</v>
      </c>
      <c r="E78" s="4" t="s">
        <v>166</v>
      </c>
    </row>
    <row r="79" spans="1:5" ht="31" customHeight="1">
      <c r="A79" s="4" t="s">
        <v>156</v>
      </c>
      <c r="B79" s="4" t="s">
        <v>157</v>
      </c>
      <c r="C79" s="4" t="s">
        <v>62</v>
      </c>
      <c r="D79" s="4" t="s">
        <v>2089</v>
      </c>
      <c r="E79" s="4" t="s">
        <v>166</v>
      </c>
    </row>
    <row r="80" spans="1:5" ht="31" customHeight="1">
      <c r="A80" s="4" t="s">
        <v>156</v>
      </c>
      <c r="B80" s="4" t="s">
        <v>157</v>
      </c>
      <c r="C80" s="4" t="s">
        <v>63</v>
      </c>
      <c r="D80" s="4" t="s">
        <v>2089</v>
      </c>
      <c r="E80" s="4" t="s">
        <v>166</v>
      </c>
    </row>
    <row r="81" spans="1:5" ht="31" customHeight="1">
      <c r="A81" s="4" t="s">
        <v>156</v>
      </c>
      <c r="B81" s="4" t="s">
        <v>157</v>
      </c>
      <c r="C81" s="4" t="s">
        <v>64</v>
      </c>
      <c r="D81" s="4" t="s">
        <v>2089</v>
      </c>
      <c r="E81" s="4" t="s">
        <v>166</v>
      </c>
    </row>
    <row r="82" spans="1:5" ht="31" customHeight="1">
      <c r="A82" s="4" t="s">
        <v>156</v>
      </c>
      <c r="B82" s="4" t="s">
        <v>157</v>
      </c>
      <c r="C82" s="4" t="s">
        <v>65</v>
      </c>
      <c r="D82" s="4" t="s">
        <v>2089</v>
      </c>
      <c r="E82" s="4" t="s">
        <v>166</v>
      </c>
    </row>
    <row r="83" spans="1:5" ht="31" customHeight="1">
      <c r="A83" s="4" t="s">
        <v>156</v>
      </c>
      <c r="B83" s="4" t="s">
        <v>157</v>
      </c>
      <c r="C83" s="4" t="s">
        <v>66</v>
      </c>
      <c r="D83" s="4" t="s">
        <v>2093</v>
      </c>
      <c r="E83" s="4" t="s">
        <v>166</v>
      </c>
    </row>
    <row r="84" spans="1:5" ht="31" customHeight="1">
      <c r="A84" s="4" t="s">
        <v>156</v>
      </c>
      <c r="B84" s="4" t="s">
        <v>157</v>
      </c>
      <c r="C84" s="4" t="s">
        <v>67</v>
      </c>
      <c r="D84" s="4" t="s">
        <v>2089</v>
      </c>
      <c r="E84" s="4" t="s">
        <v>166</v>
      </c>
    </row>
    <row r="85" spans="1:5" ht="31" customHeight="1">
      <c r="A85" s="4" t="s">
        <v>156</v>
      </c>
      <c r="B85" s="4" t="s">
        <v>157</v>
      </c>
      <c r="C85" s="4" t="s">
        <v>68</v>
      </c>
      <c r="D85" s="4" t="s">
        <v>2089</v>
      </c>
      <c r="E85" s="4" t="s">
        <v>166</v>
      </c>
    </row>
    <row r="86" spans="1:5" ht="31" customHeight="1">
      <c r="A86" s="4" t="s">
        <v>156</v>
      </c>
      <c r="B86" s="4" t="s">
        <v>157</v>
      </c>
      <c r="C86" s="4" t="s">
        <v>69</v>
      </c>
      <c r="D86" s="4" t="s">
        <v>2090</v>
      </c>
      <c r="E86" s="4" t="s">
        <v>166</v>
      </c>
    </row>
    <row r="87" spans="1:5" ht="31" customHeight="1">
      <c r="A87" s="4" t="s">
        <v>156</v>
      </c>
      <c r="B87" s="4" t="s">
        <v>157</v>
      </c>
      <c r="C87" s="4" t="s">
        <v>70</v>
      </c>
      <c r="D87" s="4" t="s">
        <v>2089</v>
      </c>
      <c r="E87" s="4" t="s">
        <v>166</v>
      </c>
    </row>
    <row r="88" spans="1:5" ht="31" customHeight="1">
      <c r="A88" s="4" t="s">
        <v>156</v>
      </c>
      <c r="B88" s="4" t="s">
        <v>157</v>
      </c>
      <c r="C88" s="4" t="s">
        <v>71</v>
      </c>
      <c r="D88" s="4" t="s">
        <v>2089</v>
      </c>
      <c r="E88" s="4" t="s">
        <v>166</v>
      </c>
    </row>
    <row r="89" spans="1:5" ht="31" customHeight="1">
      <c r="A89" s="4" t="s">
        <v>156</v>
      </c>
      <c r="B89" s="4" t="s">
        <v>157</v>
      </c>
      <c r="C89" s="4" t="s">
        <v>73</v>
      </c>
      <c r="D89" s="4" t="s">
        <v>2089</v>
      </c>
      <c r="E89" s="4" t="s">
        <v>166</v>
      </c>
    </row>
    <row r="90" spans="1:5" ht="31" customHeight="1">
      <c r="A90" s="4" t="s">
        <v>156</v>
      </c>
      <c r="B90" s="4" t="s">
        <v>157</v>
      </c>
      <c r="C90" s="4" t="s">
        <v>75</v>
      </c>
      <c r="D90" s="4" t="s">
        <v>2089</v>
      </c>
      <c r="E90" s="4" t="s">
        <v>166</v>
      </c>
    </row>
    <row r="91" spans="1:5" ht="31" customHeight="1">
      <c r="A91" s="4" t="s">
        <v>156</v>
      </c>
      <c r="B91" s="4" t="s">
        <v>157</v>
      </c>
      <c r="C91" s="4" t="s">
        <v>76</v>
      </c>
      <c r="D91" s="4" t="s">
        <v>2091</v>
      </c>
      <c r="E91" s="4" t="s">
        <v>166</v>
      </c>
    </row>
    <row r="92" spans="1:5" ht="31" customHeight="1">
      <c r="A92" s="4" t="s">
        <v>168</v>
      </c>
      <c r="B92" s="4" t="s">
        <v>157</v>
      </c>
      <c r="C92" s="4" t="s">
        <v>35</v>
      </c>
      <c r="D92" s="4" t="s">
        <v>2088</v>
      </c>
      <c r="E92" s="4" t="s">
        <v>166</v>
      </c>
    </row>
    <row r="93" spans="1:5" ht="31" customHeight="1">
      <c r="A93" s="4" t="s">
        <v>168</v>
      </c>
      <c r="B93" s="4" t="s">
        <v>157</v>
      </c>
      <c r="C93" s="4" t="s">
        <v>37</v>
      </c>
      <c r="D93" s="4" t="s">
        <v>2089</v>
      </c>
      <c r="E93" s="4" t="s">
        <v>166</v>
      </c>
    </row>
    <row r="94" spans="1:5" ht="31" customHeight="1">
      <c r="A94" s="4" t="s">
        <v>168</v>
      </c>
      <c r="B94" s="4" t="s">
        <v>157</v>
      </c>
      <c r="C94" s="4" t="s">
        <v>38</v>
      </c>
      <c r="D94" s="4" t="s">
        <v>2089</v>
      </c>
      <c r="E94" s="4" t="s">
        <v>166</v>
      </c>
    </row>
    <row r="95" spans="1:5" ht="31" customHeight="1">
      <c r="A95" s="4" t="s">
        <v>168</v>
      </c>
      <c r="B95" s="4" t="s">
        <v>157</v>
      </c>
      <c r="C95" s="4" t="s">
        <v>56</v>
      </c>
      <c r="D95" s="4" t="s">
        <v>2089</v>
      </c>
      <c r="E95" s="4" t="s">
        <v>166</v>
      </c>
    </row>
    <row r="96" spans="1:5" ht="31" customHeight="1">
      <c r="A96" s="4" t="s">
        <v>168</v>
      </c>
      <c r="B96" s="4" t="s">
        <v>157</v>
      </c>
      <c r="C96" s="4" t="s">
        <v>57</v>
      </c>
      <c r="D96" s="4" t="s">
        <v>2092</v>
      </c>
      <c r="E96" s="4" t="s">
        <v>166</v>
      </c>
    </row>
    <row r="97" spans="1:5" ht="31" customHeight="1">
      <c r="A97" s="4" t="s">
        <v>168</v>
      </c>
      <c r="B97" s="4" t="s">
        <v>157</v>
      </c>
      <c r="C97" s="4" t="s">
        <v>58</v>
      </c>
      <c r="D97" s="4" t="s">
        <v>2092</v>
      </c>
      <c r="E97" s="4" t="s">
        <v>166</v>
      </c>
    </row>
    <row r="98" spans="1:5" ht="31" customHeight="1">
      <c r="A98" s="4" t="s">
        <v>168</v>
      </c>
      <c r="B98" s="4" t="s">
        <v>157</v>
      </c>
      <c r="C98" s="4" t="s">
        <v>61</v>
      </c>
      <c r="D98" s="4" t="s">
        <v>2089</v>
      </c>
      <c r="E98" s="4" t="s">
        <v>166</v>
      </c>
    </row>
    <row r="99" spans="1:5" ht="31" customHeight="1">
      <c r="A99" s="4" t="s">
        <v>168</v>
      </c>
      <c r="B99" s="4" t="s">
        <v>157</v>
      </c>
      <c r="C99" s="4" t="s">
        <v>62</v>
      </c>
      <c r="D99" s="4" t="s">
        <v>2089</v>
      </c>
      <c r="E99" s="4" t="s">
        <v>166</v>
      </c>
    </row>
    <row r="100" spans="1:5" ht="31" customHeight="1">
      <c r="A100" s="4" t="s">
        <v>168</v>
      </c>
      <c r="B100" s="4" t="s">
        <v>157</v>
      </c>
      <c r="C100" s="4" t="s">
        <v>63</v>
      </c>
      <c r="D100" s="4" t="s">
        <v>2089</v>
      </c>
      <c r="E100" s="4" t="s">
        <v>166</v>
      </c>
    </row>
    <row r="101" spans="1:5" ht="31" customHeight="1">
      <c r="A101" s="4" t="s">
        <v>168</v>
      </c>
      <c r="B101" s="4" t="s">
        <v>157</v>
      </c>
      <c r="C101" s="4" t="s">
        <v>64</v>
      </c>
      <c r="D101" s="4" t="s">
        <v>2089</v>
      </c>
      <c r="E101" s="4" t="s">
        <v>166</v>
      </c>
    </row>
    <row r="102" spans="1:5" ht="31" customHeight="1">
      <c r="A102" s="4" t="s">
        <v>168</v>
      </c>
      <c r="B102" s="4" t="s">
        <v>157</v>
      </c>
      <c r="C102" s="4" t="s">
        <v>65</v>
      </c>
      <c r="D102" s="4" t="s">
        <v>2089</v>
      </c>
      <c r="E102" s="4" t="s">
        <v>166</v>
      </c>
    </row>
    <row r="103" spans="1:5" ht="31" customHeight="1">
      <c r="A103" s="4" t="s">
        <v>168</v>
      </c>
      <c r="B103" s="4" t="s">
        <v>157</v>
      </c>
      <c r="C103" s="4" t="s">
        <v>66</v>
      </c>
      <c r="D103" s="4" t="s">
        <v>2093</v>
      </c>
      <c r="E103" s="4" t="s">
        <v>166</v>
      </c>
    </row>
    <row r="104" spans="1:5" ht="31" customHeight="1">
      <c r="A104" s="4" t="s">
        <v>168</v>
      </c>
      <c r="B104" s="4" t="s">
        <v>157</v>
      </c>
      <c r="C104" s="4" t="s">
        <v>67</v>
      </c>
      <c r="D104" s="4" t="s">
        <v>2089</v>
      </c>
      <c r="E104" s="4" t="s">
        <v>166</v>
      </c>
    </row>
    <row r="105" spans="1:5" ht="31" customHeight="1">
      <c r="A105" s="4" t="s">
        <v>168</v>
      </c>
      <c r="B105" s="4" t="s">
        <v>157</v>
      </c>
      <c r="C105" s="4" t="s">
        <v>68</v>
      </c>
      <c r="D105" s="4" t="s">
        <v>2089</v>
      </c>
      <c r="E105" s="4" t="s">
        <v>166</v>
      </c>
    </row>
    <row r="106" spans="1:5" ht="31" customHeight="1">
      <c r="A106" s="4" t="s">
        <v>168</v>
      </c>
      <c r="B106" s="4" t="s">
        <v>157</v>
      </c>
      <c r="C106" s="4" t="s">
        <v>69</v>
      </c>
      <c r="D106" s="4" t="s">
        <v>2090</v>
      </c>
      <c r="E106" s="4" t="s">
        <v>166</v>
      </c>
    </row>
    <row r="107" spans="1:5" ht="31" customHeight="1">
      <c r="A107" s="4" t="s">
        <v>168</v>
      </c>
      <c r="B107" s="4" t="s">
        <v>157</v>
      </c>
      <c r="C107" s="4" t="s">
        <v>70</v>
      </c>
      <c r="D107" s="4" t="s">
        <v>2089</v>
      </c>
      <c r="E107" s="4" t="s">
        <v>166</v>
      </c>
    </row>
    <row r="108" spans="1:5" ht="31" customHeight="1">
      <c r="A108" s="4" t="s">
        <v>168</v>
      </c>
      <c r="B108" s="4" t="s">
        <v>157</v>
      </c>
      <c r="C108" s="4" t="s">
        <v>71</v>
      </c>
      <c r="D108" s="4" t="s">
        <v>2089</v>
      </c>
      <c r="E108" s="4" t="s">
        <v>166</v>
      </c>
    </row>
    <row r="109" spans="1:5" ht="31" customHeight="1">
      <c r="A109" s="4" t="s">
        <v>168</v>
      </c>
      <c r="B109" s="4" t="s">
        <v>157</v>
      </c>
      <c r="C109" s="4" t="s">
        <v>73</v>
      </c>
      <c r="D109" s="4" t="s">
        <v>2089</v>
      </c>
      <c r="E109" s="4" t="s">
        <v>166</v>
      </c>
    </row>
    <row r="110" spans="1:5" ht="31" customHeight="1">
      <c r="A110" s="4" t="s">
        <v>168</v>
      </c>
      <c r="B110" s="4" t="s">
        <v>157</v>
      </c>
      <c r="C110" s="4" t="s">
        <v>75</v>
      </c>
      <c r="D110" s="4" t="s">
        <v>2089</v>
      </c>
      <c r="E110" s="4" t="s">
        <v>166</v>
      </c>
    </row>
    <row r="111" spans="1:5" ht="31" customHeight="1">
      <c r="A111" s="4" t="s">
        <v>168</v>
      </c>
      <c r="B111" s="4" t="s">
        <v>157</v>
      </c>
      <c r="C111" s="4" t="s">
        <v>76</v>
      </c>
      <c r="D111" s="4" t="s">
        <v>2091</v>
      </c>
      <c r="E111" s="4" t="s">
        <v>166</v>
      </c>
    </row>
    <row r="112" spans="1:5" ht="31" customHeight="1">
      <c r="A112" s="4" t="s">
        <v>172</v>
      </c>
      <c r="B112" s="4" t="s">
        <v>157</v>
      </c>
      <c r="C112" s="4" t="s">
        <v>35</v>
      </c>
      <c r="D112" s="4" t="s">
        <v>2088</v>
      </c>
      <c r="E112" s="4" t="s">
        <v>166</v>
      </c>
    </row>
    <row r="113" spans="1:5" ht="31" customHeight="1">
      <c r="A113" s="4" t="s">
        <v>172</v>
      </c>
      <c r="B113" s="4" t="s">
        <v>157</v>
      </c>
      <c r="C113" s="4" t="s">
        <v>37</v>
      </c>
      <c r="D113" s="4" t="s">
        <v>2089</v>
      </c>
      <c r="E113" s="4" t="s">
        <v>166</v>
      </c>
    </row>
    <row r="114" spans="1:5" ht="31" customHeight="1">
      <c r="A114" s="4" t="s">
        <v>172</v>
      </c>
      <c r="B114" s="4" t="s">
        <v>157</v>
      </c>
      <c r="C114" s="4" t="s">
        <v>38</v>
      </c>
      <c r="D114" s="4" t="s">
        <v>2089</v>
      </c>
      <c r="E114" s="4" t="s">
        <v>166</v>
      </c>
    </row>
    <row r="115" spans="1:5" ht="31" customHeight="1">
      <c r="A115" s="4" t="s">
        <v>172</v>
      </c>
      <c r="B115" s="4" t="s">
        <v>157</v>
      </c>
      <c r="C115" s="4" t="s">
        <v>56</v>
      </c>
      <c r="D115" s="4" t="s">
        <v>2089</v>
      </c>
      <c r="E115" s="4" t="s">
        <v>166</v>
      </c>
    </row>
    <row r="116" spans="1:5" ht="31" customHeight="1">
      <c r="A116" s="4" t="s">
        <v>172</v>
      </c>
      <c r="B116" s="4" t="s">
        <v>157</v>
      </c>
      <c r="C116" s="4" t="s">
        <v>57</v>
      </c>
      <c r="D116" s="4" t="s">
        <v>2092</v>
      </c>
      <c r="E116" s="4" t="s">
        <v>166</v>
      </c>
    </row>
    <row r="117" spans="1:5" ht="31" customHeight="1">
      <c r="A117" s="4" t="s">
        <v>172</v>
      </c>
      <c r="B117" s="4" t="s">
        <v>157</v>
      </c>
      <c r="C117" s="4" t="s">
        <v>58</v>
      </c>
      <c r="D117" s="4" t="s">
        <v>2092</v>
      </c>
      <c r="E117" s="4" t="s">
        <v>166</v>
      </c>
    </row>
    <row r="118" spans="1:5" ht="31" customHeight="1">
      <c r="A118" s="4" t="s">
        <v>172</v>
      </c>
      <c r="B118" s="4" t="s">
        <v>157</v>
      </c>
      <c r="C118" s="4" t="s">
        <v>61</v>
      </c>
      <c r="D118" s="4" t="s">
        <v>2089</v>
      </c>
      <c r="E118" s="4" t="s">
        <v>166</v>
      </c>
    </row>
    <row r="119" spans="1:5" ht="31" customHeight="1">
      <c r="A119" s="4" t="s">
        <v>172</v>
      </c>
      <c r="B119" s="4" t="s">
        <v>157</v>
      </c>
      <c r="C119" s="4" t="s">
        <v>63</v>
      </c>
      <c r="D119" s="4" t="s">
        <v>2089</v>
      </c>
      <c r="E119" s="4" t="s">
        <v>166</v>
      </c>
    </row>
    <row r="120" spans="1:5" ht="31" customHeight="1">
      <c r="A120" s="4" t="s">
        <v>172</v>
      </c>
      <c r="B120" s="4" t="s">
        <v>157</v>
      </c>
      <c r="C120" s="4" t="s">
        <v>64</v>
      </c>
      <c r="D120" s="4" t="s">
        <v>2089</v>
      </c>
      <c r="E120" s="4" t="s">
        <v>166</v>
      </c>
    </row>
    <row r="121" spans="1:5" ht="31" customHeight="1">
      <c r="A121" s="4" t="s">
        <v>172</v>
      </c>
      <c r="B121" s="4" t="s">
        <v>157</v>
      </c>
      <c r="C121" s="4" t="s">
        <v>65</v>
      </c>
      <c r="D121" s="4" t="s">
        <v>2089</v>
      </c>
      <c r="E121" s="4" t="s">
        <v>166</v>
      </c>
    </row>
    <row r="122" spans="1:5" ht="31" customHeight="1">
      <c r="A122" s="4" t="s">
        <v>172</v>
      </c>
      <c r="B122" s="4" t="s">
        <v>157</v>
      </c>
      <c r="C122" s="4" t="s">
        <v>66</v>
      </c>
      <c r="D122" s="4" t="s">
        <v>2093</v>
      </c>
      <c r="E122" s="4" t="s">
        <v>166</v>
      </c>
    </row>
    <row r="123" spans="1:5" ht="31" customHeight="1">
      <c r="A123" s="4" t="s">
        <v>172</v>
      </c>
      <c r="B123" s="4" t="s">
        <v>157</v>
      </c>
      <c r="C123" s="4" t="s">
        <v>67</v>
      </c>
      <c r="D123" s="4" t="s">
        <v>2089</v>
      </c>
      <c r="E123" s="4" t="s">
        <v>166</v>
      </c>
    </row>
    <row r="124" spans="1:5" ht="31" customHeight="1">
      <c r="A124" s="4" t="s">
        <v>172</v>
      </c>
      <c r="B124" s="4" t="s">
        <v>157</v>
      </c>
      <c r="C124" s="4" t="s">
        <v>68</v>
      </c>
      <c r="D124" s="4" t="s">
        <v>2089</v>
      </c>
      <c r="E124" s="4" t="s">
        <v>166</v>
      </c>
    </row>
    <row r="125" spans="1:5" ht="31" customHeight="1">
      <c r="A125" s="4" t="s">
        <v>172</v>
      </c>
      <c r="B125" s="4" t="s">
        <v>157</v>
      </c>
      <c r="C125" s="4" t="s">
        <v>69</v>
      </c>
      <c r="D125" s="4" t="s">
        <v>2090</v>
      </c>
      <c r="E125" s="4" t="s">
        <v>166</v>
      </c>
    </row>
    <row r="126" spans="1:5" ht="31" customHeight="1">
      <c r="A126" s="4" t="s">
        <v>172</v>
      </c>
      <c r="B126" s="4" t="s">
        <v>157</v>
      </c>
      <c r="C126" s="4" t="s">
        <v>70</v>
      </c>
      <c r="D126" s="4" t="s">
        <v>2089</v>
      </c>
      <c r="E126" s="4" t="s">
        <v>166</v>
      </c>
    </row>
    <row r="127" spans="1:5" ht="31" customHeight="1">
      <c r="A127" s="4" t="s">
        <v>172</v>
      </c>
      <c r="B127" s="4" t="s">
        <v>157</v>
      </c>
      <c r="C127" s="4" t="s">
        <v>71</v>
      </c>
      <c r="D127" s="4" t="s">
        <v>2089</v>
      </c>
      <c r="E127" s="4" t="s">
        <v>166</v>
      </c>
    </row>
    <row r="128" spans="1:5" ht="31" customHeight="1">
      <c r="A128" s="4" t="s">
        <v>172</v>
      </c>
      <c r="B128" s="4" t="s">
        <v>157</v>
      </c>
      <c r="C128" s="4" t="s">
        <v>73</v>
      </c>
      <c r="D128" s="4" t="s">
        <v>2089</v>
      </c>
      <c r="E128" s="4" t="s">
        <v>166</v>
      </c>
    </row>
    <row r="129" spans="1:5" ht="31" customHeight="1">
      <c r="A129" s="4" t="s">
        <v>172</v>
      </c>
      <c r="B129" s="4" t="s">
        <v>157</v>
      </c>
      <c r="C129" s="4" t="s">
        <v>75</v>
      </c>
      <c r="D129" s="4" t="s">
        <v>2089</v>
      </c>
      <c r="E129" s="4" t="s">
        <v>166</v>
      </c>
    </row>
    <row r="130" spans="1:5" ht="31" customHeight="1">
      <c r="A130" s="4" t="s">
        <v>172</v>
      </c>
      <c r="B130" s="4" t="s">
        <v>157</v>
      </c>
      <c r="C130" s="4" t="s">
        <v>76</v>
      </c>
      <c r="D130" s="4" t="s">
        <v>2091</v>
      </c>
      <c r="E130" s="4" t="s">
        <v>166</v>
      </c>
    </row>
    <row r="131" spans="1:5" ht="31" customHeight="1">
      <c r="A131" s="4" t="s">
        <v>177</v>
      </c>
      <c r="B131" s="4" t="s">
        <v>157</v>
      </c>
      <c r="C131" s="4" t="s">
        <v>35</v>
      </c>
      <c r="D131" s="4" t="s">
        <v>2088</v>
      </c>
      <c r="E131" s="4" t="s">
        <v>166</v>
      </c>
    </row>
    <row r="132" spans="1:5" ht="31" customHeight="1">
      <c r="A132" s="4" t="s">
        <v>177</v>
      </c>
      <c r="B132" s="4" t="s">
        <v>157</v>
      </c>
      <c r="C132" s="4" t="s">
        <v>37</v>
      </c>
      <c r="D132" s="4" t="s">
        <v>2089</v>
      </c>
      <c r="E132" s="4" t="s">
        <v>166</v>
      </c>
    </row>
    <row r="133" spans="1:5" ht="31" customHeight="1">
      <c r="A133" s="4" t="s">
        <v>177</v>
      </c>
      <c r="B133" s="4" t="s">
        <v>157</v>
      </c>
      <c r="C133" s="4" t="s">
        <v>38</v>
      </c>
      <c r="D133" s="4" t="s">
        <v>2089</v>
      </c>
      <c r="E133" s="4" t="s">
        <v>166</v>
      </c>
    </row>
    <row r="134" spans="1:5" ht="31" customHeight="1">
      <c r="A134" s="4" t="s">
        <v>177</v>
      </c>
      <c r="B134" s="4" t="s">
        <v>157</v>
      </c>
      <c r="C134" s="4" t="s">
        <v>56</v>
      </c>
      <c r="D134" s="4" t="s">
        <v>2089</v>
      </c>
      <c r="E134" s="4" t="s">
        <v>166</v>
      </c>
    </row>
    <row r="135" spans="1:5" ht="31" customHeight="1">
      <c r="A135" s="4" t="s">
        <v>177</v>
      </c>
      <c r="B135" s="4" t="s">
        <v>157</v>
      </c>
      <c r="C135" s="4" t="s">
        <v>57</v>
      </c>
      <c r="D135" s="4" t="s">
        <v>2092</v>
      </c>
      <c r="E135" s="4" t="s">
        <v>166</v>
      </c>
    </row>
    <row r="136" spans="1:5" ht="31" customHeight="1">
      <c r="A136" s="4" t="s">
        <v>177</v>
      </c>
      <c r="B136" s="4" t="s">
        <v>157</v>
      </c>
      <c r="C136" s="4" t="s">
        <v>58</v>
      </c>
      <c r="D136" s="4" t="s">
        <v>2092</v>
      </c>
      <c r="E136" s="4" t="s">
        <v>166</v>
      </c>
    </row>
    <row r="137" spans="1:5" ht="31" customHeight="1">
      <c r="A137" s="4" t="s">
        <v>177</v>
      </c>
      <c r="B137" s="4" t="s">
        <v>157</v>
      </c>
      <c r="C137" s="4" t="s">
        <v>60</v>
      </c>
      <c r="D137" s="4" t="s">
        <v>2089</v>
      </c>
      <c r="E137" s="4" t="s">
        <v>166</v>
      </c>
    </row>
    <row r="138" spans="1:5" ht="31" customHeight="1">
      <c r="A138" s="4" t="s">
        <v>177</v>
      </c>
      <c r="B138" s="4" t="s">
        <v>157</v>
      </c>
      <c r="C138" s="4" t="s">
        <v>61</v>
      </c>
      <c r="D138" s="4" t="s">
        <v>2089</v>
      </c>
      <c r="E138" s="4" t="s">
        <v>166</v>
      </c>
    </row>
    <row r="139" spans="1:5" ht="31" customHeight="1">
      <c r="A139" s="4" t="s">
        <v>177</v>
      </c>
      <c r="B139" s="4" t="s">
        <v>157</v>
      </c>
      <c r="C139" s="4" t="s">
        <v>62</v>
      </c>
      <c r="D139" s="4" t="s">
        <v>2089</v>
      </c>
      <c r="E139" s="4" t="s">
        <v>166</v>
      </c>
    </row>
    <row r="140" spans="1:5" ht="31" customHeight="1">
      <c r="A140" s="4" t="s">
        <v>177</v>
      </c>
      <c r="B140" s="4" t="s">
        <v>157</v>
      </c>
      <c r="C140" s="4" t="s">
        <v>63</v>
      </c>
      <c r="D140" s="4" t="s">
        <v>2089</v>
      </c>
      <c r="E140" s="4" t="s">
        <v>166</v>
      </c>
    </row>
    <row r="141" spans="1:5" ht="31" customHeight="1">
      <c r="A141" s="4" t="s">
        <v>177</v>
      </c>
      <c r="B141" s="4" t="s">
        <v>157</v>
      </c>
      <c r="C141" s="4" t="s">
        <v>64</v>
      </c>
      <c r="D141" s="4" t="s">
        <v>2089</v>
      </c>
      <c r="E141" s="4" t="s">
        <v>166</v>
      </c>
    </row>
    <row r="142" spans="1:5" ht="31" customHeight="1">
      <c r="A142" s="4" t="s">
        <v>177</v>
      </c>
      <c r="B142" s="4" t="s">
        <v>157</v>
      </c>
      <c r="C142" s="4" t="s">
        <v>65</v>
      </c>
      <c r="D142" s="4" t="s">
        <v>2089</v>
      </c>
      <c r="E142" s="4" t="s">
        <v>166</v>
      </c>
    </row>
    <row r="143" spans="1:5" ht="31" customHeight="1">
      <c r="A143" s="4" t="s">
        <v>177</v>
      </c>
      <c r="B143" s="4" t="s">
        <v>157</v>
      </c>
      <c r="C143" s="4" t="s">
        <v>66</v>
      </c>
      <c r="D143" s="4" t="s">
        <v>2093</v>
      </c>
      <c r="E143" s="4" t="s">
        <v>166</v>
      </c>
    </row>
    <row r="144" spans="1:5" ht="31" customHeight="1">
      <c r="A144" s="4" t="s">
        <v>177</v>
      </c>
      <c r="B144" s="4" t="s">
        <v>157</v>
      </c>
      <c r="C144" s="4" t="s">
        <v>67</v>
      </c>
      <c r="D144" s="4" t="s">
        <v>2089</v>
      </c>
      <c r="E144" s="4" t="s">
        <v>166</v>
      </c>
    </row>
    <row r="145" spans="1:5" ht="31" customHeight="1">
      <c r="A145" s="4" t="s">
        <v>177</v>
      </c>
      <c r="B145" s="4" t="s">
        <v>157</v>
      </c>
      <c r="C145" s="4" t="s">
        <v>68</v>
      </c>
      <c r="D145" s="4" t="s">
        <v>2089</v>
      </c>
      <c r="E145" s="4" t="s">
        <v>166</v>
      </c>
    </row>
    <row r="146" spans="1:5" ht="31" customHeight="1">
      <c r="A146" s="4" t="s">
        <v>177</v>
      </c>
      <c r="B146" s="4" t="s">
        <v>157</v>
      </c>
      <c r="C146" s="4" t="s">
        <v>69</v>
      </c>
      <c r="D146" s="4" t="s">
        <v>2090</v>
      </c>
      <c r="E146" s="4" t="s">
        <v>166</v>
      </c>
    </row>
    <row r="147" spans="1:5" ht="31" customHeight="1">
      <c r="A147" s="4" t="s">
        <v>177</v>
      </c>
      <c r="B147" s="4" t="s">
        <v>157</v>
      </c>
      <c r="C147" s="4" t="s">
        <v>70</v>
      </c>
      <c r="D147" s="4" t="s">
        <v>2089</v>
      </c>
      <c r="E147" s="4" t="s">
        <v>166</v>
      </c>
    </row>
    <row r="148" spans="1:5" ht="31" customHeight="1">
      <c r="A148" s="4" t="s">
        <v>177</v>
      </c>
      <c r="B148" s="4" t="s">
        <v>157</v>
      </c>
      <c r="C148" s="4" t="s">
        <v>71</v>
      </c>
      <c r="D148" s="4" t="s">
        <v>2089</v>
      </c>
      <c r="E148" s="4" t="s">
        <v>166</v>
      </c>
    </row>
    <row r="149" spans="1:5" ht="31" customHeight="1">
      <c r="A149" s="4" t="s">
        <v>177</v>
      </c>
      <c r="B149" s="4" t="s">
        <v>157</v>
      </c>
      <c r="C149" s="4" t="s">
        <v>73</v>
      </c>
      <c r="D149" s="4" t="s">
        <v>2089</v>
      </c>
      <c r="E149" s="4" t="s">
        <v>166</v>
      </c>
    </row>
    <row r="150" spans="1:5" ht="31" customHeight="1">
      <c r="A150" s="4" t="s">
        <v>177</v>
      </c>
      <c r="B150" s="4" t="s">
        <v>157</v>
      </c>
      <c r="C150" s="4" t="s">
        <v>75</v>
      </c>
      <c r="D150" s="4" t="s">
        <v>2089</v>
      </c>
      <c r="E150" s="4" t="s">
        <v>166</v>
      </c>
    </row>
    <row r="151" spans="1:5" ht="31" customHeight="1">
      <c r="A151" s="4" t="s">
        <v>177</v>
      </c>
      <c r="B151" s="4" t="s">
        <v>157</v>
      </c>
      <c r="C151" s="4" t="s">
        <v>76</v>
      </c>
      <c r="D151" s="4" t="s">
        <v>2091</v>
      </c>
      <c r="E151" s="4" t="s">
        <v>166</v>
      </c>
    </row>
    <row r="152" spans="1:5" ht="31" customHeight="1">
      <c r="A152" s="4" t="s">
        <v>181</v>
      </c>
      <c r="B152" s="4" t="s">
        <v>157</v>
      </c>
      <c r="C152" s="4" t="s">
        <v>35</v>
      </c>
      <c r="D152" s="4" t="s">
        <v>2088</v>
      </c>
      <c r="E152" s="4" t="s">
        <v>166</v>
      </c>
    </row>
    <row r="153" spans="1:5" ht="31" customHeight="1">
      <c r="A153" s="4" t="s">
        <v>181</v>
      </c>
      <c r="B153" s="4" t="s">
        <v>157</v>
      </c>
      <c r="C153" s="4" t="s">
        <v>37</v>
      </c>
      <c r="D153" s="4" t="s">
        <v>2089</v>
      </c>
      <c r="E153" s="4" t="s">
        <v>166</v>
      </c>
    </row>
    <row r="154" spans="1:5" ht="31" customHeight="1">
      <c r="A154" s="4" t="s">
        <v>181</v>
      </c>
      <c r="B154" s="4" t="s">
        <v>157</v>
      </c>
      <c r="C154" s="4" t="s">
        <v>38</v>
      </c>
      <c r="D154" s="4" t="s">
        <v>2089</v>
      </c>
      <c r="E154" s="4" t="s">
        <v>166</v>
      </c>
    </row>
    <row r="155" spans="1:5" ht="31" customHeight="1">
      <c r="A155" s="4" t="s">
        <v>181</v>
      </c>
      <c r="B155" s="4" t="s">
        <v>157</v>
      </c>
      <c r="C155" s="4" t="s">
        <v>56</v>
      </c>
      <c r="D155" s="4" t="s">
        <v>2089</v>
      </c>
      <c r="E155" s="4" t="s">
        <v>166</v>
      </c>
    </row>
    <row r="156" spans="1:5" ht="31" customHeight="1">
      <c r="A156" s="4" t="s">
        <v>181</v>
      </c>
      <c r="B156" s="4" t="s">
        <v>157</v>
      </c>
      <c r="C156" s="4" t="s">
        <v>57</v>
      </c>
      <c r="D156" s="4" t="s">
        <v>2092</v>
      </c>
      <c r="E156" s="4" t="s">
        <v>166</v>
      </c>
    </row>
    <row r="157" spans="1:5" ht="31" customHeight="1">
      <c r="A157" s="4" t="s">
        <v>181</v>
      </c>
      <c r="B157" s="4" t="s">
        <v>157</v>
      </c>
      <c r="C157" s="4" t="s">
        <v>58</v>
      </c>
      <c r="D157" s="4" t="s">
        <v>2092</v>
      </c>
      <c r="E157" s="4" t="s">
        <v>166</v>
      </c>
    </row>
    <row r="158" spans="1:5" ht="31" customHeight="1">
      <c r="A158" s="4" t="s">
        <v>181</v>
      </c>
      <c r="B158" s="4" t="s">
        <v>157</v>
      </c>
      <c r="C158" s="4" t="s">
        <v>61</v>
      </c>
      <c r="D158" s="4" t="s">
        <v>2089</v>
      </c>
      <c r="E158" s="4" t="s">
        <v>166</v>
      </c>
    </row>
    <row r="159" spans="1:5" ht="31" customHeight="1">
      <c r="A159" s="4" t="s">
        <v>181</v>
      </c>
      <c r="B159" s="4" t="s">
        <v>157</v>
      </c>
      <c r="C159" s="4" t="s">
        <v>62</v>
      </c>
      <c r="D159" s="4" t="s">
        <v>2089</v>
      </c>
      <c r="E159" s="4" t="s">
        <v>166</v>
      </c>
    </row>
    <row r="160" spans="1:5" ht="31" customHeight="1">
      <c r="A160" s="4" t="s">
        <v>181</v>
      </c>
      <c r="B160" s="4" t="s">
        <v>157</v>
      </c>
      <c r="C160" s="4" t="s">
        <v>63</v>
      </c>
      <c r="D160" s="4" t="s">
        <v>2089</v>
      </c>
      <c r="E160" s="4" t="s">
        <v>166</v>
      </c>
    </row>
    <row r="161" spans="1:5" ht="31" customHeight="1">
      <c r="A161" s="4" t="s">
        <v>181</v>
      </c>
      <c r="B161" s="4" t="s">
        <v>157</v>
      </c>
      <c r="C161" s="4" t="s">
        <v>64</v>
      </c>
      <c r="D161" s="4" t="s">
        <v>2089</v>
      </c>
      <c r="E161" s="4" t="s">
        <v>166</v>
      </c>
    </row>
    <row r="162" spans="1:5" ht="31" customHeight="1">
      <c r="A162" s="4" t="s">
        <v>181</v>
      </c>
      <c r="B162" s="4" t="s">
        <v>157</v>
      </c>
      <c r="C162" s="4" t="s">
        <v>65</v>
      </c>
      <c r="D162" s="4" t="s">
        <v>2089</v>
      </c>
      <c r="E162" s="4" t="s">
        <v>166</v>
      </c>
    </row>
    <row r="163" spans="1:5" ht="31" customHeight="1">
      <c r="A163" s="4" t="s">
        <v>181</v>
      </c>
      <c r="B163" s="4" t="s">
        <v>157</v>
      </c>
      <c r="C163" s="4" t="s">
        <v>66</v>
      </c>
      <c r="D163" s="4" t="s">
        <v>2093</v>
      </c>
      <c r="E163" s="4" t="s">
        <v>166</v>
      </c>
    </row>
    <row r="164" spans="1:5" ht="31" customHeight="1">
      <c r="A164" s="4" t="s">
        <v>181</v>
      </c>
      <c r="B164" s="4" t="s">
        <v>157</v>
      </c>
      <c r="C164" s="4" t="s">
        <v>67</v>
      </c>
      <c r="D164" s="4" t="s">
        <v>2089</v>
      </c>
      <c r="E164" s="4" t="s">
        <v>166</v>
      </c>
    </row>
    <row r="165" spans="1:5" ht="31" customHeight="1">
      <c r="A165" s="4" t="s">
        <v>181</v>
      </c>
      <c r="B165" s="4" t="s">
        <v>157</v>
      </c>
      <c r="C165" s="4" t="s">
        <v>68</v>
      </c>
      <c r="D165" s="4" t="s">
        <v>2089</v>
      </c>
      <c r="E165" s="4" t="s">
        <v>166</v>
      </c>
    </row>
    <row r="166" spans="1:5" ht="31" customHeight="1">
      <c r="A166" s="4" t="s">
        <v>181</v>
      </c>
      <c r="B166" s="4" t="s">
        <v>157</v>
      </c>
      <c r="C166" s="4" t="s">
        <v>69</v>
      </c>
      <c r="D166" s="4" t="s">
        <v>2090</v>
      </c>
      <c r="E166" s="4" t="s">
        <v>166</v>
      </c>
    </row>
    <row r="167" spans="1:5" ht="31" customHeight="1">
      <c r="A167" s="4" t="s">
        <v>181</v>
      </c>
      <c r="B167" s="4" t="s">
        <v>157</v>
      </c>
      <c r="C167" s="4" t="s">
        <v>70</v>
      </c>
      <c r="D167" s="4" t="s">
        <v>2089</v>
      </c>
      <c r="E167" s="4" t="s">
        <v>166</v>
      </c>
    </row>
    <row r="168" spans="1:5" ht="31" customHeight="1">
      <c r="A168" s="4" t="s">
        <v>181</v>
      </c>
      <c r="B168" s="4" t="s">
        <v>157</v>
      </c>
      <c r="C168" s="4" t="s">
        <v>71</v>
      </c>
      <c r="D168" s="4" t="s">
        <v>2089</v>
      </c>
      <c r="E168" s="4" t="s">
        <v>166</v>
      </c>
    </row>
    <row r="169" spans="1:5" ht="31" customHeight="1">
      <c r="A169" s="4" t="s">
        <v>181</v>
      </c>
      <c r="B169" s="4" t="s">
        <v>157</v>
      </c>
      <c r="C169" s="4" t="s">
        <v>73</v>
      </c>
      <c r="D169" s="4" t="s">
        <v>2089</v>
      </c>
      <c r="E169" s="4" t="s">
        <v>166</v>
      </c>
    </row>
    <row r="170" spans="1:5" ht="31" customHeight="1">
      <c r="A170" s="4" t="s">
        <v>181</v>
      </c>
      <c r="B170" s="4" t="s">
        <v>157</v>
      </c>
      <c r="C170" s="4" t="s">
        <v>75</v>
      </c>
      <c r="D170" s="4" t="s">
        <v>2089</v>
      </c>
      <c r="E170" s="4" t="s">
        <v>166</v>
      </c>
    </row>
    <row r="171" spans="1:5" ht="31" customHeight="1">
      <c r="A171" s="4" t="s">
        <v>181</v>
      </c>
      <c r="B171" s="4" t="s">
        <v>157</v>
      </c>
      <c r="C171" s="4" t="s">
        <v>76</v>
      </c>
      <c r="D171" s="4" t="s">
        <v>2091</v>
      </c>
      <c r="E171" s="4" t="s">
        <v>166</v>
      </c>
    </row>
    <row r="172" spans="1:5" ht="31" customHeight="1">
      <c r="A172" s="4" t="s">
        <v>184</v>
      </c>
      <c r="B172" s="4" t="s">
        <v>157</v>
      </c>
      <c r="C172" s="4" t="s">
        <v>35</v>
      </c>
      <c r="D172" s="4" t="s">
        <v>2088</v>
      </c>
      <c r="E172" s="4" t="s">
        <v>166</v>
      </c>
    </row>
    <row r="173" spans="1:5" ht="31" customHeight="1">
      <c r="A173" s="4" t="s">
        <v>184</v>
      </c>
      <c r="B173" s="4" t="s">
        <v>157</v>
      </c>
      <c r="C173" s="4" t="s">
        <v>37</v>
      </c>
      <c r="D173" s="4" t="s">
        <v>2089</v>
      </c>
      <c r="E173" s="4" t="s">
        <v>166</v>
      </c>
    </row>
    <row r="174" spans="1:5" ht="31" customHeight="1">
      <c r="A174" s="4" t="s">
        <v>184</v>
      </c>
      <c r="B174" s="4" t="s">
        <v>157</v>
      </c>
      <c r="C174" s="4" t="s">
        <v>38</v>
      </c>
      <c r="D174" s="4" t="s">
        <v>2089</v>
      </c>
      <c r="E174" s="4" t="s">
        <v>166</v>
      </c>
    </row>
    <row r="175" spans="1:5" ht="31" customHeight="1">
      <c r="A175" s="4" t="s">
        <v>184</v>
      </c>
      <c r="B175" s="4" t="s">
        <v>157</v>
      </c>
      <c r="C175" s="4" t="s">
        <v>56</v>
      </c>
      <c r="D175" s="4" t="s">
        <v>2089</v>
      </c>
      <c r="E175" s="4" t="s">
        <v>166</v>
      </c>
    </row>
    <row r="176" spans="1:5" ht="31" customHeight="1">
      <c r="A176" s="4" t="s">
        <v>184</v>
      </c>
      <c r="B176" s="4" t="s">
        <v>157</v>
      </c>
      <c r="C176" s="4" t="s">
        <v>57</v>
      </c>
      <c r="D176" s="4" t="s">
        <v>2092</v>
      </c>
      <c r="E176" s="4" t="s">
        <v>166</v>
      </c>
    </row>
    <row r="177" spans="1:5" ht="31" customHeight="1">
      <c r="A177" s="4" t="s">
        <v>184</v>
      </c>
      <c r="B177" s="4" t="s">
        <v>157</v>
      </c>
      <c r="C177" s="4" t="s">
        <v>58</v>
      </c>
      <c r="D177" s="4" t="s">
        <v>2092</v>
      </c>
      <c r="E177" s="4" t="s">
        <v>166</v>
      </c>
    </row>
    <row r="178" spans="1:5" ht="31" customHeight="1">
      <c r="A178" s="4" t="s">
        <v>184</v>
      </c>
      <c r="B178" s="4" t="s">
        <v>157</v>
      </c>
      <c r="C178" s="4" t="s">
        <v>61</v>
      </c>
      <c r="D178" s="4" t="s">
        <v>2089</v>
      </c>
      <c r="E178" s="4" t="s">
        <v>166</v>
      </c>
    </row>
    <row r="179" spans="1:5" ht="31" customHeight="1">
      <c r="A179" s="4" t="s">
        <v>184</v>
      </c>
      <c r="B179" s="4" t="s">
        <v>157</v>
      </c>
      <c r="C179" s="4" t="s">
        <v>63</v>
      </c>
      <c r="D179" s="4" t="s">
        <v>2089</v>
      </c>
      <c r="E179" s="4" t="s">
        <v>166</v>
      </c>
    </row>
    <row r="180" spans="1:5" ht="31" customHeight="1">
      <c r="A180" s="4" t="s">
        <v>184</v>
      </c>
      <c r="B180" s="4" t="s">
        <v>157</v>
      </c>
      <c r="C180" s="4" t="s">
        <v>64</v>
      </c>
      <c r="D180" s="4" t="s">
        <v>2089</v>
      </c>
      <c r="E180" s="4" t="s">
        <v>166</v>
      </c>
    </row>
    <row r="181" spans="1:5" ht="31" customHeight="1">
      <c r="A181" s="4" t="s">
        <v>184</v>
      </c>
      <c r="B181" s="4" t="s">
        <v>157</v>
      </c>
      <c r="C181" s="4" t="s">
        <v>65</v>
      </c>
      <c r="D181" s="4" t="s">
        <v>2089</v>
      </c>
      <c r="E181" s="4" t="s">
        <v>166</v>
      </c>
    </row>
    <row r="182" spans="1:5" ht="31" customHeight="1">
      <c r="A182" s="4" t="s">
        <v>184</v>
      </c>
      <c r="B182" s="4" t="s">
        <v>157</v>
      </c>
      <c r="C182" s="4" t="s">
        <v>66</v>
      </c>
      <c r="D182" s="4" t="s">
        <v>2093</v>
      </c>
      <c r="E182" s="4" t="s">
        <v>166</v>
      </c>
    </row>
    <row r="183" spans="1:5" ht="31" customHeight="1">
      <c r="A183" s="4" t="s">
        <v>184</v>
      </c>
      <c r="B183" s="4" t="s">
        <v>157</v>
      </c>
      <c r="C183" s="4" t="s">
        <v>67</v>
      </c>
      <c r="D183" s="4" t="s">
        <v>2089</v>
      </c>
      <c r="E183" s="4" t="s">
        <v>166</v>
      </c>
    </row>
    <row r="184" spans="1:5" ht="31" customHeight="1">
      <c r="A184" s="4" t="s">
        <v>184</v>
      </c>
      <c r="B184" s="4" t="s">
        <v>157</v>
      </c>
      <c r="C184" s="4" t="s">
        <v>68</v>
      </c>
      <c r="D184" s="4" t="s">
        <v>2089</v>
      </c>
      <c r="E184" s="4" t="s">
        <v>166</v>
      </c>
    </row>
    <row r="185" spans="1:5" ht="31" customHeight="1">
      <c r="A185" s="4" t="s">
        <v>184</v>
      </c>
      <c r="B185" s="4" t="s">
        <v>157</v>
      </c>
      <c r="C185" s="4" t="s">
        <v>69</v>
      </c>
      <c r="D185" s="4" t="s">
        <v>2090</v>
      </c>
      <c r="E185" s="4" t="s">
        <v>166</v>
      </c>
    </row>
    <row r="186" spans="1:5" ht="31" customHeight="1">
      <c r="A186" s="4" t="s">
        <v>184</v>
      </c>
      <c r="B186" s="4" t="s">
        <v>157</v>
      </c>
      <c r="C186" s="4" t="s">
        <v>70</v>
      </c>
      <c r="D186" s="4" t="s">
        <v>2089</v>
      </c>
      <c r="E186" s="4" t="s">
        <v>166</v>
      </c>
    </row>
    <row r="187" spans="1:5" ht="31" customHeight="1">
      <c r="A187" s="4" t="s">
        <v>184</v>
      </c>
      <c r="B187" s="4" t="s">
        <v>157</v>
      </c>
      <c r="C187" s="4" t="s">
        <v>71</v>
      </c>
      <c r="D187" s="4" t="s">
        <v>2089</v>
      </c>
      <c r="E187" s="4" t="s">
        <v>166</v>
      </c>
    </row>
    <row r="188" spans="1:5" ht="31" customHeight="1">
      <c r="A188" s="4" t="s">
        <v>184</v>
      </c>
      <c r="B188" s="4" t="s">
        <v>157</v>
      </c>
      <c r="C188" s="4" t="s">
        <v>73</v>
      </c>
      <c r="D188" s="4" t="s">
        <v>2089</v>
      </c>
      <c r="E188" s="4" t="s">
        <v>166</v>
      </c>
    </row>
    <row r="189" spans="1:5" ht="31" customHeight="1">
      <c r="A189" s="4" t="s">
        <v>184</v>
      </c>
      <c r="B189" s="4" t="s">
        <v>157</v>
      </c>
      <c r="C189" s="4" t="s">
        <v>75</v>
      </c>
      <c r="D189" s="4" t="s">
        <v>2089</v>
      </c>
      <c r="E189" s="4" t="s">
        <v>166</v>
      </c>
    </row>
    <row r="190" spans="1:5" ht="31" customHeight="1">
      <c r="A190" s="4" t="s">
        <v>184</v>
      </c>
      <c r="B190" s="4" t="s">
        <v>157</v>
      </c>
      <c r="C190" s="4" t="s">
        <v>76</v>
      </c>
      <c r="D190" s="4" t="s">
        <v>2091</v>
      </c>
      <c r="E190" s="4" t="s">
        <v>166</v>
      </c>
    </row>
    <row r="191" spans="1:5" ht="31" customHeight="1">
      <c r="A191" s="4" t="s">
        <v>187</v>
      </c>
      <c r="B191" s="4" t="s">
        <v>157</v>
      </c>
      <c r="C191" s="4" t="s">
        <v>35</v>
      </c>
      <c r="D191" s="4" t="s">
        <v>2088</v>
      </c>
      <c r="E191" s="4" t="s">
        <v>166</v>
      </c>
    </row>
    <row r="192" spans="1:5" ht="31" customHeight="1">
      <c r="A192" s="4" t="s">
        <v>187</v>
      </c>
      <c r="B192" s="4" t="s">
        <v>157</v>
      </c>
      <c r="C192" s="4" t="s">
        <v>37</v>
      </c>
      <c r="D192" s="4" t="s">
        <v>2089</v>
      </c>
      <c r="E192" s="4" t="s">
        <v>166</v>
      </c>
    </row>
    <row r="193" spans="1:5" ht="31" customHeight="1">
      <c r="A193" s="4" t="s">
        <v>187</v>
      </c>
      <c r="B193" s="4" t="s">
        <v>157</v>
      </c>
      <c r="C193" s="4" t="s">
        <v>38</v>
      </c>
      <c r="D193" s="4" t="s">
        <v>2089</v>
      </c>
      <c r="E193" s="4" t="s">
        <v>166</v>
      </c>
    </row>
    <row r="194" spans="1:5" ht="31" customHeight="1">
      <c r="A194" s="4" t="s">
        <v>187</v>
      </c>
      <c r="B194" s="4" t="s">
        <v>157</v>
      </c>
      <c r="C194" s="4" t="s">
        <v>56</v>
      </c>
      <c r="D194" s="4" t="s">
        <v>2089</v>
      </c>
      <c r="E194" s="4" t="s">
        <v>166</v>
      </c>
    </row>
    <row r="195" spans="1:5" ht="31" customHeight="1">
      <c r="A195" s="4" t="s">
        <v>187</v>
      </c>
      <c r="B195" s="4" t="s">
        <v>157</v>
      </c>
      <c r="C195" s="4" t="s">
        <v>57</v>
      </c>
      <c r="D195" s="4" t="s">
        <v>2092</v>
      </c>
      <c r="E195" s="4" t="s">
        <v>166</v>
      </c>
    </row>
    <row r="196" spans="1:5" ht="31" customHeight="1">
      <c r="A196" s="4" t="s">
        <v>187</v>
      </c>
      <c r="B196" s="4" t="s">
        <v>157</v>
      </c>
      <c r="C196" s="4" t="s">
        <v>58</v>
      </c>
      <c r="D196" s="4" t="s">
        <v>2092</v>
      </c>
      <c r="E196" s="4" t="s">
        <v>166</v>
      </c>
    </row>
    <row r="197" spans="1:5" ht="31" customHeight="1">
      <c r="A197" s="4" t="s">
        <v>187</v>
      </c>
      <c r="B197" s="4" t="s">
        <v>157</v>
      </c>
      <c r="C197" s="4" t="s">
        <v>61</v>
      </c>
      <c r="D197" s="4" t="s">
        <v>2089</v>
      </c>
      <c r="E197" s="4" t="s">
        <v>166</v>
      </c>
    </row>
    <row r="198" spans="1:5" ht="31" customHeight="1">
      <c r="A198" s="4" t="s">
        <v>187</v>
      </c>
      <c r="B198" s="4" t="s">
        <v>157</v>
      </c>
      <c r="C198" s="4" t="s">
        <v>62</v>
      </c>
      <c r="D198" s="4" t="s">
        <v>2089</v>
      </c>
      <c r="E198" s="4" t="s">
        <v>166</v>
      </c>
    </row>
    <row r="199" spans="1:5" ht="31" customHeight="1">
      <c r="A199" s="4" t="s">
        <v>187</v>
      </c>
      <c r="B199" s="4" t="s">
        <v>157</v>
      </c>
      <c r="C199" s="4" t="s">
        <v>63</v>
      </c>
      <c r="D199" s="4" t="s">
        <v>2089</v>
      </c>
      <c r="E199" s="4" t="s">
        <v>166</v>
      </c>
    </row>
    <row r="200" spans="1:5" ht="31" customHeight="1">
      <c r="A200" s="4" t="s">
        <v>187</v>
      </c>
      <c r="B200" s="4" t="s">
        <v>157</v>
      </c>
      <c r="C200" s="4" t="s">
        <v>64</v>
      </c>
      <c r="D200" s="4" t="s">
        <v>2089</v>
      </c>
      <c r="E200" s="4" t="s">
        <v>166</v>
      </c>
    </row>
    <row r="201" spans="1:5" ht="31" customHeight="1">
      <c r="A201" s="4" t="s">
        <v>187</v>
      </c>
      <c r="B201" s="4" t="s">
        <v>157</v>
      </c>
      <c r="C201" s="4" t="s">
        <v>65</v>
      </c>
      <c r="D201" s="4" t="s">
        <v>2089</v>
      </c>
      <c r="E201" s="4" t="s">
        <v>166</v>
      </c>
    </row>
    <row r="202" spans="1:5" ht="31" customHeight="1">
      <c r="A202" s="4" t="s">
        <v>187</v>
      </c>
      <c r="B202" s="4" t="s">
        <v>157</v>
      </c>
      <c r="C202" s="4" t="s">
        <v>66</v>
      </c>
      <c r="D202" s="4" t="s">
        <v>2093</v>
      </c>
      <c r="E202" s="4" t="s">
        <v>166</v>
      </c>
    </row>
    <row r="203" spans="1:5" ht="31" customHeight="1">
      <c r="A203" s="4" t="s">
        <v>187</v>
      </c>
      <c r="B203" s="4" t="s">
        <v>157</v>
      </c>
      <c r="C203" s="4" t="s">
        <v>67</v>
      </c>
      <c r="D203" s="4" t="s">
        <v>2089</v>
      </c>
      <c r="E203" s="4" t="s">
        <v>166</v>
      </c>
    </row>
    <row r="204" spans="1:5" ht="31" customHeight="1">
      <c r="A204" s="4" t="s">
        <v>187</v>
      </c>
      <c r="B204" s="4" t="s">
        <v>157</v>
      </c>
      <c r="C204" s="4" t="s">
        <v>68</v>
      </c>
      <c r="D204" s="4" t="s">
        <v>2089</v>
      </c>
      <c r="E204" s="4" t="s">
        <v>166</v>
      </c>
    </row>
    <row r="205" spans="1:5" ht="31" customHeight="1">
      <c r="A205" s="4" t="s">
        <v>187</v>
      </c>
      <c r="B205" s="4" t="s">
        <v>157</v>
      </c>
      <c r="C205" s="4" t="s">
        <v>69</v>
      </c>
      <c r="D205" s="4" t="s">
        <v>2090</v>
      </c>
      <c r="E205" s="4" t="s">
        <v>166</v>
      </c>
    </row>
    <row r="206" spans="1:5" ht="31" customHeight="1">
      <c r="A206" s="4" t="s">
        <v>187</v>
      </c>
      <c r="B206" s="4" t="s">
        <v>157</v>
      </c>
      <c r="C206" s="4" t="s">
        <v>70</v>
      </c>
      <c r="D206" s="4" t="s">
        <v>2089</v>
      </c>
      <c r="E206" s="4" t="s">
        <v>166</v>
      </c>
    </row>
    <row r="207" spans="1:5" ht="31" customHeight="1">
      <c r="A207" s="4" t="s">
        <v>187</v>
      </c>
      <c r="B207" s="4" t="s">
        <v>157</v>
      </c>
      <c r="C207" s="4" t="s">
        <v>71</v>
      </c>
      <c r="D207" s="4" t="s">
        <v>2089</v>
      </c>
      <c r="E207" s="4" t="s">
        <v>166</v>
      </c>
    </row>
    <row r="208" spans="1:5" ht="31" customHeight="1">
      <c r="A208" s="4" t="s">
        <v>187</v>
      </c>
      <c r="B208" s="4" t="s">
        <v>157</v>
      </c>
      <c r="C208" s="4" t="s">
        <v>73</v>
      </c>
      <c r="D208" s="4" t="s">
        <v>2089</v>
      </c>
      <c r="E208" s="4" t="s">
        <v>166</v>
      </c>
    </row>
    <row r="209" spans="1:5" ht="31" customHeight="1">
      <c r="A209" s="4" t="s">
        <v>187</v>
      </c>
      <c r="B209" s="4" t="s">
        <v>157</v>
      </c>
      <c r="C209" s="4" t="s">
        <v>75</v>
      </c>
      <c r="D209" s="4" t="s">
        <v>2089</v>
      </c>
      <c r="E209" s="4" t="s">
        <v>166</v>
      </c>
    </row>
    <row r="210" spans="1:5" ht="31" customHeight="1">
      <c r="A210" s="4" t="s">
        <v>187</v>
      </c>
      <c r="B210" s="4" t="s">
        <v>157</v>
      </c>
      <c r="C210" s="4" t="s">
        <v>76</v>
      </c>
      <c r="D210" s="4" t="s">
        <v>2091</v>
      </c>
      <c r="E210" s="4" t="s">
        <v>166</v>
      </c>
    </row>
    <row r="211" spans="1:5" ht="31" customHeight="1">
      <c r="A211" s="4" t="s">
        <v>190</v>
      </c>
      <c r="B211" s="4" t="s">
        <v>191</v>
      </c>
      <c r="C211" s="4" t="s">
        <v>35</v>
      </c>
      <c r="D211" s="4" t="s">
        <v>2088</v>
      </c>
      <c r="E211" s="4" t="s">
        <v>200</v>
      </c>
    </row>
    <row r="212" spans="1:5" ht="31" customHeight="1">
      <c r="A212" s="4" t="s">
        <v>190</v>
      </c>
      <c r="B212" s="4" t="s">
        <v>191</v>
      </c>
      <c r="C212" s="4" t="s">
        <v>37</v>
      </c>
      <c r="D212" s="4" t="s">
        <v>2089</v>
      </c>
      <c r="E212" s="4" t="s">
        <v>200</v>
      </c>
    </row>
    <row r="213" spans="1:5" ht="31" customHeight="1">
      <c r="A213" s="4" t="s">
        <v>190</v>
      </c>
      <c r="B213" s="4" t="s">
        <v>191</v>
      </c>
      <c r="C213" s="4" t="s">
        <v>56</v>
      </c>
      <c r="D213" s="4" t="s">
        <v>2089</v>
      </c>
      <c r="E213" s="4" t="s">
        <v>200</v>
      </c>
    </row>
    <row r="214" spans="1:5" ht="31" customHeight="1">
      <c r="A214" s="4" t="s">
        <v>190</v>
      </c>
      <c r="B214" s="4" t="s">
        <v>191</v>
      </c>
      <c r="C214" s="4" t="s">
        <v>57</v>
      </c>
      <c r="D214" s="4" t="s">
        <v>2092</v>
      </c>
      <c r="E214" s="4" t="s">
        <v>200</v>
      </c>
    </row>
    <row r="215" spans="1:5" ht="31" customHeight="1">
      <c r="A215" s="4" t="s">
        <v>190</v>
      </c>
      <c r="B215" s="4" t="s">
        <v>191</v>
      </c>
      <c r="C215" s="4" t="s">
        <v>58</v>
      </c>
      <c r="D215" s="4" t="s">
        <v>2092</v>
      </c>
      <c r="E215" s="4" t="s">
        <v>200</v>
      </c>
    </row>
    <row r="216" spans="1:5" ht="31" customHeight="1">
      <c r="A216" s="4" t="s">
        <v>190</v>
      </c>
      <c r="B216" s="4" t="s">
        <v>191</v>
      </c>
      <c r="C216" s="4" t="s">
        <v>60</v>
      </c>
      <c r="D216" s="4" t="s">
        <v>2089</v>
      </c>
      <c r="E216" s="4" t="s">
        <v>200</v>
      </c>
    </row>
    <row r="217" spans="1:5" ht="31" customHeight="1">
      <c r="A217" s="4" t="s">
        <v>190</v>
      </c>
      <c r="B217" s="4" t="s">
        <v>191</v>
      </c>
      <c r="C217" s="4" t="s">
        <v>61</v>
      </c>
      <c r="D217" s="4" t="s">
        <v>2089</v>
      </c>
      <c r="E217" s="4" t="s">
        <v>200</v>
      </c>
    </row>
    <row r="218" spans="1:5" ht="31" customHeight="1">
      <c r="A218" s="4" t="s">
        <v>190</v>
      </c>
      <c r="B218" s="4" t="s">
        <v>191</v>
      </c>
      <c r="C218" s="4" t="s">
        <v>62</v>
      </c>
      <c r="D218" s="4" t="s">
        <v>2089</v>
      </c>
      <c r="E218" s="4" t="s">
        <v>200</v>
      </c>
    </row>
    <row r="219" spans="1:5" ht="31" customHeight="1">
      <c r="A219" s="4" t="s">
        <v>190</v>
      </c>
      <c r="B219" s="4" t="s">
        <v>191</v>
      </c>
      <c r="C219" s="4" t="s">
        <v>67</v>
      </c>
      <c r="D219" s="4" t="s">
        <v>2089</v>
      </c>
      <c r="E219" s="4" t="s">
        <v>200</v>
      </c>
    </row>
    <row r="220" spans="1:5" ht="31" customHeight="1">
      <c r="A220" s="4" t="s">
        <v>190</v>
      </c>
      <c r="B220" s="4" t="s">
        <v>191</v>
      </c>
      <c r="C220" s="4" t="s">
        <v>68</v>
      </c>
      <c r="D220" s="4" t="s">
        <v>2089</v>
      </c>
      <c r="E220" s="4" t="s">
        <v>200</v>
      </c>
    </row>
    <row r="221" spans="1:5" ht="31" customHeight="1">
      <c r="A221" s="4" t="s">
        <v>190</v>
      </c>
      <c r="B221" s="4" t="s">
        <v>191</v>
      </c>
      <c r="C221" s="4" t="s">
        <v>70</v>
      </c>
      <c r="D221" s="4" t="s">
        <v>2089</v>
      </c>
      <c r="E221" s="4" t="s">
        <v>200</v>
      </c>
    </row>
    <row r="222" spans="1:5" ht="31" customHeight="1">
      <c r="A222" s="4" t="s">
        <v>190</v>
      </c>
      <c r="B222" s="4" t="s">
        <v>191</v>
      </c>
      <c r="C222" s="4" t="s">
        <v>71</v>
      </c>
      <c r="D222" s="4" t="s">
        <v>2089</v>
      </c>
      <c r="E222" s="4" t="s">
        <v>200</v>
      </c>
    </row>
    <row r="223" spans="1:5" ht="31" customHeight="1">
      <c r="A223" s="4" t="s">
        <v>190</v>
      </c>
      <c r="B223" s="4" t="s">
        <v>191</v>
      </c>
      <c r="C223" s="4" t="s">
        <v>75</v>
      </c>
      <c r="D223" s="4" t="s">
        <v>2089</v>
      </c>
      <c r="E223" s="4" t="s">
        <v>200</v>
      </c>
    </row>
    <row r="224" spans="1:5" ht="31" customHeight="1">
      <c r="A224" s="4" t="s">
        <v>190</v>
      </c>
      <c r="B224" s="4" t="s">
        <v>191</v>
      </c>
      <c r="C224" s="4" t="s">
        <v>76</v>
      </c>
      <c r="D224" s="4" t="s">
        <v>2091</v>
      </c>
      <c r="E224" s="4" t="s">
        <v>200</v>
      </c>
    </row>
    <row r="225" spans="1:5" ht="31" customHeight="1">
      <c r="A225" s="4" t="s">
        <v>202</v>
      </c>
      <c r="B225" s="4" t="s">
        <v>191</v>
      </c>
      <c r="C225" s="4" t="s">
        <v>35</v>
      </c>
      <c r="D225" s="4" t="s">
        <v>2088</v>
      </c>
      <c r="E225" s="4" t="s">
        <v>200</v>
      </c>
    </row>
    <row r="226" spans="1:5" ht="31" customHeight="1">
      <c r="A226" s="4" t="s">
        <v>202</v>
      </c>
      <c r="B226" s="4" t="s">
        <v>191</v>
      </c>
      <c r="C226" s="4" t="s">
        <v>37</v>
      </c>
      <c r="D226" s="4" t="s">
        <v>2089</v>
      </c>
      <c r="E226" s="4" t="s">
        <v>200</v>
      </c>
    </row>
    <row r="227" spans="1:5" ht="31" customHeight="1">
      <c r="A227" s="4" t="s">
        <v>202</v>
      </c>
      <c r="B227" s="4" t="s">
        <v>191</v>
      </c>
      <c r="C227" s="4" t="s">
        <v>56</v>
      </c>
      <c r="D227" s="4" t="s">
        <v>2089</v>
      </c>
      <c r="E227" s="4" t="s">
        <v>200</v>
      </c>
    </row>
    <row r="228" spans="1:5" ht="31" customHeight="1">
      <c r="A228" s="4" t="s">
        <v>202</v>
      </c>
      <c r="B228" s="4" t="s">
        <v>191</v>
      </c>
      <c r="C228" s="4" t="s">
        <v>57</v>
      </c>
      <c r="D228" s="4" t="s">
        <v>2092</v>
      </c>
      <c r="E228" s="4" t="s">
        <v>200</v>
      </c>
    </row>
    <row r="229" spans="1:5" ht="31" customHeight="1">
      <c r="A229" s="4" t="s">
        <v>202</v>
      </c>
      <c r="B229" s="4" t="s">
        <v>191</v>
      </c>
      <c r="C229" s="4" t="s">
        <v>58</v>
      </c>
      <c r="D229" s="4" t="s">
        <v>2092</v>
      </c>
      <c r="E229" s="4" t="s">
        <v>200</v>
      </c>
    </row>
    <row r="230" spans="1:5" ht="31" customHeight="1">
      <c r="A230" s="4" t="s">
        <v>202</v>
      </c>
      <c r="B230" s="4" t="s">
        <v>191</v>
      </c>
      <c r="C230" s="4" t="s">
        <v>60</v>
      </c>
      <c r="D230" s="4" t="s">
        <v>2089</v>
      </c>
      <c r="E230" s="4" t="s">
        <v>200</v>
      </c>
    </row>
    <row r="231" spans="1:5" ht="31" customHeight="1">
      <c r="A231" s="4" t="s">
        <v>202</v>
      </c>
      <c r="B231" s="4" t="s">
        <v>191</v>
      </c>
      <c r="C231" s="4" t="s">
        <v>61</v>
      </c>
      <c r="D231" s="4" t="s">
        <v>2089</v>
      </c>
      <c r="E231" s="4" t="s">
        <v>200</v>
      </c>
    </row>
    <row r="232" spans="1:5" ht="31" customHeight="1">
      <c r="A232" s="4" t="s">
        <v>202</v>
      </c>
      <c r="B232" s="4" t="s">
        <v>191</v>
      </c>
      <c r="C232" s="4" t="s">
        <v>62</v>
      </c>
      <c r="D232" s="4" t="s">
        <v>2089</v>
      </c>
      <c r="E232" s="4" t="s">
        <v>200</v>
      </c>
    </row>
    <row r="233" spans="1:5" ht="31" customHeight="1">
      <c r="A233" s="4" t="s">
        <v>202</v>
      </c>
      <c r="B233" s="4" t="s">
        <v>191</v>
      </c>
      <c r="C233" s="4" t="s">
        <v>63</v>
      </c>
      <c r="D233" s="4" t="s">
        <v>2089</v>
      </c>
      <c r="E233" s="4" t="s">
        <v>200</v>
      </c>
    </row>
    <row r="234" spans="1:5" ht="31" customHeight="1">
      <c r="A234" s="4" t="s">
        <v>202</v>
      </c>
      <c r="B234" s="4" t="s">
        <v>191</v>
      </c>
      <c r="C234" s="4" t="s">
        <v>64</v>
      </c>
      <c r="D234" s="4" t="s">
        <v>2089</v>
      </c>
      <c r="E234" s="4" t="s">
        <v>200</v>
      </c>
    </row>
    <row r="235" spans="1:5" ht="31" customHeight="1">
      <c r="A235" s="4" t="s">
        <v>202</v>
      </c>
      <c r="B235" s="4" t="s">
        <v>191</v>
      </c>
      <c r="C235" s="4" t="s">
        <v>65</v>
      </c>
      <c r="D235" s="4" t="s">
        <v>2089</v>
      </c>
      <c r="E235" s="4" t="s">
        <v>200</v>
      </c>
    </row>
    <row r="236" spans="1:5" ht="31" customHeight="1">
      <c r="A236" s="4" t="s">
        <v>202</v>
      </c>
      <c r="B236" s="4" t="s">
        <v>191</v>
      </c>
      <c r="C236" s="4" t="s">
        <v>66</v>
      </c>
      <c r="D236" s="4" t="s">
        <v>2093</v>
      </c>
      <c r="E236" s="4" t="s">
        <v>200</v>
      </c>
    </row>
    <row r="237" spans="1:5" ht="31" customHeight="1">
      <c r="A237" s="4" t="s">
        <v>202</v>
      </c>
      <c r="B237" s="4" t="s">
        <v>191</v>
      </c>
      <c r="C237" s="4" t="s">
        <v>67</v>
      </c>
      <c r="D237" s="4" t="s">
        <v>2089</v>
      </c>
      <c r="E237" s="4" t="s">
        <v>200</v>
      </c>
    </row>
    <row r="238" spans="1:5" ht="31" customHeight="1">
      <c r="A238" s="4" t="s">
        <v>202</v>
      </c>
      <c r="B238" s="4" t="s">
        <v>191</v>
      </c>
      <c r="C238" s="4" t="s">
        <v>68</v>
      </c>
      <c r="D238" s="4" t="s">
        <v>2089</v>
      </c>
      <c r="E238" s="4" t="s">
        <v>200</v>
      </c>
    </row>
    <row r="239" spans="1:5" ht="31" customHeight="1">
      <c r="A239" s="4" t="s">
        <v>202</v>
      </c>
      <c r="B239" s="4" t="s">
        <v>191</v>
      </c>
      <c r="C239" s="4" t="s">
        <v>69</v>
      </c>
      <c r="D239" s="4" t="s">
        <v>2090</v>
      </c>
      <c r="E239" s="4" t="s">
        <v>200</v>
      </c>
    </row>
    <row r="240" spans="1:5" ht="31" customHeight="1">
      <c r="A240" s="4" t="s">
        <v>202</v>
      </c>
      <c r="B240" s="4" t="s">
        <v>191</v>
      </c>
      <c r="C240" s="4" t="s">
        <v>70</v>
      </c>
      <c r="D240" s="4" t="s">
        <v>2089</v>
      </c>
      <c r="E240" s="4" t="s">
        <v>200</v>
      </c>
    </row>
    <row r="241" spans="1:5" ht="31" customHeight="1">
      <c r="A241" s="4" t="s">
        <v>202</v>
      </c>
      <c r="B241" s="4" t="s">
        <v>191</v>
      </c>
      <c r="C241" s="4" t="s">
        <v>71</v>
      </c>
      <c r="D241" s="4" t="s">
        <v>2089</v>
      </c>
      <c r="E241" s="4" t="s">
        <v>200</v>
      </c>
    </row>
    <row r="242" spans="1:5" ht="31" customHeight="1">
      <c r="A242" s="4" t="s">
        <v>202</v>
      </c>
      <c r="B242" s="4" t="s">
        <v>191</v>
      </c>
      <c r="C242" s="4" t="s">
        <v>73</v>
      </c>
      <c r="D242" s="4" t="s">
        <v>2089</v>
      </c>
      <c r="E242" s="4" t="s">
        <v>200</v>
      </c>
    </row>
    <row r="243" spans="1:5" ht="31" customHeight="1">
      <c r="A243" s="4" t="s">
        <v>202</v>
      </c>
      <c r="B243" s="4" t="s">
        <v>191</v>
      </c>
      <c r="C243" s="4" t="s">
        <v>76</v>
      </c>
      <c r="D243" s="4" t="s">
        <v>2091</v>
      </c>
      <c r="E243" s="4" t="s">
        <v>200</v>
      </c>
    </row>
    <row r="244" spans="1:5" ht="31" customHeight="1">
      <c r="A244" s="4" t="s">
        <v>208</v>
      </c>
      <c r="B244" s="4" t="s">
        <v>191</v>
      </c>
      <c r="C244" s="4" t="s">
        <v>35</v>
      </c>
      <c r="D244" s="4" t="s">
        <v>2088</v>
      </c>
      <c r="E244" s="4" t="s">
        <v>200</v>
      </c>
    </row>
    <row r="245" spans="1:5" ht="31" customHeight="1">
      <c r="A245" s="4" t="s">
        <v>208</v>
      </c>
      <c r="B245" s="4" t="s">
        <v>191</v>
      </c>
      <c r="C245" s="4" t="s">
        <v>37</v>
      </c>
      <c r="D245" s="4" t="s">
        <v>2089</v>
      </c>
      <c r="E245" s="4" t="s">
        <v>200</v>
      </c>
    </row>
    <row r="246" spans="1:5" ht="31" customHeight="1">
      <c r="A246" s="4" t="s">
        <v>208</v>
      </c>
      <c r="B246" s="4" t="s">
        <v>191</v>
      </c>
      <c r="C246" s="4" t="s">
        <v>56</v>
      </c>
      <c r="D246" s="4" t="s">
        <v>2089</v>
      </c>
      <c r="E246" s="4" t="s">
        <v>200</v>
      </c>
    </row>
    <row r="247" spans="1:5" ht="31" customHeight="1">
      <c r="A247" s="4" t="s">
        <v>208</v>
      </c>
      <c r="B247" s="4" t="s">
        <v>191</v>
      </c>
      <c r="C247" s="4" t="s">
        <v>57</v>
      </c>
      <c r="D247" s="4" t="s">
        <v>2092</v>
      </c>
      <c r="E247" s="4" t="s">
        <v>200</v>
      </c>
    </row>
    <row r="248" spans="1:5" ht="31" customHeight="1">
      <c r="A248" s="4" t="s">
        <v>208</v>
      </c>
      <c r="B248" s="4" t="s">
        <v>191</v>
      </c>
      <c r="C248" s="4" t="s">
        <v>58</v>
      </c>
      <c r="D248" s="4" t="s">
        <v>2092</v>
      </c>
      <c r="E248" s="4" t="s">
        <v>200</v>
      </c>
    </row>
    <row r="249" spans="1:5" ht="31" customHeight="1">
      <c r="A249" s="4" t="s">
        <v>208</v>
      </c>
      <c r="B249" s="4" t="s">
        <v>191</v>
      </c>
      <c r="C249" s="4" t="s">
        <v>60</v>
      </c>
      <c r="D249" s="4" t="s">
        <v>2089</v>
      </c>
      <c r="E249" s="4" t="s">
        <v>200</v>
      </c>
    </row>
    <row r="250" spans="1:5" ht="31" customHeight="1">
      <c r="A250" s="4" t="s">
        <v>208</v>
      </c>
      <c r="B250" s="4" t="s">
        <v>191</v>
      </c>
      <c r="C250" s="4" t="s">
        <v>61</v>
      </c>
      <c r="D250" s="4" t="s">
        <v>2089</v>
      </c>
      <c r="E250" s="4" t="s">
        <v>200</v>
      </c>
    </row>
    <row r="251" spans="1:5" ht="31" customHeight="1">
      <c r="A251" s="4" t="s">
        <v>208</v>
      </c>
      <c r="B251" s="4" t="s">
        <v>191</v>
      </c>
      <c r="C251" s="4" t="s">
        <v>62</v>
      </c>
      <c r="D251" s="4" t="s">
        <v>2089</v>
      </c>
      <c r="E251" s="4" t="s">
        <v>200</v>
      </c>
    </row>
    <row r="252" spans="1:5" ht="31" customHeight="1">
      <c r="A252" s="4" t="s">
        <v>208</v>
      </c>
      <c r="B252" s="4" t="s">
        <v>191</v>
      </c>
      <c r="C252" s="4" t="s">
        <v>67</v>
      </c>
      <c r="D252" s="4" t="s">
        <v>2089</v>
      </c>
      <c r="E252" s="4" t="s">
        <v>200</v>
      </c>
    </row>
    <row r="253" spans="1:5" ht="31" customHeight="1">
      <c r="A253" s="4" t="s">
        <v>208</v>
      </c>
      <c r="B253" s="4" t="s">
        <v>191</v>
      </c>
      <c r="C253" s="4" t="s">
        <v>68</v>
      </c>
      <c r="D253" s="4" t="s">
        <v>2089</v>
      </c>
      <c r="E253" s="4" t="s">
        <v>200</v>
      </c>
    </row>
    <row r="254" spans="1:5" ht="31" customHeight="1">
      <c r="A254" s="4" t="s">
        <v>208</v>
      </c>
      <c r="B254" s="4" t="s">
        <v>191</v>
      </c>
      <c r="C254" s="4" t="s">
        <v>69</v>
      </c>
      <c r="D254" s="4" t="s">
        <v>2090</v>
      </c>
      <c r="E254" s="4" t="s">
        <v>200</v>
      </c>
    </row>
    <row r="255" spans="1:5" ht="31" customHeight="1">
      <c r="A255" s="4" t="s">
        <v>208</v>
      </c>
      <c r="B255" s="4" t="s">
        <v>191</v>
      </c>
      <c r="C255" s="4" t="s">
        <v>70</v>
      </c>
      <c r="D255" s="4" t="s">
        <v>2089</v>
      </c>
      <c r="E255" s="4" t="s">
        <v>200</v>
      </c>
    </row>
    <row r="256" spans="1:5" ht="31" customHeight="1">
      <c r="A256" s="4" t="s">
        <v>208</v>
      </c>
      <c r="B256" s="4" t="s">
        <v>191</v>
      </c>
      <c r="C256" s="4" t="s">
        <v>71</v>
      </c>
      <c r="D256" s="4" t="s">
        <v>2089</v>
      </c>
      <c r="E256" s="4" t="s">
        <v>200</v>
      </c>
    </row>
    <row r="257" spans="1:5" ht="31" customHeight="1">
      <c r="A257" s="4" t="s">
        <v>208</v>
      </c>
      <c r="B257" s="4" t="s">
        <v>191</v>
      </c>
      <c r="C257" s="4" t="s">
        <v>75</v>
      </c>
      <c r="D257" s="4" t="s">
        <v>2089</v>
      </c>
      <c r="E257" s="4" t="s">
        <v>200</v>
      </c>
    </row>
    <row r="258" spans="1:5" ht="31" customHeight="1">
      <c r="A258" s="4" t="s">
        <v>208</v>
      </c>
      <c r="B258" s="4" t="s">
        <v>191</v>
      </c>
      <c r="C258" s="4" t="s">
        <v>76</v>
      </c>
      <c r="D258" s="4" t="s">
        <v>2091</v>
      </c>
      <c r="E258" s="4" t="s">
        <v>200</v>
      </c>
    </row>
    <row r="259" spans="1:5" ht="31" customHeight="1">
      <c r="A259" s="4" t="s">
        <v>212</v>
      </c>
      <c r="B259" s="4" t="s">
        <v>191</v>
      </c>
      <c r="C259" s="4" t="s">
        <v>35</v>
      </c>
      <c r="D259" s="4" t="s">
        <v>2088</v>
      </c>
      <c r="E259" s="4" t="s">
        <v>200</v>
      </c>
    </row>
    <row r="260" spans="1:5" ht="31" customHeight="1">
      <c r="A260" s="4" t="s">
        <v>212</v>
      </c>
      <c r="B260" s="4" t="s">
        <v>191</v>
      </c>
      <c r="C260" s="4" t="s">
        <v>36</v>
      </c>
      <c r="D260" s="4" t="s">
        <v>2089</v>
      </c>
      <c r="E260" s="4" t="s">
        <v>200</v>
      </c>
    </row>
    <row r="261" spans="1:5" ht="31" customHeight="1">
      <c r="A261" s="4" t="s">
        <v>212</v>
      </c>
      <c r="B261" s="4" t="s">
        <v>191</v>
      </c>
      <c r="C261" s="4" t="s">
        <v>37</v>
      </c>
      <c r="D261" s="4" t="s">
        <v>2089</v>
      </c>
      <c r="E261" s="4" t="s">
        <v>200</v>
      </c>
    </row>
    <row r="262" spans="1:5" ht="31" customHeight="1">
      <c r="A262" s="4" t="s">
        <v>212</v>
      </c>
      <c r="B262" s="4" t="s">
        <v>191</v>
      </c>
      <c r="C262" s="4" t="s">
        <v>39</v>
      </c>
      <c r="D262" s="4" t="s">
        <v>2089</v>
      </c>
      <c r="E262" s="4" t="s">
        <v>200</v>
      </c>
    </row>
    <row r="263" spans="1:5" ht="31" customHeight="1">
      <c r="A263" s="4" t="s">
        <v>212</v>
      </c>
      <c r="B263" s="4" t="s">
        <v>191</v>
      </c>
      <c r="C263" s="4" t="s">
        <v>56</v>
      </c>
      <c r="D263" s="4" t="s">
        <v>2089</v>
      </c>
      <c r="E263" s="4" t="s">
        <v>200</v>
      </c>
    </row>
    <row r="264" spans="1:5" ht="31" customHeight="1">
      <c r="A264" s="4" t="s">
        <v>212</v>
      </c>
      <c r="B264" s="4" t="s">
        <v>191</v>
      </c>
      <c r="C264" s="4" t="s">
        <v>57</v>
      </c>
      <c r="D264" s="4" t="s">
        <v>2092</v>
      </c>
      <c r="E264" s="4" t="s">
        <v>200</v>
      </c>
    </row>
    <row r="265" spans="1:5" ht="31" customHeight="1">
      <c r="A265" s="4" t="s">
        <v>212</v>
      </c>
      <c r="B265" s="4" t="s">
        <v>191</v>
      </c>
      <c r="C265" s="4" t="s">
        <v>58</v>
      </c>
      <c r="D265" s="4" t="s">
        <v>2092</v>
      </c>
      <c r="E265" s="4" t="s">
        <v>200</v>
      </c>
    </row>
    <row r="266" spans="1:5" ht="31" customHeight="1">
      <c r="A266" s="4" t="s">
        <v>212</v>
      </c>
      <c r="B266" s="4" t="s">
        <v>191</v>
      </c>
      <c r="C266" s="4" t="s">
        <v>60</v>
      </c>
      <c r="D266" s="4" t="s">
        <v>2089</v>
      </c>
      <c r="E266" s="4" t="s">
        <v>200</v>
      </c>
    </row>
    <row r="267" spans="1:5" ht="31" customHeight="1">
      <c r="A267" s="4" t="s">
        <v>212</v>
      </c>
      <c r="B267" s="4" t="s">
        <v>191</v>
      </c>
      <c r="C267" s="4" t="s">
        <v>61</v>
      </c>
      <c r="D267" s="4" t="s">
        <v>2089</v>
      </c>
      <c r="E267" s="4" t="s">
        <v>200</v>
      </c>
    </row>
    <row r="268" spans="1:5" ht="31" customHeight="1">
      <c r="A268" s="4" t="s">
        <v>212</v>
      </c>
      <c r="B268" s="4" t="s">
        <v>191</v>
      </c>
      <c r="C268" s="4" t="s">
        <v>62</v>
      </c>
      <c r="D268" s="4" t="s">
        <v>2089</v>
      </c>
      <c r="E268" s="4" t="s">
        <v>200</v>
      </c>
    </row>
    <row r="269" spans="1:5" ht="31" customHeight="1">
      <c r="A269" s="4" t="s">
        <v>212</v>
      </c>
      <c r="B269" s="4" t="s">
        <v>191</v>
      </c>
      <c r="C269" s="4" t="s">
        <v>63</v>
      </c>
      <c r="D269" s="4" t="s">
        <v>2089</v>
      </c>
      <c r="E269" s="4" t="s">
        <v>200</v>
      </c>
    </row>
    <row r="270" spans="1:5" ht="31" customHeight="1">
      <c r="A270" s="4" t="s">
        <v>212</v>
      </c>
      <c r="B270" s="4" t="s">
        <v>191</v>
      </c>
      <c r="C270" s="4" t="s">
        <v>64</v>
      </c>
      <c r="D270" s="4" t="s">
        <v>2089</v>
      </c>
      <c r="E270" s="4" t="s">
        <v>200</v>
      </c>
    </row>
    <row r="271" spans="1:5" ht="31" customHeight="1">
      <c r="A271" s="4" t="s">
        <v>212</v>
      </c>
      <c r="B271" s="4" t="s">
        <v>191</v>
      </c>
      <c r="C271" s="4" t="s">
        <v>65</v>
      </c>
      <c r="D271" s="4" t="s">
        <v>2089</v>
      </c>
      <c r="E271" s="4" t="s">
        <v>200</v>
      </c>
    </row>
    <row r="272" spans="1:5" ht="31" customHeight="1">
      <c r="A272" s="4" t="s">
        <v>212</v>
      </c>
      <c r="B272" s="4" t="s">
        <v>191</v>
      </c>
      <c r="C272" s="4" t="s">
        <v>66</v>
      </c>
      <c r="D272" s="4" t="s">
        <v>2093</v>
      </c>
      <c r="E272" s="4" t="s">
        <v>200</v>
      </c>
    </row>
    <row r="273" spans="1:5" ht="31" customHeight="1">
      <c r="A273" s="4" t="s">
        <v>212</v>
      </c>
      <c r="B273" s="4" t="s">
        <v>191</v>
      </c>
      <c r="C273" s="4" t="s">
        <v>67</v>
      </c>
      <c r="D273" s="4" t="s">
        <v>2089</v>
      </c>
      <c r="E273" s="4" t="s">
        <v>200</v>
      </c>
    </row>
    <row r="274" spans="1:5" ht="31" customHeight="1">
      <c r="A274" s="4" t="s">
        <v>212</v>
      </c>
      <c r="B274" s="4" t="s">
        <v>191</v>
      </c>
      <c r="C274" s="4" t="s">
        <v>68</v>
      </c>
      <c r="D274" s="4" t="s">
        <v>2089</v>
      </c>
      <c r="E274" s="4" t="s">
        <v>200</v>
      </c>
    </row>
    <row r="275" spans="1:5" ht="31" customHeight="1">
      <c r="A275" s="4" t="s">
        <v>212</v>
      </c>
      <c r="B275" s="4" t="s">
        <v>191</v>
      </c>
      <c r="C275" s="4" t="s">
        <v>69</v>
      </c>
      <c r="D275" s="4" t="s">
        <v>2090</v>
      </c>
      <c r="E275" s="4" t="s">
        <v>200</v>
      </c>
    </row>
    <row r="276" spans="1:5" ht="31" customHeight="1">
      <c r="A276" s="4" t="s">
        <v>212</v>
      </c>
      <c r="B276" s="4" t="s">
        <v>191</v>
      </c>
      <c r="C276" s="4" t="s">
        <v>70</v>
      </c>
      <c r="D276" s="4" t="s">
        <v>2089</v>
      </c>
      <c r="E276" s="4" t="s">
        <v>200</v>
      </c>
    </row>
    <row r="277" spans="1:5" ht="31" customHeight="1">
      <c r="A277" s="4" t="s">
        <v>212</v>
      </c>
      <c r="B277" s="4" t="s">
        <v>191</v>
      </c>
      <c r="C277" s="4" t="s">
        <v>71</v>
      </c>
      <c r="D277" s="4" t="s">
        <v>2089</v>
      </c>
      <c r="E277" s="4" t="s">
        <v>200</v>
      </c>
    </row>
    <row r="278" spans="1:5" ht="31" customHeight="1">
      <c r="A278" s="4" t="s">
        <v>212</v>
      </c>
      <c r="B278" s="4" t="s">
        <v>191</v>
      </c>
      <c r="C278" s="4" t="s">
        <v>73</v>
      </c>
      <c r="D278" s="4" t="s">
        <v>2089</v>
      </c>
      <c r="E278" s="4" t="s">
        <v>200</v>
      </c>
    </row>
    <row r="279" spans="1:5" ht="31" customHeight="1">
      <c r="A279" s="4" t="s">
        <v>212</v>
      </c>
      <c r="B279" s="4" t="s">
        <v>191</v>
      </c>
      <c r="C279" s="4" t="s">
        <v>75</v>
      </c>
      <c r="D279" s="4" t="s">
        <v>2089</v>
      </c>
      <c r="E279" s="4" t="s">
        <v>200</v>
      </c>
    </row>
    <row r="280" spans="1:5" ht="31" customHeight="1">
      <c r="A280" s="4" t="s">
        <v>212</v>
      </c>
      <c r="B280" s="4" t="s">
        <v>191</v>
      </c>
      <c r="C280" s="4" t="s">
        <v>76</v>
      </c>
      <c r="D280" s="4" t="s">
        <v>2091</v>
      </c>
      <c r="E280" s="4" t="s">
        <v>200</v>
      </c>
    </row>
    <row r="281" spans="1:5" ht="31" customHeight="1">
      <c r="A281" s="4" t="s">
        <v>217</v>
      </c>
      <c r="B281" s="4" t="s">
        <v>191</v>
      </c>
      <c r="C281" s="4" t="s">
        <v>35</v>
      </c>
      <c r="D281" s="4" t="s">
        <v>2088</v>
      </c>
      <c r="E281" s="4" t="s">
        <v>200</v>
      </c>
    </row>
    <row r="282" spans="1:5" ht="31" customHeight="1">
      <c r="A282" s="4" t="s">
        <v>217</v>
      </c>
      <c r="B282" s="4" t="s">
        <v>191</v>
      </c>
      <c r="C282" s="4" t="s">
        <v>37</v>
      </c>
      <c r="D282" s="4" t="s">
        <v>2089</v>
      </c>
      <c r="E282" s="4" t="s">
        <v>200</v>
      </c>
    </row>
    <row r="283" spans="1:5" ht="31" customHeight="1">
      <c r="A283" s="4" t="s">
        <v>217</v>
      </c>
      <c r="B283" s="4" t="s">
        <v>191</v>
      </c>
      <c r="C283" s="4" t="s">
        <v>38</v>
      </c>
      <c r="D283" s="4" t="s">
        <v>2089</v>
      </c>
      <c r="E283" s="4" t="s">
        <v>200</v>
      </c>
    </row>
    <row r="284" spans="1:5" ht="31" customHeight="1">
      <c r="A284" s="4" t="s">
        <v>217</v>
      </c>
      <c r="B284" s="4" t="s">
        <v>191</v>
      </c>
      <c r="C284" s="4" t="s">
        <v>39</v>
      </c>
      <c r="D284" s="4" t="s">
        <v>2089</v>
      </c>
      <c r="E284" s="4" t="s">
        <v>200</v>
      </c>
    </row>
    <row r="285" spans="1:5" ht="31" customHeight="1">
      <c r="A285" s="4" t="s">
        <v>217</v>
      </c>
      <c r="B285" s="4" t="s">
        <v>191</v>
      </c>
      <c r="C285" s="4" t="s">
        <v>56</v>
      </c>
      <c r="D285" s="4" t="s">
        <v>2089</v>
      </c>
      <c r="E285" s="4" t="s">
        <v>200</v>
      </c>
    </row>
    <row r="286" spans="1:5" ht="31" customHeight="1">
      <c r="A286" s="4" t="s">
        <v>217</v>
      </c>
      <c r="B286" s="4" t="s">
        <v>191</v>
      </c>
      <c r="C286" s="4" t="s">
        <v>57</v>
      </c>
      <c r="D286" s="4" t="s">
        <v>2092</v>
      </c>
      <c r="E286" s="4" t="s">
        <v>200</v>
      </c>
    </row>
    <row r="287" spans="1:5" ht="31" customHeight="1">
      <c r="A287" s="4" t="s">
        <v>217</v>
      </c>
      <c r="B287" s="4" t="s">
        <v>191</v>
      </c>
      <c r="C287" s="4" t="s">
        <v>58</v>
      </c>
      <c r="D287" s="4" t="s">
        <v>2092</v>
      </c>
      <c r="E287" s="4" t="s">
        <v>200</v>
      </c>
    </row>
    <row r="288" spans="1:5" ht="31" customHeight="1">
      <c r="A288" s="4" t="s">
        <v>217</v>
      </c>
      <c r="B288" s="4" t="s">
        <v>191</v>
      </c>
      <c r="C288" s="4" t="s">
        <v>59</v>
      </c>
      <c r="D288" s="4" t="s">
        <v>2089</v>
      </c>
      <c r="E288" s="4" t="s">
        <v>200</v>
      </c>
    </row>
    <row r="289" spans="1:5" ht="31" customHeight="1">
      <c r="A289" s="4" t="s">
        <v>217</v>
      </c>
      <c r="B289" s="4" t="s">
        <v>191</v>
      </c>
      <c r="C289" s="4" t="s">
        <v>60</v>
      </c>
      <c r="D289" s="4" t="s">
        <v>2089</v>
      </c>
      <c r="E289" s="4" t="s">
        <v>200</v>
      </c>
    </row>
    <row r="290" spans="1:5" ht="31" customHeight="1">
      <c r="A290" s="4" t="s">
        <v>217</v>
      </c>
      <c r="B290" s="4" t="s">
        <v>191</v>
      </c>
      <c r="C290" s="4" t="s">
        <v>61</v>
      </c>
      <c r="D290" s="4" t="s">
        <v>2089</v>
      </c>
      <c r="E290" s="4" t="s">
        <v>200</v>
      </c>
    </row>
    <row r="291" spans="1:5" ht="31" customHeight="1">
      <c r="A291" s="4" t="s">
        <v>217</v>
      </c>
      <c r="B291" s="4" t="s">
        <v>191</v>
      </c>
      <c r="C291" s="4" t="s">
        <v>62</v>
      </c>
      <c r="D291" s="4" t="s">
        <v>2089</v>
      </c>
      <c r="E291" s="4" t="s">
        <v>200</v>
      </c>
    </row>
    <row r="292" spans="1:5" ht="31" customHeight="1">
      <c r="A292" s="4" t="s">
        <v>217</v>
      </c>
      <c r="B292" s="4" t="s">
        <v>191</v>
      </c>
      <c r="C292" s="4" t="s">
        <v>67</v>
      </c>
      <c r="D292" s="4" t="s">
        <v>2089</v>
      </c>
      <c r="E292" s="4" t="s">
        <v>200</v>
      </c>
    </row>
    <row r="293" spans="1:5" ht="31" customHeight="1">
      <c r="A293" s="4" t="s">
        <v>217</v>
      </c>
      <c r="B293" s="4" t="s">
        <v>191</v>
      </c>
      <c r="C293" s="4" t="s">
        <v>68</v>
      </c>
      <c r="D293" s="4" t="s">
        <v>2089</v>
      </c>
      <c r="E293" s="4" t="s">
        <v>200</v>
      </c>
    </row>
    <row r="294" spans="1:5" ht="31" customHeight="1">
      <c r="A294" s="4" t="s">
        <v>217</v>
      </c>
      <c r="B294" s="4" t="s">
        <v>191</v>
      </c>
      <c r="C294" s="4" t="s">
        <v>70</v>
      </c>
      <c r="D294" s="4" t="s">
        <v>2089</v>
      </c>
      <c r="E294" s="4" t="s">
        <v>200</v>
      </c>
    </row>
    <row r="295" spans="1:5" ht="31" customHeight="1">
      <c r="A295" s="4" t="s">
        <v>217</v>
      </c>
      <c r="B295" s="4" t="s">
        <v>191</v>
      </c>
      <c r="C295" s="4" t="s">
        <v>71</v>
      </c>
      <c r="D295" s="4" t="s">
        <v>2089</v>
      </c>
      <c r="E295" s="4" t="s">
        <v>200</v>
      </c>
    </row>
    <row r="296" spans="1:5" ht="31" customHeight="1">
      <c r="A296" s="4" t="s">
        <v>217</v>
      </c>
      <c r="B296" s="4" t="s">
        <v>191</v>
      </c>
      <c r="C296" s="4" t="s">
        <v>75</v>
      </c>
      <c r="D296" s="4" t="s">
        <v>2089</v>
      </c>
      <c r="E296" s="4" t="s">
        <v>200</v>
      </c>
    </row>
    <row r="297" spans="1:5" ht="31" customHeight="1">
      <c r="A297" s="4" t="s">
        <v>217</v>
      </c>
      <c r="B297" s="4" t="s">
        <v>191</v>
      </c>
      <c r="C297" s="4" t="s">
        <v>76</v>
      </c>
      <c r="D297" s="4" t="s">
        <v>2091</v>
      </c>
      <c r="E297" s="4" t="s">
        <v>200</v>
      </c>
    </row>
    <row r="298" spans="1:5" ht="31" customHeight="1">
      <c r="A298" s="4" t="s">
        <v>222</v>
      </c>
      <c r="B298" s="4" t="s">
        <v>191</v>
      </c>
      <c r="C298" s="4" t="s">
        <v>35</v>
      </c>
      <c r="D298" s="4" t="s">
        <v>2088</v>
      </c>
      <c r="E298" s="4" t="s">
        <v>200</v>
      </c>
    </row>
    <row r="299" spans="1:5" ht="31" customHeight="1">
      <c r="A299" s="4" t="s">
        <v>222</v>
      </c>
      <c r="B299" s="4" t="s">
        <v>191</v>
      </c>
      <c r="C299" s="4" t="s">
        <v>37</v>
      </c>
      <c r="D299" s="4" t="s">
        <v>2089</v>
      </c>
      <c r="E299" s="4" t="s">
        <v>200</v>
      </c>
    </row>
    <row r="300" spans="1:5" ht="31" customHeight="1">
      <c r="A300" s="4" t="s">
        <v>222</v>
      </c>
      <c r="B300" s="4" t="s">
        <v>191</v>
      </c>
      <c r="C300" s="4" t="s">
        <v>38</v>
      </c>
      <c r="D300" s="4" t="s">
        <v>2089</v>
      </c>
      <c r="E300" s="4" t="s">
        <v>200</v>
      </c>
    </row>
    <row r="301" spans="1:5" ht="31" customHeight="1">
      <c r="A301" s="4" t="s">
        <v>222</v>
      </c>
      <c r="B301" s="4" t="s">
        <v>191</v>
      </c>
      <c r="C301" s="4" t="s">
        <v>39</v>
      </c>
      <c r="D301" s="4" t="s">
        <v>2089</v>
      </c>
      <c r="E301" s="4" t="s">
        <v>200</v>
      </c>
    </row>
    <row r="302" spans="1:5" ht="31" customHeight="1">
      <c r="A302" s="4" t="s">
        <v>222</v>
      </c>
      <c r="B302" s="4" t="s">
        <v>191</v>
      </c>
      <c r="C302" s="4" t="s">
        <v>56</v>
      </c>
      <c r="D302" s="4" t="s">
        <v>2089</v>
      </c>
      <c r="E302" s="4" t="s">
        <v>200</v>
      </c>
    </row>
    <row r="303" spans="1:5" ht="31" customHeight="1">
      <c r="A303" s="4" t="s">
        <v>222</v>
      </c>
      <c r="B303" s="4" t="s">
        <v>191</v>
      </c>
      <c r="C303" s="4" t="s">
        <v>57</v>
      </c>
      <c r="D303" s="4" t="s">
        <v>2092</v>
      </c>
      <c r="E303" s="4" t="s">
        <v>200</v>
      </c>
    </row>
    <row r="304" spans="1:5" ht="31" customHeight="1">
      <c r="A304" s="4" t="s">
        <v>222</v>
      </c>
      <c r="B304" s="4" t="s">
        <v>191</v>
      </c>
      <c r="C304" s="4" t="s">
        <v>58</v>
      </c>
      <c r="D304" s="4" t="s">
        <v>2092</v>
      </c>
      <c r="E304" s="4" t="s">
        <v>200</v>
      </c>
    </row>
    <row r="305" spans="1:5" ht="31" customHeight="1">
      <c r="A305" s="4" t="s">
        <v>222</v>
      </c>
      <c r="B305" s="4" t="s">
        <v>191</v>
      </c>
      <c r="C305" s="4" t="s">
        <v>59</v>
      </c>
      <c r="D305" s="4" t="s">
        <v>2089</v>
      </c>
      <c r="E305" s="4" t="s">
        <v>200</v>
      </c>
    </row>
    <row r="306" spans="1:5" ht="31" customHeight="1">
      <c r="A306" s="4" t="s">
        <v>222</v>
      </c>
      <c r="B306" s="4" t="s">
        <v>191</v>
      </c>
      <c r="C306" s="4" t="s">
        <v>60</v>
      </c>
      <c r="D306" s="4" t="s">
        <v>2089</v>
      </c>
      <c r="E306" s="4" t="s">
        <v>200</v>
      </c>
    </row>
    <row r="307" spans="1:5" ht="31" customHeight="1">
      <c r="A307" s="4" t="s">
        <v>222</v>
      </c>
      <c r="B307" s="4" t="s">
        <v>191</v>
      </c>
      <c r="C307" s="4" t="s">
        <v>61</v>
      </c>
      <c r="D307" s="4" t="s">
        <v>2089</v>
      </c>
      <c r="E307" s="4" t="s">
        <v>200</v>
      </c>
    </row>
    <row r="308" spans="1:5" ht="31" customHeight="1">
      <c r="A308" s="4" t="s">
        <v>222</v>
      </c>
      <c r="B308" s="4" t="s">
        <v>191</v>
      </c>
      <c r="C308" s="4" t="s">
        <v>62</v>
      </c>
      <c r="D308" s="4" t="s">
        <v>2089</v>
      </c>
      <c r="E308" s="4" t="s">
        <v>200</v>
      </c>
    </row>
    <row r="309" spans="1:5" ht="31" customHeight="1">
      <c r="A309" s="4" t="s">
        <v>222</v>
      </c>
      <c r="B309" s="4" t="s">
        <v>191</v>
      </c>
      <c r="C309" s="4" t="s">
        <v>64</v>
      </c>
      <c r="D309" s="4" t="s">
        <v>2089</v>
      </c>
      <c r="E309" s="4" t="s">
        <v>200</v>
      </c>
    </row>
    <row r="310" spans="1:5" ht="31" customHeight="1">
      <c r="A310" s="4" t="s">
        <v>222</v>
      </c>
      <c r="B310" s="4" t="s">
        <v>191</v>
      </c>
      <c r="C310" s="4" t="s">
        <v>66</v>
      </c>
      <c r="D310" s="4" t="s">
        <v>2093</v>
      </c>
      <c r="E310" s="4" t="s">
        <v>200</v>
      </c>
    </row>
    <row r="311" spans="1:5" ht="31" customHeight="1">
      <c r="A311" s="4" t="s">
        <v>222</v>
      </c>
      <c r="B311" s="4" t="s">
        <v>191</v>
      </c>
      <c r="C311" s="4" t="s">
        <v>67</v>
      </c>
      <c r="D311" s="4" t="s">
        <v>2089</v>
      </c>
      <c r="E311" s="4" t="s">
        <v>200</v>
      </c>
    </row>
    <row r="312" spans="1:5" ht="31" customHeight="1">
      <c r="A312" s="4" t="s">
        <v>222</v>
      </c>
      <c r="B312" s="4" t="s">
        <v>191</v>
      </c>
      <c r="C312" s="4" t="s">
        <v>68</v>
      </c>
      <c r="D312" s="4" t="s">
        <v>2089</v>
      </c>
      <c r="E312" s="4" t="s">
        <v>200</v>
      </c>
    </row>
    <row r="313" spans="1:5" ht="31" customHeight="1">
      <c r="A313" s="4" t="s">
        <v>222</v>
      </c>
      <c r="B313" s="4" t="s">
        <v>191</v>
      </c>
      <c r="C313" s="4" t="s">
        <v>69</v>
      </c>
      <c r="D313" s="4" t="s">
        <v>2090</v>
      </c>
      <c r="E313" s="4" t="s">
        <v>200</v>
      </c>
    </row>
    <row r="314" spans="1:5" ht="31" customHeight="1">
      <c r="A314" s="4" t="s">
        <v>222</v>
      </c>
      <c r="B314" s="4" t="s">
        <v>191</v>
      </c>
      <c r="C314" s="4" t="s">
        <v>70</v>
      </c>
      <c r="D314" s="4" t="s">
        <v>2089</v>
      </c>
      <c r="E314" s="4" t="s">
        <v>200</v>
      </c>
    </row>
    <row r="315" spans="1:5" ht="31" customHeight="1">
      <c r="A315" s="4" t="s">
        <v>222</v>
      </c>
      <c r="B315" s="4" t="s">
        <v>191</v>
      </c>
      <c r="C315" s="4" t="s">
        <v>71</v>
      </c>
      <c r="D315" s="4" t="s">
        <v>2089</v>
      </c>
      <c r="E315" s="4" t="s">
        <v>200</v>
      </c>
    </row>
    <row r="316" spans="1:5" ht="31" customHeight="1">
      <c r="A316" s="4" t="s">
        <v>222</v>
      </c>
      <c r="B316" s="4" t="s">
        <v>191</v>
      </c>
      <c r="C316" s="4" t="s">
        <v>75</v>
      </c>
      <c r="D316" s="4" t="s">
        <v>2089</v>
      </c>
      <c r="E316" s="4" t="s">
        <v>200</v>
      </c>
    </row>
    <row r="317" spans="1:5" ht="31" customHeight="1">
      <c r="A317" s="4" t="s">
        <v>222</v>
      </c>
      <c r="B317" s="4" t="s">
        <v>191</v>
      </c>
      <c r="C317" s="4" t="s">
        <v>76</v>
      </c>
      <c r="D317" s="4" t="s">
        <v>2091</v>
      </c>
      <c r="E317" s="4" t="s">
        <v>200</v>
      </c>
    </row>
    <row r="318" spans="1:5" ht="31" customHeight="1">
      <c r="A318" s="4" t="s">
        <v>225</v>
      </c>
      <c r="B318" s="4" t="s">
        <v>191</v>
      </c>
      <c r="C318" s="4" t="s">
        <v>35</v>
      </c>
      <c r="D318" s="4" t="s">
        <v>2088</v>
      </c>
      <c r="E318" s="4" t="s">
        <v>200</v>
      </c>
    </row>
    <row r="319" spans="1:5" ht="31" customHeight="1">
      <c r="A319" s="4" t="s">
        <v>225</v>
      </c>
      <c r="B319" s="4" t="s">
        <v>191</v>
      </c>
      <c r="C319" s="4" t="s">
        <v>37</v>
      </c>
      <c r="D319" s="4" t="s">
        <v>2089</v>
      </c>
      <c r="E319" s="4" t="s">
        <v>200</v>
      </c>
    </row>
    <row r="320" spans="1:5" ht="31" customHeight="1">
      <c r="A320" s="4" t="s">
        <v>225</v>
      </c>
      <c r="B320" s="4" t="s">
        <v>191</v>
      </c>
      <c r="C320" s="4" t="s">
        <v>38</v>
      </c>
      <c r="D320" s="4" t="s">
        <v>2089</v>
      </c>
      <c r="E320" s="4" t="s">
        <v>200</v>
      </c>
    </row>
    <row r="321" spans="1:5" ht="31" customHeight="1">
      <c r="A321" s="4" t="s">
        <v>225</v>
      </c>
      <c r="B321" s="4" t="s">
        <v>191</v>
      </c>
      <c r="C321" s="4" t="s">
        <v>39</v>
      </c>
      <c r="D321" s="4" t="s">
        <v>2089</v>
      </c>
      <c r="E321" s="4" t="s">
        <v>200</v>
      </c>
    </row>
    <row r="322" spans="1:5" ht="31" customHeight="1">
      <c r="A322" s="4" t="s">
        <v>225</v>
      </c>
      <c r="B322" s="4" t="s">
        <v>191</v>
      </c>
      <c r="C322" s="4" t="s">
        <v>56</v>
      </c>
      <c r="D322" s="4" t="s">
        <v>2089</v>
      </c>
      <c r="E322" s="4" t="s">
        <v>200</v>
      </c>
    </row>
    <row r="323" spans="1:5" ht="31" customHeight="1">
      <c r="A323" s="4" t="s">
        <v>225</v>
      </c>
      <c r="B323" s="4" t="s">
        <v>191</v>
      </c>
      <c r="C323" s="4" t="s">
        <v>57</v>
      </c>
      <c r="D323" s="4" t="s">
        <v>2092</v>
      </c>
      <c r="E323" s="4" t="s">
        <v>200</v>
      </c>
    </row>
    <row r="324" spans="1:5" ht="31" customHeight="1">
      <c r="A324" s="4" t="s">
        <v>225</v>
      </c>
      <c r="B324" s="4" t="s">
        <v>191</v>
      </c>
      <c r="C324" s="4" t="s">
        <v>58</v>
      </c>
      <c r="D324" s="4" t="s">
        <v>2092</v>
      </c>
      <c r="E324" s="4" t="s">
        <v>200</v>
      </c>
    </row>
    <row r="325" spans="1:5" ht="31" customHeight="1">
      <c r="A325" s="4" t="s">
        <v>225</v>
      </c>
      <c r="B325" s="4" t="s">
        <v>191</v>
      </c>
      <c r="C325" s="4" t="s">
        <v>59</v>
      </c>
      <c r="D325" s="4" t="s">
        <v>2089</v>
      </c>
      <c r="E325" s="4" t="s">
        <v>200</v>
      </c>
    </row>
    <row r="326" spans="1:5" ht="31" customHeight="1">
      <c r="A326" s="4" t="s">
        <v>225</v>
      </c>
      <c r="B326" s="4" t="s">
        <v>191</v>
      </c>
      <c r="C326" s="4" t="s">
        <v>60</v>
      </c>
      <c r="D326" s="4" t="s">
        <v>2089</v>
      </c>
      <c r="E326" s="4" t="s">
        <v>200</v>
      </c>
    </row>
    <row r="327" spans="1:5" ht="31" customHeight="1">
      <c r="A327" s="4" t="s">
        <v>225</v>
      </c>
      <c r="B327" s="4" t="s">
        <v>191</v>
      </c>
      <c r="C327" s="4" t="s">
        <v>61</v>
      </c>
      <c r="D327" s="4" t="s">
        <v>2089</v>
      </c>
      <c r="E327" s="4" t="s">
        <v>200</v>
      </c>
    </row>
    <row r="328" spans="1:5" ht="31" customHeight="1">
      <c r="A328" s="4" t="s">
        <v>225</v>
      </c>
      <c r="B328" s="4" t="s">
        <v>191</v>
      </c>
      <c r="C328" s="4" t="s">
        <v>62</v>
      </c>
      <c r="D328" s="4" t="s">
        <v>2089</v>
      </c>
      <c r="E328" s="4" t="s">
        <v>200</v>
      </c>
    </row>
    <row r="329" spans="1:5" ht="31" customHeight="1">
      <c r="A329" s="4" t="s">
        <v>225</v>
      </c>
      <c r="B329" s="4" t="s">
        <v>191</v>
      </c>
      <c r="C329" s="4" t="s">
        <v>67</v>
      </c>
      <c r="D329" s="4" t="s">
        <v>2089</v>
      </c>
      <c r="E329" s="4" t="s">
        <v>200</v>
      </c>
    </row>
    <row r="330" spans="1:5" ht="31" customHeight="1">
      <c r="A330" s="4" t="s">
        <v>225</v>
      </c>
      <c r="B330" s="4" t="s">
        <v>191</v>
      </c>
      <c r="C330" s="4" t="s">
        <v>68</v>
      </c>
      <c r="D330" s="4" t="s">
        <v>2089</v>
      </c>
      <c r="E330" s="4" t="s">
        <v>200</v>
      </c>
    </row>
    <row r="331" spans="1:5" ht="31" customHeight="1">
      <c r="A331" s="4" t="s">
        <v>225</v>
      </c>
      <c r="B331" s="4" t="s">
        <v>191</v>
      </c>
      <c r="C331" s="4" t="s">
        <v>69</v>
      </c>
      <c r="D331" s="4" t="s">
        <v>2090</v>
      </c>
      <c r="E331" s="4" t="s">
        <v>200</v>
      </c>
    </row>
    <row r="332" spans="1:5" ht="31" customHeight="1">
      <c r="A332" s="4" t="s">
        <v>225</v>
      </c>
      <c r="B332" s="4" t="s">
        <v>191</v>
      </c>
      <c r="C332" s="4" t="s">
        <v>70</v>
      </c>
      <c r="D332" s="4" t="s">
        <v>2089</v>
      </c>
      <c r="E332" s="4" t="s">
        <v>200</v>
      </c>
    </row>
    <row r="333" spans="1:5" ht="31" customHeight="1">
      <c r="A333" s="4" t="s">
        <v>225</v>
      </c>
      <c r="B333" s="4" t="s">
        <v>191</v>
      </c>
      <c r="C333" s="4" t="s">
        <v>71</v>
      </c>
      <c r="D333" s="4" t="s">
        <v>2089</v>
      </c>
      <c r="E333" s="4" t="s">
        <v>200</v>
      </c>
    </row>
    <row r="334" spans="1:5" ht="31" customHeight="1">
      <c r="A334" s="4" t="s">
        <v>225</v>
      </c>
      <c r="B334" s="4" t="s">
        <v>191</v>
      </c>
      <c r="C334" s="4" t="s">
        <v>75</v>
      </c>
      <c r="D334" s="4" t="s">
        <v>2089</v>
      </c>
      <c r="E334" s="4" t="s">
        <v>200</v>
      </c>
    </row>
    <row r="335" spans="1:5" ht="31" customHeight="1">
      <c r="A335" s="4" t="s">
        <v>225</v>
      </c>
      <c r="B335" s="4" t="s">
        <v>191</v>
      </c>
      <c r="C335" s="4" t="s">
        <v>76</v>
      </c>
      <c r="D335" s="4" t="s">
        <v>2091</v>
      </c>
      <c r="E335" s="4" t="s">
        <v>200</v>
      </c>
    </row>
    <row r="336" spans="1:5" ht="31" customHeight="1">
      <c r="A336" s="4" t="s">
        <v>229</v>
      </c>
      <c r="B336" s="4" t="s">
        <v>191</v>
      </c>
      <c r="C336" s="4" t="s">
        <v>35</v>
      </c>
      <c r="D336" s="4" t="s">
        <v>2088</v>
      </c>
      <c r="E336" s="4" t="s">
        <v>200</v>
      </c>
    </row>
    <row r="337" spans="1:5" ht="31" customHeight="1">
      <c r="A337" s="4" t="s">
        <v>229</v>
      </c>
      <c r="B337" s="4" t="s">
        <v>191</v>
      </c>
      <c r="C337" s="4" t="s">
        <v>37</v>
      </c>
      <c r="D337" s="4" t="s">
        <v>2089</v>
      </c>
      <c r="E337" s="4" t="s">
        <v>200</v>
      </c>
    </row>
    <row r="338" spans="1:5" ht="31" customHeight="1">
      <c r="A338" s="4" t="s">
        <v>229</v>
      </c>
      <c r="B338" s="4" t="s">
        <v>191</v>
      </c>
      <c r="C338" s="4" t="s">
        <v>38</v>
      </c>
      <c r="D338" s="4" t="s">
        <v>2089</v>
      </c>
      <c r="E338" s="4" t="s">
        <v>200</v>
      </c>
    </row>
    <row r="339" spans="1:5" ht="31" customHeight="1">
      <c r="A339" s="4" t="s">
        <v>229</v>
      </c>
      <c r="B339" s="4" t="s">
        <v>191</v>
      </c>
      <c r="C339" s="4" t="s">
        <v>39</v>
      </c>
      <c r="D339" s="4" t="s">
        <v>2089</v>
      </c>
      <c r="E339" s="4" t="s">
        <v>200</v>
      </c>
    </row>
    <row r="340" spans="1:5" ht="31" customHeight="1">
      <c r="A340" s="4" t="s">
        <v>229</v>
      </c>
      <c r="B340" s="4" t="s">
        <v>191</v>
      </c>
      <c r="C340" s="4" t="s">
        <v>56</v>
      </c>
      <c r="D340" s="4" t="s">
        <v>2089</v>
      </c>
      <c r="E340" s="4" t="s">
        <v>200</v>
      </c>
    </row>
    <row r="341" spans="1:5" ht="31" customHeight="1">
      <c r="A341" s="4" t="s">
        <v>229</v>
      </c>
      <c r="B341" s="4" t="s">
        <v>191</v>
      </c>
      <c r="C341" s="4" t="s">
        <v>57</v>
      </c>
      <c r="D341" s="4" t="s">
        <v>2092</v>
      </c>
      <c r="E341" s="4" t="s">
        <v>200</v>
      </c>
    </row>
    <row r="342" spans="1:5" ht="31" customHeight="1">
      <c r="A342" s="4" t="s">
        <v>229</v>
      </c>
      <c r="B342" s="4" t="s">
        <v>191</v>
      </c>
      <c r="C342" s="4" t="s">
        <v>58</v>
      </c>
      <c r="D342" s="4" t="s">
        <v>2092</v>
      </c>
      <c r="E342" s="4" t="s">
        <v>200</v>
      </c>
    </row>
    <row r="343" spans="1:5" ht="31" customHeight="1">
      <c r="A343" s="4" t="s">
        <v>229</v>
      </c>
      <c r="B343" s="4" t="s">
        <v>191</v>
      </c>
      <c r="C343" s="4" t="s">
        <v>59</v>
      </c>
      <c r="D343" s="4" t="s">
        <v>2089</v>
      </c>
      <c r="E343" s="4" t="s">
        <v>200</v>
      </c>
    </row>
    <row r="344" spans="1:5" ht="31" customHeight="1">
      <c r="A344" s="4" t="s">
        <v>229</v>
      </c>
      <c r="B344" s="4" t="s">
        <v>191</v>
      </c>
      <c r="C344" s="4" t="s">
        <v>60</v>
      </c>
      <c r="D344" s="4" t="s">
        <v>2089</v>
      </c>
      <c r="E344" s="4" t="s">
        <v>200</v>
      </c>
    </row>
    <row r="345" spans="1:5" ht="31" customHeight="1">
      <c r="A345" s="4" t="s">
        <v>229</v>
      </c>
      <c r="B345" s="4" t="s">
        <v>191</v>
      </c>
      <c r="C345" s="4" t="s">
        <v>61</v>
      </c>
      <c r="D345" s="4" t="s">
        <v>2089</v>
      </c>
      <c r="E345" s="4" t="s">
        <v>200</v>
      </c>
    </row>
    <row r="346" spans="1:5" ht="31" customHeight="1">
      <c r="A346" s="4" t="s">
        <v>229</v>
      </c>
      <c r="B346" s="4" t="s">
        <v>191</v>
      </c>
      <c r="C346" s="4" t="s">
        <v>62</v>
      </c>
      <c r="D346" s="4" t="s">
        <v>2089</v>
      </c>
      <c r="E346" s="4" t="s">
        <v>200</v>
      </c>
    </row>
    <row r="347" spans="1:5" ht="31" customHeight="1">
      <c r="A347" s="4" t="s">
        <v>229</v>
      </c>
      <c r="B347" s="4" t="s">
        <v>191</v>
      </c>
      <c r="C347" s="4" t="s">
        <v>67</v>
      </c>
      <c r="D347" s="4" t="s">
        <v>2089</v>
      </c>
      <c r="E347" s="4" t="s">
        <v>200</v>
      </c>
    </row>
    <row r="348" spans="1:5" ht="31" customHeight="1">
      <c r="A348" s="4" t="s">
        <v>229</v>
      </c>
      <c r="B348" s="4" t="s">
        <v>191</v>
      </c>
      <c r="C348" s="4" t="s">
        <v>68</v>
      </c>
      <c r="D348" s="4" t="s">
        <v>2089</v>
      </c>
      <c r="E348" s="4" t="s">
        <v>200</v>
      </c>
    </row>
    <row r="349" spans="1:5" ht="31" customHeight="1">
      <c r="A349" s="4" t="s">
        <v>229</v>
      </c>
      <c r="B349" s="4" t="s">
        <v>191</v>
      </c>
      <c r="C349" s="4" t="s">
        <v>70</v>
      </c>
      <c r="D349" s="4" t="s">
        <v>2089</v>
      </c>
      <c r="E349" s="4" t="s">
        <v>200</v>
      </c>
    </row>
    <row r="350" spans="1:5" ht="31" customHeight="1">
      <c r="A350" s="4" t="s">
        <v>229</v>
      </c>
      <c r="B350" s="4" t="s">
        <v>191</v>
      </c>
      <c r="C350" s="4" t="s">
        <v>71</v>
      </c>
      <c r="D350" s="4" t="s">
        <v>2089</v>
      </c>
      <c r="E350" s="4" t="s">
        <v>200</v>
      </c>
    </row>
    <row r="351" spans="1:5" ht="31" customHeight="1">
      <c r="A351" s="4" t="s">
        <v>229</v>
      </c>
      <c r="B351" s="4" t="s">
        <v>191</v>
      </c>
      <c r="C351" s="4" t="s">
        <v>75</v>
      </c>
      <c r="D351" s="4" t="s">
        <v>2089</v>
      </c>
      <c r="E351" s="4" t="s">
        <v>200</v>
      </c>
    </row>
    <row r="352" spans="1:5" ht="31" customHeight="1">
      <c r="A352" s="4" t="s">
        <v>229</v>
      </c>
      <c r="B352" s="4" t="s">
        <v>191</v>
      </c>
      <c r="C352" s="4" t="s">
        <v>76</v>
      </c>
      <c r="D352" s="4" t="s">
        <v>2091</v>
      </c>
      <c r="E352" s="4" t="s">
        <v>200</v>
      </c>
    </row>
    <row r="353" spans="1:5" ht="31" customHeight="1">
      <c r="A353" s="4" t="s">
        <v>231</v>
      </c>
      <c r="B353" s="4" t="s">
        <v>191</v>
      </c>
      <c r="C353" s="4" t="s">
        <v>35</v>
      </c>
      <c r="D353" s="4" t="s">
        <v>2088</v>
      </c>
      <c r="E353" s="4" t="s">
        <v>200</v>
      </c>
    </row>
    <row r="354" spans="1:5" ht="31" customHeight="1">
      <c r="A354" s="4" t="s">
        <v>231</v>
      </c>
      <c r="B354" s="4" t="s">
        <v>191</v>
      </c>
      <c r="C354" s="4" t="s">
        <v>37</v>
      </c>
      <c r="D354" s="4" t="s">
        <v>2089</v>
      </c>
      <c r="E354" s="4" t="s">
        <v>200</v>
      </c>
    </row>
    <row r="355" spans="1:5" ht="31" customHeight="1">
      <c r="A355" s="4" t="s">
        <v>231</v>
      </c>
      <c r="B355" s="4" t="s">
        <v>191</v>
      </c>
      <c r="C355" s="4" t="s">
        <v>38</v>
      </c>
      <c r="D355" s="4" t="s">
        <v>2089</v>
      </c>
      <c r="E355" s="4" t="s">
        <v>200</v>
      </c>
    </row>
    <row r="356" spans="1:5" ht="31" customHeight="1">
      <c r="A356" s="4" t="s">
        <v>231</v>
      </c>
      <c r="B356" s="4" t="s">
        <v>191</v>
      </c>
      <c r="C356" s="4" t="s">
        <v>39</v>
      </c>
      <c r="D356" s="4" t="s">
        <v>2089</v>
      </c>
      <c r="E356" s="4" t="s">
        <v>200</v>
      </c>
    </row>
    <row r="357" spans="1:5" ht="31" customHeight="1">
      <c r="A357" s="4" t="s">
        <v>231</v>
      </c>
      <c r="B357" s="4" t="s">
        <v>191</v>
      </c>
      <c r="C357" s="4" t="s">
        <v>56</v>
      </c>
      <c r="D357" s="4" t="s">
        <v>2089</v>
      </c>
      <c r="E357" s="4" t="s">
        <v>200</v>
      </c>
    </row>
    <row r="358" spans="1:5" ht="31" customHeight="1">
      <c r="A358" s="4" t="s">
        <v>231</v>
      </c>
      <c r="B358" s="4" t="s">
        <v>191</v>
      </c>
      <c r="C358" s="4" t="s">
        <v>57</v>
      </c>
      <c r="D358" s="4" t="s">
        <v>2092</v>
      </c>
      <c r="E358" s="4" t="s">
        <v>200</v>
      </c>
    </row>
    <row r="359" spans="1:5" ht="31" customHeight="1">
      <c r="A359" s="4" t="s">
        <v>231</v>
      </c>
      <c r="B359" s="4" t="s">
        <v>191</v>
      </c>
      <c r="C359" s="4" t="s">
        <v>58</v>
      </c>
      <c r="D359" s="4" t="s">
        <v>2092</v>
      </c>
      <c r="E359" s="4" t="s">
        <v>200</v>
      </c>
    </row>
    <row r="360" spans="1:5" ht="31" customHeight="1">
      <c r="A360" s="4" t="s">
        <v>231</v>
      </c>
      <c r="B360" s="4" t="s">
        <v>191</v>
      </c>
      <c r="C360" s="4" t="s">
        <v>59</v>
      </c>
      <c r="D360" s="4" t="s">
        <v>2089</v>
      </c>
      <c r="E360" s="4" t="s">
        <v>200</v>
      </c>
    </row>
    <row r="361" spans="1:5" ht="31" customHeight="1">
      <c r="A361" s="4" t="s">
        <v>231</v>
      </c>
      <c r="B361" s="4" t="s">
        <v>191</v>
      </c>
      <c r="C361" s="4" t="s">
        <v>60</v>
      </c>
      <c r="D361" s="4" t="s">
        <v>2089</v>
      </c>
      <c r="E361" s="4" t="s">
        <v>200</v>
      </c>
    </row>
    <row r="362" spans="1:5" ht="31" customHeight="1">
      <c r="A362" s="4" t="s">
        <v>231</v>
      </c>
      <c r="B362" s="4" t="s">
        <v>191</v>
      </c>
      <c r="C362" s="4" t="s">
        <v>61</v>
      </c>
      <c r="D362" s="4" t="s">
        <v>2089</v>
      </c>
      <c r="E362" s="4" t="s">
        <v>200</v>
      </c>
    </row>
    <row r="363" spans="1:5" ht="31" customHeight="1">
      <c r="A363" s="4" t="s">
        <v>231</v>
      </c>
      <c r="B363" s="4" t="s">
        <v>191</v>
      </c>
      <c r="C363" s="4" t="s">
        <v>62</v>
      </c>
      <c r="D363" s="4" t="s">
        <v>2089</v>
      </c>
      <c r="E363" s="4" t="s">
        <v>200</v>
      </c>
    </row>
    <row r="364" spans="1:5" ht="31" customHeight="1">
      <c r="A364" s="4" t="s">
        <v>231</v>
      </c>
      <c r="B364" s="4" t="s">
        <v>191</v>
      </c>
      <c r="C364" s="4" t="s">
        <v>67</v>
      </c>
      <c r="D364" s="4" t="s">
        <v>2089</v>
      </c>
      <c r="E364" s="4" t="s">
        <v>200</v>
      </c>
    </row>
    <row r="365" spans="1:5" ht="31" customHeight="1">
      <c r="A365" s="4" t="s">
        <v>231</v>
      </c>
      <c r="B365" s="4" t="s">
        <v>191</v>
      </c>
      <c r="C365" s="4" t="s">
        <v>68</v>
      </c>
      <c r="D365" s="4" t="s">
        <v>2089</v>
      </c>
      <c r="E365" s="4" t="s">
        <v>200</v>
      </c>
    </row>
    <row r="366" spans="1:5" ht="31" customHeight="1">
      <c r="A366" s="4" t="s">
        <v>231</v>
      </c>
      <c r="B366" s="4" t="s">
        <v>191</v>
      </c>
      <c r="C366" s="4" t="s">
        <v>70</v>
      </c>
      <c r="D366" s="4" t="s">
        <v>2089</v>
      </c>
      <c r="E366" s="4" t="s">
        <v>200</v>
      </c>
    </row>
    <row r="367" spans="1:5" ht="31" customHeight="1">
      <c r="A367" s="4" t="s">
        <v>231</v>
      </c>
      <c r="B367" s="4" t="s">
        <v>191</v>
      </c>
      <c r="C367" s="4" t="s">
        <v>71</v>
      </c>
      <c r="D367" s="4" t="s">
        <v>2089</v>
      </c>
      <c r="E367" s="4" t="s">
        <v>200</v>
      </c>
    </row>
    <row r="368" spans="1:5" ht="31" customHeight="1">
      <c r="A368" s="4" t="s">
        <v>231</v>
      </c>
      <c r="B368" s="4" t="s">
        <v>191</v>
      </c>
      <c r="C368" s="4" t="s">
        <v>75</v>
      </c>
      <c r="D368" s="4" t="s">
        <v>2089</v>
      </c>
      <c r="E368" s="4" t="s">
        <v>200</v>
      </c>
    </row>
    <row r="369" spans="1:5" ht="31" customHeight="1">
      <c r="A369" s="4" t="s">
        <v>231</v>
      </c>
      <c r="B369" s="4" t="s">
        <v>191</v>
      </c>
      <c r="C369" s="4" t="s">
        <v>76</v>
      </c>
      <c r="D369" s="4" t="s">
        <v>2091</v>
      </c>
      <c r="E369" s="4" t="s">
        <v>200</v>
      </c>
    </row>
    <row r="370" spans="1:5" ht="31" customHeight="1">
      <c r="A370" s="4" t="s">
        <v>233</v>
      </c>
      <c r="B370" s="4" t="s">
        <v>191</v>
      </c>
      <c r="C370" s="4" t="s">
        <v>35</v>
      </c>
      <c r="D370" s="4" t="s">
        <v>2088</v>
      </c>
      <c r="E370" s="4" t="s">
        <v>200</v>
      </c>
    </row>
    <row r="371" spans="1:5" ht="31" customHeight="1">
      <c r="A371" s="4" t="s">
        <v>233</v>
      </c>
      <c r="B371" s="4" t="s">
        <v>191</v>
      </c>
      <c r="C371" s="4" t="s">
        <v>37</v>
      </c>
      <c r="D371" s="4" t="s">
        <v>2089</v>
      </c>
      <c r="E371" s="4" t="s">
        <v>200</v>
      </c>
    </row>
    <row r="372" spans="1:5" ht="31" customHeight="1">
      <c r="A372" s="4" t="s">
        <v>233</v>
      </c>
      <c r="B372" s="4" t="s">
        <v>191</v>
      </c>
      <c r="C372" s="4" t="s">
        <v>38</v>
      </c>
      <c r="D372" s="4" t="s">
        <v>2089</v>
      </c>
      <c r="E372" s="4" t="s">
        <v>200</v>
      </c>
    </row>
    <row r="373" spans="1:5" ht="31" customHeight="1">
      <c r="A373" s="4" t="s">
        <v>233</v>
      </c>
      <c r="B373" s="4" t="s">
        <v>191</v>
      </c>
      <c r="C373" s="4" t="s">
        <v>39</v>
      </c>
      <c r="D373" s="4" t="s">
        <v>2089</v>
      </c>
      <c r="E373" s="4" t="s">
        <v>200</v>
      </c>
    </row>
    <row r="374" spans="1:5" ht="31" customHeight="1">
      <c r="A374" s="4" t="s">
        <v>233</v>
      </c>
      <c r="B374" s="4" t="s">
        <v>191</v>
      </c>
      <c r="C374" s="4" t="s">
        <v>56</v>
      </c>
      <c r="D374" s="4" t="s">
        <v>2089</v>
      </c>
      <c r="E374" s="4" t="s">
        <v>200</v>
      </c>
    </row>
    <row r="375" spans="1:5" ht="31" customHeight="1">
      <c r="A375" s="4" t="s">
        <v>233</v>
      </c>
      <c r="B375" s="4" t="s">
        <v>191</v>
      </c>
      <c r="C375" s="4" t="s">
        <v>57</v>
      </c>
      <c r="D375" s="4" t="s">
        <v>2092</v>
      </c>
      <c r="E375" s="4" t="s">
        <v>200</v>
      </c>
    </row>
    <row r="376" spans="1:5" ht="31" customHeight="1">
      <c r="A376" s="4" t="s">
        <v>233</v>
      </c>
      <c r="B376" s="4" t="s">
        <v>191</v>
      </c>
      <c r="C376" s="4" t="s">
        <v>58</v>
      </c>
      <c r="D376" s="4" t="s">
        <v>2092</v>
      </c>
      <c r="E376" s="4" t="s">
        <v>200</v>
      </c>
    </row>
    <row r="377" spans="1:5" ht="31" customHeight="1">
      <c r="A377" s="4" t="s">
        <v>233</v>
      </c>
      <c r="B377" s="4" t="s">
        <v>191</v>
      </c>
      <c r="C377" s="4" t="s">
        <v>59</v>
      </c>
      <c r="D377" s="4" t="s">
        <v>2089</v>
      </c>
      <c r="E377" s="4" t="s">
        <v>200</v>
      </c>
    </row>
    <row r="378" spans="1:5" ht="31" customHeight="1">
      <c r="A378" s="4" t="s">
        <v>233</v>
      </c>
      <c r="B378" s="4" t="s">
        <v>191</v>
      </c>
      <c r="C378" s="4" t="s">
        <v>60</v>
      </c>
      <c r="D378" s="4" t="s">
        <v>2089</v>
      </c>
      <c r="E378" s="4" t="s">
        <v>200</v>
      </c>
    </row>
    <row r="379" spans="1:5" ht="31" customHeight="1">
      <c r="A379" s="4" t="s">
        <v>233</v>
      </c>
      <c r="B379" s="4" t="s">
        <v>191</v>
      </c>
      <c r="C379" s="4" t="s">
        <v>61</v>
      </c>
      <c r="D379" s="4" t="s">
        <v>2089</v>
      </c>
      <c r="E379" s="4" t="s">
        <v>200</v>
      </c>
    </row>
    <row r="380" spans="1:5" ht="31" customHeight="1">
      <c r="A380" s="4" t="s">
        <v>233</v>
      </c>
      <c r="B380" s="4" t="s">
        <v>191</v>
      </c>
      <c r="C380" s="4" t="s">
        <v>62</v>
      </c>
      <c r="D380" s="4" t="s">
        <v>2089</v>
      </c>
      <c r="E380" s="4" t="s">
        <v>200</v>
      </c>
    </row>
    <row r="381" spans="1:5" ht="31" customHeight="1">
      <c r="A381" s="4" t="s">
        <v>233</v>
      </c>
      <c r="B381" s="4" t="s">
        <v>191</v>
      </c>
      <c r="C381" s="4" t="s">
        <v>63</v>
      </c>
      <c r="D381" s="4" t="s">
        <v>2089</v>
      </c>
      <c r="E381" s="4" t="s">
        <v>200</v>
      </c>
    </row>
    <row r="382" spans="1:5" ht="31" customHeight="1">
      <c r="A382" s="4" t="s">
        <v>233</v>
      </c>
      <c r="B382" s="4" t="s">
        <v>191</v>
      </c>
      <c r="C382" s="4" t="s">
        <v>64</v>
      </c>
      <c r="D382" s="4" t="s">
        <v>2089</v>
      </c>
      <c r="E382" s="4" t="s">
        <v>200</v>
      </c>
    </row>
    <row r="383" spans="1:5" ht="31" customHeight="1">
      <c r="A383" s="4" t="s">
        <v>233</v>
      </c>
      <c r="B383" s="4" t="s">
        <v>191</v>
      </c>
      <c r="C383" s="4" t="s">
        <v>65</v>
      </c>
      <c r="D383" s="4" t="s">
        <v>2089</v>
      </c>
      <c r="E383" s="4" t="s">
        <v>200</v>
      </c>
    </row>
    <row r="384" spans="1:5" ht="31" customHeight="1">
      <c r="A384" s="4" t="s">
        <v>233</v>
      </c>
      <c r="B384" s="4" t="s">
        <v>191</v>
      </c>
      <c r="C384" s="4" t="s">
        <v>66</v>
      </c>
      <c r="D384" s="4" t="s">
        <v>2093</v>
      </c>
      <c r="E384" s="4" t="s">
        <v>200</v>
      </c>
    </row>
    <row r="385" spans="1:5" ht="31" customHeight="1">
      <c r="A385" s="4" t="s">
        <v>233</v>
      </c>
      <c r="B385" s="4" t="s">
        <v>191</v>
      </c>
      <c r="C385" s="4" t="s">
        <v>67</v>
      </c>
      <c r="D385" s="4" t="s">
        <v>2089</v>
      </c>
      <c r="E385" s="4" t="s">
        <v>200</v>
      </c>
    </row>
    <row r="386" spans="1:5" ht="31" customHeight="1">
      <c r="A386" s="4" t="s">
        <v>233</v>
      </c>
      <c r="B386" s="4" t="s">
        <v>191</v>
      </c>
      <c r="C386" s="4" t="s">
        <v>68</v>
      </c>
      <c r="D386" s="4" t="s">
        <v>2089</v>
      </c>
      <c r="E386" s="4" t="s">
        <v>200</v>
      </c>
    </row>
    <row r="387" spans="1:5" ht="31" customHeight="1">
      <c r="A387" s="4" t="s">
        <v>233</v>
      </c>
      <c r="B387" s="4" t="s">
        <v>191</v>
      </c>
      <c r="C387" s="4" t="s">
        <v>69</v>
      </c>
      <c r="D387" s="4" t="s">
        <v>2090</v>
      </c>
      <c r="E387" s="4" t="s">
        <v>200</v>
      </c>
    </row>
    <row r="388" spans="1:5" ht="31" customHeight="1">
      <c r="A388" s="4" t="s">
        <v>233</v>
      </c>
      <c r="B388" s="4" t="s">
        <v>191</v>
      </c>
      <c r="C388" s="4" t="s">
        <v>70</v>
      </c>
      <c r="D388" s="4" t="s">
        <v>2089</v>
      </c>
      <c r="E388" s="4" t="s">
        <v>200</v>
      </c>
    </row>
    <row r="389" spans="1:5" ht="31" customHeight="1">
      <c r="A389" s="4" t="s">
        <v>233</v>
      </c>
      <c r="B389" s="4" t="s">
        <v>191</v>
      </c>
      <c r="C389" s="4" t="s">
        <v>71</v>
      </c>
      <c r="D389" s="4" t="s">
        <v>2089</v>
      </c>
      <c r="E389" s="4" t="s">
        <v>200</v>
      </c>
    </row>
    <row r="390" spans="1:5" ht="31" customHeight="1">
      <c r="A390" s="4" t="s">
        <v>233</v>
      </c>
      <c r="B390" s="4" t="s">
        <v>191</v>
      </c>
      <c r="C390" s="4" t="s">
        <v>73</v>
      </c>
      <c r="D390" s="4" t="s">
        <v>2089</v>
      </c>
      <c r="E390" s="4" t="s">
        <v>200</v>
      </c>
    </row>
    <row r="391" spans="1:5" ht="31" customHeight="1">
      <c r="A391" s="4" t="s">
        <v>233</v>
      </c>
      <c r="B391" s="4" t="s">
        <v>191</v>
      </c>
      <c r="C391" s="4" t="s">
        <v>75</v>
      </c>
      <c r="D391" s="4" t="s">
        <v>2089</v>
      </c>
      <c r="E391" s="4" t="s">
        <v>200</v>
      </c>
    </row>
    <row r="392" spans="1:5" ht="31" customHeight="1">
      <c r="A392" s="4" t="s">
        <v>233</v>
      </c>
      <c r="B392" s="4" t="s">
        <v>191</v>
      </c>
      <c r="C392" s="4" t="s">
        <v>76</v>
      </c>
      <c r="D392" s="4" t="s">
        <v>2091</v>
      </c>
      <c r="E392" s="4" t="s">
        <v>200</v>
      </c>
    </row>
    <row r="393" spans="1:5" ht="31" customHeight="1">
      <c r="A393" s="4" t="s">
        <v>236</v>
      </c>
      <c r="B393" s="4" t="s">
        <v>237</v>
      </c>
      <c r="C393" s="4" t="s">
        <v>35</v>
      </c>
      <c r="D393" s="4" t="s">
        <v>2088</v>
      </c>
      <c r="E393" s="4" t="s">
        <v>250</v>
      </c>
    </row>
    <row r="394" spans="1:5" ht="31" customHeight="1">
      <c r="A394" s="4" t="s">
        <v>236</v>
      </c>
      <c r="B394" s="4" t="s">
        <v>237</v>
      </c>
      <c r="C394" s="4" t="s">
        <v>37</v>
      </c>
      <c r="D394" s="4" t="s">
        <v>2089</v>
      </c>
      <c r="E394" s="4" t="s">
        <v>250</v>
      </c>
    </row>
    <row r="395" spans="1:5" ht="31" customHeight="1">
      <c r="A395" s="4" t="s">
        <v>236</v>
      </c>
      <c r="B395" s="4" t="s">
        <v>237</v>
      </c>
      <c r="C395" s="4" t="s">
        <v>40</v>
      </c>
      <c r="D395" s="4" t="s">
        <v>2064</v>
      </c>
      <c r="E395" s="4" t="s">
        <v>250</v>
      </c>
    </row>
    <row r="396" spans="1:5" ht="31" customHeight="1">
      <c r="A396" s="4" t="s">
        <v>236</v>
      </c>
      <c r="B396" s="4" t="s">
        <v>237</v>
      </c>
      <c r="C396" s="4" t="s">
        <v>41</v>
      </c>
      <c r="D396" s="4" t="s">
        <v>2064</v>
      </c>
      <c r="E396" s="4" t="s">
        <v>250</v>
      </c>
    </row>
    <row r="397" spans="1:5" ht="31" customHeight="1">
      <c r="A397" s="4" t="s">
        <v>236</v>
      </c>
      <c r="B397" s="4" t="s">
        <v>237</v>
      </c>
      <c r="C397" s="4" t="s">
        <v>42</v>
      </c>
      <c r="D397" s="4" t="s">
        <v>2064</v>
      </c>
      <c r="E397" s="4" t="s">
        <v>250</v>
      </c>
    </row>
    <row r="398" spans="1:5" ht="31" customHeight="1">
      <c r="A398" s="4" t="s">
        <v>236</v>
      </c>
      <c r="B398" s="4" t="s">
        <v>237</v>
      </c>
      <c r="C398" s="4" t="s">
        <v>43</v>
      </c>
      <c r="D398" s="4" t="s">
        <v>2064</v>
      </c>
      <c r="E398" s="4" t="s">
        <v>250</v>
      </c>
    </row>
    <row r="399" spans="1:5" ht="31" customHeight="1">
      <c r="A399" s="4" t="s">
        <v>236</v>
      </c>
      <c r="B399" s="4" t="s">
        <v>237</v>
      </c>
      <c r="C399" s="4" t="s">
        <v>44</v>
      </c>
      <c r="D399" s="4" t="s">
        <v>2064</v>
      </c>
      <c r="E399" s="4" t="s">
        <v>250</v>
      </c>
    </row>
    <row r="400" spans="1:5" ht="31" customHeight="1">
      <c r="A400" s="4" t="s">
        <v>236</v>
      </c>
      <c r="B400" s="4" t="s">
        <v>237</v>
      </c>
      <c r="C400" s="4" t="s">
        <v>45</v>
      </c>
      <c r="D400" s="4" t="s">
        <v>2064</v>
      </c>
      <c r="E400" s="4" t="s">
        <v>250</v>
      </c>
    </row>
    <row r="401" spans="1:5" ht="31" customHeight="1">
      <c r="A401" s="4" t="s">
        <v>236</v>
      </c>
      <c r="B401" s="4" t="s">
        <v>237</v>
      </c>
      <c r="C401" s="4" t="s">
        <v>46</v>
      </c>
      <c r="D401" s="4" t="s">
        <v>2064</v>
      </c>
      <c r="E401" s="4" t="s">
        <v>250</v>
      </c>
    </row>
    <row r="402" spans="1:5" ht="31" customHeight="1">
      <c r="A402" s="4" t="s">
        <v>236</v>
      </c>
      <c r="B402" s="4" t="s">
        <v>237</v>
      </c>
      <c r="C402" s="4" t="s">
        <v>47</v>
      </c>
      <c r="D402" s="4" t="s">
        <v>2064</v>
      </c>
      <c r="E402" s="4" t="s">
        <v>250</v>
      </c>
    </row>
    <row r="403" spans="1:5" ht="31" customHeight="1">
      <c r="A403" s="4" t="s">
        <v>236</v>
      </c>
      <c r="B403" s="4" t="s">
        <v>237</v>
      </c>
      <c r="C403" s="4" t="s">
        <v>48</v>
      </c>
      <c r="D403" s="4" t="s">
        <v>2064</v>
      </c>
      <c r="E403" s="4" t="s">
        <v>250</v>
      </c>
    </row>
    <row r="404" spans="1:5" ht="31" customHeight="1">
      <c r="A404" s="4" t="s">
        <v>236</v>
      </c>
      <c r="B404" s="4" t="s">
        <v>237</v>
      </c>
      <c r="C404" s="4" t="s">
        <v>49</v>
      </c>
      <c r="D404" s="4" t="s">
        <v>2064</v>
      </c>
      <c r="E404" s="4" t="s">
        <v>250</v>
      </c>
    </row>
    <row r="405" spans="1:5" ht="31" customHeight="1">
      <c r="A405" s="4" t="s">
        <v>236</v>
      </c>
      <c r="B405" s="4" t="s">
        <v>237</v>
      </c>
      <c r="C405" s="4" t="s">
        <v>50</v>
      </c>
      <c r="D405" s="4" t="s">
        <v>2094</v>
      </c>
      <c r="E405" s="4" t="s">
        <v>250</v>
      </c>
    </row>
    <row r="406" spans="1:5" ht="31" customHeight="1">
      <c r="A406" s="4" t="s">
        <v>236</v>
      </c>
      <c r="B406" s="4" t="s">
        <v>237</v>
      </c>
      <c r="C406" s="4" t="s">
        <v>51</v>
      </c>
      <c r="D406" s="4" t="s">
        <v>2094</v>
      </c>
      <c r="E406" s="4" t="s">
        <v>250</v>
      </c>
    </row>
    <row r="407" spans="1:5" ht="31" customHeight="1">
      <c r="A407" s="4" t="s">
        <v>236</v>
      </c>
      <c r="B407" s="4" t="s">
        <v>237</v>
      </c>
      <c r="C407" s="4" t="s">
        <v>52</v>
      </c>
      <c r="D407" s="4" t="s">
        <v>2094</v>
      </c>
      <c r="E407" s="4" t="s">
        <v>250</v>
      </c>
    </row>
    <row r="408" spans="1:5" ht="31" customHeight="1">
      <c r="A408" s="4" t="s">
        <v>236</v>
      </c>
      <c r="B408" s="4" t="s">
        <v>237</v>
      </c>
      <c r="C408" s="4" t="s">
        <v>53</v>
      </c>
      <c r="D408" s="4" t="s">
        <v>2094</v>
      </c>
      <c r="E408" s="4" t="s">
        <v>250</v>
      </c>
    </row>
    <row r="409" spans="1:5" ht="31" customHeight="1">
      <c r="A409" s="4" t="s">
        <v>236</v>
      </c>
      <c r="B409" s="4" t="s">
        <v>237</v>
      </c>
      <c r="C409" s="4" t="s">
        <v>54</v>
      </c>
      <c r="D409" s="4" t="s">
        <v>2094</v>
      </c>
      <c r="E409" s="4" t="s">
        <v>250</v>
      </c>
    </row>
    <row r="410" spans="1:5" ht="31" customHeight="1">
      <c r="A410" s="4" t="s">
        <v>236</v>
      </c>
      <c r="B410" s="4" t="s">
        <v>237</v>
      </c>
      <c r="C410" s="4" t="s">
        <v>57</v>
      </c>
      <c r="D410" s="4" t="s">
        <v>2092</v>
      </c>
      <c r="E410" s="4" t="s">
        <v>250</v>
      </c>
    </row>
    <row r="411" spans="1:5" ht="31" customHeight="1">
      <c r="A411" s="4" t="s">
        <v>236</v>
      </c>
      <c r="B411" s="4" t="s">
        <v>237</v>
      </c>
      <c r="C411" s="4" t="s">
        <v>58</v>
      </c>
      <c r="D411" s="4" t="s">
        <v>2092</v>
      </c>
      <c r="E411" s="4" t="s">
        <v>250</v>
      </c>
    </row>
    <row r="412" spans="1:5" ht="31" customHeight="1">
      <c r="A412" s="4" t="s">
        <v>236</v>
      </c>
      <c r="B412" s="4" t="s">
        <v>237</v>
      </c>
      <c r="C412" s="4" t="s">
        <v>59</v>
      </c>
      <c r="D412" s="4" t="s">
        <v>2089</v>
      </c>
      <c r="E412" s="4" t="s">
        <v>250</v>
      </c>
    </row>
    <row r="413" spans="1:5" ht="31" customHeight="1">
      <c r="A413" s="4" t="s">
        <v>236</v>
      </c>
      <c r="B413" s="4" t="s">
        <v>237</v>
      </c>
      <c r="C413" s="4" t="s">
        <v>60</v>
      </c>
      <c r="D413" s="4" t="s">
        <v>2089</v>
      </c>
      <c r="E413" s="4" t="s">
        <v>250</v>
      </c>
    </row>
    <row r="414" spans="1:5" ht="31" customHeight="1">
      <c r="A414" s="4" t="s">
        <v>236</v>
      </c>
      <c r="B414" s="4" t="s">
        <v>237</v>
      </c>
      <c r="C414" s="4" t="s">
        <v>61</v>
      </c>
      <c r="D414" s="4" t="s">
        <v>2089</v>
      </c>
      <c r="E414" s="4" t="s">
        <v>250</v>
      </c>
    </row>
    <row r="415" spans="1:5" ht="31" customHeight="1">
      <c r="A415" s="4" t="s">
        <v>236</v>
      </c>
      <c r="B415" s="4" t="s">
        <v>237</v>
      </c>
      <c r="C415" s="4" t="s">
        <v>62</v>
      </c>
      <c r="D415" s="4" t="s">
        <v>2089</v>
      </c>
      <c r="E415" s="4" t="s">
        <v>250</v>
      </c>
    </row>
    <row r="416" spans="1:5" ht="31" customHeight="1">
      <c r="A416" s="4" t="s">
        <v>236</v>
      </c>
      <c r="B416" s="4" t="s">
        <v>237</v>
      </c>
      <c r="C416" s="4" t="s">
        <v>63</v>
      </c>
      <c r="D416" s="4" t="s">
        <v>2089</v>
      </c>
      <c r="E416" s="4" t="s">
        <v>250</v>
      </c>
    </row>
    <row r="417" spans="1:5" ht="31" customHeight="1">
      <c r="A417" s="4" t="s">
        <v>236</v>
      </c>
      <c r="B417" s="4" t="s">
        <v>237</v>
      </c>
      <c r="C417" s="4" t="s">
        <v>64</v>
      </c>
      <c r="D417" s="4" t="s">
        <v>2089</v>
      </c>
      <c r="E417" s="4" t="s">
        <v>250</v>
      </c>
    </row>
    <row r="418" spans="1:5" ht="31" customHeight="1">
      <c r="A418" s="4" t="s">
        <v>236</v>
      </c>
      <c r="B418" s="4" t="s">
        <v>237</v>
      </c>
      <c r="C418" s="4" t="s">
        <v>65</v>
      </c>
      <c r="D418" s="4" t="s">
        <v>2089</v>
      </c>
      <c r="E418" s="4" t="s">
        <v>250</v>
      </c>
    </row>
    <row r="419" spans="1:5" ht="31" customHeight="1">
      <c r="A419" s="4" t="s">
        <v>236</v>
      </c>
      <c r="B419" s="4" t="s">
        <v>237</v>
      </c>
      <c r="C419" s="4" t="s">
        <v>66</v>
      </c>
      <c r="D419" s="4" t="s">
        <v>2093</v>
      </c>
      <c r="E419" s="4" t="s">
        <v>250</v>
      </c>
    </row>
    <row r="420" spans="1:5" ht="31" customHeight="1">
      <c r="A420" s="4" t="s">
        <v>236</v>
      </c>
      <c r="B420" s="4" t="s">
        <v>237</v>
      </c>
      <c r="C420" s="4" t="s">
        <v>67</v>
      </c>
      <c r="D420" s="4" t="s">
        <v>2089</v>
      </c>
      <c r="E420" s="4" t="s">
        <v>250</v>
      </c>
    </row>
    <row r="421" spans="1:5" ht="31" customHeight="1">
      <c r="A421" s="4" t="s">
        <v>236</v>
      </c>
      <c r="B421" s="4" t="s">
        <v>237</v>
      </c>
      <c r="C421" s="4" t="s">
        <v>68</v>
      </c>
      <c r="D421" s="4" t="s">
        <v>2089</v>
      </c>
      <c r="E421" s="4" t="s">
        <v>250</v>
      </c>
    </row>
    <row r="422" spans="1:5" ht="31" customHeight="1">
      <c r="A422" s="4" t="s">
        <v>236</v>
      </c>
      <c r="B422" s="4" t="s">
        <v>237</v>
      </c>
      <c r="C422" s="4" t="s">
        <v>69</v>
      </c>
      <c r="D422" s="4" t="s">
        <v>2090</v>
      </c>
      <c r="E422" s="4" t="s">
        <v>250</v>
      </c>
    </row>
    <row r="423" spans="1:5" ht="31" customHeight="1">
      <c r="A423" s="4" t="s">
        <v>236</v>
      </c>
      <c r="B423" s="4" t="s">
        <v>237</v>
      </c>
      <c r="C423" s="4" t="s">
        <v>70</v>
      </c>
      <c r="D423" s="4" t="s">
        <v>2089</v>
      </c>
      <c r="E423" s="4" t="s">
        <v>250</v>
      </c>
    </row>
    <row r="424" spans="1:5" ht="31" customHeight="1">
      <c r="A424" s="4" t="s">
        <v>236</v>
      </c>
      <c r="B424" s="4" t="s">
        <v>237</v>
      </c>
      <c r="C424" s="4" t="s">
        <v>73</v>
      </c>
      <c r="D424" s="4" t="s">
        <v>2089</v>
      </c>
      <c r="E424" s="4" t="s">
        <v>250</v>
      </c>
    </row>
    <row r="425" spans="1:5" ht="31" customHeight="1">
      <c r="A425" s="4" t="s">
        <v>236</v>
      </c>
      <c r="B425" s="4" t="s">
        <v>237</v>
      </c>
      <c r="C425" s="4" t="s">
        <v>76</v>
      </c>
      <c r="D425" s="4" t="s">
        <v>2091</v>
      </c>
      <c r="E425" s="4" t="s">
        <v>250</v>
      </c>
    </row>
    <row r="426" spans="1:5" ht="31" customHeight="1">
      <c r="A426" s="4" t="s">
        <v>252</v>
      </c>
      <c r="B426" s="4" t="s">
        <v>237</v>
      </c>
      <c r="C426" s="4" t="s">
        <v>35</v>
      </c>
      <c r="D426" s="4" t="s">
        <v>2088</v>
      </c>
      <c r="E426" s="4" t="s">
        <v>250</v>
      </c>
    </row>
    <row r="427" spans="1:5" ht="31" customHeight="1">
      <c r="A427" s="4" t="s">
        <v>252</v>
      </c>
      <c r="B427" s="4" t="s">
        <v>237</v>
      </c>
      <c r="C427" s="4" t="s">
        <v>37</v>
      </c>
      <c r="D427" s="4" t="s">
        <v>2089</v>
      </c>
      <c r="E427" s="4" t="s">
        <v>250</v>
      </c>
    </row>
    <row r="428" spans="1:5" ht="31" customHeight="1">
      <c r="A428" s="4" t="s">
        <v>252</v>
      </c>
      <c r="B428" s="4" t="s">
        <v>237</v>
      </c>
      <c r="C428" s="4" t="s">
        <v>39</v>
      </c>
      <c r="D428" s="4" t="s">
        <v>2089</v>
      </c>
      <c r="E428" s="4" t="s">
        <v>250</v>
      </c>
    </row>
    <row r="429" spans="1:5" ht="31" customHeight="1">
      <c r="A429" s="4" t="s">
        <v>252</v>
      </c>
      <c r="B429" s="4" t="s">
        <v>237</v>
      </c>
      <c r="C429" s="4" t="s">
        <v>57</v>
      </c>
      <c r="D429" s="4" t="s">
        <v>2092</v>
      </c>
      <c r="E429" s="4" t="s">
        <v>250</v>
      </c>
    </row>
    <row r="430" spans="1:5" ht="31" customHeight="1">
      <c r="A430" s="4" t="s">
        <v>252</v>
      </c>
      <c r="B430" s="4" t="s">
        <v>237</v>
      </c>
      <c r="C430" s="4" t="s">
        <v>58</v>
      </c>
      <c r="D430" s="4" t="s">
        <v>2092</v>
      </c>
      <c r="E430" s="4" t="s">
        <v>250</v>
      </c>
    </row>
    <row r="431" spans="1:5" ht="31" customHeight="1">
      <c r="A431" s="4" t="s">
        <v>252</v>
      </c>
      <c r="B431" s="4" t="s">
        <v>237</v>
      </c>
      <c r="C431" s="4" t="s">
        <v>59</v>
      </c>
      <c r="D431" s="4" t="s">
        <v>2089</v>
      </c>
      <c r="E431" s="4" t="s">
        <v>250</v>
      </c>
    </row>
    <row r="432" spans="1:5" ht="31" customHeight="1">
      <c r="A432" s="4" t="s">
        <v>252</v>
      </c>
      <c r="B432" s="4" t="s">
        <v>237</v>
      </c>
      <c r="C432" s="4" t="s">
        <v>60</v>
      </c>
      <c r="D432" s="4" t="s">
        <v>2089</v>
      </c>
      <c r="E432" s="4" t="s">
        <v>250</v>
      </c>
    </row>
    <row r="433" spans="1:5" ht="31" customHeight="1">
      <c r="A433" s="4" t="s">
        <v>252</v>
      </c>
      <c r="B433" s="4" t="s">
        <v>237</v>
      </c>
      <c r="C433" s="4" t="s">
        <v>61</v>
      </c>
      <c r="D433" s="4" t="s">
        <v>2089</v>
      </c>
      <c r="E433" s="4" t="s">
        <v>250</v>
      </c>
    </row>
    <row r="434" spans="1:5" ht="31" customHeight="1">
      <c r="A434" s="4" t="s">
        <v>252</v>
      </c>
      <c r="B434" s="4" t="s">
        <v>237</v>
      </c>
      <c r="C434" s="4" t="s">
        <v>62</v>
      </c>
      <c r="D434" s="4" t="s">
        <v>2089</v>
      </c>
      <c r="E434" s="4" t="s">
        <v>250</v>
      </c>
    </row>
    <row r="435" spans="1:5" ht="31" customHeight="1">
      <c r="A435" s="4" t="s">
        <v>252</v>
      </c>
      <c r="B435" s="4" t="s">
        <v>237</v>
      </c>
      <c r="C435" s="4" t="s">
        <v>64</v>
      </c>
      <c r="D435" s="4" t="s">
        <v>2089</v>
      </c>
      <c r="E435" s="4" t="s">
        <v>250</v>
      </c>
    </row>
    <row r="436" spans="1:5" ht="31" customHeight="1">
      <c r="A436" s="4" t="s">
        <v>252</v>
      </c>
      <c r="B436" s="4" t="s">
        <v>237</v>
      </c>
      <c r="C436" s="4" t="s">
        <v>65</v>
      </c>
      <c r="D436" s="4" t="s">
        <v>2089</v>
      </c>
      <c r="E436" s="4" t="s">
        <v>250</v>
      </c>
    </row>
    <row r="437" spans="1:5" ht="31" customHeight="1">
      <c r="A437" s="4" t="s">
        <v>252</v>
      </c>
      <c r="B437" s="4" t="s">
        <v>237</v>
      </c>
      <c r="C437" s="4" t="s">
        <v>66</v>
      </c>
      <c r="D437" s="4" t="s">
        <v>2093</v>
      </c>
      <c r="E437" s="4" t="s">
        <v>250</v>
      </c>
    </row>
    <row r="438" spans="1:5" ht="31" customHeight="1">
      <c r="A438" s="4" t="s">
        <v>252</v>
      </c>
      <c r="B438" s="4" t="s">
        <v>237</v>
      </c>
      <c r="C438" s="4" t="s">
        <v>67</v>
      </c>
      <c r="D438" s="4" t="s">
        <v>2089</v>
      </c>
      <c r="E438" s="4" t="s">
        <v>250</v>
      </c>
    </row>
    <row r="439" spans="1:5" ht="31" customHeight="1">
      <c r="A439" s="4" t="s">
        <v>252</v>
      </c>
      <c r="B439" s="4" t="s">
        <v>237</v>
      </c>
      <c r="C439" s="4" t="s">
        <v>68</v>
      </c>
      <c r="D439" s="4" t="s">
        <v>2089</v>
      </c>
      <c r="E439" s="4" t="s">
        <v>250</v>
      </c>
    </row>
    <row r="440" spans="1:5" ht="31" customHeight="1">
      <c r="A440" s="4" t="s">
        <v>252</v>
      </c>
      <c r="B440" s="4" t="s">
        <v>237</v>
      </c>
      <c r="C440" s="4" t="s">
        <v>69</v>
      </c>
      <c r="D440" s="4" t="s">
        <v>2090</v>
      </c>
      <c r="E440" s="4" t="s">
        <v>250</v>
      </c>
    </row>
    <row r="441" spans="1:5" ht="31" customHeight="1">
      <c r="A441" s="4" t="s">
        <v>252</v>
      </c>
      <c r="B441" s="4" t="s">
        <v>237</v>
      </c>
      <c r="C441" s="4" t="s">
        <v>70</v>
      </c>
      <c r="D441" s="4" t="s">
        <v>2089</v>
      </c>
      <c r="E441" s="4" t="s">
        <v>250</v>
      </c>
    </row>
    <row r="442" spans="1:5" ht="31" customHeight="1">
      <c r="A442" s="4" t="s">
        <v>252</v>
      </c>
      <c r="B442" s="4" t="s">
        <v>237</v>
      </c>
      <c r="C442" s="4" t="s">
        <v>76</v>
      </c>
      <c r="D442" s="4" t="s">
        <v>2091</v>
      </c>
      <c r="E442" s="4" t="s">
        <v>250</v>
      </c>
    </row>
    <row r="443" spans="1:5" ht="31" customHeight="1">
      <c r="A443" s="4" t="s">
        <v>263</v>
      </c>
      <c r="B443" s="4" t="s">
        <v>237</v>
      </c>
      <c r="C443" s="4" t="s">
        <v>35</v>
      </c>
      <c r="D443" s="4" t="s">
        <v>2088</v>
      </c>
      <c r="E443" s="4" t="s">
        <v>250</v>
      </c>
    </row>
    <row r="444" spans="1:5" ht="31" customHeight="1">
      <c r="A444" s="4" t="s">
        <v>263</v>
      </c>
      <c r="B444" s="4" t="s">
        <v>237</v>
      </c>
      <c r="C444" s="4" t="s">
        <v>37</v>
      </c>
      <c r="D444" s="4" t="s">
        <v>2089</v>
      </c>
      <c r="E444" s="4" t="s">
        <v>250</v>
      </c>
    </row>
    <row r="445" spans="1:5" ht="31" customHeight="1">
      <c r="A445" s="4" t="s">
        <v>263</v>
      </c>
      <c r="B445" s="4" t="s">
        <v>237</v>
      </c>
      <c r="C445" s="4" t="s">
        <v>57</v>
      </c>
      <c r="D445" s="4" t="s">
        <v>2092</v>
      </c>
      <c r="E445" s="4" t="s">
        <v>250</v>
      </c>
    </row>
    <row r="446" spans="1:5" ht="31" customHeight="1">
      <c r="A446" s="4" t="s">
        <v>263</v>
      </c>
      <c r="B446" s="4" t="s">
        <v>237</v>
      </c>
      <c r="C446" s="4" t="s">
        <v>58</v>
      </c>
      <c r="D446" s="4" t="s">
        <v>2092</v>
      </c>
      <c r="E446" s="4" t="s">
        <v>250</v>
      </c>
    </row>
    <row r="447" spans="1:5" ht="31" customHeight="1">
      <c r="A447" s="4" t="s">
        <v>263</v>
      </c>
      <c r="B447" s="4" t="s">
        <v>237</v>
      </c>
      <c r="C447" s="4" t="s">
        <v>59</v>
      </c>
      <c r="D447" s="4" t="s">
        <v>2089</v>
      </c>
      <c r="E447" s="4" t="s">
        <v>250</v>
      </c>
    </row>
    <row r="448" spans="1:5" ht="31" customHeight="1">
      <c r="A448" s="4" t="s">
        <v>263</v>
      </c>
      <c r="B448" s="4" t="s">
        <v>237</v>
      </c>
      <c r="C448" s="4" t="s">
        <v>60</v>
      </c>
      <c r="D448" s="4" t="s">
        <v>2089</v>
      </c>
      <c r="E448" s="4" t="s">
        <v>250</v>
      </c>
    </row>
    <row r="449" spans="1:5" ht="31" customHeight="1">
      <c r="A449" s="4" t="s">
        <v>263</v>
      </c>
      <c r="B449" s="4" t="s">
        <v>237</v>
      </c>
      <c r="C449" s="4" t="s">
        <v>61</v>
      </c>
      <c r="D449" s="4" t="s">
        <v>2089</v>
      </c>
      <c r="E449" s="4" t="s">
        <v>250</v>
      </c>
    </row>
    <row r="450" spans="1:5" ht="31" customHeight="1">
      <c r="A450" s="4" t="s">
        <v>263</v>
      </c>
      <c r="B450" s="4" t="s">
        <v>237</v>
      </c>
      <c r="C450" s="4" t="s">
        <v>62</v>
      </c>
      <c r="D450" s="4" t="s">
        <v>2089</v>
      </c>
      <c r="E450" s="4" t="s">
        <v>250</v>
      </c>
    </row>
    <row r="451" spans="1:5" ht="31" customHeight="1">
      <c r="A451" s="4" t="s">
        <v>263</v>
      </c>
      <c r="B451" s="4" t="s">
        <v>237</v>
      </c>
      <c r="C451" s="4" t="s">
        <v>64</v>
      </c>
      <c r="D451" s="4" t="s">
        <v>2089</v>
      </c>
      <c r="E451" s="4" t="s">
        <v>250</v>
      </c>
    </row>
    <row r="452" spans="1:5" ht="31" customHeight="1">
      <c r="A452" s="4" t="s">
        <v>263</v>
      </c>
      <c r="B452" s="4" t="s">
        <v>237</v>
      </c>
      <c r="C452" s="4" t="s">
        <v>66</v>
      </c>
      <c r="D452" s="4" t="s">
        <v>2093</v>
      </c>
      <c r="E452" s="4" t="s">
        <v>250</v>
      </c>
    </row>
    <row r="453" spans="1:5" ht="31" customHeight="1">
      <c r="A453" s="4" t="s">
        <v>263</v>
      </c>
      <c r="B453" s="4" t="s">
        <v>237</v>
      </c>
      <c r="C453" s="4" t="s">
        <v>67</v>
      </c>
      <c r="D453" s="4" t="s">
        <v>2089</v>
      </c>
      <c r="E453" s="4" t="s">
        <v>250</v>
      </c>
    </row>
    <row r="454" spans="1:5" ht="31" customHeight="1">
      <c r="A454" s="4" t="s">
        <v>263</v>
      </c>
      <c r="B454" s="4" t="s">
        <v>237</v>
      </c>
      <c r="C454" s="4" t="s">
        <v>68</v>
      </c>
      <c r="D454" s="4" t="s">
        <v>2089</v>
      </c>
      <c r="E454" s="4" t="s">
        <v>250</v>
      </c>
    </row>
    <row r="455" spans="1:5" ht="31" customHeight="1">
      <c r="A455" s="4" t="s">
        <v>263</v>
      </c>
      <c r="B455" s="4" t="s">
        <v>237</v>
      </c>
      <c r="C455" s="4" t="s">
        <v>69</v>
      </c>
      <c r="D455" s="4" t="s">
        <v>2090</v>
      </c>
      <c r="E455" s="4" t="s">
        <v>250</v>
      </c>
    </row>
    <row r="456" spans="1:5" ht="31" customHeight="1">
      <c r="A456" s="4" t="s">
        <v>263</v>
      </c>
      <c r="B456" s="4" t="s">
        <v>237</v>
      </c>
      <c r="C456" s="4" t="s">
        <v>70</v>
      </c>
      <c r="D456" s="4" t="s">
        <v>2089</v>
      </c>
      <c r="E456" s="4" t="s">
        <v>250</v>
      </c>
    </row>
    <row r="457" spans="1:5" ht="31" customHeight="1">
      <c r="A457" s="4" t="s">
        <v>263</v>
      </c>
      <c r="B457" s="4" t="s">
        <v>237</v>
      </c>
      <c r="C457" s="4" t="s">
        <v>76</v>
      </c>
      <c r="D457" s="4" t="s">
        <v>2091</v>
      </c>
      <c r="E457" s="4" t="s">
        <v>250</v>
      </c>
    </row>
    <row r="458" spans="1:5" ht="31" customHeight="1">
      <c r="A458" s="4" t="s">
        <v>268</v>
      </c>
      <c r="B458" s="4" t="s">
        <v>237</v>
      </c>
      <c r="C458" s="4" t="s">
        <v>35</v>
      </c>
      <c r="D458" s="4" t="s">
        <v>2088</v>
      </c>
      <c r="E458" s="4" t="s">
        <v>250</v>
      </c>
    </row>
    <row r="459" spans="1:5" ht="31" customHeight="1">
      <c r="A459" s="4" t="s">
        <v>268</v>
      </c>
      <c r="B459" s="4" t="s">
        <v>237</v>
      </c>
      <c r="C459" s="4" t="s">
        <v>37</v>
      </c>
      <c r="D459" s="4" t="s">
        <v>2089</v>
      </c>
      <c r="E459" s="4" t="s">
        <v>250</v>
      </c>
    </row>
    <row r="460" spans="1:5" ht="31" customHeight="1">
      <c r="A460" s="4" t="s">
        <v>268</v>
      </c>
      <c r="B460" s="4" t="s">
        <v>237</v>
      </c>
      <c r="C460" s="4" t="s">
        <v>57</v>
      </c>
      <c r="D460" s="4" t="s">
        <v>2092</v>
      </c>
      <c r="E460" s="4" t="s">
        <v>250</v>
      </c>
    </row>
    <row r="461" spans="1:5" ht="31" customHeight="1">
      <c r="A461" s="4" t="s">
        <v>268</v>
      </c>
      <c r="B461" s="4" t="s">
        <v>237</v>
      </c>
      <c r="C461" s="4" t="s">
        <v>58</v>
      </c>
      <c r="D461" s="4" t="s">
        <v>2092</v>
      </c>
      <c r="E461" s="4" t="s">
        <v>250</v>
      </c>
    </row>
    <row r="462" spans="1:5" ht="31" customHeight="1">
      <c r="A462" s="4" t="s">
        <v>268</v>
      </c>
      <c r="B462" s="4" t="s">
        <v>237</v>
      </c>
      <c r="C462" s="4" t="s">
        <v>59</v>
      </c>
      <c r="D462" s="4" t="s">
        <v>2089</v>
      </c>
      <c r="E462" s="4" t="s">
        <v>250</v>
      </c>
    </row>
    <row r="463" spans="1:5" ht="31" customHeight="1">
      <c r="A463" s="4" t="s">
        <v>268</v>
      </c>
      <c r="B463" s="4" t="s">
        <v>237</v>
      </c>
      <c r="C463" s="4" t="s">
        <v>60</v>
      </c>
      <c r="D463" s="4" t="s">
        <v>2089</v>
      </c>
      <c r="E463" s="4" t="s">
        <v>250</v>
      </c>
    </row>
    <row r="464" spans="1:5" ht="31" customHeight="1">
      <c r="A464" s="4" t="s">
        <v>268</v>
      </c>
      <c r="B464" s="4" t="s">
        <v>237</v>
      </c>
      <c r="C464" s="4" t="s">
        <v>61</v>
      </c>
      <c r="D464" s="4" t="s">
        <v>2089</v>
      </c>
      <c r="E464" s="4" t="s">
        <v>250</v>
      </c>
    </row>
    <row r="465" spans="1:5" ht="31" customHeight="1">
      <c r="A465" s="4" t="s">
        <v>268</v>
      </c>
      <c r="B465" s="4" t="s">
        <v>237</v>
      </c>
      <c r="C465" s="4" t="s">
        <v>62</v>
      </c>
      <c r="D465" s="4" t="s">
        <v>2089</v>
      </c>
      <c r="E465" s="4" t="s">
        <v>250</v>
      </c>
    </row>
    <row r="466" spans="1:5" ht="31" customHeight="1">
      <c r="A466" s="4" t="s">
        <v>268</v>
      </c>
      <c r="B466" s="4" t="s">
        <v>237</v>
      </c>
      <c r="C466" s="4" t="s">
        <v>63</v>
      </c>
      <c r="D466" s="4" t="s">
        <v>2089</v>
      </c>
      <c r="E466" s="4" t="s">
        <v>250</v>
      </c>
    </row>
    <row r="467" spans="1:5" ht="31" customHeight="1">
      <c r="A467" s="4" t="s">
        <v>268</v>
      </c>
      <c r="B467" s="4" t="s">
        <v>237</v>
      </c>
      <c r="C467" s="4" t="s">
        <v>64</v>
      </c>
      <c r="D467" s="4" t="s">
        <v>2089</v>
      </c>
      <c r="E467" s="4" t="s">
        <v>250</v>
      </c>
    </row>
    <row r="468" spans="1:5" ht="31" customHeight="1">
      <c r="A468" s="4" t="s">
        <v>268</v>
      </c>
      <c r="B468" s="4" t="s">
        <v>237</v>
      </c>
      <c r="C468" s="4" t="s">
        <v>65</v>
      </c>
      <c r="D468" s="4" t="s">
        <v>2089</v>
      </c>
      <c r="E468" s="4" t="s">
        <v>250</v>
      </c>
    </row>
    <row r="469" spans="1:5" ht="31" customHeight="1">
      <c r="A469" s="4" t="s">
        <v>268</v>
      </c>
      <c r="B469" s="4" t="s">
        <v>237</v>
      </c>
      <c r="C469" s="4" t="s">
        <v>66</v>
      </c>
      <c r="D469" s="4" t="s">
        <v>2093</v>
      </c>
      <c r="E469" s="4" t="s">
        <v>250</v>
      </c>
    </row>
    <row r="470" spans="1:5" ht="31" customHeight="1">
      <c r="A470" s="4" t="s">
        <v>268</v>
      </c>
      <c r="B470" s="4" t="s">
        <v>237</v>
      </c>
      <c r="C470" s="4" t="s">
        <v>67</v>
      </c>
      <c r="D470" s="4" t="s">
        <v>2089</v>
      </c>
      <c r="E470" s="4" t="s">
        <v>250</v>
      </c>
    </row>
    <row r="471" spans="1:5" ht="31" customHeight="1">
      <c r="A471" s="4" t="s">
        <v>268</v>
      </c>
      <c r="B471" s="4" t="s">
        <v>237</v>
      </c>
      <c r="C471" s="4" t="s">
        <v>68</v>
      </c>
      <c r="D471" s="4" t="s">
        <v>2089</v>
      </c>
      <c r="E471" s="4" t="s">
        <v>250</v>
      </c>
    </row>
    <row r="472" spans="1:5" ht="31" customHeight="1">
      <c r="A472" s="4" t="s">
        <v>268</v>
      </c>
      <c r="B472" s="4" t="s">
        <v>237</v>
      </c>
      <c r="C472" s="4" t="s">
        <v>69</v>
      </c>
      <c r="D472" s="4" t="s">
        <v>2090</v>
      </c>
      <c r="E472" s="4" t="s">
        <v>250</v>
      </c>
    </row>
    <row r="473" spans="1:5" ht="31" customHeight="1">
      <c r="A473" s="4" t="s">
        <v>268</v>
      </c>
      <c r="B473" s="4" t="s">
        <v>237</v>
      </c>
      <c r="C473" s="4" t="s">
        <v>70</v>
      </c>
      <c r="D473" s="4" t="s">
        <v>2089</v>
      </c>
      <c r="E473" s="4" t="s">
        <v>250</v>
      </c>
    </row>
    <row r="474" spans="1:5" ht="31" customHeight="1">
      <c r="A474" s="4" t="s">
        <v>268</v>
      </c>
      <c r="B474" s="4" t="s">
        <v>237</v>
      </c>
      <c r="C474" s="4" t="s">
        <v>76</v>
      </c>
      <c r="D474" s="4" t="s">
        <v>2091</v>
      </c>
      <c r="E474" s="4" t="s">
        <v>250</v>
      </c>
    </row>
    <row r="475" spans="1:5" ht="31" customHeight="1">
      <c r="A475" s="4" t="s">
        <v>274</v>
      </c>
      <c r="B475" s="4" t="s">
        <v>237</v>
      </c>
      <c r="C475" s="4" t="s">
        <v>35</v>
      </c>
      <c r="D475" s="4" t="s">
        <v>2088</v>
      </c>
      <c r="E475" s="4" t="s">
        <v>250</v>
      </c>
    </row>
    <row r="476" spans="1:5" ht="31" customHeight="1">
      <c r="A476" s="4" t="s">
        <v>274</v>
      </c>
      <c r="B476" s="4" t="s">
        <v>237</v>
      </c>
      <c r="C476" s="4" t="s">
        <v>37</v>
      </c>
      <c r="D476" s="4" t="s">
        <v>2089</v>
      </c>
      <c r="E476" s="4" t="s">
        <v>250</v>
      </c>
    </row>
    <row r="477" spans="1:5" ht="31" customHeight="1">
      <c r="A477" s="4" t="s">
        <v>274</v>
      </c>
      <c r="B477" s="4" t="s">
        <v>237</v>
      </c>
      <c r="C477" s="4" t="s">
        <v>39</v>
      </c>
      <c r="D477" s="4" t="s">
        <v>2089</v>
      </c>
      <c r="E477" s="4" t="s">
        <v>250</v>
      </c>
    </row>
    <row r="478" spans="1:5" ht="31" customHeight="1">
      <c r="A478" s="4" t="s">
        <v>274</v>
      </c>
      <c r="B478" s="4" t="s">
        <v>237</v>
      </c>
      <c r="C478" s="4" t="s">
        <v>57</v>
      </c>
      <c r="D478" s="4" t="s">
        <v>2092</v>
      </c>
      <c r="E478" s="4" t="s">
        <v>250</v>
      </c>
    </row>
    <row r="479" spans="1:5" ht="31" customHeight="1">
      <c r="A479" s="4" t="s">
        <v>274</v>
      </c>
      <c r="B479" s="4" t="s">
        <v>237</v>
      </c>
      <c r="C479" s="4" t="s">
        <v>58</v>
      </c>
      <c r="D479" s="4" t="s">
        <v>2092</v>
      </c>
      <c r="E479" s="4" t="s">
        <v>250</v>
      </c>
    </row>
    <row r="480" spans="1:5" ht="31" customHeight="1">
      <c r="A480" s="4" t="s">
        <v>274</v>
      </c>
      <c r="B480" s="4" t="s">
        <v>237</v>
      </c>
      <c r="C480" s="4" t="s">
        <v>59</v>
      </c>
      <c r="D480" s="4" t="s">
        <v>2089</v>
      </c>
      <c r="E480" s="4" t="s">
        <v>250</v>
      </c>
    </row>
    <row r="481" spans="1:5" ht="31" customHeight="1">
      <c r="A481" s="4" t="s">
        <v>274</v>
      </c>
      <c r="B481" s="4" t="s">
        <v>237</v>
      </c>
      <c r="C481" s="4" t="s">
        <v>60</v>
      </c>
      <c r="D481" s="4" t="s">
        <v>2089</v>
      </c>
      <c r="E481" s="4" t="s">
        <v>250</v>
      </c>
    </row>
    <row r="482" spans="1:5" ht="31" customHeight="1">
      <c r="A482" s="4" t="s">
        <v>274</v>
      </c>
      <c r="B482" s="4" t="s">
        <v>237</v>
      </c>
      <c r="C482" s="4" t="s">
        <v>61</v>
      </c>
      <c r="D482" s="4" t="s">
        <v>2089</v>
      </c>
      <c r="E482" s="4" t="s">
        <v>250</v>
      </c>
    </row>
    <row r="483" spans="1:5" ht="31" customHeight="1">
      <c r="A483" s="4" t="s">
        <v>274</v>
      </c>
      <c r="B483" s="4" t="s">
        <v>237</v>
      </c>
      <c r="C483" s="4" t="s">
        <v>62</v>
      </c>
      <c r="D483" s="4" t="s">
        <v>2089</v>
      </c>
      <c r="E483" s="4" t="s">
        <v>250</v>
      </c>
    </row>
    <row r="484" spans="1:5" ht="31" customHeight="1">
      <c r="A484" s="4" t="s">
        <v>274</v>
      </c>
      <c r="B484" s="4" t="s">
        <v>237</v>
      </c>
      <c r="C484" s="4" t="s">
        <v>63</v>
      </c>
      <c r="D484" s="4" t="s">
        <v>2089</v>
      </c>
      <c r="E484" s="4" t="s">
        <v>250</v>
      </c>
    </row>
    <row r="485" spans="1:5" ht="31" customHeight="1">
      <c r="A485" s="4" t="s">
        <v>274</v>
      </c>
      <c r="B485" s="4" t="s">
        <v>237</v>
      </c>
      <c r="C485" s="4" t="s">
        <v>65</v>
      </c>
      <c r="D485" s="4" t="s">
        <v>2089</v>
      </c>
      <c r="E485" s="4" t="s">
        <v>250</v>
      </c>
    </row>
    <row r="486" spans="1:5" ht="31" customHeight="1">
      <c r="A486" s="4" t="s">
        <v>274</v>
      </c>
      <c r="B486" s="4" t="s">
        <v>237</v>
      </c>
      <c r="C486" s="4" t="s">
        <v>66</v>
      </c>
      <c r="D486" s="4" t="s">
        <v>2093</v>
      </c>
      <c r="E486" s="4" t="s">
        <v>250</v>
      </c>
    </row>
    <row r="487" spans="1:5" ht="31" customHeight="1">
      <c r="A487" s="4" t="s">
        <v>274</v>
      </c>
      <c r="B487" s="4" t="s">
        <v>237</v>
      </c>
      <c r="C487" s="4" t="s">
        <v>68</v>
      </c>
      <c r="D487" s="4" t="s">
        <v>2089</v>
      </c>
      <c r="E487" s="4" t="s">
        <v>250</v>
      </c>
    </row>
    <row r="488" spans="1:5" ht="31" customHeight="1">
      <c r="A488" s="4" t="s">
        <v>274</v>
      </c>
      <c r="B488" s="4" t="s">
        <v>237</v>
      </c>
      <c r="C488" s="4" t="s">
        <v>69</v>
      </c>
      <c r="D488" s="4" t="s">
        <v>2090</v>
      </c>
      <c r="E488" s="4" t="s">
        <v>250</v>
      </c>
    </row>
    <row r="489" spans="1:5" ht="31" customHeight="1">
      <c r="A489" s="4" t="s">
        <v>274</v>
      </c>
      <c r="B489" s="4" t="s">
        <v>237</v>
      </c>
      <c r="C489" s="4" t="s">
        <v>70</v>
      </c>
      <c r="D489" s="4" t="s">
        <v>2089</v>
      </c>
      <c r="E489" s="4" t="s">
        <v>250</v>
      </c>
    </row>
    <row r="490" spans="1:5" ht="31" customHeight="1">
      <c r="A490" s="4" t="s">
        <v>274</v>
      </c>
      <c r="B490" s="4" t="s">
        <v>237</v>
      </c>
      <c r="C490" s="4" t="s">
        <v>76</v>
      </c>
      <c r="D490" s="4" t="s">
        <v>2091</v>
      </c>
      <c r="E490" s="4" t="s">
        <v>250</v>
      </c>
    </row>
    <row r="491" spans="1:5" ht="31" customHeight="1">
      <c r="A491" s="4" t="s">
        <v>282</v>
      </c>
      <c r="B491" s="4" t="s">
        <v>237</v>
      </c>
      <c r="C491" s="4" t="s">
        <v>35</v>
      </c>
      <c r="D491" s="4" t="s">
        <v>2088</v>
      </c>
      <c r="E491" s="4" t="s">
        <v>250</v>
      </c>
    </row>
    <row r="492" spans="1:5" ht="31" customHeight="1">
      <c r="A492" s="4" t="s">
        <v>282</v>
      </c>
      <c r="B492" s="4" t="s">
        <v>237</v>
      </c>
      <c r="C492" s="4" t="s">
        <v>37</v>
      </c>
      <c r="D492" s="4" t="s">
        <v>2089</v>
      </c>
      <c r="E492" s="4" t="s">
        <v>250</v>
      </c>
    </row>
    <row r="493" spans="1:5" ht="31" customHeight="1">
      <c r="A493" s="4" t="s">
        <v>282</v>
      </c>
      <c r="B493" s="4" t="s">
        <v>237</v>
      </c>
      <c r="C493" s="4" t="s">
        <v>57</v>
      </c>
      <c r="D493" s="4" t="s">
        <v>2092</v>
      </c>
      <c r="E493" s="4" t="s">
        <v>250</v>
      </c>
    </row>
    <row r="494" spans="1:5" ht="31" customHeight="1">
      <c r="A494" s="4" t="s">
        <v>282</v>
      </c>
      <c r="B494" s="4" t="s">
        <v>237</v>
      </c>
      <c r="C494" s="4" t="s">
        <v>58</v>
      </c>
      <c r="D494" s="4" t="s">
        <v>2092</v>
      </c>
      <c r="E494" s="4" t="s">
        <v>250</v>
      </c>
    </row>
    <row r="495" spans="1:5" ht="31" customHeight="1">
      <c r="A495" s="4" t="s">
        <v>282</v>
      </c>
      <c r="B495" s="4" t="s">
        <v>237</v>
      </c>
      <c r="C495" s="4" t="s">
        <v>59</v>
      </c>
      <c r="D495" s="4" t="s">
        <v>2089</v>
      </c>
      <c r="E495" s="4" t="s">
        <v>250</v>
      </c>
    </row>
    <row r="496" spans="1:5" ht="31" customHeight="1">
      <c r="A496" s="4" t="s">
        <v>282</v>
      </c>
      <c r="B496" s="4" t="s">
        <v>237</v>
      </c>
      <c r="C496" s="4" t="s">
        <v>60</v>
      </c>
      <c r="D496" s="4" t="s">
        <v>2089</v>
      </c>
      <c r="E496" s="4" t="s">
        <v>250</v>
      </c>
    </row>
    <row r="497" spans="1:5" ht="31" customHeight="1">
      <c r="A497" s="4" t="s">
        <v>282</v>
      </c>
      <c r="B497" s="4" t="s">
        <v>237</v>
      </c>
      <c r="C497" s="4" t="s">
        <v>61</v>
      </c>
      <c r="D497" s="4" t="s">
        <v>2089</v>
      </c>
      <c r="E497" s="4" t="s">
        <v>250</v>
      </c>
    </row>
    <row r="498" spans="1:5" ht="31" customHeight="1">
      <c r="A498" s="4" t="s">
        <v>282</v>
      </c>
      <c r="B498" s="4" t="s">
        <v>237</v>
      </c>
      <c r="C498" s="4" t="s">
        <v>62</v>
      </c>
      <c r="D498" s="4" t="s">
        <v>2089</v>
      </c>
      <c r="E498" s="4" t="s">
        <v>250</v>
      </c>
    </row>
    <row r="499" spans="1:5" ht="31" customHeight="1">
      <c r="A499" s="4" t="s">
        <v>282</v>
      </c>
      <c r="B499" s="4" t="s">
        <v>237</v>
      </c>
      <c r="C499" s="4" t="s">
        <v>63</v>
      </c>
      <c r="D499" s="4" t="s">
        <v>2089</v>
      </c>
      <c r="E499" s="4" t="s">
        <v>250</v>
      </c>
    </row>
    <row r="500" spans="1:5" ht="31" customHeight="1">
      <c r="A500" s="4" t="s">
        <v>282</v>
      </c>
      <c r="B500" s="4" t="s">
        <v>237</v>
      </c>
      <c r="C500" s="4" t="s">
        <v>64</v>
      </c>
      <c r="D500" s="4" t="s">
        <v>2089</v>
      </c>
      <c r="E500" s="4" t="s">
        <v>250</v>
      </c>
    </row>
    <row r="501" spans="1:5" ht="31" customHeight="1">
      <c r="A501" s="4" t="s">
        <v>282</v>
      </c>
      <c r="B501" s="4" t="s">
        <v>237</v>
      </c>
      <c r="C501" s="4" t="s">
        <v>65</v>
      </c>
      <c r="D501" s="4" t="s">
        <v>2089</v>
      </c>
      <c r="E501" s="4" t="s">
        <v>250</v>
      </c>
    </row>
    <row r="502" spans="1:5" ht="31" customHeight="1">
      <c r="A502" s="4" t="s">
        <v>282</v>
      </c>
      <c r="B502" s="4" t="s">
        <v>237</v>
      </c>
      <c r="C502" s="4" t="s">
        <v>66</v>
      </c>
      <c r="D502" s="4" t="s">
        <v>2093</v>
      </c>
      <c r="E502" s="4" t="s">
        <v>250</v>
      </c>
    </row>
    <row r="503" spans="1:5" ht="31" customHeight="1">
      <c r="A503" s="4" t="s">
        <v>282</v>
      </c>
      <c r="B503" s="4" t="s">
        <v>237</v>
      </c>
      <c r="C503" s="4" t="s">
        <v>67</v>
      </c>
      <c r="D503" s="4" t="s">
        <v>2089</v>
      </c>
      <c r="E503" s="4" t="s">
        <v>250</v>
      </c>
    </row>
    <row r="504" spans="1:5" ht="31" customHeight="1">
      <c r="A504" s="4" t="s">
        <v>282</v>
      </c>
      <c r="B504" s="4" t="s">
        <v>237</v>
      </c>
      <c r="C504" s="4" t="s">
        <v>68</v>
      </c>
      <c r="D504" s="4" t="s">
        <v>2089</v>
      </c>
      <c r="E504" s="4" t="s">
        <v>250</v>
      </c>
    </row>
    <row r="505" spans="1:5" ht="31" customHeight="1">
      <c r="A505" s="4" t="s">
        <v>282</v>
      </c>
      <c r="B505" s="4" t="s">
        <v>237</v>
      </c>
      <c r="C505" s="4" t="s">
        <v>69</v>
      </c>
      <c r="D505" s="4" t="s">
        <v>2090</v>
      </c>
      <c r="E505" s="4" t="s">
        <v>250</v>
      </c>
    </row>
    <row r="506" spans="1:5" ht="31" customHeight="1">
      <c r="A506" s="4" t="s">
        <v>282</v>
      </c>
      <c r="B506" s="4" t="s">
        <v>237</v>
      </c>
      <c r="C506" s="4" t="s">
        <v>70</v>
      </c>
      <c r="D506" s="4" t="s">
        <v>2089</v>
      </c>
      <c r="E506" s="4" t="s">
        <v>250</v>
      </c>
    </row>
    <row r="507" spans="1:5" ht="31" customHeight="1">
      <c r="A507" s="4" t="s">
        <v>282</v>
      </c>
      <c r="B507" s="4" t="s">
        <v>237</v>
      </c>
      <c r="C507" s="4" t="s">
        <v>73</v>
      </c>
      <c r="D507" s="4" t="s">
        <v>2089</v>
      </c>
      <c r="E507" s="4" t="s">
        <v>250</v>
      </c>
    </row>
    <row r="508" spans="1:5" ht="31" customHeight="1">
      <c r="A508" s="4" t="s">
        <v>282</v>
      </c>
      <c r="B508" s="4" t="s">
        <v>237</v>
      </c>
      <c r="C508" s="4" t="s">
        <v>76</v>
      </c>
      <c r="D508" s="4" t="s">
        <v>2091</v>
      </c>
      <c r="E508" s="4" t="s">
        <v>250</v>
      </c>
    </row>
    <row r="509" spans="1:5" ht="31" customHeight="1">
      <c r="A509" s="4" t="s">
        <v>290</v>
      </c>
      <c r="B509" s="4" t="s">
        <v>237</v>
      </c>
      <c r="C509" s="4" t="s">
        <v>35</v>
      </c>
      <c r="D509" s="4" t="s">
        <v>2088</v>
      </c>
      <c r="E509" s="4" t="s">
        <v>250</v>
      </c>
    </row>
    <row r="510" spans="1:5" ht="31" customHeight="1">
      <c r="A510" s="4" t="s">
        <v>290</v>
      </c>
      <c r="B510" s="4" t="s">
        <v>237</v>
      </c>
      <c r="C510" s="4" t="s">
        <v>37</v>
      </c>
      <c r="D510" s="4" t="s">
        <v>2089</v>
      </c>
      <c r="E510" s="4" t="s">
        <v>250</v>
      </c>
    </row>
    <row r="511" spans="1:5" ht="31" customHeight="1">
      <c r="A511" s="4" t="s">
        <v>290</v>
      </c>
      <c r="B511" s="4" t="s">
        <v>237</v>
      </c>
      <c r="C511" s="4" t="s">
        <v>57</v>
      </c>
      <c r="D511" s="4" t="s">
        <v>2092</v>
      </c>
      <c r="E511" s="4" t="s">
        <v>250</v>
      </c>
    </row>
    <row r="512" spans="1:5" ht="31" customHeight="1">
      <c r="A512" s="4" t="s">
        <v>290</v>
      </c>
      <c r="B512" s="4" t="s">
        <v>237</v>
      </c>
      <c r="C512" s="4" t="s">
        <v>58</v>
      </c>
      <c r="D512" s="4" t="s">
        <v>2092</v>
      </c>
      <c r="E512" s="4" t="s">
        <v>250</v>
      </c>
    </row>
    <row r="513" spans="1:5" ht="31" customHeight="1">
      <c r="A513" s="4" t="s">
        <v>290</v>
      </c>
      <c r="B513" s="4" t="s">
        <v>237</v>
      </c>
      <c r="C513" s="4" t="s">
        <v>59</v>
      </c>
      <c r="D513" s="4" t="s">
        <v>2089</v>
      </c>
      <c r="E513" s="4" t="s">
        <v>250</v>
      </c>
    </row>
    <row r="514" spans="1:5" ht="31" customHeight="1">
      <c r="A514" s="4" t="s">
        <v>290</v>
      </c>
      <c r="B514" s="4" t="s">
        <v>237</v>
      </c>
      <c r="C514" s="4" t="s">
        <v>60</v>
      </c>
      <c r="D514" s="4" t="s">
        <v>2089</v>
      </c>
      <c r="E514" s="4" t="s">
        <v>250</v>
      </c>
    </row>
    <row r="515" spans="1:5" ht="31" customHeight="1">
      <c r="A515" s="4" t="s">
        <v>290</v>
      </c>
      <c r="B515" s="4" t="s">
        <v>237</v>
      </c>
      <c r="C515" s="4" t="s">
        <v>61</v>
      </c>
      <c r="D515" s="4" t="s">
        <v>2089</v>
      </c>
      <c r="E515" s="4" t="s">
        <v>250</v>
      </c>
    </row>
    <row r="516" spans="1:5" ht="31" customHeight="1">
      <c r="A516" s="4" t="s">
        <v>290</v>
      </c>
      <c r="B516" s="4" t="s">
        <v>237</v>
      </c>
      <c r="C516" s="4" t="s">
        <v>62</v>
      </c>
      <c r="D516" s="4" t="s">
        <v>2089</v>
      </c>
      <c r="E516" s="4" t="s">
        <v>250</v>
      </c>
    </row>
    <row r="517" spans="1:5" ht="31" customHeight="1">
      <c r="A517" s="4" t="s">
        <v>290</v>
      </c>
      <c r="B517" s="4" t="s">
        <v>237</v>
      </c>
      <c r="C517" s="4" t="s">
        <v>63</v>
      </c>
      <c r="D517" s="4" t="s">
        <v>2089</v>
      </c>
      <c r="E517" s="4" t="s">
        <v>250</v>
      </c>
    </row>
    <row r="518" spans="1:5" ht="31" customHeight="1">
      <c r="A518" s="4" t="s">
        <v>290</v>
      </c>
      <c r="B518" s="4" t="s">
        <v>237</v>
      </c>
      <c r="C518" s="4" t="s">
        <v>64</v>
      </c>
      <c r="D518" s="4" t="s">
        <v>2089</v>
      </c>
      <c r="E518" s="4" t="s">
        <v>250</v>
      </c>
    </row>
    <row r="519" spans="1:5" ht="31" customHeight="1">
      <c r="A519" s="4" t="s">
        <v>290</v>
      </c>
      <c r="B519" s="4" t="s">
        <v>237</v>
      </c>
      <c r="C519" s="4" t="s">
        <v>65</v>
      </c>
      <c r="D519" s="4" t="s">
        <v>2089</v>
      </c>
      <c r="E519" s="4" t="s">
        <v>250</v>
      </c>
    </row>
    <row r="520" spans="1:5" ht="31" customHeight="1">
      <c r="A520" s="4" t="s">
        <v>290</v>
      </c>
      <c r="B520" s="4" t="s">
        <v>237</v>
      </c>
      <c r="C520" s="4" t="s">
        <v>66</v>
      </c>
      <c r="D520" s="4" t="s">
        <v>2093</v>
      </c>
      <c r="E520" s="4" t="s">
        <v>250</v>
      </c>
    </row>
    <row r="521" spans="1:5" ht="31" customHeight="1">
      <c r="A521" s="4" t="s">
        <v>290</v>
      </c>
      <c r="B521" s="4" t="s">
        <v>237</v>
      </c>
      <c r="C521" s="4" t="s">
        <v>67</v>
      </c>
      <c r="D521" s="4" t="s">
        <v>2089</v>
      </c>
      <c r="E521" s="4" t="s">
        <v>250</v>
      </c>
    </row>
    <row r="522" spans="1:5" ht="31" customHeight="1">
      <c r="A522" s="4" t="s">
        <v>290</v>
      </c>
      <c r="B522" s="4" t="s">
        <v>237</v>
      </c>
      <c r="C522" s="4" t="s">
        <v>68</v>
      </c>
      <c r="D522" s="4" t="s">
        <v>2089</v>
      </c>
      <c r="E522" s="4" t="s">
        <v>250</v>
      </c>
    </row>
    <row r="523" spans="1:5" ht="31" customHeight="1">
      <c r="A523" s="4" t="s">
        <v>290</v>
      </c>
      <c r="B523" s="4" t="s">
        <v>237</v>
      </c>
      <c r="C523" s="4" t="s">
        <v>69</v>
      </c>
      <c r="D523" s="4" t="s">
        <v>2090</v>
      </c>
      <c r="E523" s="4" t="s">
        <v>250</v>
      </c>
    </row>
    <row r="524" spans="1:5" ht="31" customHeight="1">
      <c r="A524" s="4" t="s">
        <v>290</v>
      </c>
      <c r="B524" s="4" t="s">
        <v>237</v>
      </c>
      <c r="C524" s="4" t="s">
        <v>70</v>
      </c>
      <c r="D524" s="4" t="s">
        <v>2089</v>
      </c>
      <c r="E524" s="4" t="s">
        <v>250</v>
      </c>
    </row>
    <row r="525" spans="1:5" ht="31" customHeight="1">
      <c r="A525" s="4" t="s">
        <v>290</v>
      </c>
      <c r="B525" s="4" t="s">
        <v>237</v>
      </c>
      <c r="C525" s="4" t="s">
        <v>73</v>
      </c>
      <c r="D525" s="4" t="s">
        <v>2089</v>
      </c>
      <c r="E525" s="4" t="s">
        <v>250</v>
      </c>
    </row>
    <row r="526" spans="1:5" ht="31" customHeight="1">
      <c r="A526" s="4" t="s">
        <v>290</v>
      </c>
      <c r="B526" s="4" t="s">
        <v>237</v>
      </c>
      <c r="C526" s="4" t="s">
        <v>76</v>
      </c>
      <c r="D526" s="4" t="s">
        <v>2091</v>
      </c>
      <c r="E526" s="4" t="s">
        <v>250</v>
      </c>
    </row>
    <row r="527" spans="1:5" ht="31" customHeight="1">
      <c r="A527" s="4" t="s">
        <v>296</v>
      </c>
      <c r="B527" s="4" t="s">
        <v>237</v>
      </c>
      <c r="C527" s="4" t="s">
        <v>35</v>
      </c>
      <c r="D527" s="4" t="s">
        <v>2088</v>
      </c>
      <c r="E527" s="4" t="s">
        <v>250</v>
      </c>
    </row>
    <row r="528" spans="1:5" ht="31" customHeight="1">
      <c r="A528" s="4" t="s">
        <v>296</v>
      </c>
      <c r="B528" s="4" t="s">
        <v>237</v>
      </c>
      <c r="C528" s="4" t="s">
        <v>37</v>
      </c>
      <c r="D528" s="4" t="s">
        <v>2089</v>
      </c>
      <c r="E528" s="4" t="s">
        <v>250</v>
      </c>
    </row>
    <row r="529" spans="1:5" ht="31" customHeight="1">
      <c r="A529" s="4" t="s">
        <v>296</v>
      </c>
      <c r="B529" s="4" t="s">
        <v>237</v>
      </c>
      <c r="C529" s="4" t="s">
        <v>57</v>
      </c>
      <c r="D529" s="4" t="s">
        <v>2092</v>
      </c>
      <c r="E529" s="4" t="s">
        <v>250</v>
      </c>
    </row>
    <row r="530" spans="1:5" ht="31" customHeight="1">
      <c r="A530" s="4" t="s">
        <v>296</v>
      </c>
      <c r="B530" s="4" t="s">
        <v>237</v>
      </c>
      <c r="C530" s="4" t="s">
        <v>58</v>
      </c>
      <c r="D530" s="4" t="s">
        <v>2092</v>
      </c>
      <c r="E530" s="4" t="s">
        <v>250</v>
      </c>
    </row>
    <row r="531" spans="1:5" ht="31" customHeight="1">
      <c r="A531" s="4" t="s">
        <v>296</v>
      </c>
      <c r="B531" s="4" t="s">
        <v>237</v>
      </c>
      <c r="C531" s="4" t="s">
        <v>59</v>
      </c>
      <c r="D531" s="4" t="s">
        <v>2089</v>
      </c>
      <c r="E531" s="4" t="s">
        <v>250</v>
      </c>
    </row>
    <row r="532" spans="1:5" ht="31" customHeight="1">
      <c r="A532" s="4" t="s">
        <v>296</v>
      </c>
      <c r="B532" s="4" t="s">
        <v>237</v>
      </c>
      <c r="C532" s="4" t="s">
        <v>60</v>
      </c>
      <c r="D532" s="4" t="s">
        <v>2089</v>
      </c>
      <c r="E532" s="4" t="s">
        <v>250</v>
      </c>
    </row>
    <row r="533" spans="1:5" ht="31" customHeight="1">
      <c r="A533" s="4" t="s">
        <v>296</v>
      </c>
      <c r="B533" s="4" t="s">
        <v>237</v>
      </c>
      <c r="C533" s="4" t="s">
        <v>61</v>
      </c>
      <c r="D533" s="4" t="s">
        <v>2089</v>
      </c>
      <c r="E533" s="4" t="s">
        <v>250</v>
      </c>
    </row>
    <row r="534" spans="1:5" ht="31" customHeight="1">
      <c r="A534" s="4" t="s">
        <v>296</v>
      </c>
      <c r="B534" s="4" t="s">
        <v>237</v>
      </c>
      <c r="C534" s="4" t="s">
        <v>62</v>
      </c>
      <c r="D534" s="4" t="s">
        <v>2089</v>
      </c>
      <c r="E534" s="4" t="s">
        <v>250</v>
      </c>
    </row>
    <row r="535" spans="1:5" ht="31" customHeight="1">
      <c r="A535" s="4" t="s">
        <v>296</v>
      </c>
      <c r="B535" s="4" t="s">
        <v>237</v>
      </c>
      <c r="C535" s="4" t="s">
        <v>63</v>
      </c>
      <c r="D535" s="4" t="s">
        <v>2089</v>
      </c>
      <c r="E535" s="4" t="s">
        <v>250</v>
      </c>
    </row>
    <row r="536" spans="1:5" ht="31" customHeight="1">
      <c r="A536" s="4" t="s">
        <v>296</v>
      </c>
      <c r="B536" s="4" t="s">
        <v>237</v>
      </c>
      <c r="C536" s="4" t="s">
        <v>64</v>
      </c>
      <c r="D536" s="4" t="s">
        <v>2089</v>
      </c>
      <c r="E536" s="4" t="s">
        <v>250</v>
      </c>
    </row>
    <row r="537" spans="1:5" ht="31" customHeight="1">
      <c r="A537" s="4" t="s">
        <v>296</v>
      </c>
      <c r="B537" s="4" t="s">
        <v>237</v>
      </c>
      <c r="C537" s="4" t="s">
        <v>65</v>
      </c>
      <c r="D537" s="4" t="s">
        <v>2089</v>
      </c>
      <c r="E537" s="4" t="s">
        <v>250</v>
      </c>
    </row>
    <row r="538" spans="1:5" ht="31" customHeight="1">
      <c r="A538" s="4" t="s">
        <v>296</v>
      </c>
      <c r="B538" s="4" t="s">
        <v>237</v>
      </c>
      <c r="C538" s="4" t="s">
        <v>66</v>
      </c>
      <c r="D538" s="4" t="s">
        <v>2093</v>
      </c>
      <c r="E538" s="4" t="s">
        <v>250</v>
      </c>
    </row>
    <row r="539" spans="1:5" ht="31" customHeight="1">
      <c r="A539" s="4" t="s">
        <v>296</v>
      </c>
      <c r="B539" s="4" t="s">
        <v>237</v>
      </c>
      <c r="C539" s="4" t="s">
        <v>67</v>
      </c>
      <c r="D539" s="4" t="s">
        <v>2089</v>
      </c>
      <c r="E539" s="4" t="s">
        <v>250</v>
      </c>
    </row>
    <row r="540" spans="1:5" ht="31" customHeight="1">
      <c r="A540" s="4" t="s">
        <v>296</v>
      </c>
      <c r="B540" s="4" t="s">
        <v>237</v>
      </c>
      <c r="C540" s="4" t="s">
        <v>68</v>
      </c>
      <c r="D540" s="4" t="s">
        <v>2089</v>
      </c>
      <c r="E540" s="4" t="s">
        <v>250</v>
      </c>
    </row>
    <row r="541" spans="1:5" ht="31" customHeight="1">
      <c r="A541" s="4" t="s">
        <v>296</v>
      </c>
      <c r="B541" s="4" t="s">
        <v>237</v>
      </c>
      <c r="C541" s="4" t="s">
        <v>69</v>
      </c>
      <c r="D541" s="4" t="s">
        <v>2090</v>
      </c>
      <c r="E541" s="4" t="s">
        <v>250</v>
      </c>
    </row>
    <row r="542" spans="1:5" ht="31" customHeight="1">
      <c r="A542" s="4" t="s">
        <v>296</v>
      </c>
      <c r="B542" s="4" t="s">
        <v>237</v>
      </c>
      <c r="C542" s="4" t="s">
        <v>70</v>
      </c>
      <c r="D542" s="4" t="s">
        <v>2089</v>
      </c>
      <c r="E542" s="4" t="s">
        <v>250</v>
      </c>
    </row>
    <row r="543" spans="1:5" ht="31" customHeight="1">
      <c r="A543" s="4" t="s">
        <v>296</v>
      </c>
      <c r="B543" s="4" t="s">
        <v>237</v>
      </c>
      <c r="C543" s="4" t="s">
        <v>73</v>
      </c>
      <c r="D543" s="4" t="s">
        <v>2089</v>
      </c>
      <c r="E543" s="4" t="s">
        <v>250</v>
      </c>
    </row>
    <row r="544" spans="1:5" ht="31" customHeight="1">
      <c r="A544" s="4" t="s">
        <v>296</v>
      </c>
      <c r="B544" s="4" t="s">
        <v>237</v>
      </c>
      <c r="C544" s="4" t="s">
        <v>76</v>
      </c>
      <c r="D544" s="4" t="s">
        <v>2091</v>
      </c>
      <c r="E544" s="4" t="s">
        <v>250</v>
      </c>
    </row>
    <row r="545" spans="1:5" ht="31" customHeight="1">
      <c r="A545" s="4" t="s">
        <v>298</v>
      </c>
      <c r="B545" s="4" t="s">
        <v>237</v>
      </c>
      <c r="C545" s="4" t="s">
        <v>35</v>
      </c>
      <c r="D545" s="4" t="s">
        <v>2088</v>
      </c>
      <c r="E545" s="4" t="s">
        <v>250</v>
      </c>
    </row>
    <row r="546" spans="1:5" ht="31" customHeight="1">
      <c r="A546" s="4" t="s">
        <v>298</v>
      </c>
      <c r="B546" s="4" t="s">
        <v>237</v>
      </c>
      <c r="C546" s="4" t="s">
        <v>37</v>
      </c>
      <c r="D546" s="4" t="s">
        <v>2089</v>
      </c>
      <c r="E546" s="4" t="s">
        <v>250</v>
      </c>
    </row>
    <row r="547" spans="1:5" ht="31" customHeight="1">
      <c r="A547" s="4" t="s">
        <v>298</v>
      </c>
      <c r="B547" s="4" t="s">
        <v>237</v>
      </c>
      <c r="C547" s="4" t="s">
        <v>57</v>
      </c>
      <c r="D547" s="4" t="s">
        <v>2092</v>
      </c>
      <c r="E547" s="4" t="s">
        <v>250</v>
      </c>
    </row>
    <row r="548" spans="1:5" ht="31" customHeight="1">
      <c r="A548" s="4" t="s">
        <v>298</v>
      </c>
      <c r="B548" s="4" t="s">
        <v>237</v>
      </c>
      <c r="C548" s="4" t="s">
        <v>58</v>
      </c>
      <c r="D548" s="4" t="s">
        <v>2092</v>
      </c>
      <c r="E548" s="4" t="s">
        <v>250</v>
      </c>
    </row>
    <row r="549" spans="1:5" ht="31" customHeight="1">
      <c r="A549" s="4" t="s">
        <v>298</v>
      </c>
      <c r="B549" s="4" t="s">
        <v>237</v>
      </c>
      <c r="C549" s="4" t="s">
        <v>59</v>
      </c>
      <c r="D549" s="4" t="s">
        <v>2089</v>
      </c>
      <c r="E549" s="4" t="s">
        <v>250</v>
      </c>
    </row>
    <row r="550" spans="1:5" ht="31" customHeight="1">
      <c r="A550" s="4" t="s">
        <v>298</v>
      </c>
      <c r="B550" s="4" t="s">
        <v>237</v>
      </c>
      <c r="C550" s="4" t="s">
        <v>60</v>
      </c>
      <c r="D550" s="4" t="s">
        <v>2089</v>
      </c>
      <c r="E550" s="4" t="s">
        <v>250</v>
      </c>
    </row>
    <row r="551" spans="1:5" ht="31" customHeight="1">
      <c r="A551" s="4" t="s">
        <v>298</v>
      </c>
      <c r="B551" s="4" t="s">
        <v>237</v>
      </c>
      <c r="C551" s="4" t="s">
        <v>61</v>
      </c>
      <c r="D551" s="4" t="s">
        <v>2089</v>
      </c>
      <c r="E551" s="4" t="s">
        <v>250</v>
      </c>
    </row>
    <row r="552" spans="1:5" ht="31" customHeight="1">
      <c r="A552" s="4" t="s">
        <v>298</v>
      </c>
      <c r="B552" s="4" t="s">
        <v>237</v>
      </c>
      <c r="C552" s="4" t="s">
        <v>62</v>
      </c>
      <c r="D552" s="4" t="s">
        <v>2089</v>
      </c>
      <c r="E552" s="4" t="s">
        <v>250</v>
      </c>
    </row>
    <row r="553" spans="1:5" ht="31" customHeight="1">
      <c r="A553" s="4" t="s">
        <v>298</v>
      </c>
      <c r="B553" s="4" t="s">
        <v>237</v>
      </c>
      <c r="C553" s="4" t="s">
        <v>64</v>
      </c>
      <c r="D553" s="4" t="s">
        <v>2089</v>
      </c>
      <c r="E553" s="4" t="s">
        <v>250</v>
      </c>
    </row>
    <row r="554" spans="1:5" ht="31" customHeight="1">
      <c r="A554" s="4" t="s">
        <v>298</v>
      </c>
      <c r="B554" s="4" t="s">
        <v>237</v>
      </c>
      <c r="C554" s="4" t="s">
        <v>66</v>
      </c>
      <c r="D554" s="4" t="s">
        <v>2093</v>
      </c>
      <c r="E554" s="4" t="s">
        <v>250</v>
      </c>
    </row>
    <row r="555" spans="1:5" ht="31" customHeight="1">
      <c r="A555" s="4" t="s">
        <v>298</v>
      </c>
      <c r="B555" s="4" t="s">
        <v>237</v>
      </c>
      <c r="C555" s="4" t="s">
        <v>67</v>
      </c>
      <c r="D555" s="4" t="s">
        <v>2089</v>
      </c>
      <c r="E555" s="4" t="s">
        <v>250</v>
      </c>
    </row>
    <row r="556" spans="1:5" ht="31" customHeight="1">
      <c r="A556" s="4" t="s">
        <v>298</v>
      </c>
      <c r="B556" s="4" t="s">
        <v>237</v>
      </c>
      <c r="C556" s="4" t="s">
        <v>68</v>
      </c>
      <c r="D556" s="4" t="s">
        <v>2089</v>
      </c>
      <c r="E556" s="4" t="s">
        <v>250</v>
      </c>
    </row>
    <row r="557" spans="1:5" ht="31" customHeight="1">
      <c r="A557" s="4" t="s">
        <v>298</v>
      </c>
      <c r="B557" s="4" t="s">
        <v>237</v>
      </c>
      <c r="C557" s="4" t="s">
        <v>69</v>
      </c>
      <c r="D557" s="4" t="s">
        <v>2090</v>
      </c>
      <c r="E557" s="4" t="s">
        <v>250</v>
      </c>
    </row>
    <row r="558" spans="1:5" ht="31" customHeight="1">
      <c r="A558" s="4" t="s">
        <v>298</v>
      </c>
      <c r="B558" s="4" t="s">
        <v>237</v>
      </c>
      <c r="C558" s="4" t="s">
        <v>70</v>
      </c>
      <c r="D558" s="4" t="s">
        <v>2089</v>
      </c>
      <c r="E558" s="4" t="s">
        <v>250</v>
      </c>
    </row>
    <row r="559" spans="1:5" ht="31" customHeight="1">
      <c r="A559" s="4" t="s">
        <v>298</v>
      </c>
      <c r="B559" s="4" t="s">
        <v>237</v>
      </c>
      <c r="C559" s="4" t="s">
        <v>76</v>
      </c>
      <c r="D559" s="4" t="s">
        <v>2091</v>
      </c>
      <c r="E559" s="4" t="s">
        <v>250</v>
      </c>
    </row>
    <row r="560" spans="1:5" ht="31" customHeight="1">
      <c r="A560" s="4" t="s">
        <v>300</v>
      </c>
      <c r="B560" s="4" t="s">
        <v>237</v>
      </c>
      <c r="C560" s="4" t="s">
        <v>35</v>
      </c>
      <c r="D560" s="4" t="s">
        <v>2088</v>
      </c>
      <c r="E560" s="4" t="s">
        <v>250</v>
      </c>
    </row>
    <row r="561" spans="1:5" ht="31" customHeight="1">
      <c r="A561" s="4" t="s">
        <v>300</v>
      </c>
      <c r="B561" s="4" t="s">
        <v>237</v>
      </c>
      <c r="C561" s="4" t="s">
        <v>37</v>
      </c>
      <c r="D561" s="4" t="s">
        <v>2089</v>
      </c>
      <c r="E561" s="4" t="s">
        <v>250</v>
      </c>
    </row>
    <row r="562" spans="1:5" ht="31" customHeight="1">
      <c r="A562" s="4" t="s">
        <v>300</v>
      </c>
      <c r="B562" s="4" t="s">
        <v>237</v>
      </c>
      <c r="C562" s="4" t="s">
        <v>38</v>
      </c>
      <c r="D562" s="4" t="s">
        <v>2089</v>
      </c>
      <c r="E562" s="4" t="s">
        <v>250</v>
      </c>
    </row>
    <row r="563" spans="1:5" ht="31" customHeight="1">
      <c r="A563" s="4" t="s">
        <v>300</v>
      </c>
      <c r="B563" s="4" t="s">
        <v>237</v>
      </c>
      <c r="C563" s="4" t="s">
        <v>57</v>
      </c>
      <c r="D563" s="4" t="s">
        <v>2092</v>
      </c>
      <c r="E563" s="4" t="s">
        <v>250</v>
      </c>
    </row>
    <row r="564" spans="1:5" ht="31" customHeight="1">
      <c r="A564" s="4" t="s">
        <v>300</v>
      </c>
      <c r="B564" s="4" t="s">
        <v>237</v>
      </c>
      <c r="C564" s="4" t="s">
        <v>58</v>
      </c>
      <c r="D564" s="4" t="s">
        <v>2092</v>
      </c>
      <c r="E564" s="4" t="s">
        <v>250</v>
      </c>
    </row>
    <row r="565" spans="1:5" ht="31" customHeight="1">
      <c r="A565" s="4" t="s">
        <v>300</v>
      </c>
      <c r="B565" s="4" t="s">
        <v>237</v>
      </c>
      <c r="C565" s="4" t="s">
        <v>59</v>
      </c>
      <c r="D565" s="4" t="s">
        <v>2089</v>
      </c>
      <c r="E565" s="4" t="s">
        <v>250</v>
      </c>
    </row>
    <row r="566" spans="1:5" ht="31" customHeight="1">
      <c r="A566" s="4" t="s">
        <v>300</v>
      </c>
      <c r="B566" s="4" t="s">
        <v>237</v>
      </c>
      <c r="C566" s="4" t="s">
        <v>60</v>
      </c>
      <c r="D566" s="4" t="s">
        <v>2089</v>
      </c>
      <c r="E566" s="4" t="s">
        <v>250</v>
      </c>
    </row>
    <row r="567" spans="1:5" ht="31" customHeight="1">
      <c r="A567" s="4" t="s">
        <v>300</v>
      </c>
      <c r="B567" s="4" t="s">
        <v>237</v>
      </c>
      <c r="C567" s="4" t="s">
        <v>61</v>
      </c>
      <c r="D567" s="4" t="s">
        <v>2089</v>
      </c>
      <c r="E567" s="4" t="s">
        <v>250</v>
      </c>
    </row>
    <row r="568" spans="1:5" ht="31" customHeight="1">
      <c r="A568" s="4" t="s">
        <v>300</v>
      </c>
      <c r="B568" s="4" t="s">
        <v>237</v>
      </c>
      <c r="C568" s="4" t="s">
        <v>62</v>
      </c>
      <c r="D568" s="4" t="s">
        <v>2089</v>
      </c>
      <c r="E568" s="4" t="s">
        <v>250</v>
      </c>
    </row>
    <row r="569" spans="1:5" ht="31" customHeight="1">
      <c r="A569" s="4" t="s">
        <v>300</v>
      </c>
      <c r="B569" s="4" t="s">
        <v>237</v>
      </c>
      <c r="C569" s="4" t="s">
        <v>63</v>
      </c>
      <c r="D569" s="4" t="s">
        <v>2089</v>
      </c>
      <c r="E569" s="4" t="s">
        <v>250</v>
      </c>
    </row>
    <row r="570" spans="1:5" ht="31" customHeight="1">
      <c r="A570" s="4" t="s">
        <v>300</v>
      </c>
      <c r="B570" s="4" t="s">
        <v>237</v>
      </c>
      <c r="C570" s="4" t="s">
        <v>64</v>
      </c>
      <c r="D570" s="4" t="s">
        <v>2089</v>
      </c>
      <c r="E570" s="4" t="s">
        <v>250</v>
      </c>
    </row>
    <row r="571" spans="1:5" ht="31" customHeight="1">
      <c r="A571" s="4" t="s">
        <v>300</v>
      </c>
      <c r="B571" s="4" t="s">
        <v>237</v>
      </c>
      <c r="C571" s="4" t="s">
        <v>65</v>
      </c>
      <c r="D571" s="4" t="s">
        <v>2089</v>
      </c>
      <c r="E571" s="4" t="s">
        <v>250</v>
      </c>
    </row>
    <row r="572" spans="1:5" ht="31" customHeight="1">
      <c r="A572" s="4" t="s">
        <v>300</v>
      </c>
      <c r="B572" s="4" t="s">
        <v>237</v>
      </c>
      <c r="C572" s="4" t="s">
        <v>66</v>
      </c>
      <c r="D572" s="4" t="s">
        <v>2093</v>
      </c>
      <c r="E572" s="4" t="s">
        <v>250</v>
      </c>
    </row>
    <row r="573" spans="1:5" ht="31" customHeight="1">
      <c r="A573" s="4" t="s">
        <v>300</v>
      </c>
      <c r="B573" s="4" t="s">
        <v>237</v>
      </c>
      <c r="C573" s="4" t="s">
        <v>67</v>
      </c>
      <c r="D573" s="4" t="s">
        <v>2089</v>
      </c>
      <c r="E573" s="4" t="s">
        <v>250</v>
      </c>
    </row>
    <row r="574" spans="1:5" ht="31" customHeight="1">
      <c r="A574" s="4" t="s">
        <v>300</v>
      </c>
      <c r="B574" s="4" t="s">
        <v>237</v>
      </c>
      <c r="C574" s="4" t="s">
        <v>68</v>
      </c>
      <c r="D574" s="4" t="s">
        <v>2089</v>
      </c>
      <c r="E574" s="4" t="s">
        <v>250</v>
      </c>
    </row>
    <row r="575" spans="1:5" ht="31" customHeight="1">
      <c r="A575" s="4" t="s">
        <v>300</v>
      </c>
      <c r="B575" s="4" t="s">
        <v>237</v>
      </c>
      <c r="C575" s="4" t="s">
        <v>69</v>
      </c>
      <c r="D575" s="4" t="s">
        <v>2090</v>
      </c>
      <c r="E575" s="4" t="s">
        <v>250</v>
      </c>
    </row>
    <row r="576" spans="1:5" ht="31" customHeight="1">
      <c r="A576" s="4" t="s">
        <v>300</v>
      </c>
      <c r="B576" s="4" t="s">
        <v>237</v>
      </c>
      <c r="C576" s="4" t="s">
        <v>70</v>
      </c>
      <c r="D576" s="4" t="s">
        <v>2089</v>
      </c>
      <c r="E576" s="4" t="s">
        <v>250</v>
      </c>
    </row>
    <row r="577" spans="1:5" ht="31" customHeight="1">
      <c r="A577" s="4" t="s">
        <v>300</v>
      </c>
      <c r="B577" s="4" t="s">
        <v>237</v>
      </c>
      <c r="C577" s="4" t="s">
        <v>71</v>
      </c>
      <c r="D577" s="4" t="s">
        <v>2089</v>
      </c>
      <c r="E577" s="4" t="s">
        <v>250</v>
      </c>
    </row>
    <row r="578" spans="1:5" ht="31" customHeight="1">
      <c r="A578" s="4" t="s">
        <v>300</v>
      </c>
      <c r="B578" s="4" t="s">
        <v>237</v>
      </c>
      <c r="C578" s="4" t="s">
        <v>73</v>
      </c>
      <c r="D578" s="4" t="s">
        <v>2089</v>
      </c>
      <c r="E578" s="4" t="s">
        <v>250</v>
      </c>
    </row>
    <row r="579" spans="1:5" ht="31" customHeight="1">
      <c r="A579" s="4" t="s">
        <v>300</v>
      </c>
      <c r="B579" s="4" t="s">
        <v>237</v>
      </c>
      <c r="C579" s="4" t="s">
        <v>76</v>
      </c>
      <c r="D579" s="4" t="s">
        <v>2091</v>
      </c>
      <c r="E579" s="4" t="s">
        <v>250</v>
      </c>
    </row>
    <row r="580" spans="1:5" ht="31" customHeight="1">
      <c r="A580" s="4" t="s">
        <v>304</v>
      </c>
      <c r="B580" s="4" t="s">
        <v>237</v>
      </c>
      <c r="C580" s="4" t="s">
        <v>35</v>
      </c>
      <c r="D580" s="4" t="s">
        <v>2088</v>
      </c>
      <c r="E580" s="4" t="s">
        <v>250</v>
      </c>
    </row>
    <row r="581" spans="1:5" ht="31" customHeight="1">
      <c r="A581" s="4" t="s">
        <v>304</v>
      </c>
      <c r="B581" s="4" t="s">
        <v>237</v>
      </c>
      <c r="C581" s="4" t="s">
        <v>37</v>
      </c>
      <c r="D581" s="4" t="s">
        <v>2089</v>
      </c>
      <c r="E581" s="4" t="s">
        <v>250</v>
      </c>
    </row>
    <row r="582" spans="1:5" ht="31" customHeight="1">
      <c r="A582" s="4" t="s">
        <v>304</v>
      </c>
      <c r="B582" s="4" t="s">
        <v>237</v>
      </c>
      <c r="C582" s="4" t="s">
        <v>38</v>
      </c>
      <c r="D582" s="4" t="s">
        <v>2089</v>
      </c>
      <c r="E582" s="4" t="s">
        <v>250</v>
      </c>
    </row>
    <row r="583" spans="1:5" ht="31" customHeight="1">
      <c r="A583" s="4" t="s">
        <v>304</v>
      </c>
      <c r="B583" s="4" t="s">
        <v>237</v>
      </c>
      <c r="C583" s="4" t="s">
        <v>57</v>
      </c>
      <c r="D583" s="4" t="s">
        <v>2092</v>
      </c>
      <c r="E583" s="4" t="s">
        <v>250</v>
      </c>
    </row>
    <row r="584" spans="1:5" ht="31" customHeight="1">
      <c r="A584" s="4" t="s">
        <v>304</v>
      </c>
      <c r="B584" s="4" t="s">
        <v>237</v>
      </c>
      <c r="C584" s="4" t="s">
        <v>58</v>
      </c>
      <c r="D584" s="4" t="s">
        <v>2092</v>
      </c>
      <c r="E584" s="4" t="s">
        <v>250</v>
      </c>
    </row>
    <row r="585" spans="1:5" ht="31" customHeight="1">
      <c r="A585" s="4" t="s">
        <v>304</v>
      </c>
      <c r="B585" s="4" t="s">
        <v>237</v>
      </c>
      <c r="C585" s="4" t="s">
        <v>59</v>
      </c>
      <c r="D585" s="4" t="s">
        <v>2089</v>
      </c>
      <c r="E585" s="4" t="s">
        <v>250</v>
      </c>
    </row>
    <row r="586" spans="1:5" ht="31" customHeight="1">
      <c r="A586" s="4" t="s">
        <v>304</v>
      </c>
      <c r="B586" s="4" t="s">
        <v>237</v>
      </c>
      <c r="C586" s="4" t="s">
        <v>60</v>
      </c>
      <c r="D586" s="4" t="s">
        <v>2089</v>
      </c>
      <c r="E586" s="4" t="s">
        <v>250</v>
      </c>
    </row>
    <row r="587" spans="1:5" ht="31" customHeight="1">
      <c r="A587" s="4" t="s">
        <v>304</v>
      </c>
      <c r="B587" s="4" t="s">
        <v>237</v>
      </c>
      <c r="C587" s="4" t="s">
        <v>61</v>
      </c>
      <c r="D587" s="4" t="s">
        <v>2089</v>
      </c>
      <c r="E587" s="4" t="s">
        <v>250</v>
      </c>
    </row>
    <row r="588" spans="1:5" ht="31" customHeight="1">
      <c r="A588" s="4" t="s">
        <v>304</v>
      </c>
      <c r="B588" s="4" t="s">
        <v>237</v>
      </c>
      <c r="C588" s="4" t="s">
        <v>62</v>
      </c>
      <c r="D588" s="4" t="s">
        <v>2089</v>
      </c>
      <c r="E588" s="4" t="s">
        <v>250</v>
      </c>
    </row>
    <row r="589" spans="1:5" ht="31" customHeight="1">
      <c r="A589" s="4" t="s">
        <v>304</v>
      </c>
      <c r="B589" s="4" t="s">
        <v>237</v>
      </c>
      <c r="C589" s="4" t="s">
        <v>63</v>
      </c>
      <c r="D589" s="4" t="s">
        <v>2089</v>
      </c>
      <c r="E589" s="4" t="s">
        <v>250</v>
      </c>
    </row>
    <row r="590" spans="1:5" ht="31" customHeight="1">
      <c r="A590" s="4" t="s">
        <v>304</v>
      </c>
      <c r="B590" s="4" t="s">
        <v>237</v>
      </c>
      <c r="C590" s="4" t="s">
        <v>64</v>
      </c>
      <c r="D590" s="4" t="s">
        <v>2089</v>
      </c>
      <c r="E590" s="4" t="s">
        <v>250</v>
      </c>
    </row>
    <row r="591" spans="1:5" ht="31" customHeight="1">
      <c r="A591" s="4" t="s">
        <v>304</v>
      </c>
      <c r="B591" s="4" t="s">
        <v>237</v>
      </c>
      <c r="C591" s="4" t="s">
        <v>65</v>
      </c>
      <c r="D591" s="4" t="s">
        <v>2089</v>
      </c>
      <c r="E591" s="4" t="s">
        <v>250</v>
      </c>
    </row>
    <row r="592" spans="1:5" ht="31" customHeight="1">
      <c r="A592" s="4" t="s">
        <v>304</v>
      </c>
      <c r="B592" s="4" t="s">
        <v>237</v>
      </c>
      <c r="C592" s="4" t="s">
        <v>66</v>
      </c>
      <c r="D592" s="4" t="s">
        <v>2093</v>
      </c>
      <c r="E592" s="4" t="s">
        <v>250</v>
      </c>
    </row>
    <row r="593" spans="1:5" ht="31" customHeight="1">
      <c r="A593" s="4" t="s">
        <v>304</v>
      </c>
      <c r="B593" s="4" t="s">
        <v>237</v>
      </c>
      <c r="C593" s="4" t="s">
        <v>67</v>
      </c>
      <c r="D593" s="4" t="s">
        <v>2089</v>
      </c>
      <c r="E593" s="4" t="s">
        <v>250</v>
      </c>
    </row>
    <row r="594" spans="1:5" ht="31" customHeight="1">
      <c r="A594" s="4" t="s">
        <v>304</v>
      </c>
      <c r="B594" s="4" t="s">
        <v>237</v>
      </c>
      <c r="C594" s="4" t="s">
        <v>68</v>
      </c>
      <c r="D594" s="4" t="s">
        <v>2089</v>
      </c>
      <c r="E594" s="4" t="s">
        <v>250</v>
      </c>
    </row>
    <row r="595" spans="1:5" ht="31" customHeight="1">
      <c r="A595" s="4" t="s">
        <v>304</v>
      </c>
      <c r="B595" s="4" t="s">
        <v>237</v>
      </c>
      <c r="C595" s="4" t="s">
        <v>69</v>
      </c>
      <c r="D595" s="4" t="s">
        <v>2090</v>
      </c>
      <c r="E595" s="4" t="s">
        <v>250</v>
      </c>
    </row>
    <row r="596" spans="1:5" ht="31" customHeight="1">
      <c r="A596" s="4" t="s">
        <v>304</v>
      </c>
      <c r="B596" s="4" t="s">
        <v>237</v>
      </c>
      <c r="C596" s="4" t="s">
        <v>70</v>
      </c>
      <c r="D596" s="4" t="s">
        <v>2089</v>
      </c>
      <c r="E596" s="4" t="s">
        <v>250</v>
      </c>
    </row>
    <row r="597" spans="1:5" ht="31" customHeight="1">
      <c r="A597" s="4" t="s">
        <v>304</v>
      </c>
      <c r="B597" s="4" t="s">
        <v>237</v>
      </c>
      <c r="C597" s="4" t="s">
        <v>71</v>
      </c>
      <c r="D597" s="4" t="s">
        <v>2089</v>
      </c>
      <c r="E597" s="4" t="s">
        <v>250</v>
      </c>
    </row>
    <row r="598" spans="1:5" ht="31" customHeight="1">
      <c r="A598" s="4" t="s">
        <v>304</v>
      </c>
      <c r="B598" s="4" t="s">
        <v>237</v>
      </c>
      <c r="C598" s="4" t="s">
        <v>73</v>
      </c>
      <c r="D598" s="4" t="s">
        <v>2089</v>
      </c>
      <c r="E598" s="4" t="s">
        <v>250</v>
      </c>
    </row>
    <row r="599" spans="1:5" ht="31" customHeight="1">
      <c r="A599" s="4" t="s">
        <v>304</v>
      </c>
      <c r="B599" s="4" t="s">
        <v>237</v>
      </c>
      <c r="C599" s="4" t="s">
        <v>76</v>
      </c>
      <c r="D599" s="4" t="s">
        <v>2091</v>
      </c>
      <c r="E599" s="4" t="s">
        <v>250</v>
      </c>
    </row>
    <row r="600" spans="1:5" ht="31" customHeight="1">
      <c r="A600" s="4" t="s">
        <v>306</v>
      </c>
      <c r="B600" s="4" t="s">
        <v>237</v>
      </c>
      <c r="C600" s="4" t="s">
        <v>35</v>
      </c>
      <c r="D600" s="4" t="s">
        <v>2088</v>
      </c>
      <c r="E600" s="4" t="s">
        <v>250</v>
      </c>
    </row>
    <row r="601" spans="1:5" ht="31" customHeight="1">
      <c r="A601" s="4" t="s">
        <v>306</v>
      </c>
      <c r="B601" s="4" t="s">
        <v>237</v>
      </c>
      <c r="C601" s="4" t="s">
        <v>36</v>
      </c>
      <c r="D601" s="4" t="s">
        <v>2089</v>
      </c>
      <c r="E601" s="4" t="s">
        <v>250</v>
      </c>
    </row>
    <row r="602" spans="1:5" ht="31" customHeight="1">
      <c r="A602" s="4" t="s">
        <v>306</v>
      </c>
      <c r="B602" s="4" t="s">
        <v>237</v>
      </c>
      <c r="C602" s="4" t="s">
        <v>37</v>
      </c>
      <c r="D602" s="4" t="s">
        <v>2089</v>
      </c>
      <c r="E602" s="4" t="s">
        <v>250</v>
      </c>
    </row>
    <row r="603" spans="1:5" ht="31" customHeight="1">
      <c r="A603" s="4" t="s">
        <v>306</v>
      </c>
      <c r="B603" s="4" t="s">
        <v>237</v>
      </c>
      <c r="C603" s="4" t="s">
        <v>38</v>
      </c>
      <c r="D603" s="4" t="s">
        <v>2089</v>
      </c>
      <c r="E603" s="4" t="s">
        <v>250</v>
      </c>
    </row>
    <row r="604" spans="1:5" ht="31" customHeight="1">
      <c r="A604" s="4" t="s">
        <v>306</v>
      </c>
      <c r="B604" s="4" t="s">
        <v>237</v>
      </c>
      <c r="C604" s="4" t="s">
        <v>39</v>
      </c>
      <c r="D604" s="4" t="s">
        <v>2089</v>
      </c>
      <c r="E604" s="4" t="s">
        <v>250</v>
      </c>
    </row>
    <row r="605" spans="1:5" ht="31" customHeight="1">
      <c r="A605" s="4" t="s">
        <v>306</v>
      </c>
      <c r="B605" s="4" t="s">
        <v>237</v>
      </c>
      <c r="C605" s="4" t="s">
        <v>57</v>
      </c>
      <c r="D605" s="4" t="s">
        <v>2092</v>
      </c>
      <c r="E605" s="4" t="s">
        <v>250</v>
      </c>
    </row>
    <row r="606" spans="1:5" ht="31" customHeight="1">
      <c r="A606" s="4" t="s">
        <v>306</v>
      </c>
      <c r="B606" s="4" t="s">
        <v>237</v>
      </c>
      <c r="C606" s="4" t="s">
        <v>58</v>
      </c>
      <c r="D606" s="4" t="s">
        <v>2092</v>
      </c>
      <c r="E606" s="4" t="s">
        <v>250</v>
      </c>
    </row>
    <row r="607" spans="1:5" ht="31" customHeight="1">
      <c r="A607" s="4" t="s">
        <v>306</v>
      </c>
      <c r="B607" s="4" t="s">
        <v>237</v>
      </c>
      <c r="C607" s="4" t="s">
        <v>59</v>
      </c>
      <c r="D607" s="4" t="s">
        <v>2089</v>
      </c>
      <c r="E607" s="4" t="s">
        <v>250</v>
      </c>
    </row>
    <row r="608" spans="1:5" ht="31" customHeight="1">
      <c r="A608" s="4" t="s">
        <v>306</v>
      </c>
      <c r="B608" s="4" t="s">
        <v>237</v>
      </c>
      <c r="C608" s="4" t="s">
        <v>60</v>
      </c>
      <c r="D608" s="4" t="s">
        <v>2089</v>
      </c>
      <c r="E608" s="4" t="s">
        <v>250</v>
      </c>
    </row>
    <row r="609" spans="1:5" ht="31" customHeight="1">
      <c r="A609" s="4" t="s">
        <v>306</v>
      </c>
      <c r="B609" s="4" t="s">
        <v>237</v>
      </c>
      <c r="C609" s="4" t="s">
        <v>61</v>
      </c>
      <c r="D609" s="4" t="s">
        <v>2089</v>
      </c>
      <c r="E609" s="4" t="s">
        <v>250</v>
      </c>
    </row>
    <row r="610" spans="1:5" ht="31" customHeight="1">
      <c r="A610" s="4" t="s">
        <v>306</v>
      </c>
      <c r="B610" s="4" t="s">
        <v>237</v>
      </c>
      <c r="C610" s="4" t="s">
        <v>62</v>
      </c>
      <c r="D610" s="4" t="s">
        <v>2089</v>
      </c>
      <c r="E610" s="4" t="s">
        <v>250</v>
      </c>
    </row>
    <row r="611" spans="1:5" ht="31" customHeight="1">
      <c r="A611" s="4" t="s">
        <v>306</v>
      </c>
      <c r="B611" s="4" t="s">
        <v>237</v>
      </c>
      <c r="C611" s="4" t="s">
        <v>63</v>
      </c>
      <c r="D611" s="4" t="s">
        <v>2089</v>
      </c>
      <c r="E611" s="4" t="s">
        <v>250</v>
      </c>
    </row>
    <row r="612" spans="1:5" ht="31" customHeight="1">
      <c r="A612" s="4" t="s">
        <v>306</v>
      </c>
      <c r="B612" s="4" t="s">
        <v>237</v>
      </c>
      <c r="C612" s="4" t="s">
        <v>64</v>
      </c>
      <c r="D612" s="4" t="s">
        <v>2089</v>
      </c>
      <c r="E612" s="4" t="s">
        <v>250</v>
      </c>
    </row>
    <row r="613" spans="1:5" ht="31" customHeight="1">
      <c r="A613" s="4" t="s">
        <v>306</v>
      </c>
      <c r="B613" s="4" t="s">
        <v>237</v>
      </c>
      <c r="C613" s="4" t="s">
        <v>65</v>
      </c>
      <c r="D613" s="4" t="s">
        <v>2089</v>
      </c>
      <c r="E613" s="4" t="s">
        <v>250</v>
      </c>
    </row>
    <row r="614" spans="1:5" ht="31" customHeight="1">
      <c r="A614" s="4" t="s">
        <v>306</v>
      </c>
      <c r="B614" s="4" t="s">
        <v>237</v>
      </c>
      <c r="C614" s="4" t="s">
        <v>66</v>
      </c>
      <c r="D614" s="4" t="s">
        <v>2093</v>
      </c>
      <c r="E614" s="4" t="s">
        <v>250</v>
      </c>
    </row>
    <row r="615" spans="1:5" ht="31" customHeight="1">
      <c r="A615" s="4" t="s">
        <v>306</v>
      </c>
      <c r="B615" s="4" t="s">
        <v>237</v>
      </c>
      <c r="C615" s="4" t="s">
        <v>67</v>
      </c>
      <c r="D615" s="4" t="s">
        <v>2089</v>
      </c>
      <c r="E615" s="4" t="s">
        <v>250</v>
      </c>
    </row>
    <row r="616" spans="1:5" ht="31" customHeight="1">
      <c r="A616" s="4" t="s">
        <v>306</v>
      </c>
      <c r="B616" s="4" t="s">
        <v>237</v>
      </c>
      <c r="C616" s="4" t="s">
        <v>68</v>
      </c>
      <c r="D616" s="4" t="s">
        <v>2089</v>
      </c>
      <c r="E616" s="4" t="s">
        <v>250</v>
      </c>
    </row>
    <row r="617" spans="1:5" ht="31" customHeight="1">
      <c r="A617" s="4" t="s">
        <v>306</v>
      </c>
      <c r="B617" s="4" t="s">
        <v>237</v>
      </c>
      <c r="C617" s="4" t="s">
        <v>69</v>
      </c>
      <c r="D617" s="4" t="s">
        <v>2090</v>
      </c>
      <c r="E617" s="4" t="s">
        <v>250</v>
      </c>
    </row>
    <row r="618" spans="1:5" ht="31" customHeight="1">
      <c r="A618" s="4" t="s">
        <v>306</v>
      </c>
      <c r="B618" s="4" t="s">
        <v>237</v>
      </c>
      <c r="C618" s="4" t="s">
        <v>70</v>
      </c>
      <c r="D618" s="4" t="s">
        <v>2089</v>
      </c>
      <c r="E618" s="4" t="s">
        <v>250</v>
      </c>
    </row>
    <row r="619" spans="1:5" ht="31" customHeight="1">
      <c r="A619" s="4" t="s">
        <v>306</v>
      </c>
      <c r="B619" s="4" t="s">
        <v>237</v>
      </c>
      <c r="C619" s="4" t="s">
        <v>71</v>
      </c>
      <c r="D619" s="4" t="s">
        <v>2089</v>
      </c>
      <c r="E619" s="4" t="s">
        <v>250</v>
      </c>
    </row>
    <row r="620" spans="1:5" ht="31" customHeight="1">
      <c r="A620" s="4" t="s">
        <v>306</v>
      </c>
      <c r="B620" s="4" t="s">
        <v>237</v>
      </c>
      <c r="C620" s="4" t="s">
        <v>73</v>
      </c>
      <c r="D620" s="4" t="s">
        <v>2089</v>
      </c>
      <c r="E620" s="4" t="s">
        <v>250</v>
      </c>
    </row>
    <row r="621" spans="1:5" ht="31" customHeight="1">
      <c r="A621" s="4" t="s">
        <v>306</v>
      </c>
      <c r="B621" s="4" t="s">
        <v>237</v>
      </c>
      <c r="C621" s="4" t="s">
        <v>76</v>
      </c>
      <c r="D621" s="4" t="s">
        <v>2091</v>
      </c>
      <c r="E621" s="4" t="s">
        <v>250</v>
      </c>
    </row>
    <row r="622" spans="1:5" ht="31" customHeight="1">
      <c r="A622" s="4" t="s">
        <v>310</v>
      </c>
      <c r="B622" s="4" t="s">
        <v>311</v>
      </c>
      <c r="C622" s="4" t="s">
        <v>35</v>
      </c>
      <c r="D622" s="4" t="s">
        <v>2088</v>
      </c>
      <c r="E622" s="4" t="s">
        <v>319</v>
      </c>
    </row>
    <row r="623" spans="1:5" ht="31" customHeight="1">
      <c r="A623" s="4" t="s">
        <v>310</v>
      </c>
      <c r="B623" s="4" t="s">
        <v>311</v>
      </c>
      <c r="C623" s="4" t="s">
        <v>37</v>
      </c>
      <c r="D623" s="4" t="s">
        <v>2089</v>
      </c>
      <c r="E623" s="4" t="s">
        <v>319</v>
      </c>
    </row>
    <row r="624" spans="1:5" ht="31" customHeight="1">
      <c r="A624" s="4" t="s">
        <v>310</v>
      </c>
      <c r="B624" s="4" t="s">
        <v>311</v>
      </c>
      <c r="C624" s="4" t="s">
        <v>40</v>
      </c>
      <c r="D624" s="4" t="s">
        <v>2069</v>
      </c>
      <c r="E624" s="4" t="s">
        <v>319</v>
      </c>
    </row>
    <row r="625" spans="1:5" ht="31" customHeight="1">
      <c r="A625" s="4" t="s">
        <v>310</v>
      </c>
      <c r="B625" s="4" t="s">
        <v>311</v>
      </c>
      <c r="C625" s="4" t="s">
        <v>41</v>
      </c>
      <c r="D625" s="4" t="s">
        <v>2069</v>
      </c>
      <c r="E625" s="4" t="s">
        <v>319</v>
      </c>
    </row>
    <row r="626" spans="1:5" ht="31" customHeight="1">
      <c r="A626" s="4" t="s">
        <v>310</v>
      </c>
      <c r="B626" s="4" t="s">
        <v>311</v>
      </c>
      <c r="C626" s="4" t="s">
        <v>42</v>
      </c>
      <c r="D626" s="4" t="s">
        <v>2069</v>
      </c>
      <c r="E626" s="4" t="s">
        <v>319</v>
      </c>
    </row>
    <row r="627" spans="1:5" ht="31" customHeight="1">
      <c r="A627" s="4" t="s">
        <v>310</v>
      </c>
      <c r="B627" s="4" t="s">
        <v>311</v>
      </c>
      <c r="C627" s="4" t="s">
        <v>43</v>
      </c>
      <c r="D627" s="4" t="s">
        <v>2069</v>
      </c>
      <c r="E627" s="4" t="s">
        <v>319</v>
      </c>
    </row>
    <row r="628" spans="1:5" ht="31" customHeight="1">
      <c r="A628" s="4" t="s">
        <v>310</v>
      </c>
      <c r="B628" s="4" t="s">
        <v>311</v>
      </c>
      <c r="C628" s="4" t="s">
        <v>44</v>
      </c>
      <c r="D628" s="4" t="s">
        <v>2069</v>
      </c>
      <c r="E628" s="4" t="s">
        <v>319</v>
      </c>
    </row>
    <row r="629" spans="1:5" ht="31" customHeight="1">
      <c r="A629" s="4" t="s">
        <v>310</v>
      </c>
      <c r="B629" s="4" t="s">
        <v>311</v>
      </c>
      <c r="C629" s="4" t="s">
        <v>45</v>
      </c>
      <c r="D629" s="4" t="s">
        <v>2069</v>
      </c>
      <c r="E629" s="4" t="s">
        <v>319</v>
      </c>
    </row>
    <row r="630" spans="1:5" ht="31" customHeight="1">
      <c r="A630" s="4" t="s">
        <v>310</v>
      </c>
      <c r="B630" s="4" t="s">
        <v>311</v>
      </c>
      <c r="C630" s="4" t="s">
        <v>46</v>
      </c>
      <c r="D630" s="4" t="s">
        <v>2069</v>
      </c>
      <c r="E630" s="4" t="s">
        <v>319</v>
      </c>
    </row>
    <row r="631" spans="1:5" ht="31" customHeight="1">
      <c r="A631" s="4" t="s">
        <v>310</v>
      </c>
      <c r="B631" s="4" t="s">
        <v>311</v>
      </c>
      <c r="C631" s="4" t="s">
        <v>47</v>
      </c>
      <c r="D631" s="4" t="s">
        <v>2069</v>
      </c>
      <c r="E631" s="4" t="s">
        <v>319</v>
      </c>
    </row>
    <row r="632" spans="1:5" ht="31" customHeight="1">
      <c r="A632" s="4" t="s">
        <v>310</v>
      </c>
      <c r="B632" s="4" t="s">
        <v>311</v>
      </c>
      <c r="C632" s="4" t="s">
        <v>48</v>
      </c>
      <c r="D632" s="4" t="s">
        <v>2069</v>
      </c>
      <c r="E632" s="4" t="s">
        <v>319</v>
      </c>
    </row>
    <row r="633" spans="1:5" ht="31" customHeight="1">
      <c r="A633" s="4" t="s">
        <v>310</v>
      </c>
      <c r="B633" s="4" t="s">
        <v>311</v>
      </c>
      <c r="C633" s="4" t="s">
        <v>49</v>
      </c>
      <c r="D633" s="4" t="s">
        <v>2069</v>
      </c>
      <c r="E633" s="4" t="s">
        <v>319</v>
      </c>
    </row>
    <row r="634" spans="1:5" ht="31" customHeight="1">
      <c r="A634" s="4" t="s">
        <v>310</v>
      </c>
      <c r="B634" s="4" t="s">
        <v>311</v>
      </c>
      <c r="C634" s="4" t="s">
        <v>50</v>
      </c>
      <c r="D634" s="4" t="s">
        <v>2094</v>
      </c>
      <c r="E634" s="4" t="s">
        <v>319</v>
      </c>
    </row>
    <row r="635" spans="1:5" ht="31" customHeight="1">
      <c r="A635" s="4" t="s">
        <v>310</v>
      </c>
      <c r="B635" s="4" t="s">
        <v>311</v>
      </c>
      <c r="C635" s="4" t="s">
        <v>51</v>
      </c>
      <c r="D635" s="4" t="s">
        <v>2094</v>
      </c>
      <c r="E635" s="4" t="s">
        <v>319</v>
      </c>
    </row>
    <row r="636" spans="1:5" ht="31" customHeight="1">
      <c r="A636" s="4" t="s">
        <v>310</v>
      </c>
      <c r="B636" s="4" t="s">
        <v>311</v>
      </c>
      <c r="C636" s="4" t="s">
        <v>52</v>
      </c>
      <c r="D636" s="4" t="s">
        <v>2094</v>
      </c>
      <c r="E636" s="4" t="s">
        <v>319</v>
      </c>
    </row>
    <row r="637" spans="1:5" ht="31" customHeight="1">
      <c r="A637" s="4" t="s">
        <v>310</v>
      </c>
      <c r="B637" s="4" t="s">
        <v>311</v>
      </c>
      <c r="C637" s="4" t="s">
        <v>53</v>
      </c>
      <c r="D637" s="4" t="s">
        <v>2094</v>
      </c>
      <c r="E637" s="4" t="s">
        <v>319</v>
      </c>
    </row>
    <row r="638" spans="1:5" ht="31" customHeight="1">
      <c r="A638" s="4" t="s">
        <v>310</v>
      </c>
      <c r="B638" s="4" t="s">
        <v>311</v>
      </c>
      <c r="C638" s="4" t="s">
        <v>54</v>
      </c>
      <c r="D638" s="4" t="s">
        <v>2094</v>
      </c>
      <c r="E638" s="4" t="s">
        <v>319</v>
      </c>
    </row>
    <row r="639" spans="1:5" ht="31" customHeight="1">
      <c r="A639" s="4" t="s">
        <v>310</v>
      </c>
      <c r="B639" s="4" t="s">
        <v>311</v>
      </c>
      <c r="C639" s="4" t="s">
        <v>55</v>
      </c>
      <c r="D639" s="4" t="s">
        <v>2089</v>
      </c>
      <c r="E639" s="4" t="s">
        <v>319</v>
      </c>
    </row>
    <row r="640" spans="1:5" ht="31" customHeight="1">
      <c r="A640" s="4" t="s">
        <v>310</v>
      </c>
      <c r="B640" s="4" t="s">
        <v>311</v>
      </c>
      <c r="C640" s="4" t="s">
        <v>56</v>
      </c>
      <c r="D640" s="4" t="s">
        <v>2089</v>
      </c>
      <c r="E640" s="4" t="s">
        <v>319</v>
      </c>
    </row>
    <row r="641" spans="1:5" ht="31" customHeight="1">
      <c r="A641" s="4" t="s">
        <v>310</v>
      </c>
      <c r="B641" s="4" t="s">
        <v>311</v>
      </c>
      <c r="C641" s="4" t="s">
        <v>57</v>
      </c>
      <c r="D641" s="4" t="s">
        <v>2092</v>
      </c>
      <c r="E641" s="4" t="s">
        <v>319</v>
      </c>
    </row>
    <row r="642" spans="1:5" ht="31" customHeight="1">
      <c r="A642" s="4" t="s">
        <v>310</v>
      </c>
      <c r="B642" s="4" t="s">
        <v>311</v>
      </c>
      <c r="C642" s="4" t="s">
        <v>58</v>
      </c>
      <c r="D642" s="4" t="s">
        <v>2092</v>
      </c>
      <c r="E642" s="4" t="s">
        <v>319</v>
      </c>
    </row>
    <row r="643" spans="1:5" ht="31" customHeight="1">
      <c r="A643" s="4" t="s">
        <v>310</v>
      </c>
      <c r="B643" s="4" t="s">
        <v>311</v>
      </c>
      <c r="C643" s="4" t="s">
        <v>60</v>
      </c>
      <c r="D643" s="4" t="s">
        <v>2089</v>
      </c>
      <c r="E643" s="4" t="s">
        <v>319</v>
      </c>
    </row>
    <row r="644" spans="1:5" ht="31" customHeight="1">
      <c r="A644" s="4" t="s">
        <v>310</v>
      </c>
      <c r="B644" s="4" t="s">
        <v>311</v>
      </c>
      <c r="C644" s="4" t="s">
        <v>61</v>
      </c>
      <c r="D644" s="4" t="s">
        <v>2089</v>
      </c>
      <c r="E644" s="4" t="s">
        <v>319</v>
      </c>
    </row>
    <row r="645" spans="1:5" ht="31" customHeight="1">
      <c r="A645" s="4" t="s">
        <v>310</v>
      </c>
      <c r="B645" s="4" t="s">
        <v>311</v>
      </c>
      <c r="C645" s="4" t="s">
        <v>62</v>
      </c>
      <c r="D645" s="4" t="s">
        <v>2089</v>
      </c>
      <c r="E645" s="4" t="s">
        <v>319</v>
      </c>
    </row>
    <row r="646" spans="1:5" ht="31" customHeight="1">
      <c r="A646" s="4" t="s">
        <v>310</v>
      </c>
      <c r="B646" s="4" t="s">
        <v>311</v>
      </c>
      <c r="C646" s="4" t="s">
        <v>63</v>
      </c>
      <c r="D646" s="4" t="s">
        <v>2089</v>
      </c>
      <c r="E646" s="4" t="s">
        <v>319</v>
      </c>
    </row>
    <row r="647" spans="1:5" ht="31" customHeight="1">
      <c r="A647" s="4" t="s">
        <v>310</v>
      </c>
      <c r="B647" s="4" t="s">
        <v>311</v>
      </c>
      <c r="C647" s="4" t="s">
        <v>64</v>
      </c>
      <c r="D647" s="4" t="s">
        <v>2089</v>
      </c>
      <c r="E647" s="4" t="s">
        <v>319</v>
      </c>
    </row>
    <row r="648" spans="1:5" ht="31" customHeight="1">
      <c r="A648" s="4" t="s">
        <v>310</v>
      </c>
      <c r="B648" s="4" t="s">
        <v>311</v>
      </c>
      <c r="C648" s="4" t="s">
        <v>65</v>
      </c>
      <c r="D648" s="4" t="s">
        <v>2089</v>
      </c>
      <c r="E648" s="4" t="s">
        <v>319</v>
      </c>
    </row>
    <row r="649" spans="1:5" ht="31" customHeight="1">
      <c r="A649" s="4" t="s">
        <v>310</v>
      </c>
      <c r="B649" s="4" t="s">
        <v>311</v>
      </c>
      <c r="C649" s="4" t="s">
        <v>66</v>
      </c>
      <c r="D649" s="4" t="s">
        <v>2093</v>
      </c>
      <c r="E649" s="4" t="s">
        <v>319</v>
      </c>
    </row>
    <row r="650" spans="1:5" ht="31" customHeight="1">
      <c r="A650" s="4" t="s">
        <v>310</v>
      </c>
      <c r="B650" s="4" t="s">
        <v>311</v>
      </c>
      <c r="C650" s="4" t="s">
        <v>67</v>
      </c>
      <c r="D650" s="4" t="s">
        <v>2089</v>
      </c>
      <c r="E650" s="4" t="s">
        <v>319</v>
      </c>
    </row>
    <row r="651" spans="1:5" ht="31" customHeight="1">
      <c r="A651" s="4" t="s">
        <v>310</v>
      </c>
      <c r="B651" s="4" t="s">
        <v>311</v>
      </c>
      <c r="C651" s="4" t="s">
        <v>68</v>
      </c>
      <c r="D651" s="4" t="s">
        <v>2089</v>
      </c>
      <c r="E651" s="4" t="s">
        <v>319</v>
      </c>
    </row>
    <row r="652" spans="1:5" ht="31" customHeight="1">
      <c r="A652" s="4" t="s">
        <v>310</v>
      </c>
      <c r="B652" s="4" t="s">
        <v>311</v>
      </c>
      <c r="C652" s="4" t="s">
        <v>69</v>
      </c>
      <c r="D652" s="4" t="s">
        <v>2090</v>
      </c>
      <c r="E652" s="4" t="s">
        <v>319</v>
      </c>
    </row>
    <row r="653" spans="1:5" ht="31" customHeight="1">
      <c r="A653" s="4" t="s">
        <v>310</v>
      </c>
      <c r="B653" s="4" t="s">
        <v>311</v>
      </c>
      <c r="C653" s="4" t="s">
        <v>70</v>
      </c>
      <c r="D653" s="4" t="s">
        <v>2089</v>
      </c>
      <c r="E653" s="4" t="s">
        <v>319</v>
      </c>
    </row>
    <row r="654" spans="1:5" ht="31" customHeight="1">
      <c r="A654" s="4" t="s">
        <v>310</v>
      </c>
      <c r="B654" s="4" t="s">
        <v>311</v>
      </c>
      <c r="C654" s="4" t="s">
        <v>71</v>
      </c>
      <c r="D654" s="4" t="s">
        <v>2089</v>
      </c>
      <c r="E654" s="4" t="s">
        <v>319</v>
      </c>
    </row>
    <row r="655" spans="1:5" ht="31" customHeight="1">
      <c r="A655" s="4" t="s">
        <v>310</v>
      </c>
      <c r="B655" s="4" t="s">
        <v>311</v>
      </c>
      <c r="C655" s="4" t="s">
        <v>73</v>
      </c>
      <c r="D655" s="4" t="s">
        <v>2089</v>
      </c>
      <c r="E655" s="4" t="s">
        <v>319</v>
      </c>
    </row>
    <row r="656" spans="1:5" ht="31" customHeight="1">
      <c r="A656" s="4" t="s">
        <v>310</v>
      </c>
      <c r="B656" s="4" t="s">
        <v>311</v>
      </c>
      <c r="C656" s="4" t="s">
        <v>75</v>
      </c>
      <c r="D656" s="4" t="s">
        <v>2089</v>
      </c>
      <c r="E656" s="4" t="s">
        <v>319</v>
      </c>
    </row>
    <row r="657" spans="1:5" ht="31" customHeight="1">
      <c r="A657" s="4" t="s">
        <v>310</v>
      </c>
      <c r="B657" s="4" t="s">
        <v>311</v>
      </c>
      <c r="C657" s="4" t="s">
        <v>76</v>
      </c>
      <c r="D657" s="4" t="s">
        <v>2091</v>
      </c>
      <c r="E657" s="4" t="s">
        <v>319</v>
      </c>
    </row>
    <row r="658" spans="1:5" ht="31" customHeight="1">
      <c r="A658" s="4" t="s">
        <v>321</v>
      </c>
      <c r="B658" s="4" t="s">
        <v>311</v>
      </c>
      <c r="C658" s="4" t="s">
        <v>35</v>
      </c>
      <c r="D658" s="4" t="s">
        <v>2088</v>
      </c>
      <c r="E658" s="4" t="s">
        <v>319</v>
      </c>
    </row>
    <row r="659" spans="1:5" ht="31" customHeight="1">
      <c r="A659" s="4" t="s">
        <v>321</v>
      </c>
      <c r="B659" s="4" t="s">
        <v>311</v>
      </c>
      <c r="C659" s="4" t="s">
        <v>37</v>
      </c>
      <c r="D659" s="4" t="s">
        <v>2089</v>
      </c>
      <c r="E659" s="4" t="s">
        <v>319</v>
      </c>
    </row>
    <row r="660" spans="1:5" ht="31" customHeight="1">
      <c r="A660" s="4" t="s">
        <v>321</v>
      </c>
      <c r="B660" s="4" t="s">
        <v>311</v>
      </c>
      <c r="C660" s="4" t="s">
        <v>40</v>
      </c>
      <c r="D660" s="4" t="s">
        <v>2069</v>
      </c>
      <c r="E660" s="4" t="s">
        <v>319</v>
      </c>
    </row>
    <row r="661" spans="1:5" ht="31" customHeight="1">
      <c r="A661" s="4" t="s">
        <v>321</v>
      </c>
      <c r="B661" s="4" t="s">
        <v>311</v>
      </c>
      <c r="C661" s="4" t="s">
        <v>41</v>
      </c>
      <c r="D661" s="4" t="s">
        <v>2069</v>
      </c>
      <c r="E661" s="4" t="s">
        <v>319</v>
      </c>
    </row>
    <row r="662" spans="1:5" ht="31" customHeight="1">
      <c r="A662" s="4" t="s">
        <v>321</v>
      </c>
      <c r="B662" s="4" t="s">
        <v>311</v>
      </c>
      <c r="C662" s="4" t="s">
        <v>42</v>
      </c>
      <c r="D662" s="4" t="s">
        <v>2069</v>
      </c>
      <c r="E662" s="4" t="s">
        <v>319</v>
      </c>
    </row>
    <row r="663" spans="1:5" ht="31" customHeight="1">
      <c r="A663" s="4" t="s">
        <v>321</v>
      </c>
      <c r="B663" s="4" t="s">
        <v>311</v>
      </c>
      <c r="C663" s="4" t="s">
        <v>43</v>
      </c>
      <c r="D663" s="4" t="s">
        <v>2069</v>
      </c>
      <c r="E663" s="4" t="s">
        <v>319</v>
      </c>
    </row>
    <row r="664" spans="1:5" ht="31" customHeight="1">
      <c r="A664" s="4" t="s">
        <v>321</v>
      </c>
      <c r="B664" s="4" t="s">
        <v>311</v>
      </c>
      <c r="C664" s="4" t="s">
        <v>44</v>
      </c>
      <c r="D664" s="4" t="s">
        <v>2069</v>
      </c>
      <c r="E664" s="4" t="s">
        <v>319</v>
      </c>
    </row>
    <row r="665" spans="1:5" ht="31" customHeight="1">
      <c r="A665" s="4" t="s">
        <v>321</v>
      </c>
      <c r="B665" s="4" t="s">
        <v>311</v>
      </c>
      <c r="C665" s="4" t="s">
        <v>45</v>
      </c>
      <c r="D665" s="4" t="s">
        <v>2069</v>
      </c>
      <c r="E665" s="4" t="s">
        <v>319</v>
      </c>
    </row>
    <row r="666" spans="1:5" ht="31" customHeight="1">
      <c r="A666" s="4" t="s">
        <v>321</v>
      </c>
      <c r="B666" s="4" t="s">
        <v>311</v>
      </c>
      <c r="C666" s="4" t="s">
        <v>46</v>
      </c>
      <c r="D666" s="4" t="s">
        <v>2069</v>
      </c>
      <c r="E666" s="4" t="s">
        <v>319</v>
      </c>
    </row>
    <row r="667" spans="1:5" ht="31" customHeight="1">
      <c r="A667" s="4" t="s">
        <v>321</v>
      </c>
      <c r="B667" s="4" t="s">
        <v>311</v>
      </c>
      <c r="C667" s="4" t="s">
        <v>47</v>
      </c>
      <c r="D667" s="4" t="s">
        <v>2069</v>
      </c>
      <c r="E667" s="4" t="s">
        <v>319</v>
      </c>
    </row>
    <row r="668" spans="1:5" ht="31" customHeight="1">
      <c r="A668" s="4" t="s">
        <v>321</v>
      </c>
      <c r="B668" s="4" t="s">
        <v>311</v>
      </c>
      <c r="C668" s="4" t="s">
        <v>48</v>
      </c>
      <c r="D668" s="4" t="s">
        <v>2069</v>
      </c>
      <c r="E668" s="4" t="s">
        <v>319</v>
      </c>
    </row>
    <row r="669" spans="1:5" ht="31" customHeight="1">
      <c r="A669" s="4" t="s">
        <v>321</v>
      </c>
      <c r="B669" s="4" t="s">
        <v>311</v>
      </c>
      <c r="C669" s="4" t="s">
        <v>49</v>
      </c>
      <c r="D669" s="4" t="s">
        <v>2069</v>
      </c>
      <c r="E669" s="4" t="s">
        <v>319</v>
      </c>
    </row>
    <row r="670" spans="1:5" ht="31" customHeight="1">
      <c r="A670" s="4" t="s">
        <v>321</v>
      </c>
      <c r="B670" s="4" t="s">
        <v>311</v>
      </c>
      <c r="C670" s="4" t="s">
        <v>50</v>
      </c>
      <c r="D670" s="4" t="s">
        <v>2094</v>
      </c>
      <c r="E670" s="4" t="s">
        <v>319</v>
      </c>
    </row>
    <row r="671" spans="1:5" ht="31" customHeight="1">
      <c r="A671" s="4" t="s">
        <v>321</v>
      </c>
      <c r="B671" s="4" t="s">
        <v>311</v>
      </c>
      <c r="C671" s="4" t="s">
        <v>51</v>
      </c>
      <c r="D671" s="4" t="s">
        <v>2094</v>
      </c>
      <c r="E671" s="4" t="s">
        <v>319</v>
      </c>
    </row>
    <row r="672" spans="1:5" ht="31" customHeight="1">
      <c r="A672" s="4" t="s">
        <v>321</v>
      </c>
      <c r="B672" s="4" t="s">
        <v>311</v>
      </c>
      <c r="C672" s="4" t="s">
        <v>52</v>
      </c>
      <c r="D672" s="4" t="s">
        <v>2094</v>
      </c>
      <c r="E672" s="4" t="s">
        <v>319</v>
      </c>
    </row>
    <row r="673" spans="1:5" ht="31" customHeight="1">
      <c r="A673" s="4" t="s">
        <v>321</v>
      </c>
      <c r="B673" s="4" t="s">
        <v>311</v>
      </c>
      <c r="C673" s="4" t="s">
        <v>53</v>
      </c>
      <c r="D673" s="4" t="s">
        <v>2094</v>
      </c>
      <c r="E673" s="4" t="s">
        <v>319</v>
      </c>
    </row>
    <row r="674" spans="1:5" ht="31" customHeight="1">
      <c r="A674" s="4" t="s">
        <v>321</v>
      </c>
      <c r="B674" s="4" t="s">
        <v>311</v>
      </c>
      <c r="C674" s="4" t="s">
        <v>54</v>
      </c>
      <c r="D674" s="4" t="s">
        <v>2094</v>
      </c>
      <c r="E674" s="4" t="s">
        <v>319</v>
      </c>
    </row>
    <row r="675" spans="1:5" ht="31" customHeight="1">
      <c r="A675" s="4" t="s">
        <v>321</v>
      </c>
      <c r="B675" s="4" t="s">
        <v>311</v>
      </c>
      <c r="C675" s="4" t="s">
        <v>55</v>
      </c>
      <c r="D675" s="4" t="s">
        <v>2089</v>
      </c>
      <c r="E675" s="4" t="s">
        <v>319</v>
      </c>
    </row>
    <row r="676" spans="1:5" ht="31" customHeight="1">
      <c r="A676" s="4" t="s">
        <v>321</v>
      </c>
      <c r="B676" s="4" t="s">
        <v>311</v>
      </c>
      <c r="C676" s="4" t="s">
        <v>56</v>
      </c>
      <c r="D676" s="4" t="s">
        <v>2089</v>
      </c>
      <c r="E676" s="4" t="s">
        <v>319</v>
      </c>
    </row>
    <row r="677" spans="1:5" ht="31" customHeight="1">
      <c r="A677" s="4" t="s">
        <v>321</v>
      </c>
      <c r="B677" s="4" t="s">
        <v>311</v>
      </c>
      <c r="C677" s="4" t="s">
        <v>57</v>
      </c>
      <c r="D677" s="4" t="s">
        <v>2092</v>
      </c>
      <c r="E677" s="4" t="s">
        <v>319</v>
      </c>
    </row>
    <row r="678" spans="1:5" ht="31" customHeight="1">
      <c r="A678" s="4" t="s">
        <v>321</v>
      </c>
      <c r="B678" s="4" t="s">
        <v>311</v>
      </c>
      <c r="C678" s="4" t="s">
        <v>58</v>
      </c>
      <c r="D678" s="4" t="s">
        <v>2092</v>
      </c>
      <c r="E678" s="4" t="s">
        <v>319</v>
      </c>
    </row>
    <row r="679" spans="1:5" ht="31" customHeight="1">
      <c r="A679" s="4" t="s">
        <v>321</v>
      </c>
      <c r="B679" s="4" t="s">
        <v>311</v>
      </c>
      <c r="C679" s="4" t="s">
        <v>60</v>
      </c>
      <c r="D679" s="4" t="s">
        <v>2089</v>
      </c>
      <c r="E679" s="4" t="s">
        <v>319</v>
      </c>
    </row>
    <row r="680" spans="1:5" ht="31" customHeight="1">
      <c r="A680" s="4" t="s">
        <v>321</v>
      </c>
      <c r="B680" s="4" t="s">
        <v>311</v>
      </c>
      <c r="C680" s="4" t="s">
        <v>61</v>
      </c>
      <c r="D680" s="4" t="s">
        <v>2089</v>
      </c>
      <c r="E680" s="4" t="s">
        <v>319</v>
      </c>
    </row>
    <row r="681" spans="1:5" ht="31" customHeight="1">
      <c r="A681" s="4" t="s">
        <v>321</v>
      </c>
      <c r="B681" s="4" t="s">
        <v>311</v>
      </c>
      <c r="C681" s="4" t="s">
        <v>62</v>
      </c>
      <c r="D681" s="4" t="s">
        <v>2089</v>
      </c>
      <c r="E681" s="4" t="s">
        <v>319</v>
      </c>
    </row>
    <row r="682" spans="1:5" ht="31" customHeight="1">
      <c r="A682" s="4" t="s">
        <v>321</v>
      </c>
      <c r="B682" s="4" t="s">
        <v>311</v>
      </c>
      <c r="C682" s="4" t="s">
        <v>63</v>
      </c>
      <c r="D682" s="4" t="s">
        <v>2089</v>
      </c>
      <c r="E682" s="4" t="s">
        <v>319</v>
      </c>
    </row>
    <row r="683" spans="1:5" ht="31" customHeight="1">
      <c r="A683" s="4" t="s">
        <v>321</v>
      </c>
      <c r="B683" s="4" t="s">
        <v>311</v>
      </c>
      <c r="C683" s="4" t="s">
        <v>64</v>
      </c>
      <c r="D683" s="4" t="s">
        <v>2089</v>
      </c>
      <c r="E683" s="4" t="s">
        <v>319</v>
      </c>
    </row>
    <row r="684" spans="1:5" ht="31" customHeight="1">
      <c r="A684" s="4" t="s">
        <v>321</v>
      </c>
      <c r="B684" s="4" t="s">
        <v>311</v>
      </c>
      <c r="C684" s="4" t="s">
        <v>65</v>
      </c>
      <c r="D684" s="4" t="s">
        <v>2089</v>
      </c>
      <c r="E684" s="4" t="s">
        <v>319</v>
      </c>
    </row>
    <row r="685" spans="1:5" ht="31" customHeight="1">
      <c r="A685" s="4" t="s">
        <v>321</v>
      </c>
      <c r="B685" s="4" t="s">
        <v>311</v>
      </c>
      <c r="C685" s="4" t="s">
        <v>66</v>
      </c>
      <c r="D685" s="4" t="s">
        <v>2093</v>
      </c>
      <c r="E685" s="4" t="s">
        <v>319</v>
      </c>
    </row>
    <row r="686" spans="1:5" ht="31" customHeight="1">
      <c r="A686" s="4" t="s">
        <v>321</v>
      </c>
      <c r="B686" s="4" t="s">
        <v>311</v>
      </c>
      <c r="C686" s="4" t="s">
        <v>67</v>
      </c>
      <c r="D686" s="4" t="s">
        <v>2089</v>
      </c>
      <c r="E686" s="4" t="s">
        <v>319</v>
      </c>
    </row>
    <row r="687" spans="1:5" ht="31" customHeight="1">
      <c r="A687" s="4" t="s">
        <v>321</v>
      </c>
      <c r="B687" s="4" t="s">
        <v>311</v>
      </c>
      <c r="C687" s="4" t="s">
        <v>68</v>
      </c>
      <c r="D687" s="4" t="s">
        <v>2089</v>
      </c>
      <c r="E687" s="4" t="s">
        <v>319</v>
      </c>
    </row>
    <row r="688" spans="1:5" ht="31" customHeight="1">
      <c r="A688" s="4" t="s">
        <v>321</v>
      </c>
      <c r="B688" s="4" t="s">
        <v>311</v>
      </c>
      <c r="C688" s="4" t="s">
        <v>69</v>
      </c>
      <c r="D688" s="4" t="s">
        <v>2090</v>
      </c>
      <c r="E688" s="4" t="s">
        <v>319</v>
      </c>
    </row>
    <row r="689" spans="1:5" ht="31" customHeight="1">
      <c r="A689" s="4" t="s">
        <v>321</v>
      </c>
      <c r="B689" s="4" t="s">
        <v>311</v>
      </c>
      <c r="C689" s="4" t="s">
        <v>70</v>
      </c>
      <c r="D689" s="4" t="s">
        <v>2089</v>
      </c>
      <c r="E689" s="4" t="s">
        <v>319</v>
      </c>
    </row>
    <row r="690" spans="1:5" ht="31" customHeight="1">
      <c r="A690" s="4" t="s">
        <v>321</v>
      </c>
      <c r="B690" s="4" t="s">
        <v>311</v>
      </c>
      <c r="C690" s="4" t="s">
        <v>71</v>
      </c>
      <c r="D690" s="4" t="s">
        <v>2089</v>
      </c>
      <c r="E690" s="4" t="s">
        <v>319</v>
      </c>
    </row>
    <row r="691" spans="1:5" ht="31" customHeight="1">
      <c r="A691" s="4" t="s">
        <v>321</v>
      </c>
      <c r="B691" s="4" t="s">
        <v>311</v>
      </c>
      <c r="C691" s="4" t="s">
        <v>73</v>
      </c>
      <c r="D691" s="4" t="s">
        <v>2089</v>
      </c>
      <c r="E691" s="4" t="s">
        <v>319</v>
      </c>
    </row>
    <row r="692" spans="1:5" ht="31" customHeight="1">
      <c r="A692" s="4" t="s">
        <v>321</v>
      </c>
      <c r="B692" s="4" t="s">
        <v>311</v>
      </c>
      <c r="C692" s="4" t="s">
        <v>75</v>
      </c>
      <c r="D692" s="4" t="s">
        <v>2089</v>
      </c>
      <c r="E692" s="4" t="s">
        <v>319</v>
      </c>
    </row>
    <row r="693" spans="1:5" ht="31" customHeight="1">
      <c r="A693" s="4" t="s">
        <v>321</v>
      </c>
      <c r="B693" s="4" t="s">
        <v>311</v>
      </c>
      <c r="C693" s="4" t="s">
        <v>76</v>
      </c>
      <c r="D693" s="4" t="s">
        <v>2091</v>
      </c>
      <c r="E693" s="4" t="s">
        <v>319</v>
      </c>
    </row>
    <row r="694" spans="1:5" ht="31" customHeight="1">
      <c r="A694" s="4" t="s">
        <v>323</v>
      </c>
      <c r="B694" s="4" t="s">
        <v>311</v>
      </c>
      <c r="C694" s="4" t="s">
        <v>35</v>
      </c>
      <c r="D694" s="4" t="s">
        <v>2088</v>
      </c>
      <c r="E694" s="4" t="s">
        <v>319</v>
      </c>
    </row>
    <row r="695" spans="1:5" ht="31" customHeight="1">
      <c r="A695" s="4" t="s">
        <v>323</v>
      </c>
      <c r="B695" s="4" t="s">
        <v>311</v>
      </c>
      <c r="C695" s="4" t="s">
        <v>37</v>
      </c>
      <c r="D695" s="4" t="s">
        <v>2089</v>
      </c>
      <c r="E695" s="4" t="s">
        <v>319</v>
      </c>
    </row>
    <row r="696" spans="1:5" ht="31" customHeight="1">
      <c r="A696" s="4" t="s">
        <v>323</v>
      </c>
      <c r="B696" s="4" t="s">
        <v>311</v>
      </c>
      <c r="C696" s="4" t="s">
        <v>40</v>
      </c>
      <c r="D696" s="4" t="s">
        <v>2069</v>
      </c>
      <c r="E696" s="4" t="s">
        <v>319</v>
      </c>
    </row>
    <row r="697" spans="1:5" ht="31" customHeight="1">
      <c r="A697" s="4" t="s">
        <v>323</v>
      </c>
      <c r="B697" s="4" t="s">
        <v>311</v>
      </c>
      <c r="C697" s="4" t="s">
        <v>41</v>
      </c>
      <c r="D697" s="4" t="s">
        <v>2069</v>
      </c>
      <c r="E697" s="4" t="s">
        <v>319</v>
      </c>
    </row>
    <row r="698" spans="1:5" ht="31" customHeight="1">
      <c r="A698" s="4" t="s">
        <v>323</v>
      </c>
      <c r="B698" s="4" t="s">
        <v>311</v>
      </c>
      <c r="C698" s="4" t="s">
        <v>42</v>
      </c>
      <c r="D698" s="4" t="s">
        <v>2069</v>
      </c>
      <c r="E698" s="4" t="s">
        <v>319</v>
      </c>
    </row>
    <row r="699" spans="1:5" ht="31" customHeight="1">
      <c r="A699" s="4" t="s">
        <v>323</v>
      </c>
      <c r="B699" s="4" t="s">
        <v>311</v>
      </c>
      <c r="C699" s="4" t="s">
        <v>43</v>
      </c>
      <c r="D699" s="4" t="s">
        <v>2069</v>
      </c>
      <c r="E699" s="4" t="s">
        <v>319</v>
      </c>
    </row>
    <row r="700" spans="1:5" ht="31" customHeight="1">
      <c r="A700" s="4" t="s">
        <v>323</v>
      </c>
      <c r="B700" s="4" t="s">
        <v>311</v>
      </c>
      <c r="C700" s="4" t="s">
        <v>44</v>
      </c>
      <c r="D700" s="4" t="s">
        <v>2069</v>
      </c>
      <c r="E700" s="4" t="s">
        <v>319</v>
      </c>
    </row>
    <row r="701" spans="1:5" ht="31" customHeight="1">
      <c r="A701" s="4" t="s">
        <v>323</v>
      </c>
      <c r="B701" s="4" t="s">
        <v>311</v>
      </c>
      <c r="C701" s="4" t="s">
        <v>45</v>
      </c>
      <c r="D701" s="4" t="s">
        <v>2069</v>
      </c>
      <c r="E701" s="4" t="s">
        <v>319</v>
      </c>
    </row>
    <row r="702" spans="1:5" ht="31" customHeight="1">
      <c r="A702" s="4" t="s">
        <v>323</v>
      </c>
      <c r="B702" s="4" t="s">
        <v>311</v>
      </c>
      <c r="C702" s="4" t="s">
        <v>46</v>
      </c>
      <c r="D702" s="4" t="s">
        <v>2069</v>
      </c>
      <c r="E702" s="4" t="s">
        <v>319</v>
      </c>
    </row>
    <row r="703" spans="1:5" ht="31" customHeight="1">
      <c r="A703" s="4" t="s">
        <v>323</v>
      </c>
      <c r="B703" s="4" t="s">
        <v>311</v>
      </c>
      <c r="C703" s="4" t="s">
        <v>47</v>
      </c>
      <c r="D703" s="4" t="s">
        <v>2069</v>
      </c>
      <c r="E703" s="4" t="s">
        <v>319</v>
      </c>
    </row>
    <row r="704" spans="1:5" ht="31" customHeight="1">
      <c r="A704" s="4" t="s">
        <v>323</v>
      </c>
      <c r="B704" s="4" t="s">
        <v>311</v>
      </c>
      <c r="C704" s="4" t="s">
        <v>48</v>
      </c>
      <c r="D704" s="4" t="s">
        <v>2069</v>
      </c>
      <c r="E704" s="4" t="s">
        <v>319</v>
      </c>
    </row>
    <row r="705" spans="1:5" ht="31" customHeight="1">
      <c r="A705" s="4" t="s">
        <v>323</v>
      </c>
      <c r="B705" s="4" t="s">
        <v>311</v>
      </c>
      <c r="C705" s="4" t="s">
        <v>49</v>
      </c>
      <c r="D705" s="4" t="s">
        <v>2069</v>
      </c>
      <c r="E705" s="4" t="s">
        <v>319</v>
      </c>
    </row>
    <row r="706" spans="1:5" ht="31" customHeight="1">
      <c r="A706" s="4" t="s">
        <v>323</v>
      </c>
      <c r="B706" s="4" t="s">
        <v>311</v>
      </c>
      <c r="C706" s="4" t="s">
        <v>50</v>
      </c>
      <c r="D706" s="4" t="s">
        <v>2094</v>
      </c>
      <c r="E706" s="4" t="s">
        <v>319</v>
      </c>
    </row>
    <row r="707" spans="1:5" ht="31" customHeight="1">
      <c r="A707" s="4" t="s">
        <v>323</v>
      </c>
      <c r="B707" s="4" t="s">
        <v>311</v>
      </c>
      <c r="C707" s="4" t="s">
        <v>51</v>
      </c>
      <c r="D707" s="4" t="s">
        <v>2094</v>
      </c>
      <c r="E707" s="4" t="s">
        <v>319</v>
      </c>
    </row>
    <row r="708" spans="1:5" ht="31" customHeight="1">
      <c r="A708" s="4" t="s">
        <v>323</v>
      </c>
      <c r="B708" s="4" t="s">
        <v>311</v>
      </c>
      <c r="C708" s="4" t="s">
        <v>52</v>
      </c>
      <c r="D708" s="4" t="s">
        <v>2094</v>
      </c>
      <c r="E708" s="4" t="s">
        <v>319</v>
      </c>
    </row>
    <row r="709" spans="1:5" ht="31" customHeight="1">
      <c r="A709" s="4" t="s">
        <v>323</v>
      </c>
      <c r="B709" s="4" t="s">
        <v>311</v>
      </c>
      <c r="C709" s="4" t="s">
        <v>53</v>
      </c>
      <c r="D709" s="4" t="s">
        <v>2094</v>
      </c>
      <c r="E709" s="4" t="s">
        <v>319</v>
      </c>
    </row>
    <row r="710" spans="1:5" ht="31" customHeight="1">
      <c r="A710" s="4" t="s">
        <v>323</v>
      </c>
      <c r="B710" s="4" t="s">
        <v>311</v>
      </c>
      <c r="C710" s="4" t="s">
        <v>54</v>
      </c>
      <c r="D710" s="4" t="s">
        <v>2094</v>
      </c>
      <c r="E710" s="4" t="s">
        <v>319</v>
      </c>
    </row>
    <row r="711" spans="1:5" ht="31" customHeight="1">
      <c r="A711" s="4" t="s">
        <v>323</v>
      </c>
      <c r="B711" s="4" t="s">
        <v>311</v>
      </c>
      <c r="C711" s="4" t="s">
        <v>55</v>
      </c>
      <c r="D711" s="4" t="s">
        <v>2089</v>
      </c>
      <c r="E711" s="4" t="s">
        <v>319</v>
      </c>
    </row>
    <row r="712" spans="1:5" ht="31" customHeight="1">
      <c r="A712" s="4" t="s">
        <v>323</v>
      </c>
      <c r="B712" s="4" t="s">
        <v>311</v>
      </c>
      <c r="C712" s="4" t="s">
        <v>56</v>
      </c>
      <c r="D712" s="4" t="s">
        <v>2089</v>
      </c>
      <c r="E712" s="4" t="s">
        <v>319</v>
      </c>
    </row>
    <row r="713" spans="1:5" ht="31" customHeight="1">
      <c r="A713" s="4" t="s">
        <v>323</v>
      </c>
      <c r="B713" s="4" t="s">
        <v>311</v>
      </c>
      <c r="C713" s="4" t="s">
        <v>57</v>
      </c>
      <c r="D713" s="4" t="s">
        <v>2092</v>
      </c>
      <c r="E713" s="4" t="s">
        <v>319</v>
      </c>
    </row>
    <row r="714" spans="1:5" ht="31" customHeight="1">
      <c r="A714" s="4" t="s">
        <v>323</v>
      </c>
      <c r="B714" s="4" t="s">
        <v>311</v>
      </c>
      <c r="C714" s="4" t="s">
        <v>58</v>
      </c>
      <c r="D714" s="4" t="s">
        <v>2092</v>
      </c>
      <c r="E714" s="4" t="s">
        <v>319</v>
      </c>
    </row>
    <row r="715" spans="1:5" ht="31" customHeight="1">
      <c r="A715" s="4" t="s">
        <v>323</v>
      </c>
      <c r="B715" s="4" t="s">
        <v>311</v>
      </c>
      <c r="C715" s="4" t="s">
        <v>60</v>
      </c>
      <c r="D715" s="4" t="s">
        <v>2089</v>
      </c>
      <c r="E715" s="4" t="s">
        <v>319</v>
      </c>
    </row>
    <row r="716" spans="1:5" ht="31" customHeight="1">
      <c r="A716" s="4" t="s">
        <v>323</v>
      </c>
      <c r="B716" s="4" t="s">
        <v>311</v>
      </c>
      <c r="C716" s="4" t="s">
        <v>61</v>
      </c>
      <c r="D716" s="4" t="s">
        <v>2089</v>
      </c>
      <c r="E716" s="4" t="s">
        <v>319</v>
      </c>
    </row>
    <row r="717" spans="1:5" ht="31" customHeight="1">
      <c r="A717" s="4" t="s">
        <v>323</v>
      </c>
      <c r="B717" s="4" t="s">
        <v>311</v>
      </c>
      <c r="C717" s="4" t="s">
        <v>62</v>
      </c>
      <c r="D717" s="4" t="s">
        <v>2089</v>
      </c>
      <c r="E717" s="4" t="s">
        <v>319</v>
      </c>
    </row>
    <row r="718" spans="1:5" ht="31" customHeight="1">
      <c r="A718" s="4" t="s">
        <v>323</v>
      </c>
      <c r="B718" s="4" t="s">
        <v>311</v>
      </c>
      <c r="C718" s="4" t="s">
        <v>63</v>
      </c>
      <c r="D718" s="4" t="s">
        <v>2089</v>
      </c>
      <c r="E718" s="4" t="s">
        <v>319</v>
      </c>
    </row>
    <row r="719" spans="1:5" ht="31" customHeight="1">
      <c r="A719" s="4" t="s">
        <v>323</v>
      </c>
      <c r="B719" s="4" t="s">
        <v>311</v>
      </c>
      <c r="C719" s="4" t="s">
        <v>64</v>
      </c>
      <c r="D719" s="4" t="s">
        <v>2089</v>
      </c>
      <c r="E719" s="4" t="s">
        <v>319</v>
      </c>
    </row>
    <row r="720" spans="1:5" ht="31" customHeight="1">
      <c r="A720" s="4" t="s">
        <v>323</v>
      </c>
      <c r="B720" s="4" t="s">
        <v>311</v>
      </c>
      <c r="C720" s="4" t="s">
        <v>65</v>
      </c>
      <c r="D720" s="4" t="s">
        <v>2089</v>
      </c>
      <c r="E720" s="4" t="s">
        <v>319</v>
      </c>
    </row>
    <row r="721" spans="1:5" ht="31" customHeight="1">
      <c r="A721" s="4" t="s">
        <v>323</v>
      </c>
      <c r="B721" s="4" t="s">
        <v>311</v>
      </c>
      <c r="C721" s="4" t="s">
        <v>66</v>
      </c>
      <c r="D721" s="4" t="s">
        <v>2093</v>
      </c>
      <c r="E721" s="4" t="s">
        <v>319</v>
      </c>
    </row>
    <row r="722" spans="1:5" ht="31" customHeight="1">
      <c r="A722" s="4" t="s">
        <v>323</v>
      </c>
      <c r="B722" s="4" t="s">
        <v>311</v>
      </c>
      <c r="C722" s="4" t="s">
        <v>67</v>
      </c>
      <c r="D722" s="4" t="s">
        <v>2089</v>
      </c>
      <c r="E722" s="4" t="s">
        <v>319</v>
      </c>
    </row>
    <row r="723" spans="1:5" ht="31" customHeight="1">
      <c r="A723" s="4" t="s">
        <v>323</v>
      </c>
      <c r="B723" s="4" t="s">
        <v>311</v>
      </c>
      <c r="C723" s="4" t="s">
        <v>68</v>
      </c>
      <c r="D723" s="4" t="s">
        <v>2089</v>
      </c>
      <c r="E723" s="4" t="s">
        <v>319</v>
      </c>
    </row>
    <row r="724" spans="1:5" ht="31" customHeight="1">
      <c r="A724" s="4" t="s">
        <v>323</v>
      </c>
      <c r="B724" s="4" t="s">
        <v>311</v>
      </c>
      <c r="C724" s="4" t="s">
        <v>69</v>
      </c>
      <c r="D724" s="4" t="s">
        <v>2090</v>
      </c>
      <c r="E724" s="4" t="s">
        <v>319</v>
      </c>
    </row>
    <row r="725" spans="1:5" ht="31" customHeight="1">
      <c r="A725" s="4" t="s">
        <v>323</v>
      </c>
      <c r="B725" s="4" t="s">
        <v>311</v>
      </c>
      <c r="C725" s="4" t="s">
        <v>70</v>
      </c>
      <c r="D725" s="4" t="s">
        <v>2089</v>
      </c>
      <c r="E725" s="4" t="s">
        <v>319</v>
      </c>
    </row>
    <row r="726" spans="1:5" ht="31" customHeight="1">
      <c r="A726" s="4" t="s">
        <v>323</v>
      </c>
      <c r="B726" s="4" t="s">
        <v>311</v>
      </c>
      <c r="C726" s="4" t="s">
        <v>71</v>
      </c>
      <c r="D726" s="4" t="s">
        <v>2089</v>
      </c>
      <c r="E726" s="4" t="s">
        <v>319</v>
      </c>
    </row>
    <row r="727" spans="1:5" ht="31" customHeight="1">
      <c r="A727" s="4" t="s">
        <v>323</v>
      </c>
      <c r="B727" s="4" t="s">
        <v>311</v>
      </c>
      <c r="C727" s="4" t="s">
        <v>73</v>
      </c>
      <c r="D727" s="4" t="s">
        <v>2089</v>
      </c>
      <c r="E727" s="4" t="s">
        <v>319</v>
      </c>
    </row>
    <row r="728" spans="1:5" ht="31" customHeight="1">
      <c r="A728" s="4" t="s">
        <v>323</v>
      </c>
      <c r="B728" s="4" t="s">
        <v>311</v>
      </c>
      <c r="C728" s="4" t="s">
        <v>75</v>
      </c>
      <c r="D728" s="4" t="s">
        <v>2089</v>
      </c>
      <c r="E728" s="4" t="s">
        <v>319</v>
      </c>
    </row>
    <row r="729" spans="1:5" ht="31" customHeight="1">
      <c r="A729" s="4" t="s">
        <v>323</v>
      </c>
      <c r="B729" s="4" t="s">
        <v>311</v>
      </c>
      <c r="C729" s="4" t="s">
        <v>76</v>
      </c>
      <c r="D729" s="4" t="s">
        <v>2091</v>
      </c>
      <c r="E729" s="4" t="s">
        <v>319</v>
      </c>
    </row>
    <row r="730" spans="1:5" ht="31" customHeight="1">
      <c r="A730" s="4" t="s">
        <v>325</v>
      </c>
      <c r="B730" s="4" t="s">
        <v>311</v>
      </c>
      <c r="C730" s="4" t="s">
        <v>35</v>
      </c>
      <c r="D730" s="4" t="s">
        <v>2088</v>
      </c>
      <c r="E730" s="4" t="s">
        <v>319</v>
      </c>
    </row>
    <row r="731" spans="1:5" ht="31" customHeight="1">
      <c r="A731" s="4" t="s">
        <v>325</v>
      </c>
      <c r="B731" s="4" t="s">
        <v>311</v>
      </c>
      <c r="C731" s="4" t="s">
        <v>37</v>
      </c>
      <c r="D731" s="4" t="s">
        <v>2089</v>
      </c>
      <c r="E731" s="4" t="s">
        <v>319</v>
      </c>
    </row>
    <row r="732" spans="1:5" ht="31" customHeight="1">
      <c r="A732" s="4" t="s">
        <v>325</v>
      </c>
      <c r="B732" s="4" t="s">
        <v>311</v>
      </c>
      <c r="C732" s="4" t="s">
        <v>40</v>
      </c>
      <c r="D732" s="4" t="s">
        <v>2069</v>
      </c>
      <c r="E732" s="4" t="s">
        <v>319</v>
      </c>
    </row>
    <row r="733" spans="1:5" ht="31" customHeight="1">
      <c r="A733" s="4" t="s">
        <v>325</v>
      </c>
      <c r="B733" s="4" t="s">
        <v>311</v>
      </c>
      <c r="C733" s="4" t="s">
        <v>41</v>
      </c>
      <c r="D733" s="4" t="s">
        <v>2069</v>
      </c>
      <c r="E733" s="4" t="s">
        <v>319</v>
      </c>
    </row>
    <row r="734" spans="1:5" ht="31" customHeight="1">
      <c r="A734" s="4" t="s">
        <v>325</v>
      </c>
      <c r="B734" s="4" t="s">
        <v>311</v>
      </c>
      <c r="C734" s="4" t="s">
        <v>42</v>
      </c>
      <c r="D734" s="4" t="s">
        <v>2069</v>
      </c>
      <c r="E734" s="4" t="s">
        <v>319</v>
      </c>
    </row>
    <row r="735" spans="1:5" ht="31" customHeight="1">
      <c r="A735" s="4" t="s">
        <v>325</v>
      </c>
      <c r="B735" s="4" t="s">
        <v>311</v>
      </c>
      <c r="C735" s="4" t="s">
        <v>43</v>
      </c>
      <c r="D735" s="4" t="s">
        <v>2069</v>
      </c>
      <c r="E735" s="4" t="s">
        <v>319</v>
      </c>
    </row>
    <row r="736" spans="1:5" ht="31" customHeight="1">
      <c r="A736" s="4" t="s">
        <v>325</v>
      </c>
      <c r="B736" s="4" t="s">
        <v>311</v>
      </c>
      <c r="C736" s="4" t="s">
        <v>44</v>
      </c>
      <c r="D736" s="4" t="s">
        <v>2069</v>
      </c>
      <c r="E736" s="4" t="s">
        <v>319</v>
      </c>
    </row>
    <row r="737" spans="1:5" ht="31" customHeight="1">
      <c r="A737" s="4" t="s">
        <v>325</v>
      </c>
      <c r="B737" s="4" t="s">
        <v>311</v>
      </c>
      <c r="C737" s="4" t="s">
        <v>45</v>
      </c>
      <c r="D737" s="4" t="s">
        <v>2069</v>
      </c>
      <c r="E737" s="4" t="s">
        <v>319</v>
      </c>
    </row>
    <row r="738" spans="1:5" ht="31" customHeight="1">
      <c r="A738" s="4" t="s">
        <v>325</v>
      </c>
      <c r="B738" s="4" t="s">
        <v>311</v>
      </c>
      <c r="C738" s="4" t="s">
        <v>46</v>
      </c>
      <c r="D738" s="4" t="s">
        <v>2069</v>
      </c>
      <c r="E738" s="4" t="s">
        <v>319</v>
      </c>
    </row>
    <row r="739" spans="1:5" ht="31" customHeight="1">
      <c r="A739" s="4" t="s">
        <v>325</v>
      </c>
      <c r="B739" s="4" t="s">
        <v>311</v>
      </c>
      <c r="C739" s="4" t="s">
        <v>47</v>
      </c>
      <c r="D739" s="4" t="s">
        <v>2069</v>
      </c>
      <c r="E739" s="4" t="s">
        <v>319</v>
      </c>
    </row>
    <row r="740" spans="1:5" ht="31" customHeight="1">
      <c r="A740" s="4" t="s">
        <v>325</v>
      </c>
      <c r="B740" s="4" t="s">
        <v>311</v>
      </c>
      <c r="C740" s="4" t="s">
        <v>48</v>
      </c>
      <c r="D740" s="4" t="s">
        <v>2069</v>
      </c>
      <c r="E740" s="4" t="s">
        <v>319</v>
      </c>
    </row>
    <row r="741" spans="1:5" ht="31" customHeight="1">
      <c r="A741" s="4" t="s">
        <v>325</v>
      </c>
      <c r="B741" s="4" t="s">
        <v>311</v>
      </c>
      <c r="C741" s="4" t="s">
        <v>49</v>
      </c>
      <c r="D741" s="4" t="s">
        <v>2069</v>
      </c>
      <c r="E741" s="4" t="s">
        <v>319</v>
      </c>
    </row>
    <row r="742" spans="1:5" ht="31" customHeight="1">
      <c r="A742" s="4" t="s">
        <v>325</v>
      </c>
      <c r="B742" s="4" t="s">
        <v>311</v>
      </c>
      <c r="C742" s="4" t="s">
        <v>50</v>
      </c>
      <c r="D742" s="4" t="s">
        <v>2094</v>
      </c>
      <c r="E742" s="4" t="s">
        <v>319</v>
      </c>
    </row>
    <row r="743" spans="1:5" ht="31" customHeight="1">
      <c r="A743" s="4" t="s">
        <v>325</v>
      </c>
      <c r="B743" s="4" t="s">
        <v>311</v>
      </c>
      <c r="C743" s="4" t="s">
        <v>51</v>
      </c>
      <c r="D743" s="4" t="s">
        <v>2094</v>
      </c>
      <c r="E743" s="4" t="s">
        <v>319</v>
      </c>
    </row>
    <row r="744" spans="1:5" ht="31" customHeight="1">
      <c r="A744" s="4" t="s">
        <v>325</v>
      </c>
      <c r="B744" s="4" t="s">
        <v>311</v>
      </c>
      <c r="C744" s="4" t="s">
        <v>52</v>
      </c>
      <c r="D744" s="4" t="s">
        <v>2094</v>
      </c>
      <c r="E744" s="4" t="s">
        <v>319</v>
      </c>
    </row>
    <row r="745" spans="1:5" ht="31" customHeight="1">
      <c r="A745" s="4" t="s">
        <v>325</v>
      </c>
      <c r="B745" s="4" t="s">
        <v>311</v>
      </c>
      <c r="C745" s="4" t="s">
        <v>53</v>
      </c>
      <c r="D745" s="4" t="s">
        <v>2094</v>
      </c>
      <c r="E745" s="4" t="s">
        <v>319</v>
      </c>
    </row>
    <row r="746" spans="1:5" ht="31" customHeight="1">
      <c r="A746" s="4" t="s">
        <v>325</v>
      </c>
      <c r="B746" s="4" t="s">
        <v>311</v>
      </c>
      <c r="C746" s="4" t="s">
        <v>54</v>
      </c>
      <c r="D746" s="4" t="s">
        <v>2094</v>
      </c>
      <c r="E746" s="4" t="s">
        <v>319</v>
      </c>
    </row>
    <row r="747" spans="1:5" ht="31" customHeight="1">
      <c r="A747" s="4" t="s">
        <v>325</v>
      </c>
      <c r="B747" s="4" t="s">
        <v>311</v>
      </c>
      <c r="C747" s="4" t="s">
        <v>55</v>
      </c>
      <c r="D747" s="4" t="s">
        <v>2089</v>
      </c>
      <c r="E747" s="4" t="s">
        <v>319</v>
      </c>
    </row>
    <row r="748" spans="1:5" ht="31" customHeight="1">
      <c r="A748" s="4" t="s">
        <v>325</v>
      </c>
      <c r="B748" s="4" t="s">
        <v>311</v>
      </c>
      <c r="C748" s="4" t="s">
        <v>56</v>
      </c>
      <c r="D748" s="4" t="s">
        <v>2089</v>
      </c>
      <c r="E748" s="4" t="s">
        <v>319</v>
      </c>
    </row>
    <row r="749" spans="1:5" ht="31" customHeight="1">
      <c r="A749" s="4" t="s">
        <v>325</v>
      </c>
      <c r="B749" s="4" t="s">
        <v>311</v>
      </c>
      <c r="C749" s="4" t="s">
        <v>57</v>
      </c>
      <c r="D749" s="4" t="s">
        <v>2092</v>
      </c>
      <c r="E749" s="4" t="s">
        <v>319</v>
      </c>
    </row>
    <row r="750" spans="1:5" ht="31" customHeight="1">
      <c r="A750" s="4" t="s">
        <v>325</v>
      </c>
      <c r="B750" s="4" t="s">
        <v>311</v>
      </c>
      <c r="C750" s="4" t="s">
        <v>58</v>
      </c>
      <c r="D750" s="4" t="s">
        <v>2092</v>
      </c>
      <c r="E750" s="4" t="s">
        <v>319</v>
      </c>
    </row>
    <row r="751" spans="1:5" ht="31" customHeight="1">
      <c r="A751" s="4" t="s">
        <v>325</v>
      </c>
      <c r="B751" s="4" t="s">
        <v>311</v>
      </c>
      <c r="C751" s="4" t="s">
        <v>60</v>
      </c>
      <c r="D751" s="4" t="s">
        <v>2089</v>
      </c>
      <c r="E751" s="4" t="s">
        <v>319</v>
      </c>
    </row>
    <row r="752" spans="1:5" ht="31" customHeight="1">
      <c r="A752" s="4" t="s">
        <v>325</v>
      </c>
      <c r="B752" s="4" t="s">
        <v>311</v>
      </c>
      <c r="C752" s="4" t="s">
        <v>61</v>
      </c>
      <c r="D752" s="4" t="s">
        <v>2089</v>
      </c>
      <c r="E752" s="4" t="s">
        <v>319</v>
      </c>
    </row>
    <row r="753" spans="1:5" ht="31" customHeight="1">
      <c r="A753" s="4" t="s">
        <v>325</v>
      </c>
      <c r="B753" s="4" t="s">
        <v>311</v>
      </c>
      <c r="C753" s="4" t="s">
        <v>62</v>
      </c>
      <c r="D753" s="4" t="s">
        <v>2089</v>
      </c>
      <c r="E753" s="4" t="s">
        <v>319</v>
      </c>
    </row>
    <row r="754" spans="1:5" ht="31" customHeight="1">
      <c r="A754" s="4" t="s">
        <v>325</v>
      </c>
      <c r="B754" s="4" t="s">
        <v>311</v>
      </c>
      <c r="C754" s="4" t="s">
        <v>63</v>
      </c>
      <c r="D754" s="4" t="s">
        <v>2089</v>
      </c>
      <c r="E754" s="4" t="s">
        <v>319</v>
      </c>
    </row>
    <row r="755" spans="1:5" ht="31" customHeight="1">
      <c r="A755" s="4" t="s">
        <v>325</v>
      </c>
      <c r="B755" s="4" t="s">
        <v>311</v>
      </c>
      <c r="C755" s="4" t="s">
        <v>64</v>
      </c>
      <c r="D755" s="4" t="s">
        <v>2089</v>
      </c>
      <c r="E755" s="4" t="s">
        <v>319</v>
      </c>
    </row>
    <row r="756" spans="1:5" ht="31" customHeight="1">
      <c r="A756" s="4" t="s">
        <v>325</v>
      </c>
      <c r="B756" s="4" t="s">
        <v>311</v>
      </c>
      <c r="C756" s="4" t="s">
        <v>65</v>
      </c>
      <c r="D756" s="4" t="s">
        <v>2089</v>
      </c>
      <c r="E756" s="4" t="s">
        <v>319</v>
      </c>
    </row>
    <row r="757" spans="1:5" ht="31" customHeight="1">
      <c r="A757" s="4" t="s">
        <v>325</v>
      </c>
      <c r="B757" s="4" t="s">
        <v>311</v>
      </c>
      <c r="C757" s="4" t="s">
        <v>66</v>
      </c>
      <c r="D757" s="4" t="s">
        <v>2093</v>
      </c>
      <c r="E757" s="4" t="s">
        <v>319</v>
      </c>
    </row>
    <row r="758" spans="1:5" ht="31" customHeight="1">
      <c r="A758" s="4" t="s">
        <v>325</v>
      </c>
      <c r="B758" s="4" t="s">
        <v>311</v>
      </c>
      <c r="C758" s="4" t="s">
        <v>67</v>
      </c>
      <c r="D758" s="4" t="s">
        <v>2089</v>
      </c>
      <c r="E758" s="4" t="s">
        <v>319</v>
      </c>
    </row>
    <row r="759" spans="1:5" ht="31" customHeight="1">
      <c r="A759" s="4" t="s">
        <v>325</v>
      </c>
      <c r="B759" s="4" t="s">
        <v>311</v>
      </c>
      <c r="C759" s="4" t="s">
        <v>68</v>
      </c>
      <c r="D759" s="4" t="s">
        <v>2089</v>
      </c>
      <c r="E759" s="4" t="s">
        <v>319</v>
      </c>
    </row>
    <row r="760" spans="1:5" ht="31" customHeight="1">
      <c r="A760" s="4" t="s">
        <v>325</v>
      </c>
      <c r="B760" s="4" t="s">
        <v>311</v>
      </c>
      <c r="C760" s="4" t="s">
        <v>69</v>
      </c>
      <c r="D760" s="4" t="s">
        <v>2090</v>
      </c>
      <c r="E760" s="4" t="s">
        <v>319</v>
      </c>
    </row>
    <row r="761" spans="1:5" ht="31" customHeight="1">
      <c r="A761" s="4" t="s">
        <v>325</v>
      </c>
      <c r="B761" s="4" t="s">
        <v>311</v>
      </c>
      <c r="C761" s="4" t="s">
        <v>70</v>
      </c>
      <c r="D761" s="4" t="s">
        <v>2089</v>
      </c>
      <c r="E761" s="4" t="s">
        <v>319</v>
      </c>
    </row>
    <row r="762" spans="1:5" ht="31" customHeight="1">
      <c r="A762" s="4" t="s">
        <v>325</v>
      </c>
      <c r="B762" s="4" t="s">
        <v>311</v>
      </c>
      <c r="C762" s="4" t="s">
        <v>71</v>
      </c>
      <c r="D762" s="4" t="s">
        <v>2089</v>
      </c>
      <c r="E762" s="4" t="s">
        <v>319</v>
      </c>
    </row>
    <row r="763" spans="1:5" ht="31" customHeight="1">
      <c r="A763" s="4" t="s">
        <v>325</v>
      </c>
      <c r="B763" s="4" t="s">
        <v>311</v>
      </c>
      <c r="C763" s="4" t="s">
        <v>73</v>
      </c>
      <c r="D763" s="4" t="s">
        <v>2089</v>
      </c>
      <c r="E763" s="4" t="s">
        <v>319</v>
      </c>
    </row>
    <row r="764" spans="1:5" ht="31" customHeight="1">
      <c r="A764" s="4" t="s">
        <v>325</v>
      </c>
      <c r="B764" s="4" t="s">
        <v>311</v>
      </c>
      <c r="C764" s="4" t="s">
        <v>75</v>
      </c>
      <c r="D764" s="4" t="s">
        <v>2089</v>
      </c>
      <c r="E764" s="4" t="s">
        <v>319</v>
      </c>
    </row>
    <row r="765" spans="1:5" ht="31" customHeight="1">
      <c r="A765" s="4" t="s">
        <v>325</v>
      </c>
      <c r="B765" s="4" t="s">
        <v>311</v>
      </c>
      <c r="C765" s="4" t="s">
        <v>76</v>
      </c>
      <c r="D765" s="4" t="s">
        <v>2091</v>
      </c>
      <c r="E765" s="4" t="s">
        <v>319</v>
      </c>
    </row>
    <row r="766" spans="1:5" ht="31" customHeight="1">
      <c r="A766" s="4" t="s">
        <v>327</v>
      </c>
      <c r="B766" s="4" t="s">
        <v>311</v>
      </c>
      <c r="C766" s="4" t="s">
        <v>35</v>
      </c>
      <c r="D766" s="4" t="s">
        <v>2088</v>
      </c>
      <c r="E766" s="4" t="s">
        <v>319</v>
      </c>
    </row>
    <row r="767" spans="1:5" ht="31" customHeight="1">
      <c r="A767" s="4" t="s">
        <v>327</v>
      </c>
      <c r="B767" s="4" t="s">
        <v>311</v>
      </c>
      <c r="C767" s="4" t="s">
        <v>37</v>
      </c>
      <c r="D767" s="4" t="s">
        <v>2089</v>
      </c>
      <c r="E767" s="4" t="s">
        <v>319</v>
      </c>
    </row>
    <row r="768" spans="1:5" ht="31" customHeight="1">
      <c r="A768" s="4" t="s">
        <v>327</v>
      </c>
      <c r="B768" s="4" t="s">
        <v>311</v>
      </c>
      <c r="C768" s="4" t="s">
        <v>40</v>
      </c>
      <c r="D768" s="4" t="s">
        <v>2069</v>
      </c>
      <c r="E768" s="4" t="s">
        <v>319</v>
      </c>
    </row>
    <row r="769" spans="1:5" ht="31" customHeight="1">
      <c r="A769" s="4" t="s">
        <v>327</v>
      </c>
      <c r="B769" s="4" t="s">
        <v>311</v>
      </c>
      <c r="C769" s="4" t="s">
        <v>41</v>
      </c>
      <c r="D769" s="4" t="s">
        <v>2069</v>
      </c>
      <c r="E769" s="4" t="s">
        <v>319</v>
      </c>
    </row>
    <row r="770" spans="1:5" ht="31" customHeight="1">
      <c r="A770" s="4" t="s">
        <v>327</v>
      </c>
      <c r="B770" s="4" t="s">
        <v>311</v>
      </c>
      <c r="C770" s="4" t="s">
        <v>42</v>
      </c>
      <c r="D770" s="4" t="s">
        <v>2069</v>
      </c>
      <c r="E770" s="4" t="s">
        <v>319</v>
      </c>
    </row>
    <row r="771" spans="1:5" ht="31" customHeight="1">
      <c r="A771" s="4" t="s">
        <v>327</v>
      </c>
      <c r="B771" s="4" t="s">
        <v>311</v>
      </c>
      <c r="C771" s="4" t="s">
        <v>43</v>
      </c>
      <c r="D771" s="4" t="s">
        <v>2069</v>
      </c>
      <c r="E771" s="4" t="s">
        <v>319</v>
      </c>
    </row>
    <row r="772" spans="1:5" ht="31" customHeight="1">
      <c r="A772" s="4" t="s">
        <v>327</v>
      </c>
      <c r="B772" s="4" t="s">
        <v>311</v>
      </c>
      <c r="C772" s="4" t="s">
        <v>44</v>
      </c>
      <c r="D772" s="4" t="s">
        <v>2069</v>
      </c>
      <c r="E772" s="4" t="s">
        <v>319</v>
      </c>
    </row>
    <row r="773" spans="1:5" ht="31" customHeight="1">
      <c r="A773" s="4" t="s">
        <v>327</v>
      </c>
      <c r="B773" s="4" t="s">
        <v>311</v>
      </c>
      <c r="C773" s="4" t="s">
        <v>45</v>
      </c>
      <c r="D773" s="4" t="s">
        <v>2069</v>
      </c>
      <c r="E773" s="4" t="s">
        <v>319</v>
      </c>
    </row>
    <row r="774" spans="1:5" ht="31" customHeight="1">
      <c r="A774" s="4" t="s">
        <v>327</v>
      </c>
      <c r="B774" s="4" t="s">
        <v>311</v>
      </c>
      <c r="C774" s="4" t="s">
        <v>46</v>
      </c>
      <c r="D774" s="4" t="s">
        <v>2069</v>
      </c>
      <c r="E774" s="4" t="s">
        <v>319</v>
      </c>
    </row>
    <row r="775" spans="1:5" ht="31" customHeight="1">
      <c r="A775" s="4" t="s">
        <v>327</v>
      </c>
      <c r="B775" s="4" t="s">
        <v>311</v>
      </c>
      <c r="C775" s="4" t="s">
        <v>47</v>
      </c>
      <c r="D775" s="4" t="s">
        <v>2069</v>
      </c>
      <c r="E775" s="4" t="s">
        <v>319</v>
      </c>
    </row>
    <row r="776" spans="1:5" ht="31" customHeight="1">
      <c r="A776" s="4" t="s">
        <v>327</v>
      </c>
      <c r="B776" s="4" t="s">
        <v>311</v>
      </c>
      <c r="C776" s="4" t="s">
        <v>48</v>
      </c>
      <c r="D776" s="4" t="s">
        <v>2069</v>
      </c>
      <c r="E776" s="4" t="s">
        <v>319</v>
      </c>
    </row>
    <row r="777" spans="1:5" ht="31" customHeight="1">
      <c r="A777" s="4" t="s">
        <v>327</v>
      </c>
      <c r="B777" s="4" t="s">
        <v>311</v>
      </c>
      <c r="C777" s="4" t="s">
        <v>49</v>
      </c>
      <c r="D777" s="4" t="s">
        <v>2069</v>
      </c>
      <c r="E777" s="4" t="s">
        <v>319</v>
      </c>
    </row>
    <row r="778" spans="1:5" ht="31" customHeight="1">
      <c r="A778" s="4" t="s">
        <v>327</v>
      </c>
      <c r="B778" s="4" t="s">
        <v>311</v>
      </c>
      <c r="C778" s="4" t="s">
        <v>50</v>
      </c>
      <c r="D778" s="4" t="s">
        <v>2094</v>
      </c>
      <c r="E778" s="4" t="s">
        <v>319</v>
      </c>
    </row>
    <row r="779" spans="1:5" ht="31" customHeight="1">
      <c r="A779" s="4" t="s">
        <v>327</v>
      </c>
      <c r="B779" s="4" t="s">
        <v>311</v>
      </c>
      <c r="C779" s="4" t="s">
        <v>51</v>
      </c>
      <c r="D779" s="4" t="s">
        <v>2094</v>
      </c>
      <c r="E779" s="4" t="s">
        <v>319</v>
      </c>
    </row>
    <row r="780" spans="1:5" ht="31" customHeight="1">
      <c r="A780" s="4" t="s">
        <v>327</v>
      </c>
      <c r="B780" s="4" t="s">
        <v>311</v>
      </c>
      <c r="C780" s="4" t="s">
        <v>52</v>
      </c>
      <c r="D780" s="4" t="s">
        <v>2094</v>
      </c>
      <c r="E780" s="4" t="s">
        <v>319</v>
      </c>
    </row>
    <row r="781" spans="1:5" ht="31" customHeight="1">
      <c r="A781" s="4" t="s">
        <v>327</v>
      </c>
      <c r="B781" s="4" t="s">
        <v>311</v>
      </c>
      <c r="C781" s="4" t="s">
        <v>53</v>
      </c>
      <c r="D781" s="4" t="s">
        <v>2094</v>
      </c>
      <c r="E781" s="4" t="s">
        <v>319</v>
      </c>
    </row>
    <row r="782" spans="1:5" ht="31" customHeight="1">
      <c r="A782" s="4" t="s">
        <v>327</v>
      </c>
      <c r="B782" s="4" t="s">
        <v>311</v>
      </c>
      <c r="C782" s="4" t="s">
        <v>54</v>
      </c>
      <c r="D782" s="4" t="s">
        <v>2094</v>
      </c>
      <c r="E782" s="4" t="s">
        <v>319</v>
      </c>
    </row>
    <row r="783" spans="1:5" ht="31" customHeight="1">
      <c r="A783" s="4" t="s">
        <v>327</v>
      </c>
      <c r="B783" s="4" t="s">
        <v>311</v>
      </c>
      <c r="C783" s="4" t="s">
        <v>55</v>
      </c>
      <c r="D783" s="4" t="s">
        <v>2089</v>
      </c>
      <c r="E783" s="4" t="s">
        <v>319</v>
      </c>
    </row>
    <row r="784" spans="1:5" ht="31" customHeight="1">
      <c r="A784" s="4" t="s">
        <v>327</v>
      </c>
      <c r="B784" s="4" t="s">
        <v>311</v>
      </c>
      <c r="C784" s="4" t="s">
        <v>56</v>
      </c>
      <c r="D784" s="4" t="s">
        <v>2089</v>
      </c>
      <c r="E784" s="4" t="s">
        <v>319</v>
      </c>
    </row>
    <row r="785" spans="1:5" ht="31" customHeight="1">
      <c r="A785" s="4" t="s">
        <v>327</v>
      </c>
      <c r="B785" s="4" t="s">
        <v>311</v>
      </c>
      <c r="C785" s="4" t="s">
        <v>57</v>
      </c>
      <c r="D785" s="4" t="s">
        <v>2092</v>
      </c>
      <c r="E785" s="4" t="s">
        <v>319</v>
      </c>
    </row>
    <row r="786" spans="1:5" ht="31" customHeight="1">
      <c r="A786" s="4" t="s">
        <v>327</v>
      </c>
      <c r="B786" s="4" t="s">
        <v>311</v>
      </c>
      <c r="C786" s="4" t="s">
        <v>58</v>
      </c>
      <c r="D786" s="4" t="s">
        <v>2092</v>
      </c>
      <c r="E786" s="4" t="s">
        <v>319</v>
      </c>
    </row>
    <row r="787" spans="1:5" ht="31" customHeight="1">
      <c r="A787" s="4" t="s">
        <v>327</v>
      </c>
      <c r="B787" s="4" t="s">
        <v>311</v>
      </c>
      <c r="C787" s="4" t="s">
        <v>60</v>
      </c>
      <c r="D787" s="4" t="s">
        <v>2089</v>
      </c>
      <c r="E787" s="4" t="s">
        <v>319</v>
      </c>
    </row>
    <row r="788" spans="1:5" ht="31" customHeight="1">
      <c r="A788" s="4" t="s">
        <v>327</v>
      </c>
      <c r="B788" s="4" t="s">
        <v>311</v>
      </c>
      <c r="C788" s="4" t="s">
        <v>61</v>
      </c>
      <c r="D788" s="4" t="s">
        <v>2089</v>
      </c>
      <c r="E788" s="4" t="s">
        <v>319</v>
      </c>
    </row>
    <row r="789" spans="1:5" ht="31" customHeight="1">
      <c r="A789" s="4" t="s">
        <v>327</v>
      </c>
      <c r="B789" s="4" t="s">
        <v>311</v>
      </c>
      <c r="C789" s="4" t="s">
        <v>62</v>
      </c>
      <c r="D789" s="4" t="s">
        <v>2089</v>
      </c>
      <c r="E789" s="4" t="s">
        <v>319</v>
      </c>
    </row>
    <row r="790" spans="1:5" ht="31" customHeight="1">
      <c r="A790" s="4" t="s">
        <v>327</v>
      </c>
      <c r="B790" s="4" t="s">
        <v>311</v>
      </c>
      <c r="C790" s="4" t="s">
        <v>63</v>
      </c>
      <c r="D790" s="4" t="s">
        <v>2089</v>
      </c>
      <c r="E790" s="4" t="s">
        <v>319</v>
      </c>
    </row>
    <row r="791" spans="1:5" ht="31" customHeight="1">
      <c r="A791" s="4" t="s">
        <v>327</v>
      </c>
      <c r="B791" s="4" t="s">
        <v>311</v>
      </c>
      <c r="C791" s="4" t="s">
        <v>64</v>
      </c>
      <c r="D791" s="4" t="s">
        <v>2089</v>
      </c>
      <c r="E791" s="4" t="s">
        <v>319</v>
      </c>
    </row>
    <row r="792" spans="1:5" ht="31" customHeight="1">
      <c r="A792" s="4" t="s">
        <v>327</v>
      </c>
      <c r="B792" s="4" t="s">
        <v>311</v>
      </c>
      <c r="C792" s="4" t="s">
        <v>65</v>
      </c>
      <c r="D792" s="4" t="s">
        <v>2089</v>
      </c>
      <c r="E792" s="4" t="s">
        <v>319</v>
      </c>
    </row>
    <row r="793" spans="1:5" ht="31" customHeight="1">
      <c r="A793" s="4" t="s">
        <v>327</v>
      </c>
      <c r="B793" s="4" t="s">
        <v>311</v>
      </c>
      <c r="C793" s="4" t="s">
        <v>66</v>
      </c>
      <c r="D793" s="4" t="s">
        <v>2093</v>
      </c>
      <c r="E793" s="4" t="s">
        <v>319</v>
      </c>
    </row>
    <row r="794" spans="1:5" ht="31" customHeight="1">
      <c r="A794" s="4" t="s">
        <v>327</v>
      </c>
      <c r="B794" s="4" t="s">
        <v>311</v>
      </c>
      <c r="C794" s="4" t="s">
        <v>67</v>
      </c>
      <c r="D794" s="4" t="s">
        <v>2089</v>
      </c>
      <c r="E794" s="4" t="s">
        <v>319</v>
      </c>
    </row>
    <row r="795" spans="1:5" ht="31" customHeight="1">
      <c r="A795" s="4" t="s">
        <v>327</v>
      </c>
      <c r="B795" s="4" t="s">
        <v>311</v>
      </c>
      <c r="C795" s="4" t="s">
        <v>68</v>
      </c>
      <c r="D795" s="4" t="s">
        <v>2089</v>
      </c>
      <c r="E795" s="4" t="s">
        <v>319</v>
      </c>
    </row>
    <row r="796" spans="1:5" ht="31" customHeight="1">
      <c r="A796" s="4" t="s">
        <v>327</v>
      </c>
      <c r="B796" s="4" t="s">
        <v>311</v>
      </c>
      <c r="C796" s="4" t="s">
        <v>69</v>
      </c>
      <c r="D796" s="4" t="s">
        <v>2090</v>
      </c>
      <c r="E796" s="4" t="s">
        <v>319</v>
      </c>
    </row>
    <row r="797" spans="1:5" ht="31" customHeight="1">
      <c r="A797" s="4" t="s">
        <v>327</v>
      </c>
      <c r="B797" s="4" t="s">
        <v>311</v>
      </c>
      <c r="C797" s="4" t="s">
        <v>70</v>
      </c>
      <c r="D797" s="4" t="s">
        <v>2089</v>
      </c>
      <c r="E797" s="4" t="s">
        <v>319</v>
      </c>
    </row>
    <row r="798" spans="1:5" ht="31" customHeight="1">
      <c r="A798" s="4" t="s">
        <v>327</v>
      </c>
      <c r="B798" s="4" t="s">
        <v>311</v>
      </c>
      <c r="C798" s="4" t="s">
        <v>71</v>
      </c>
      <c r="D798" s="4" t="s">
        <v>2089</v>
      </c>
      <c r="E798" s="4" t="s">
        <v>319</v>
      </c>
    </row>
    <row r="799" spans="1:5" ht="31" customHeight="1">
      <c r="A799" s="4" t="s">
        <v>327</v>
      </c>
      <c r="B799" s="4" t="s">
        <v>311</v>
      </c>
      <c r="C799" s="4" t="s">
        <v>73</v>
      </c>
      <c r="D799" s="4" t="s">
        <v>2089</v>
      </c>
      <c r="E799" s="4" t="s">
        <v>319</v>
      </c>
    </row>
    <row r="800" spans="1:5" ht="31" customHeight="1">
      <c r="A800" s="4" t="s">
        <v>327</v>
      </c>
      <c r="B800" s="4" t="s">
        <v>311</v>
      </c>
      <c r="C800" s="4" t="s">
        <v>75</v>
      </c>
      <c r="D800" s="4" t="s">
        <v>2089</v>
      </c>
      <c r="E800" s="4" t="s">
        <v>319</v>
      </c>
    </row>
    <row r="801" spans="1:5" ht="31" customHeight="1">
      <c r="A801" s="4" t="s">
        <v>327</v>
      </c>
      <c r="B801" s="4" t="s">
        <v>311</v>
      </c>
      <c r="C801" s="4" t="s">
        <v>76</v>
      </c>
      <c r="D801" s="4" t="s">
        <v>2091</v>
      </c>
      <c r="E801" s="4" t="s">
        <v>319</v>
      </c>
    </row>
    <row r="802" spans="1:5" ht="31" customHeight="1">
      <c r="A802" s="4" t="s">
        <v>329</v>
      </c>
      <c r="B802" s="4" t="s">
        <v>311</v>
      </c>
      <c r="C802" s="4" t="s">
        <v>35</v>
      </c>
      <c r="D802" s="4" t="s">
        <v>2088</v>
      </c>
      <c r="E802" s="4" t="s">
        <v>319</v>
      </c>
    </row>
    <row r="803" spans="1:5" ht="31" customHeight="1">
      <c r="A803" s="4" t="s">
        <v>329</v>
      </c>
      <c r="B803" s="4" t="s">
        <v>311</v>
      </c>
      <c r="C803" s="4" t="s">
        <v>37</v>
      </c>
      <c r="D803" s="4" t="s">
        <v>2089</v>
      </c>
      <c r="E803" s="4" t="s">
        <v>319</v>
      </c>
    </row>
    <row r="804" spans="1:5" ht="31" customHeight="1">
      <c r="A804" s="4" t="s">
        <v>329</v>
      </c>
      <c r="B804" s="4" t="s">
        <v>311</v>
      </c>
      <c r="C804" s="4" t="s">
        <v>40</v>
      </c>
      <c r="D804" s="4" t="s">
        <v>2069</v>
      </c>
      <c r="E804" s="4" t="s">
        <v>319</v>
      </c>
    </row>
    <row r="805" spans="1:5" ht="31" customHeight="1">
      <c r="A805" s="4" t="s">
        <v>329</v>
      </c>
      <c r="B805" s="4" t="s">
        <v>311</v>
      </c>
      <c r="C805" s="4" t="s">
        <v>41</v>
      </c>
      <c r="D805" s="4" t="s">
        <v>2069</v>
      </c>
      <c r="E805" s="4" t="s">
        <v>319</v>
      </c>
    </row>
    <row r="806" spans="1:5" ht="31" customHeight="1">
      <c r="A806" s="4" t="s">
        <v>329</v>
      </c>
      <c r="B806" s="4" t="s">
        <v>311</v>
      </c>
      <c r="C806" s="4" t="s">
        <v>42</v>
      </c>
      <c r="D806" s="4" t="s">
        <v>2069</v>
      </c>
      <c r="E806" s="4" t="s">
        <v>319</v>
      </c>
    </row>
    <row r="807" spans="1:5" ht="31" customHeight="1">
      <c r="A807" s="4" t="s">
        <v>329</v>
      </c>
      <c r="B807" s="4" t="s">
        <v>311</v>
      </c>
      <c r="C807" s="4" t="s">
        <v>43</v>
      </c>
      <c r="D807" s="4" t="s">
        <v>2069</v>
      </c>
      <c r="E807" s="4" t="s">
        <v>319</v>
      </c>
    </row>
    <row r="808" spans="1:5" ht="31" customHeight="1">
      <c r="A808" s="4" t="s">
        <v>329</v>
      </c>
      <c r="B808" s="4" t="s">
        <v>311</v>
      </c>
      <c r="C808" s="4" t="s">
        <v>44</v>
      </c>
      <c r="D808" s="4" t="s">
        <v>2069</v>
      </c>
      <c r="E808" s="4" t="s">
        <v>319</v>
      </c>
    </row>
    <row r="809" spans="1:5" ht="31" customHeight="1">
      <c r="A809" s="4" t="s">
        <v>329</v>
      </c>
      <c r="B809" s="4" t="s">
        <v>311</v>
      </c>
      <c r="C809" s="4" t="s">
        <v>45</v>
      </c>
      <c r="D809" s="4" t="s">
        <v>2069</v>
      </c>
      <c r="E809" s="4" t="s">
        <v>319</v>
      </c>
    </row>
    <row r="810" spans="1:5" ht="31" customHeight="1">
      <c r="A810" s="4" t="s">
        <v>329</v>
      </c>
      <c r="B810" s="4" t="s">
        <v>311</v>
      </c>
      <c r="C810" s="4" t="s">
        <v>46</v>
      </c>
      <c r="D810" s="4" t="s">
        <v>2069</v>
      </c>
      <c r="E810" s="4" t="s">
        <v>319</v>
      </c>
    </row>
    <row r="811" spans="1:5" ht="31" customHeight="1">
      <c r="A811" s="4" t="s">
        <v>329</v>
      </c>
      <c r="B811" s="4" t="s">
        <v>311</v>
      </c>
      <c r="C811" s="4" t="s">
        <v>47</v>
      </c>
      <c r="D811" s="4" t="s">
        <v>2069</v>
      </c>
      <c r="E811" s="4" t="s">
        <v>319</v>
      </c>
    </row>
    <row r="812" spans="1:5" ht="31" customHeight="1">
      <c r="A812" s="4" t="s">
        <v>329</v>
      </c>
      <c r="B812" s="4" t="s">
        <v>311</v>
      </c>
      <c r="C812" s="4" t="s">
        <v>48</v>
      </c>
      <c r="D812" s="4" t="s">
        <v>2069</v>
      </c>
      <c r="E812" s="4" t="s">
        <v>319</v>
      </c>
    </row>
    <row r="813" spans="1:5" ht="31" customHeight="1">
      <c r="A813" s="4" t="s">
        <v>329</v>
      </c>
      <c r="B813" s="4" t="s">
        <v>311</v>
      </c>
      <c r="C813" s="4" t="s">
        <v>49</v>
      </c>
      <c r="D813" s="4" t="s">
        <v>2069</v>
      </c>
      <c r="E813" s="4" t="s">
        <v>319</v>
      </c>
    </row>
    <row r="814" spans="1:5" ht="31" customHeight="1">
      <c r="A814" s="4" t="s">
        <v>329</v>
      </c>
      <c r="B814" s="4" t="s">
        <v>311</v>
      </c>
      <c r="C814" s="4" t="s">
        <v>50</v>
      </c>
      <c r="D814" s="4" t="s">
        <v>2094</v>
      </c>
      <c r="E814" s="4" t="s">
        <v>319</v>
      </c>
    </row>
    <row r="815" spans="1:5" ht="31" customHeight="1">
      <c r="A815" s="4" t="s">
        <v>329</v>
      </c>
      <c r="B815" s="4" t="s">
        <v>311</v>
      </c>
      <c r="C815" s="4" t="s">
        <v>51</v>
      </c>
      <c r="D815" s="4" t="s">
        <v>2094</v>
      </c>
      <c r="E815" s="4" t="s">
        <v>319</v>
      </c>
    </row>
    <row r="816" spans="1:5" ht="31" customHeight="1">
      <c r="A816" s="4" t="s">
        <v>329</v>
      </c>
      <c r="B816" s="4" t="s">
        <v>311</v>
      </c>
      <c r="C816" s="4" t="s">
        <v>52</v>
      </c>
      <c r="D816" s="4" t="s">
        <v>2094</v>
      </c>
      <c r="E816" s="4" t="s">
        <v>319</v>
      </c>
    </row>
    <row r="817" spans="1:5" ht="31" customHeight="1">
      <c r="A817" s="4" t="s">
        <v>329</v>
      </c>
      <c r="B817" s="4" t="s">
        <v>311</v>
      </c>
      <c r="C817" s="4" t="s">
        <v>53</v>
      </c>
      <c r="D817" s="4" t="s">
        <v>2094</v>
      </c>
      <c r="E817" s="4" t="s">
        <v>319</v>
      </c>
    </row>
    <row r="818" spans="1:5" ht="31" customHeight="1">
      <c r="A818" s="4" t="s">
        <v>329</v>
      </c>
      <c r="B818" s="4" t="s">
        <v>311</v>
      </c>
      <c r="C818" s="4" t="s">
        <v>54</v>
      </c>
      <c r="D818" s="4" t="s">
        <v>2094</v>
      </c>
      <c r="E818" s="4" t="s">
        <v>319</v>
      </c>
    </row>
    <row r="819" spans="1:5" ht="31" customHeight="1">
      <c r="A819" s="4" t="s">
        <v>329</v>
      </c>
      <c r="B819" s="4" t="s">
        <v>311</v>
      </c>
      <c r="C819" s="4" t="s">
        <v>55</v>
      </c>
      <c r="D819" s="4" t="s">
        <v>2089</v>
      </c>
      <c r="E819" s="4" t="s">
        <v>319</v>
      </c>
    </row>
    <row r="820" spans="1:5" ht="31" customHeight="1">
      <c r="A820" s="4" t="s">
        <v>329</v>
      </c>
      <c r="B820" s="4" t="s">
        <v>311</v>
      </c>
      <c r="C820" s="4" t="s">
        <v>56</v>
      </c>
      <c r="D820" s="4" t="s">
        <v>2089</v>
      </c>
      <c r="E820" s="4" t="s">
        <v>319</v>
      </c>
    </row>
    <row r="821" spans="1:5" ht="31" customHeight="1">
      <c r="A821" s="4" t="s">
        <v>329</v>
      </c>
      <c r="B821" s="4" t="s">
        <v>311</v>
      </c>
      <c r="C821" s="4" t="s">
        <v>57</v>
      </c>
      <c r="D821" s="4" t="s">
        <v>2092</v>
      </c>
      <c r="E821" s="4" t="s">
        <v>319</v>
      </c>
    </row>
    <row r="822" spans="1:5" ht="31" customHeight="1">
      <c r="A822" s="4" t="s">
        <v>329</v>
      </c>
      <c r="B822" s="4" t="s">
        <v>311</v>
      </c>
      <c r="C822" s="4" t="s">
        <v>58</v>
      </c>
      <c r="D822" s="4" t="s">
        <v>2092</v>
      </c>
      <c r="E822" s="4" t="s">
        <v>319</v>
      </c>
    </row>
    <row r="823" spans="1:5" ht="31" customHeight="1">
      <c r="A823" s="4" t="s">
        <v>329</v>
      </c>
      <c r="B823" s="4" t="s">
        <v>311</v>
      </c>
      <c r="C823" s="4" t="s">
        <v>60</v>
      </c>
      <c r="D823" s="4" t="s">
        <v>2089</v>
      </c>
      <c r="E823" s="4" t="s">
        <v>319</v>
      </c>
    </row>
    <row r="824" spans="1:5" ht="31" customHeight="1">
      <c r="A824" s="4" t="s">
        <v>329</v>
      </c>
      <c r="B824" s="4" t="s">
        <v>311</v>
      </c>
      <c r="C824" s="4" t="s">
        <v>61</v>
      </c>
      <c r="D824" s="4" t="s">
        <v>2089</v>
      </c>
      <c r="E824" s="4" t="s">
        <v>319</v>
      </c>
    </row>
    <row r="825" spans="1:5" ht="31" customHeight="1">
      <c r="A825" s="4" t="s">
        <v>329</v>
      </c>
      <c r="B825" s="4" t="s">
        <v>311</v>
      </c>
      <c r="C825" s="4" t="s">
        <v>62</v>
      </c>
      <c r="D825" s="4" t="s">
        <v>2089</v>
      </c>
      <c r="E825" s="4" t="s">
        <v>319</v>
      </c>
    </row>
    <row r="826" spans="1:5" ht="31" customHeight="1">
      <c r="A826" s="4" t="s">
        <v>329</v>
      </c>
      <c r="B826" s="4" t="s">
        <v>311</v>
      </c>
      <c r="C826" s="4" t="s">
        <v>63</v>
      </c>
      <c r="D826" s="4" t="s">
        <v>2089</v>
      </c>
      <c r="E826" s="4" t="s">
        <v>319</v>
      </c>
    </row>
    <row r="827" spans="1:5" ht="31" customHeight="1">
      <c r="A827" s="4" t="s">
        <v>329</v>
      </c>
      <c r="B827" s="4" t="s">
        <v>311</v>
      </c>
      <c r="C827" s="4" t="s">
        <v>64</v>
      </c>
      <c r="D827" s="4" t="s">
        <v>2089</v>
      </c>
      <c r="E827" s="4" t="s">
        <v>319</v>
      </c>
    </row>
    <row r="828" spans="1:5" ht="31" customHeight="1">
      <c r="A828" s="4" t="s">
        <v>329</v>
      </c>
      <c r="B828" s="4" t="s">
        <v>311</v>
      </c>
      <c r="C828" s="4" t="s">
        <v>65</v>
      </c>
      <c r="D828" s="4" t="s">
        <v>2089</v>
      </c>
      <c r="E828" s="4" t="s">
        <v>319</v>
      </c>
    </row>
    <row r="829" spans="1:5" ht="31" customHeight="1">
      <c r="A829" s="4" t="s">
        <v>329</v>
      </c>
      <c r="B829" s="4" t="s">
        <v>311</v>
      </c>
      <c r="C829" s="4" t="s">
        <v>66</v>
      </c>
      <c r="D829" s="4" t="s">
        <v>2093</v>
      </c>
      <c r="E829" s="4" t="s">
        <v>319</v>
      </c>
    </row>
    <row r="830" spans="1:5" ht="31" customHeight="1">
      <c r="A830" s="4" t="s">
        <v>329</v>
      </c>
      <c r="B830" s="4" t="s">
        <v>311</v>
      </c>
      <c r="C830" s="4" t="s">
        <v>67</v>
      </c>
      <c r="D830" s="4" t="s">
        <v>2089</v>
      </c>
      <c r="E830" s="4" t="s">
        <v>319</v>
      </c>
    </row>
    <row r="831" spans="1:5" ht="31" customHeight="1">
      <c r="A831" s="4" t="s">
        <v>329</v>
      </c>
      <c r="B831" s="4" t="s">
        <v>311</v>
      </c>
      <c r="C831" s="4" t="s">
        <v>68</v>
      </c>
      <c r="D831" s="4" t="s">
        <v>2089</v>
      </c>
      <c r="E831" s="4" t="s">
        <v>319</v>
      </c>
    </row>
    <row r="832" spans="1:5" ht="31" customHeight="1">
      <c r="A832" s="4" t="s">
        <v>329</v>
      </c>
      <c r="B832" s="4" t="s">
        <v>311</v>
      </c>
      <c r="C832" s="4" t="s">
        <v>69</v>
      </c>
      <c r="D832" s="4" t="s">
        <v>2090</v>
      </c>
      <c r="E832" s="4" t="s">
        <v>319</v>
      </c>
    </row>
    <row r="833" spans="1:5" ht="31" customHeight="1">
      <c r="A833" s="4" t="s">
        <v>329</v>
      </c>
      <c r="B833" s="4" t="s">
        <v>311</v>
      </c>
      <c r="C833" s="4" t="s">
        <v>70</v>
      </c>
      <c r="D833" s="4" t="s">
        <v>2089</v>
      </c>
      <c r="E833" s="4" t="s">
        <v>319</v>
      </c>
    </row>
    <row r="834" spans="1:5" ht="31" customHeight="1">
      <c r="A834" s="4" t="s">
        <v>329</v>
      </c>
      <c r="B834" s="4" t="s">
        <v>311</v>
      </c>
      <c r="C834" s="4" t="s">
        <v>71</v>
      </c>
      <c r="D834" s="4" t="s">
        <v>2089</v>
      </c>
      <c r="E834" s="4" t="s">
        <v>319</v>
      </c>
    </row>
    <row r="835" spans="1:5" ht="31" customHeight="1">
      <c r="A835" s="4" t="s">
        <v>329</v>
      </c>
      <c r="B835" s="4" t="s">
        <v>311</v>
      </c>
      <c r="C835" s="4" t="s">
        <v>73</v>
      </c>
      <c r="D835" s="4" t="s">
        <v>2089</v>
      </c>
      <c r="E835" s="4" t="s">
        <v>319</v>
      </c>
    </row>
    <row r="836" spans="1:5" ht="31" customHeight="1">
      <c r="A836" s="4" t="s">
        <v>329</v>
      </c>
      <c r="B836" s="4" t="s">
        <v>311</v>
      </c>
      <c r="C836" s="4" t="s">
        <v>75</v>
      </c>
      <c r="D836" s="4" t="s">
        <v>2089</v>
      </c>
      <c r="E836" s="4" t="s">
        <v>319</v>
      </c>
    </row>
    <row r="837" spans="1:5" ht="31" customHeight="1">
      <c r="A837" s="4" t="s">
        <v>329</v>
      </c>
      <c r="B837" s="4" t="s">
        <v>311</v>
      </c>
      <c r="C837" s="4" t="s">
        <v>76</v>
      </c>
      <c r="D837" s="4" t="s">
        <v>2091</v>
      </c>
      <c r="E837" s="4" t="s">
        <v>319</v>
      </c>
    </row>
    <row r="838" spans="1:5" ht="31" customHeight="1">
      <c r="A838" s="4" t="s">
        <v>331</v>
      </c>
      <c r="B838" s="4" t="s">
        <v>311</v>
      </c>
      <c r="C838" s="4" t="s">
        <v>35</v>
      </c>
      <c r="D838" s="4" t="s">
        <v>2088</v>
      </c>
      <c r="E838" s="4" t="s">
        <v>319</v>
      </c>
    </row>
    <row r="839" spans="1:5" ht="31" customHeight="1">
      <c r="A839" s="4" t="s">
        <v>331</v>
      </c>
      <c r="B839" s="4" t="s">
        <v>311</v>
      </c>
      <c r="C839" s="4" t="s">
        <v>37</v>
      </c>
      <c r="D839" s="4" t="s">
        <v>2089</v>
      </c>
      <c r="E839" s="4" t="s">
        <v>319</v>
      </c>
    </row>
    <row r="840" spans="1:5" ht="31" customHeight="1">
      <c r="A840" s="4" t="s">
        <v>331</v>
      </c>
      <c r="B840" s="4" t="s">
        <v>311</v>
      </c>
      <c r="C840" s="4" t="s">
        <v>40</v>
      </c>
      <c r="D840" s="4" t="s">
        <v>2069</v>
      </c>
      <c r="E840" s="4" t="s">
        <v>319</v>
      </c>
    </row>
    <row r="841" spans="1:5" ht="31" customHeight="1">
      <c r="A841" s="4" t="s">
        <v>331</v>
      </c>
      <c r="B841" s="4" t="s">
        <v>311</v>
      </c>
      <c r="C841" s="4" t="s">
        <v>41</v>
      </c>
      <c r="D841" s="4" t="s">
        <v>2069</v>
      </c>
      <c r="E841" s="4" t="s">
        <v>319</v>
      </c>
    </row>
    <row r="842" spans="1:5" ht="31" customHeight="1">
      <c r="A842" s="4" t="s">
        <v>331</v>
      </c>
      <c r="B842" s="4" t="s">
        <v>311</v>
      </c>
      <c r="C842" s="4" t="s">
        <v>42</v>
      </c>
      <c r="D842" s="4" t="s">
        <v>2069</v>
      </c>
      <c r="E842" s="4" t="s">
        <v>319</v>
      </c>
    </row>
    <row r="843" spans="1:5" ht="31" customHeight="1">
      <c r="A843" s="4" t="s">
        <v>331</v>
      </c>
      <c r="B843" s="4" t="s">
        <v>311</v>
      </c>
      <c r="C843" s="4" t="s">
        <v>43</v>
      </c>
      <c r="D843" s="4" t="s">
        <v>2069</v>
      </c>
      <c r="E843" s="4" t="s">
        <v>319</v>
      </c>
    </row>
    <row r="844" spans="1:5" ht="31" customHeight="1">
      <c r="A844" s="4" t="s">
        <v>331</v>
      </c>
      <c r="B844" s="4" t="s">
        <v>311</v>
      </c>
      <c r="C844" s="4" t="s">
        <v>44</v>
      </c>
      <c r="D844" s="4" t="s">
        <v>2069</v>
      </c>
      <c r="E844" s="4" t="s">
        <v>319</v>
      </c>
    </row>
    <row r="845" spans="1:5" ht="31" customHeight="1">
      <c r="A845" s="4" t="s">
        <v>331</v>
      </c>
      <c r="B845" s="4" t="s">
        <v>311</v>
      </c>
      <c r="C845" s="4" t="s">
        <v>45</v>
      </c>
      <c r="D845" s="4" t="s">
        <v>2069</v>
      </c>
      <c r="E845" s="4" t="s">
        <v>319</v>
      </c>
    </row>
    <row r="846" spans="1:5" ht="31" customHeight="1">
      <c r="A846" s="4" t="s">
        <v>331</v>
      </c>
      <c r="B846" s="4" t="s">
        <v>311</v>
      </c>
      <c r="C846" s="4" t="s">
        <v>46</v>
      </c>
      <c r="D846" s="4" t="s">
        <v>2069</v>
      </c>
      <c r="E846" s="4" t="s">
        <v>319</v>
      </c>
    </row>
    <row r="847" spans="1:5" ht="31" customHeight="1">
      <c r="A847" s="4" t="s">
        <v>331</v>
      </c>
      <c r="B847" s="4" t="s">
        <v>311</v>
      </c>
      <c r="C847" s="4" t="s">
        <v>47</v>
      </c>
      <c r="D847" s="4" t="s">
        <v>2069</v>
      </c>
      <c r="E847" s="4" t="s">
        <v>319</v>
      </c>
    </row>
    <row r="848" spans="1:5" ht="31" customHeight="1">
      <c r="A848" s="4" t="s">
        <v>331</v>
      </c>
      <c r="B848" s="4" t="s">
        <v>311</v>
      </c>
      <c r="C848" s="4" t="s">
        <v>48</v>
      </c>
      <c r="D848" s="4" t="s">
        <v>2069</v>
      </c>
      <c r="E848" s="4" t="s">
        <v>319</v>
      </c>
    </row>
    <row r="849" spans="1:5" ht="31" customHeight="1">
      <c r="A849" s="4" t="s">
        <v>331</v>
      </c>
      <c r="B849" s="4" t="s">
        <v>311</v>
      </c>
      <c r="C849" s="4" t="s">
        <v>49</v>
      </c>
      <c r="D849" s="4" t="s">
        <v>2069</v>
      </c>
      <c r="E849" s="4" t="s">
        <v>319</v>
      </c>
    </row>
    <row r="850" spans="1:5" ht="31" customHeight="1">
      <c r="A850" s="4" t="s">
        <v>331</v>
      </c>
      <c r="B850" s="4" t="s">
        <v>311</v>
      </c>
      <c r="C850" s="4" t="s">
        <v>50</v>
      </c>
      <c r="D850" s="4" t="s">
        <v>2094</v>
      </c>
      <c r="E850" s="4" t="s">
        <v>319</v>
      </c>
    </row>
    <row r="851" spans="1:5" ht="31" customHeight="1">
      <c r="A851" s="4" t="s">
        <v>331</v>
      </c>
      <c r="B851" s="4" t="s">
        <v>311</v>
      </c>
      <c r="C851" s="4" t="s">
        <v>51</v>
      </c>
      <c r="D851" s="4" t="s">
        <v>2094</v>
      </c>
      <c r="E851" s="4" t="s">
        <v>319</v>
      </c>
    </row>
    <row r="852" spans="1:5" ht="31" customHeight="1">
      <c r="A852" s="4" t="s">
        <v>331</v>
      </c>
      <c r="B852" s="4" t="s">
        <v>311</v>
      </c>
      <c r="C852" s="4" t="s">
        <v>52</v>
      </c>
      <c r="D852" s="4" t="s">
        <v>2094</v>
      </c>
      <c r="E852" s="4" t="s">
        <v>319</v>
      </c>
    </row>
    <row r="853" spans="1:5" ht="31" customHeight="1">
      <c r="A853" s="4" t="s">
        <v>331</v>
      </c>
      <c r="B853" s="4" t="s">
        <v>311</v>
      </c>
      <c r="C853" s="4" t="s">
        <v>53</v>
      </c>
      <c r="D853" s="4" t="s">
        <v>2094</v>
      </c>
      <c r="E853" s="4" t="s">
        <v>319</v>
      </c>
    </row>
    <row r="854" spans="1:5" ht="31" customHeight="1">
      <c r="A854" s="4" t="s">
        <v>331</v>
      </c>
      <c r="B854" s="4" t="s">
        <v>311</v>
      </c>
      <c r="C854" s="4" t="s">
        <v>54</v>
      </c>
      <c r="D854" s="4" t="s">
        <v>2094</v>
      </c>
      <c r="E854" s="4" t="s">
        <v>319</v>
      </c>
    </row>
    <row r="855" spans="1:5" ht="31" customHeight="1">
      <c r="A855" s="4" t="s">
        <v>331</v>
      </c>
      <c r="B855" s="4" t="s">
        <v>311</v>
      </c>
      <c r="C855" s="4" t="s">
        <v>55</v>
      </c>
      <c r="D855" s="4" t="s">
        <v>2089</v>
      </c>
      <c r="E855" s="4" t="s">
        <v>319</v>
      </c>
    </row>
    <row r="856" spans="1:5" ht="31" customHeight="1">
      <c r="A856" s="4" t="s">
        <v>331</v>
      </c>
      <c r="B856" s="4" t="s">
        <v>311</v>
      </c>
      <c r="C856" s="4" t="s">
        <v>56</v>
      </c>
      <c r="D856" s="4" t="s">
        <v>2089</v>
      </c>
      <c r="E856" s="4" t="s">
        <v>319</v>
      </c>
    </row>
    <row r="857" spans="1:5" ht="31" customHeight="1">
      <c r="A857" s="4" t="s">
        <v>331</v>
      </c>
      <c r="B857" s="4" t="s">
        <v>311</v>
      </c>
      <c r="C857" s="4" t="s">
        <v>57</v>
      </c>
      <c r="D857" s="4" t="s">
        <v>2092</v>
      </c>
      <c r="E857" s="4" t="s">
        <v>319</v>
      </c>
    </row>
    <row r="858" spans="1:5" ht="31" customHeight="1">
      <c r="A858" s="4" t="s">
        <v>331</v>
      </c>
      <c r="B858" s="4" t="s">
        <v>311</v>
      </c>
      <c r="C858" s="4" t="s">
        <v>58</v>
      </c>
      <c r="D858" s="4" t="s">
        <v>2092</v>
      </c>
      <c r="E858" s="4" t="s">
        <v>319</v>
      </c>
    </row>
    <row r="859" spans="1:5" ht="31" customHeight="1">
      <c r="A859" s="4" t="s">
        <v>331</v>
      </c>
      <c r="B859" s="4" t="s">
        <v>311</v>
      </c>
      <c r="C859" s="4" t="s">
        <v>60</v>
      </c>
      <c r="D859" s="4" t="s">
        <v>2089</v>
      </c>
      <c r="E859" s="4" t="s">
        <v>319</v>
      </c>
    </row>
    <row r="860" spans="1:5" ht="31" customHeight="1">
      <c r="A860" s="4" t="s">
        <v>331</v>
      </c>
      <c r="B860" s="4" t="s">
        <v>311</v>
      </c>
      <c r="C860" s="4" t="s">
        <v>61</v>
      </c>
      <c r="D860" s="4" t="s">
        <v>2089</v>
      </c>
      <c r="E860" s="4" t="s">
        <v>319</v>
      </c>
    </row>
    <row r="861" spans="1:5" ht="31" customHeight="1">
      <c r="A861" s="4" t="s">
        <v>331</v>
      </c>
      <c r="B861" s="4" t="s">
        <v>311</v>
      </c>
      <c r="C861" s="4" t="s">
        <v>62</v>
      </c>
      <c r="D861" s="4" t="s">
        <v>2089</v>
      </c>
      <c r="E861" s="4" t="s">
        <v>319</v>
      </c>
    </row>
    <row r="862" spans="1:5" ht="31" customHeight="1">
      <c r="A862" s="4" t="s">
        <v>331</v>
      </c>
      <c r="B862" s="4" t="s">
        <v>311</v>
      </c>
      <c r="C862" s="4" t="s">
        <v>63</v>
      </c>
      <c r="D862" s="4" t="s">
        <v>2089</v>
      </c>
      <c r="E862" s="4" t="s">
        <v>319</v>
      </c>
    </row>
    <row r="863" spans="1:5" ht="31" customHeight="1">
      <c r="A863" s="4" t="s">
        <v>331</v>
      </c>
      <c r="B863" s="4" t="s">
        <v>311</v>
      </c>
      <c r="C863" s="4" t="s">
        <v>64</v>
      </c>
      <c r="D863" s="4" t="s">
        <v>2089</v>
      </c>
      <c r="E863" s="4" t="s">
        <v>319</v>
      </c>
    </row>
    <row r="864" spans="1:5" ht="31" customHeight="1">
      <c r="A864" s="4" t="s">
        <v>331</v>
      </c>
      <c r="B864" s="4" t="s">
        <v>311</v>
      </c>
      <c r="C864" s="4" t="s">
        <v>65</v>
      </c>
      <c r="D864" s="4" t="s">
        <v>2089</v>
      </c>
      <c r="E864" s="4" t="s">
        <v>319</v>
      </c>
    </row>
    <row r="865" spans="1:5" ht="31" customHeight="1">
      <c r="A865" s="4" t="s">
        <v>331</v>
      </c>
      <c r="B865" s="4" t="s">
        <v>311</v>
      </c>
      <c r="C865" s="4" t="s">
        <v>66</v>
      </c>
      <c r="D865" s="4" t="s">
        <v>2093</v>
      </c>
      <c r="E865" s="4" t="s">
        <v>319</v>
      </c>
    </row>
    <row r="866" spans="1:5" ht="31" customHeight="1">
      <c r="A866" s="4" t="s">
        <v>331</v>
      </c>
      <c r="B866" s="4" t="s">
        <v>311</v>
      </c>
      <c r="C866" s="4" t="s">
        <v>67</v>
      </c>
      <c r="D866" s="4" t="s">
        <v>2089</v>
      </c>
      <c r="E866" s="4" t="s">
        <v>319</v>
      </c>
    </row>
    <row r="867" spans="1:5" ht="31" customHeight="1">
      <c r="A867" s="4" t="s">
        <v>331</v>
      </c>
      <c r="B867" s="4" t="s">
        <v>311</v>
      </c>
      <c r="C867" s="4" t="s">
        <v>68</v>
      </c>
      <c r="D867" s="4" t="s">
        <v>2089</v>
      </c>
      <c r="E867" s="4" t="s">
        <v>319</v>
      </c>
    </row>
    <row r="868" spans="1:5" ht="31" customHeight="1">
      <c r="A868" s="4" t="s">
        <v>331</v>
      </c>
      <c r="B868" s="4" t="s">
        <v>311</v>
      </c>
      <c r="C868" s="4" t="s">
        <v>69</v>
      </c>
      <c r="D868" s="4" t="s">
        <v>2090</v>
      </c>
      <c r="E868" s="4" t="s">
        <v>319</v>
      </c>
    </row>
    <row r="869" spans="1:5" ht="31" customHeight="1">
      <c r="A869" s="4" t="s">
        <v>331</v>
      </c>
      <c r="B869" s="4" t="s">
        <v>311</v>
      </c>
      <c r="C869" s="4" t="s">
        <v>70</v>
      </c>
      <c r="D869" s="4" t="s">
        <v>2089</v>
      </c>
      <c r="E869" s="4" t="s">
        <v>319</v>
      </c>
    </row>
    <row r="870" spans="1:5" ht="31" customHeight="1">
      <c r="A870" s="4" t="s">
        <v>331</v>
      </c>
      <c r="B870" s="4" t="s">
        <v>311</v>
      </c>
      <c r="C870" s="4" t="s">
        <v>71</v>
      </c>
      <c r="D870" s="4" t="s">
        <v>2089</v>
      </c>
      <c r="E870" s="4" t="s">
        <v>319</v>
      </c>
    </row>
    <row r="871" spans="1:5" ht="31" customHeight="1">
      <c r="A871" s="4" t="s">
        <v>331</v>
      </c>
      <c r="B871" s="4" t="s">
        <v>311</v>
      </c>
      <c r="C871" s="4" t="s">
        <v>73</v>
      </c>
      <c r="D871" s="4" t="s">
        <v>2089</v>
      </c>
      <c r="E871" s="4" t="s">
        <v>319</v>
      </c>
    </row>
    <row r="872" spans="1:5" ht="31" customHeight="1">
      <c r="A872" s="4" t="s">
        <v>331</v>
      </c>
      <c r="B872" s="4" t="s">
        <v>311</v>
      </c>
      <c r="C872" s="4" t="s">
        <v>75</v>
      </c>
      <c r="D872" s="4" t="s">
        <v>2089</v>
      </c>
      <c r="E872" s="4" t="s">
        <v>319</v>
      </c>
    </row>
    <row r="873" spans="1:5" ht="31" customHeight="1">
      <c r="A873" s="4" t="s">
        <v>331</v>
      </c>
      <c r="B873" s="4" t="s">
        <v>311</v>
      </c>
      <c r="C873" s="4" t="s">
        <v>76</v>
      </c>
      <c r="D873" s="4" t="s">
        <v>2091</v>
      </c>
      <c r="E873" s="4" t="s">
        <v>319</v>
      </c>
    </row>
    <row r="874" spans="1:5" ht="31" customHeight="1">
      <c r="A874" s="4" t="s">
        <v>333</v>
      </c>
      <c r="B874" s="4" t="s">
        <v>311</v>
      </c>
      <c r="C874" s="4" t="s">
        <v>35</v>
      </c>
      <c r="D874" s="4" t="s">
        <v>2088</v>
      </c>
      <c r="E874" s="4" t="s">
        <v>319</v>
      </c>
    </row>
    <row r="875" spans="1:5" ht="31" customHeight="1">
      <c r="A875" s="4" t="s">
        <v>333</v>
      </c>
      <c r="B875" s="4" t="s">
        <v>311</v>
      </c>
      <c r="C875" s="4" t="s">
        <v>37</v>
      </c>
      <c r="D875" s="4" t="s">
        <v>2089</v>
      </c>
      <c r="E875" s="4" t="s">
        <v>319</v>
      </c>
    </row>
    <row r="876" spans="1:5" ht="31" customHeight="1">
      <c r="A876" s="4" t="s">
        <v>333</v>
      </c>
      <c r="B876" s="4" t="s">
        <v>311</v>
      </c>
      <c r="C876" s="4" t="s">
        <v>40</v>
      </c>
      <c r="D876" s="4" t="s">
        <v>2069</v>
      </c>
      <c r="E876" s="4" t="s">
        <v>319</v>
      </c>
    </row>
    <row r="877" spans="1:5" ht="31" customHeight="1">
      <c r="A877" s="4" t="s">
        <v>333</v>
      </c>
      <c r="B877" s="4" t="s">
        <v>311</v>
      </c>
      <c r="C877" s="4" t="s">
        <v>41</v>
      </c>
      <c r="D877" s="4" t="s">
        <v>2069</v>
      </c>
      <c r="E877" s="4" t="s">
        <v>319</v>
      </c>
    </row>
    <row r="878" spans="1:5" ht="31" customHeight="1">
      <c r="A878" s="4" t="s">
        <v>333</v>
      </c>
      <c r="B878" s="4" t="s">
        <v>311</v>
      </c>
      <c r="C878" s="4" t="s">
        <v>42</v>
      </c>
      <c r="D878" s="4" t="s">
        <v>2069</v>
      </c>
      <c r="E878" s="4" t="s">
        <v>319</v>
      </c>
    </row>
    <row r="879" spans="1:5" ht="31" customHeight="1">
      <c r="A879" s="4" t="s">
        <v>333</v>
      </c>
      <c r="B879" s="4" t="s">
        <v>311</v>
      </c>
      <c r="C879" s="4" t="s">
        <v>43</v>
      </c>
      <c r="D879" s="4" t="s">
        <v>2069</v>
      </c>
      <c r="E879" s="4" t="s">
        <v>319</v>
      </c>
    </row>
    <row r="880" spans="1:5" ht="31" customHeight="1">
      <c r="A880" s="4" t="s">
        <v>333</v>
      </c>
      <c r="B880" s="4" t="s">
        <v>311</v>
      </c>
      <c r="C880" s="4" t="s">
        <v>44</v>
      </c>
      <c r="D880" s="4" t="s">
        <v>2069</v>
      </c>
      <c r="E880" s="4" t="s">
        <v>319</v>
      </c>
    </row>
    <row r="881" spans="1:5" ht="31" customHeight="1">
      <c r="A881" s="4" t="s">
        <v>333</v>
      </c>
      <c r="B881" s="4" t="s">
        <v>311</v>
      </c>
      <c r="C881" s="4" t="s">
        <v>45</v>
      </c>
      <c r="D881" s="4" t="s">
        <v>2069</v>
      </c>
      <c r="E881" s="4" t="s">
        <v>319</v>
      </c>
    </row>
    <row r="882" spans="1:5" ht="31" customHeight="1">
      <c r="A882" s="4" t="s">
        <v>333</v>
      </c>
      <c r="B882" s="4" t="s">
        <v>311</v>
      </c>
      <c r="C882" s="4" t="s">
        <v>46</v>
      </c>
      <c r="D882" s="4" t="s">
        <v>2069</v>
      </c>
      <c r="E882" s="4" t="s">
        <v>319</v>
      </c>
    </row>
    <row r="883" spans="1:5" ht="31" customHeight="1">
      <c r="A883" s="4" t="s">
        <v>333</v>
      </c>
      <c r="B883" s="4" t="s">
        <v>311</v>
      </c>
      <c r="C883" s="4" t="s">
        <v>47</v>
      </c>
      <c r="D883" s="4" t="s">
        <v>2069</v>
      </c>
      <c r="E883" s="4" t="s">
        <v>319</v>
      </c>
    </row>
    <row r="884" spans="1:5" ht="31" customHeight="1">
      <c r="A884" s="4" t="s">
        <v>333</v>
      </c>
      <c r="B884" s="4" t="s">
        <v>311</v>
      </c>
      <c r="C884" s="4" t="s">
        <v>48</v>
      </c>
      <c r="D884" s="4" t="s">
        <v>2069</v>
      </c>
      <c r="E884" s="4" t="s">
        <v>319</v>
      </c>
    </row>
    <row r="885" spans="1:5" ht="31" customHeight="1">
      <c r="A885" s="4" t="s">
        <v>333</v>
      </c>
      <c r="B885" s="4" t="s">
        <v>311</v>
      </c>
      <c r="C885" s="4" t="s">
        <v>49</v>
      </c>
      <c r="D885" s="4" t="s">
        <v>2069</v>
      </c>
      <c r="E885" s="4" t="s">
        <v>319</v>
      </c>
    </row>
    <row r="886" spans="1:5" ht="31" customHeight="1">
      <c r="A886" s="4" t="s">
        <v>333</v>
      </c>
      <c r="B886" s="4" t="s">
        <v>311</v>
      </c>
      <c r="C886" s="4" t="s">
        <v>50</v>
      </c>
      <c r="D886" s="4" t="s">
        <v>2094</v>
      </c>
      <c r="E886" s="4" t="s">
        <v>319</v>
      </c>
    </row>
    <row r="887" spans="1:5" ht="31" customHeight="1">
      <c r="A887" s="4" t="s">
        <v>333</v>
      </c>
      <c r="B887" s="4" t="s">
        <v>311</v>
      </c>
      <c r="C887" s="4" t="s">
        <v>51</v>
      </c>
      <c r="D887" s="4" t="s">
        <v>2094</v>
      </c>
      <c r="E887" s="4" t="s">
        <v>319</v>
      </c>
    </row>
    <row r="888" spans="1:5" ht="31" customHeight="1">
      <c r="A888" s="4" t="s">
        <v>333</v>
      </c>
      <c r="B888" s="4" t="s">
        <v>311</v>
      </c>
      <c r="C888" s="4" t="s">
        <v>52</v>
      </c>
      <c r="D888" s="4" t="s">
        <v>2094</v>
      </c>
      <c r="E888" s="4" t="s">
        <v>319</v>
      </c>
    </row>
    <row r="889" spans="1:5" ht="31" customHeight="1">
      <c r="A889" s="4" t="s">
        <v>333</v>
      </c>
      <c r="B889" s="4" t="s">
        <v>311</v>
      </c>
      <c r="C889" s="4" t="s">
        <v>53</v>
      </c>
      <c r="D889" s="4" t="s">
        <v>2094</v>
      </c>
      <c r="E889" s="4" t="s">
        <v>319</v>
      </c>
    </row>
    <row r="890" spans="1:5" ht="31" customHeight="1">
      <c r="A890" s="4" t="s">
        <v>333</v>
      </c>
      <c r="B890" s="4" t="s">
        <v>311</v>
      </c>
      <c r="C890" s="4" t="s">
        <v>54</v>
      </c>
      <c r="D890" s="4" t="s">
        <v>2094</v>
      </c>
      <c r="E890" s="4" t="s">
        <v>319</v>
      </c>
    </row>
    <row r="891" spans="1:5" ht="31" customHeight="1">
      <c r="A891" s="4" t="s">
        <v>333</v>
      </c>
      <c r="B891" s="4" t="s">
        <v>311</v>
      </c>
      <c r="C891" s="4" t="s">
        <v>55</v>
      </c>
      <c r="D891" s="4" t="s">
        <v>2089</v>
      </c>
      <c r="E891" s="4" t="s">
        <v>319</v>
      </c>
    </row>
    <row r="892" spans="1:5" ht="31" customHeight="1">
      <c r="A892" s="4" t="s">
        <v>333</v>
      </c>
      <c r="B892" s="4" t="s">
        <v>311</v>
      </c>
      <c r="C892" s="4" t="s">
        <v>56</v>
      </c>
      <c r="D892" s="4" t="s">
        <v>2089</v>
      </c>
      <c r="E892" s="4" t="s">
        <v>319</v>
      </c>
    </row>
    <row r="893" spans="1:5" ht="31" customHeight="1">
      <c r="A893" s="4" t="s">
        <v>333</v>
      </c>
      <c r="B893" s="4" t="s">
        <v>311</v>
      </c>
      <c r="C893" s="4" t="s">
        <v>57</v>
      </c>
      <c r="D893" s="4" t="s">
        <v>2092</v>
      </c>
      <c r="E893" s="4" t="s">
        <v>319</v>
      </c>
    </row>
    <row r="894" spans="1:5" ht="31" customHeight="1">
      <c r="A894" s="4" t="s">
        <v>333</v>
      </c>
      <c r="B894" s="4" t="s">
        <v>311</v>
      </c>
      <c r="C894" s="4" t="s">
        <v>58</v>
      </c>
      <c r="D894" s="4" t="s">
        <v>2092</v>
      </c>
      <c r="E894" s="4" t="s">
        <v>319</v>
      </c>
    </row>
    <row r="895" spans="1:5" ht="31" customHeight="1">
      <c r="A895" s="4" t="s">
        <v>333</v>
      </c>
      <c r="B895" s="4" t="s">
        <v>311</v>
      </c>
      <c r="C895" s="4" t="s">
        <v>60</v>
      </c>
      <c r="D895" s="4" t="s">
        <v>2089</v>
      </c>
      <c r="E895" s="4" t="s">
        <v>319</v>
      </c>
    </row>
    <row r="896" spans="1:5" ht="31" customHeight="1">
      <c r="A896" s="4" t="s">
        <v>333</v>
      </c>
      <c r="B896" s="4" t="s">
        <v>311</v>
      </c>
      <c r="C896" s="4" t="s">
        <v>61</v>
      </c>
      <c r="D896" s="4" t="s">
        <v>2089</v>
      </c>
      <c r="E896" s="4" t="s">
        <v>319</v>
      </c>
    </row>
    <row r="897" spans="1:5" ht="31" customHeight="1">
      <c r="A897" s="4" t="s">
        <v>333</v>
      </c>
      <c r="B897" s="4" t="s">
        <v>311</v>
      </c>
      <c r="C897" s="4" t="s">
        <v>62</v>
      </c>
      <c r="D897" s="4" t="s">
        <v>2089</v>
      </c>
      <c r="E897" s="4" t="s">
        <v>319</v>
      </c>
    </row>
    <row r="898" spans="1:5" ht="31" customHeight="1">
      <c r="A898" s="4" t="s">
        <v>333</v>
      </c>
      <c r="B898" s="4" t="s">
        <v>311</v>
      </c>
      <c r="C898" s="4" t="s">
        <v>63</v>
      </c>
      <c r="D898" s="4" t="s">
        <v>2089</v>
      </c>
      <c r="E898" s="4" t="s">
        <v>319</v>
      </c>
    </row>
    <row r="899" spans="1:5" ht="31" customHeight="1">
      <c r="A899" s="4" t="s">
        <v>333</v>
      </c>
      <c r="B899" s="4" t="s">
        <v>311</v>
      </c>
      <c r="C899" s="4" t="s">
        <v>64</v>
      </c>
      <c r="D899" s="4" t="s">
        <v>2089</v>
      </c>
      <c r="E899" s="4" t="s">
        <v>319</v>
      </c>
    </row>
    <row r="900" spans="1:5" ht="31" customHeight="1">
      <c r="A900" s="4" t="s">
        <v>333</v>
      </c>
      <c r="B900" s="4" t="s">
        <v>311</v>
      </c>
      <c r="C900" s="4" t="s">
        <v>65</v>
      </c>
      <c r="D900" s="4" t="s">
        <v>2089</v>
      </c>
      <c r="E900" s="4" t="s">
        <v>319</v>
      </c>
    </row>
    <row r="901" spans="1:5" ht="31" customHeight="1">
      <c r="A901" s="4" t="s">
        <v>333</v>
      </c>
      <c r="B901" s="4" t="s">
        <v>311</v>
      </c>
      <c r="C901" s="4" t="s">
        <v>66</v>
      </c>
      <c r="D901" s="4" t="s">
        <v>2093</v>
      </c>
      <c r="E901" s="4" t="s">
        <v>319</v>
      </c>
    </row>
    <row r="902" spans="1:5" ht="31" customHeight="1">
      <c r="A902" s="4" t="s">
        <v>333</v>
      </c>
      <c r="B902" s="4" t="s">
        <v>311</v>
      </c>
      <c r="C902" s="4" t="s">
        <v>67</v>
      </c>
      <c r="D902" s="4" t="s">
        <v>2089</v>
      </c>
      <c r="E902" s="4" t="s">
        <v>319</v>
      </c>
    </row>
    <row r="903" spans="1:5" ht="31" customHeight="1">
      <c r="A903" s="4" t="s">
        <v>333</v>
      </c>
      <c r="B903" s="4" t="s">
        <v>311</v>
      </c>
      <c r="C903" s="4" t="s">
        <v>68</v>
      </c>
      <c r="D903" s="4" t="s">
        <v>2089</v>
      </c>
      <c r="E903" s="4" t="s">
        <v>319</v>
      </c>
    </row>
    <row r="904" spans="1:5" ht="31" customHeight="1">
      <c r="A904" s="4" t="s">
        <v>333</v>
      </c>
      <c r="B904" s="4" t="s">
        <v>311</v>
      </c>
      <c r="C904" s="4" t="s">
        <v>69</v>
      </c>
      <c r="D904" s="4" t="s">
        <v>2090</v>
      </c>
      <c r="E904" s="4" t="s">
        <v>319</v>
      </c>
    </row>
    <row r="905" spans="1:5" ht="31" customHeight="1">
      <c r="A905" s="4" t="s">
        <v>333</v>
      </c>
      <c r="B905" s="4" t="s">
        <v>311</v>
      </c>
      <c r="C905" s="4" t="s">
        <v>70</v>
      </c>
      <c r="D905" s="4" t="s">
        <v>2089</v>
      </c>
      <c r="E905" s="4" t="s">
        <v>319</v>
      </c>
    </row>
    <row r="906" spans="1:5" ht="31" customHeight="1">
      <c r="A906" s="4" t="s">
        <v>333</v>
      </c>
      <c r="B906" s="4" t="s">
        <v>311</v>
      </c>
      <c r="C906" s="4" t="s">
        <v>71</v>
      </c>
      <c r="D906" s="4" t="s">
        <v>2089</v>
      </c>
      <c r="E906" s="4" t="s">
        <v>319</v>
      </c>
    </row>
    <row r="907" spans="1:5" ht="31" customHeight="1">
      <c r="A907" s="4" t="s">
        <v>333</v>
      </c>
      <c r="B907" s="4" t="s">
        <v>311</v>
      </c>
      <c r="C907" s="4" t="s">
        <v>73</v>
      </c>
      <c r="D907" s="4" t="s">
        <v>2089</v>
      </c>
      <c r="E907" s="4" t="s">
        <v>319</v>
      </c>
    </row>
    <row r="908" spans="1:5" ht="31" customHeight="1">
      <c r="A908" s="4" t="s">
        <v>333</v>
      </c>
      <c r="B908" s="4" t="s">
        <v>311</v>
      </c>
      <c r="C908" s="4" t="s">
        <v>75</v>
      </c>
      <c r="D908" s="4" t="s">
        <v>2089</v>
      </c>
      <c r="E908" s="4" t="s">
        <v>319</v>
      </c>
    </row>
    <row r="909" spans="1:5" ht="31" customHeight="1">
      <c r="A909" s="4" t="s">
        <v>333</v>
      </c>
      <c r="B909" s="4" t="s">
        <v>311</v>
      </c>
      <c r="C909" s="4" t="s">
        <v>76</v>
      </c>
      <c r="D909" s="4" t="s">
        <v>2091</v>
      </c>
      <c r="E909" s="4" t="s">
        <v>319</v>
      </c>
    </row>
    <row r="910" spans="1:5" ht="31" customHeight="1">
      <c r="A910" s="4" t="s">
        <v>335</v>
      </c>
      <c r="B910" s="4" t="s">
        <v>311</v>
      </c>
      <c r="C910" s="4" t="s">
        <v>35</v>
      </c>
      <c r="D910" s="4" t="s">
        <v>2088</v>
      </c>
      <c r="E910" s="4" t="s">
        <v>319</v>
      </c>
    </row>
    <row r="911" spans="1:5" ht="31" customHeight="1">
      <c r="A911" s="4" t="s">
        <v>335</v>
      </c>
      <c r="B911" s="4" t="s">
        <v>311</v>
      </c>
      <c r="C911" s="4" t="s">
        <v>37</v>
      </c>
      <c r="D911" s="4" t="s">
        <v>2089</v>
      </c>
      <c r="E911" s="4" t="s">
        <v>319</v>
      </c>
    </row>
    <row r="912" spans="1:5" ht="31" customHeight="1">
      <c r="A912" s="4" t="s">
        <v>335</v>
      </c>
      <c r="B912" s="4" t="s">
        <v>311</v>
      </c>
      <c r="C912" s="4" t="s">
        <v>40</v>
      </c>
      <c r="D912" s="4" t="s">
        <v>2069</v>
      </c>
      <c r="E912" s="4" t="s">
        <v>319</v>
      </c>
    </row>
    <row r="913" spans="1:5" ht="31" customHeight="1">
      <c r="A913" s="4" t="s">
        <v>335</v>
      </c>
      <c r="B913" s="4" t="s">
        <v>311</v>
      </c>
      <c r="C913" s="4" t="s">
        <v>41</v>
      </c>
      <c r="D913" s="4" t="s">
        <v>2069</v>
      </c>
      <c r="E913" s="4" t="s">
        <v>319</v>
      </c>
    </row>
    <row r="914" spans="1:5" ht="31" customHeight="1">
      <c r="A914" s="4" t="s">
        <v>335</v>
      </c>
      <c r="B914" s="4" t="s">
        <v>311</v>
      </c>
      <c r="C914" s="4" t="s">
        <v>42</v>
      </c>
      <c r="D914" s="4" t="s">
        <v>2069</v>
      </c>
      <c r="E914" s="4" t="s">
        <v>319</v>
      </c>
    </row>
    <row r="915" spans="1:5" ht="31" customHeight="1">
      <c r="A915" s="4" t="s">
        <v>335</v>
      </c>
      <c r="B915" s="4" t="s">
        <v>311</v>
      </c>
      <c r="C915" s="4" t="s">
        <v>43</v>
      </c>
      <c r="D915" s="4" t="s">
        <v>2069</v>
      </c>
      <c r="E915" s="4" t="s">
        <v>319</v>
      </c>
    </row>
    <row r="916" spans="1:5" ht="31" customHeight="1">
      <c r="A916" s="4" t="s">
        <v>335</v>
      </c>
      <c r="B916" s="4" t="s">
        <v>311</v>
      </c>
      <c r="C916" s="4" t="s">
        <v>44</v>
      </c>
      <c r="D916" s="4" t="s">
        <v>2069</v>
      </c>
      <c r="E916" s="4" t="s">
        <v>319</v>
      </c>
    </row>
    <row r="917" spans="1:5" ht="31" customHeight="1">
      <c r="A917" s="4" t="s">
        <v>335</v>
      </c>
      <c r="B917" s="4" t="s">
        <v>311</v>
      </c>
      <c r="C917" s="4" t="s">
        <v>45</v>
      </c>
      <c r="D917" s="4" t="s">
        <v>2069</v>
      </c>
      <c r="E917" s="4" t="s">
        <v>319</v>
      </c>
    </row>
    <row r="918" spans="1:5" ht="31" customHeight="1">
      <c r="A918" s="4" t="s">
        <v>335</v>
      </c>
      <c r="B918" s="4" t="s">
        <v>311</v>
      </c>
      <c r="C918" s="4" t="s">
        <v>46</v>
      </c>
      <c r="D918" s="4" t="s">
        <v>2069</v>
      </c>
      <c r="E918" s="4" t="s">
        <v>319</v>
      </c>
    </row>
    <row r="919" spans="1:5" ht="31" customHeight="1">
      <c r="A919" s="4" t="s">
        <v>335</v>
      </c>
      <c r="B919" s="4" t="s">
        <v>311</v>
      </c>
      <c r="C919" s="4" t="s">
        <v>47</v>
      </c>
      <c r="D919" s="4" t="s">
        <v>2069</v>
      </c>
      <c r="E919" s="4" t="s">
        <v>319</v>
      </c>
    </row>
    <row r="920" spans="1:5" ht="31" customHeight="1">
      <c r="A920" s="4" t="s">
        <v>335</v>
      </c>
      <c r="B920" s="4" t="s">
        <v>311</v>
      </c>
      <c r="C920" s="4" t="s">
        <v>48</v>
      </c>
      <c r="D920" s="4" t="s">
        <v>2069</v>
      </c>
      <c r="E920" s="4" t="s">
        <v>319</v>
      </c>
    </row>
    <row r="921" spans="1:5" ht="31" customHeight="1">
      <c r="A921" s="4" t="s">
        <v>335</v>
      </c>
      <c r="B921" s="4" t="s">
        <v>311</v>
      </c>
      <c r="C921" s="4" t="s">
        <v>49</v>
      </c>
      <c r="D921" s="4" t="s">
        <v>2069</v>
      </c>
      <c r="E921" s="4" t="s">
        <v>319</v>
      </c>
    </row>
    <row r="922" spans="1:5" ht="31" customHeight="1">
      <c r="A922" s="4" t="s">
        <v>335</v>
      </c>
      <c r="B922" s="4" t="s">
        <v>311</v>
      </c>
      <c r="C922" s="4" t="s">
        <v>50</v>
      </c>
      <c r="D922" s="4" t="s">
        <v>2094</v>
      </c>
      <c r="E922" s="4" t="s">
        <v>319</v>
      </c>
    </row>
    <row r="923" spans="1:5" ht="31" customHeight="1">
      <c r="A923" s="4" t="s">
        <v>335</v>
      </c>
      <c r="B923" s="4" t="s">
        <v>311</v>
      </c>
      <c r="C923" s="4" t="s">
        <v>51</v>
      </c>
      <c r="D923" s="4" t="s">
        <v>2094</v>
      </c>
      <c r="E923" s="4" t="s">
        <v>319</v>
      </c>
    </row>
    <row r="924" spans="1:5" ht="31" customHeight="1">
      <c r="A924" s="4" t="s">
        <v>335</v>
      </c>
      <c r="B924" s="4" t="s">
        <v>311</v>
      </c>
      <c r="C924" s="4" t="s">
        <v>52</v>
      </c>
      <c r="D924" s="4" t="s">
        <v>2094</v>
      </c>
      <c r="E924" s="4" t="s">
        <v>319</v>
      </c>
    </row>
    <row r="925" spans="1:5" ht="31" customHeight="1">
      <c r="A925" s="4" t="s">
        <v>335</v>
      </c>
      <c r="B925" s="4" t="s">
        <v>311</v>
      </c>
      <c r="C925" s="4" t="s">
        <v>53</v>
      </c>
      <c r="D925" s="4" t="s">
        <v>2094</v>
      </c>
      <c r="E925" s="4" t="s">
        <v>319</v>
      </c>
    </row>
    <row r="926" spans="1:5" ht="31" customHeight="1">
      <c r="A926" s="4" t="s">
        <v>335</v>
      </c>
      <c r="B926" s="4" t="s">
        <v>311</v>
      </c>
      <c r="C926" s="4" t="s">
        <v>54</v>
      </c>
      <c r="D926" s="4" t="s">
        <v>2094</v>
      </c>
      <c r="E926" s="4" t="s">
        <v>319</v>
      </c>
    </row>
    <row r="927" spans="1:5" ht="31" customHeight="1">
      <c r="A927" s="4" t="s">
        <v>335</v>
      </c>
      <c r="B927" s="4" t="s">
        <v>311</v>
      </c>
      <c r="C927" s="4" t="s">
        <v>55</v>
      </c>
      <c r="D927" s="4" t="s">
        <v>2089</v>
      </c>
      <c r="E927" s="4" t="s">
        <v>319</v>
      </c>
    </row>
    <row r="928" spans="1:5" ht="31" customHeight="1">
      <c r="A928" s="4" t="s">
        <v>335</v>
      </c>
      <c r="B928" s="4" t="s">
        <v>311</v>
      </c>
      <c r="C928" s="4" t="s">
        <v>56</v>
      </c>
      <c r="D928" s="4" t="s">
        <v>2089</v>
      </c>
      <c r="E928" s="4" t="s">
        <v>319</v>
      </c>
    </row>
    <row r="929" spans="1:5" ht="31" customHeight="1">
      <c r="A929" s="4" t="s">
        <v>335</v>
      </c>
      <c r="B929" s="4" t="s">
        <v>311</v>
      </c>
      <c r="C929" s="4" t="s">
        <v>57</v>
      </c>
      <c r="D929" s="4" t="s">
        <v>2092</v>
      </c>
      <c r="E929" s="4" t="s">
        <v>319</v>
      </c>
    </row>
    <row r="930" spans="1:5" ht="31" customHeight="1">
      <c r="A930" s="4" t="s">
        <v>335</v>
      </c>
      <c r="B930" s="4" t="s">
        <v>311</v>
      </c>
      <c r="C930" s="4" t="s">
        <v>58</v>
      </c>
      <c r="D930" s="4" t="s">
        <v>2092</v>
      </c>
      <c r="E930" s="4" t="s">
        <v>319</v>
      </c>
    </row>
    <row r="931" spans="1:5" ht="31" customHeight="1">
      <c r="A931" s="4" t="s">
        <v>335</v>
      </c>
      <c r="B931" s="4" t="s">
        <v>311</v>
      </c>
      <c r="C931" s="4" t="s">
        <v>60</v>
      </c>
      <c r="D931" s="4" t="s">
        <v>2089</v>
      </c>
      <c r="E931" s="4" t="s">
        <v>319</v>
      </c>
    </row>
    <row r="932" spans="1:5" ht="31" customHeight="1">
      <c r="A932" s="4" t="s">
        <v>335</v>
      </c>
      <c r="B932" s="4" t="s">
        <v>311</v>
      </c>
      <c r="C932" s="4" t="s">
        <v>61</v>
      </c>
      <c r="D932" s="4" t="s">
        <v>2089</v>
      </c>
      <c r="E932" s="4" t="s">
        <v>319</v>
      </c>
    </row>
    <row r="933" spans="1:5" ht="31" customHeight="1">
      <c r="A933" s="4" t="s">
        <v>335</v>
      </c>
      <c r="B933" s="4" t="s">
        <v>311</v>
      </c>
      <c r="C933" s="4" t="s">
        <v>62</v>
      </c>
      <c r="D933" s="4" t="s">
        <v>2089</v>
      </c>
      <c r="E933" s="4" t="s">
        <v>319</v>
      </c>
    </row>
    <row r="934" spans="1:5" ht="31" customHeight="1">
      <c r="A934" s="4" t="s">
        <v>335</v>
      </c>
      <c r="B934" s="4" t="s">
        <v>311</v>
      </c>
      <c r="C934" s="4" t="s">
        <v>63</v>
      </c>
      <c r="D934" s="4" t="s">
        <v>2089</v>
      </c>
      <c r="E934" s="4" t="s">
        <v>319</v>
      </c>
    </row>
    <row r="935" spans="1:5" ht="31" customHeight="1">
      <c r="A935" s="4" t="s">
        <v>335</v>
      </c>
      <c r="B935" s="4" t="s">
        <v>311</v>
      </c>
      <c r="C935" s="4" t="s">
        <v>64</v>
      </c>
      <c r="D935" s="4" t="s">
        <v>2089</v>
      </c>
      <c r="E935" s="4" t="s">
        <v>319</v>
      </c>
    </row>
    <row r="936" spans="1:5" ht="31" customHeight="1">
      <c r="A936" s="4" t="s">
        <v>335</v>
      </c>
      <c r="B936" s="4" t="s">
        <v>311</v>
      </c>
      <c r="C936" s="4" t="s">
        <v>65</v>
      </c>
      <c r="D936" s="4" t="s">
        <v>2089</v>
      </c>
      <c r="E936" s="4" t="s">
        <v>319</v>
      </c>
    </row>
    <row r="937" spans="1:5" ht="31" customHeight="1">
      <c r="A937" s="4" t="s">
        <v>335</v>
      </c>
      <c r="B937" s="4" t="s">
        <v>311</v>
      </c>
      <c r="C937" s="4" t="s">
        <v>66</v>
      </c>
      <c r="D937" s="4" t="s">
        <v>2093</v>
      </c>
      <c r="E937" s="4" t="s">
        <v>319</v>
      </c>
    </row>
    <row r="938" spans="1:5" ht="31" customHeight="1">
      <c r="A938" s="4" t="s">
        <v>335</v>
      </c>
      <c r="B938" s="4" t="s">
        <v>311</v>
      </c>
      <c r="C938" s="4" t="s">
        <v>67</v>
      </c>
      <c r="D938" s="4" t="s">
        <v>2089</v>
      </c>
      <c r="E938" s="4" t="s">
        <v>319</v>
      </c>
    </row>
    <row r="939" spans="1:5" ht="31" customHeight="1">
      <c r="A939" s="4" t="s">
        <v>335</v>
      </c>
      <c r="B939" s="4" t="s">
        <v>311</v>
      </c>
      <c r="C939" s="4" t="s">
        <v>68</v>
      </c>
      <c r="D939" s="4" t="s">
        <v>2089</v>
      </c>
      <c r="E939" s="4" t="s">
        <v>319</v>
      </c>
    </row>
    <row r="940" spans="1:5" ht="31" customHeight="1">
      <c r="A940" s="4" t="s">
        <v>335</v>
      </c>
      <c r="B940" s="4" t="s">
        <v>311</v>
      </c>
      <c r="C940" s="4" t="s">
        <v>69</v>
      </c>
      <c r="D940" s="4" t="s">
        <v>2090</v>
      </c>
      <c r="E940" s="4" t="s">
        <v>319</v>
      </c>
    </row>
    <row r="941" spans="1:5" ht="31" customHeight="1">
      <c r="A941" s="4" t="s">
        <v>335</v>
      </c>
      <c r="B941" s="4" t="s">
        <v>311</v>
      </c>
      <c r="C941" s="4" t="s">
        <v>70</v>
      </c>
      <c r="D941" s="4" t="s">
        <v>2089</v>
      </c>
      <c r="E941" s="4" t="s">
        <v>319</v>
      </c>
    </row>
    <row r="942" spans="1:5" ht="31" customHeight="1">
      <c r="A942" s="4" t="s">
        <v>335</v>
      </c>
      <c r="B942" s="4" t="s">
        <v>311</v>
      </c>
      <c r="C942" s="4" t="s">
        <v>71</v>
      </c>
      <c r="D942" s="4" t="s">
        <v>2089</v>
      </c>
      <c r="E942" s="4" t="s">
        <v>319</v>
      </c>
    </row>
    <row r="943" spans="1:5" ht="31" customHeight="1">
      <c r="A943" s="4" t="s">
        <v>335</v>
      </c>
      <c r="B943" s="4" t="s">
        <v>311</v>
      </c>
      <c r="C943" s="4" t="s">
        <v>73</v>
      </c>
      <c r="D943" s="4" t="s">
        <v>2089</v>
      </c>
      <c r="E943" s="4" t="s">
        <v>319</v>
      </c>
    </row>
    <row r="944" spans="1:5" ht="31" customHeight="1">
      <c r="A944" s="4" t="s">
        <v>335</v>
      </c>
      <c r="B944" s="4" t="s">
        <v>311</v>
      </c>
      <c r="C944" s="4" t="s">
        <v>75</v>
      </c>
      <c r="D944" s="4" t="s">
        <v>2089</v>
      </c>
      <c r="E944" s="4" t="s">
        <v>319</v>
      </c>
    </row>
    <row r="945" spans="1:5" ht="31" customHeight="1">
      <c r="A945" s="4" t="s">
        <v>335</v>
      </c>
      <c r="B945" s="4" t="s">
        <v>311</v>
      </c>
      <c r="C945" s="4" t="s">
        <v>76</v>
      </c>
      <c r="D945" s="4" t="s">
        <v>2091</v>
      </c>
      <c r="E945" s="4" t="s">
        <v>319</v>
      </c>
    </row>
    <row r="946" spans="1:5" ht="31" customHeight="1">
      <c r="A946" s="4" t="s">
        <v>337</v>
      </c>
      <c r="B946" s="4" t="s">
        <v>311</v>
      </c>
      <c r="C946" s="4" t="s">
        <v>35</v>
      </c>
      <c r="D946" s="4" t="s">
        <v>2088</v>
      </c>
      <c r="E946" s="4" t="s">
        <v>319</v>
      </c>
    </row>
    <row r="947" spans="1:5" ht="31" customHeight="1">
      <c r="A947" s="4" t="s">
        <v>337</v>
      </c>
      <c r="B947" s="4" t="s">
        <v>311</v>
      </c>
      <c r="C947" s="4" t="s">
        <v>37</v>
      </c>
      <c r="D947" s="4" t="s">
        <v>2089</v>
      </c>
      <c r="E947" s="4" t="s">
        <v>319</v>
      </c>
    </row>
    <row r="948" spans="1:5" ht="31" customHeight="1">
      <c r="A948" s="4" t="s">
        <v>337</v>
      </c>
      <c r="B948" s="4" t="s">
        <v>311</v>
      </c>
      <c r="C948" s="4" t="s">
        <v>40</v>
      </c>
      <c r="D948" s="4" t="s">
        <v>2069</v>
      </c>
      <c r="E948" s="4" t="s">
        <v>319</v>
      </c>
    </row>
    <row r="949" spans="1:5" ht="31" customHeight="1">
      <c r="A949" s="4" t="s">
        <v>337</v>
      </c>
      <c r="B949" s="4" t="s">
        <v>311</v>
      </c>
      <c r="C949" s="4" t="s">
        <v>41</v>
      </c>
      <c r="D949" s="4" t="s">
        <v>2069</v>
      </c>
      <c r="E949" s="4" t="s">
        <v>319</v>
      </c>
    </row>
    <row r="950" spans="1:5" ht="31" customHeight="1">
      <c r="A950" s="4" t="s">
        <v>337</v>
      </c>
      <c r="B950" s="4" t="s">
        <v>311</v>
      </c>
      <c r="C950" s="4" t="s">
        <v>42</v>
      </c>
      <c r="D950" s="4" t="s">
        <v>2069</v>
      </c>
      <c r="E950" s="4" t="s">
        <v>319</v>
      </c>
    </row>
    <row r="951" spans="1:5" ht="31" customHeight="1">
      <c r="A951" s="4" t="s">
        <v>337</v>
      </c>
      <c r="B951" s="4" t="s">
        <v>311</v>
      </c>
      <c r="C951" s="4" t="s">
        <v>43</v>
      </c>
      <c r="D951" s="4" t="s">
        <v>2069</v>
      </c>
      <c r="E951" s="4" t="s">
        <v>319</v>
      </c>
    </row>
    <row r="952" spans="1:5" ht="31" customHeight="1">
      <c r="A952" s="4" t="s">
        <v>337</v>
      </c>
      <c r="B952" s="4" t="s">
        <v>311</v>
      </c>
      <c r="C952" s="4" t="s">
        <v>44</v>
      </c>
      <c r="D952" s="4" t="s">
        <v>2069</v>
      </c>
      <c r="E952" s="4" t="s">
        <v>319</v>
      </c>
    </row>
    <row r="953" spans="1:5" ht="31" customHeight="1">
      <c r="A953" s="4" t="s">
        <v>337</v>
      </c>
      <c r="B953" s="4" t="s">
        <v>311</v>
      </c>
      <c r="C953" s="4" t="s">
        <v>45</v>
      </c>
      <c r="D953" s="4" t="s">
        <v>2069</v>
      </c>
      <c r="E953" s="4" t="s">
        <v>319</v>
      </c>
    </row>
    <row r="954" spans="1:5" ht="31" customHeight="1">
      <c r="A954" s="4" t="s">
        <v>337</v>
      </c>
      <c r="B954" s="4" t="s">
        <v>311</v>
      </c>
      <c r="C954" s="4" t="s">
        <v>46</v>
      </c>
      <c r="D954" s="4" t="s">
        <v>2069</v>
      </c>
      <c r="E954" s="4" t="s">
        <v>319</v>
      </c>
    </row>
    <row r="955" spans="1:5" ht="31" customHeight="1">
      <c r="A955" s="4" t="s">
        <v>337</v>
      </c>
      <c r="B955" s="4" t="s">
        <v>311</v>
      </c>
      <c r="C955" s="4" t="s">
        <v>47</v>
      </c>
      <c r="D955" s="4" t="s">
        <v>2069</v>
      </c>
      <c r="E955" s="4" t="s">
        <v>319</v>
      </c>
    </row>
    <row r="956" spans="1:5" ht="31" customHeight="1">
      <c r="A956" s="4" t="s">
        <v>337</v>
      </c>
      <c r="B956" s="4" t="s">
        <v>311</v>
      </c>
      <c r="C956" s="4" t="s">
        <v>48</v>
      </c>
      <c r="D956" s="4" t="s">
        <v>2069</v>
      </c>
      <c r="E956" s="4" t="s">
        <v>319</v>
      </c>
    </row>
    <row r="957" spans="1:5" ht="31" customHeight="1">
      <c r="A957" s="4" t="s">
        <v>337</v>
      </c>
      <c r="B957" s="4" t="s">
        <v>311</v>
      </c>
      <c r="C957" s="4" t="s">
        <v>49</v>
      </c>
      <c r="D957" s="4" t="s">
        <v>2069</v>
      </c>
      <c r="E957" s="4" t="s">
        <v>319</v>
      </c>
    </row>
    <row r="958" spans="1:5" ht="31" customHeight="1">
      <c r="A958" s="4" t="s">
        <v>337</v>
      </c>
      <c r="B958" s="4" t="s">
        <v>311</v>
      </c>
      <c r="C958" s="4" t="s">
        <v>50</v>
      </c>
      <c r="D958" s="4" t="s">
        <v>2094</v>
      </c>
      <c r="E958" s="4" t="s">
        <v>319</v>
      </c>
    </row>
    <row r="959" spans="1:5" ht="31" customHeight="1">
      <c r="A959" s="4" t="s">
        <v>337</v>
      </c>
      <c r="B959" s="4" t="s">
        <v>311</v>
      </c>
      <c r="C959" s="4" t="s">
        <v>51</v>
      </c>
      <c r="D959" s="4" t="s">
        <v>2094</v>
      </c>
      <c r="E959" s="4" t="s">
        <v>319</v>
      </c>
    </row>
    <row r="960" spans="1:5" ht="31" customHeight="1">
      <c r="A960" s="4" t="s">
        <v>337</v>
      </c>
      <c r="B960" s="4" t="s">
        <v>311</v>
      </c>
      <c r="C960" s="4" t="s">
        <v>52</v>
      </c>
      <c r="D960" s="4" t="s">
        <v>2094</v>
      </c>
      <c r="E960" s="4" t="s">
        <v>319</v>
      </c>
    </row>
    <row r="961" spans="1:5" ht="31" customHeight="1">
      <c r="A961" s="4" t="s">
        <v>337</v>
      </c>
      <c r="B961" s="4" t="s">
        <v>311</v>
      </c>
      <c r="C961" s="4" t="s">
        <v>53</v>
      </c>
      <c r="D961" s="4" t="s">
        <v>2094</v>
      </c>
      <c r="E961" s="4" t="s">
        <v>319</v>
      </c>
    </row>
    <row r="962" spans="1:5" ht="31" customHeight="1">
      <c r="A962" s="4" t="s">
        <v>337</v>
      </c>
      <c r="B962" s="4" t="s">
        <v>311</v>
      </c>
      <c r="C962" s="4" t="s">
        <v>54</v>
      </c>
      <c r="D962" s="4" t="s">
        <v>2094</v>
      </c>
      <c r="E962" s="4" t="s">
        <v>319</v>
      </c>
    </row>
    <row r="963" spans="1:5" ht="31" customHeight="1">
      <c r="A963" s="4" t="s">
        <v>337</v>
      </c>
      <c r="B963" s="4" t="s">
        <v>311</v>
      </c>
      <c r="C963" s="4" t="s">
        <v>55</v>
      </c>
      <c r="D963" s="4" t="s">
        <v>2089</v>
      </c>
      <c r="E963" s="4" t="s">
        <v>319</v>
      </c>
    </row>
    <row r="964" spans="1:5" ht="31" customHeight="1">
      <c r="A964" s="4" t="s">
        <v>337</v>
      </c>
      <c r="B964" s="4" t="s">
        <v>311</v>
      </c>
      <c r="C964" s="4" t="s">
        <v>56</v>
      </c>
      <c r="D964" s="4" t="s">
        <v>2089</v>
      </c>
      <c r="E964" s="4" t="s">
        <v>319</v>
      </c>
    </row>
    <row r="965" spans="1:5" ht="31" customHeight="1">
      <c r="A965" s="4" t="s">
        <v>337</v>
      </c>
      <c r="B965" s="4" t="s">
        <v>311</v>
      </c>
      <c r="C965" s="4" t="s">
        <v>57</v>
      </c>
      <c r="D965" s="4" t="s">
        <v>2092</v>
      </c>
      <c r="E965" s="4" t="s">
        <v>319</v>
      </c>
    </row>
    <row r="966" spans="1:5" ht="31" customHeight="1">
      <c r="A966" s="4" t="s">
        <v>337</v>
      </c>
      <c r="B966" s="4" t="s">
        <v>311</v>
      </c>
      <c r="C966" s="4" t="s">
        <v>58</v>
      </c>
      <c r="D966" s="4" t="s">
        <v>2092</v>
      </c>
      <c r="E966" s="4" t="s">
        <v>319</v>
      </c>
    </row>
    <row r="967" spans="1:5" ht="31" customHeight="1">
      <c r="A967" s="4" t="s">
        <v>337</v>
      </c>
      <c r="B967" s="4" t="s">
        <v>311</v>
      </c>
      <c r="C967" s="4" t="s">
        <v>60</v>
      </c>
      <c r="D967" s="4" t="s">
        <v>2089</v>
      </c>
      <c r="E967" s="4" t="s">
        <v>319</v>
      </c>
    </row>
    <row r="968" spans="1:5" ht="31" customHeight="1">
      <c r="A968" s="4" t="s">
        <v>337</v>
      </c>
      <c r="B968" s="4" t="s">
        <v>311</v>
      </c>
      <c r="C968" s="4" t="s">
        <v>61</v>
      </c>
      <c r="D968" s="4" t="s">
        <v>2089</v>
      </c>
      <c r="E968" s="4" t="s">
        <v>319</v>
      </c>
    </row>
    <row r="969" spans="1:5" ht="31" customHeight="1">
      <c r="A969" s="4" t="s">
        <v>337</v>
      </c>
      <c r="B969" s="4" t="s">
        <v>311</v>
      </c>
      <c r="C969" s="4" t="s">
        <v>62</v>
      </c>
      <c r="D969" s="4" t="s">
        <v>2089</v>
      </c>
      <c r="E969" s="4" t="s">
        <v>319</v>
      </c>
    </row>
    <row r="970" spans="1:5" ht="31" customHeight="1">
      <c r="A970" s="4" t="s">
        <v>337</v>
      </c>
      <c r="B970" s="4" t="s">
        <v>311</v>
      </c>
      <c r="C970" s="4" t="s">
        <v>63</v>
      </c>
      <c r="D970" s="4" t="s">
        <v>2089</v>
      </c>
      <c r="E970" s="4" t="s">
        <v>319</v>
      </c>
    </row>
    <row r="971" spans="1:5" ht="31" customHeight="1">
      <c r="A971" s="4" t="s">
        <v>337</v>
      </c>
      <c r="B971" s="4" t="s">
        <v>311</v>
      </c>
      <c r="C971" s="4" t="s">
        <v>64</v>
      </c>
      <c r="D971" s="4" t="s">
        <v>2089</v>
      </c>
      <c r="E971" s="4" t="s">
        <v>319</v>
      </c>
    </row>
    <row r="972" spans="1:5" ht="31" customHeight="1">
      <c r="A972" s="4" t="s">
        <v>337</v>
      </c>
      <c r="B972" s="4" t="s">
        <v>311</v>
      </c>
      <c r="C972" s="4" t="s">
        <v>65</v>
      </c>
      <c r="D972" s="4" t="s">
        <v>2089</v>
      </c>
      <c r="E972" s="4" t="s">
        <v>319</v>
      </c>
    </row>
    <row r="973" spans="1:5" ht="31" customHeight="1">
      <c r="A973" s="4" t="s">
        <v>337</v>
      </c>
      <c r="B973" s="4" t="s">
        <v>311</v>
      </c>
      <c r="C973" s="4" t="s">
        <v>66</v>
      </c>
      <c r="D973" s="4" t="s">
        <v>2093</v>
      </c>
      <c r="E973" s="4" t="s">
        <v>319</v>
      </c>
    </row>
    <row r="974" spans="1:5" ht="31" customHeight="1">
      <c r="A974" s="4" t="s">
        <v>337</v>
      </c>
      <c r="B974" s="4" t="s">
        <v>311</v>
      </c>
      <c r="C974" s="4" t="s">
        <v>67</v>
      </c>
      <c r="D974" s="4" t="s">
        <v>2089</v>
      </c>
      <c r="E974" s="4" t="s">
        <v>319</v>
      </c>
    </row>
    <row r="975" spans="1:5" ht="31" customHeight="1">
      <c r="A975" s="4" t="s">
        <v>337</v>
      </c>
      <c r="B975" s="4" t="s">
        <v>311</v>
      </c>
      <c r="C975" s="4" t="s">
        <v>68</v>
      </c>
      <c r="D975" s="4" t="s">
        <v>2089</v>
      </c>
      <c r="E975" s="4" t="s">
        <v>319</v>
      </c>
    </row>
    <row r="976" spans="1:5" ht="31" customHeight="1">
      <c r="A976" s="4" t="s">
        <v>337</v>
      </c>
      <c r="B976" s="4" t="s">
        <v>311</v>
      </c>
      <c r="C976" s="4" t="s">
        <v>69</v>
      </c>
      <c r="D976" s="4" t="s">
        <v>2090</v>
      </c>
      <c r="E976" s="4" t="s">
        <v>319</v>
      </c>
    </row>
    <row r="977" spans="1:5" ht="31" customHeight="1">
      <c r="A977" s="4" t="s">
        <v>337</v>
      </c>
      <c r="B977" s="4" t="s">
        <v>311</v>
      </c>
      <c r="C977" s="4" t="s">
        <v>70</v>
      </c>
      <c r="D977" s="4" t="s">
        <v>2089</v>
      </c>
      <c r="E977" s="4" t="s">
        <v>319</v>
      </c>
    </row>
    <row r="978" spans="1:5" ht="31" customHeight="1">
      <c r="A978" s="4" t="s">
        <v>337</v>
      </c>
      <c r="B978" s="4" t="s">
        <v>311</v>
      </c>
      <c r="C978" s="4" t="s">
        <v>71</v>
      </c>
      <c r="D978" s="4" t="s">
        <v>2089</v>
      </c>
      <c r="E978" s="4" t="s">
        <v>319</v>
      </c>
    </row>
    <row r="979" spans="1:5" ht="31" customHeight="1">
      <c r="A979" s="4" t="s">
        <v>337</v>
      </c>
      <c r="B979" s="4" t="s">
        <v>311</v>
      </c>
      <c r="C979" s="4" t="s">
        <v>73</v>
      </c>
      <c r="D979" s="4" t="s">
        <v>2089</v>
      </c>
      <c r="E979" s="4" t="s">
        <v>319</v>
      </c>
    </row>
    <row r="980" spans="1:5" ht="31" customHeight="1">
      <c r="A980" s="4" t="s">
        <v>337</v>
      </c>
      <c r="B980" s="4" t="s">
        <v>311</v>
      </c>
      <c r="C980" s="4" t="s">
        <v>75</v>
      </c>
      <c r="D980" s="4" t="s">
        <v>2089</v>
      </c>
      <c r="E980" s="4" t="s">
        <v>319</v>
      </c>
    </row>
    <row r="981" spans="1:5" ht="31" customHeight="1">
      <c r="A981" s="4" t="s">
        <v>337</v>
      </c>
      <c r="B981" s="4" t="s">
        <v>311</v>
      </c>
      <c r="C981" s="4" t="s">
        <v>76</v>
      </c>
      <c r="D981" s="4" t="s">
        <v>2091</v>
      </c>
      <c r="E981" s="4" t="s">
        <v>319</v>
      </c>
    </row>
    <row r="982" spans="1:5" ht="31" customHeight="1">
      <c r="A982" s="4" t="s">
        <v>339</v>
      </c>
      <c r="B982" s="4" t="s">
        <v>311</v>
      </c>
      <c r="C982" s="4" t="s">
        <v>35</v>
      </c>
      <c r="D982" s="4" t="s">
        <v>2088</v>
      </c>
      <c r="E982" s="4" t="s">
        <v>319</v>
      </c>
    </row>
    <row r="983" spans="1:5" ht="31" customHeight="1">
      <c r="A983" s="4" t="s">
        <v>339</v>
      </c>
      <c r="B983" s="4" t="s">
        <v>311</v>
      </c>
      <c r="C983" s="4" t="s">
        <v>37</v>
      </c>
      <c r="D983" s="4" t="s">
        <v>2089</v>
      </c>
      <c r="E983" s="4" t="s">
        <v>319</v>
      </c>
    </row>
    <row r="984" spans="1:5" ht="31" customHeight="1">
      <c r="A984" s="4" t="s">
        <v>339</v>
      </c>
      <c r="B984" s="4" t="s">
        <v>311</v>
      </c>
      <c r="C984" s="4" t="s">
        <v>40</v>
      </c>
      <c r="D984" s="4" t="s">
        <v>2069</v>
      </c>
      <c r="E984" s="4" t="s">
        <v>319</v>
      </c>
    </row>
    <row r="985" spans="1:5" ht="31" customHeight="1">
      <c r="A985" s="4" t="s">
        <v>339</v>
      </c>
      <c r="B985" s="4" t="s">
        <v>311</v>
      </c>
      <c r="C985" s="4" t="s">
        <v>41</v>
      </c>
      <c r="D985" s="4" t="s">
        <v>2069</v>
      </c>
      <c r="E985" s="4" t="s">
        <v>319</v>
      </c>
    </row>
    <row r="986" spans="1:5" ht="31" customHeight="1">
      <c r="A986" s="4" t="s">
        <v>339</v>
      </c>
      <c r="B986" s="4" t="s">
        <v>311</v>
      </c>
      <c r="C986" s="4" t="s">
        <v>42</v>
      </c>
      <c r="D986" s="4" t="s">
        <v>2069</v>
      </c>
      <c r="E986" s="4" t="s">
        <v>319</v>
      </c>
    </row>
    <row r="987" spans="1:5" ht="31" customHeight="1">
      <c r="A987" s="4" t="s">
        <v>339</v>
      </c>
      <c r="B987" s="4" t="s">
        <v>311</v>
      </c>
      <c r="C987" s="4" t="s">
        <v>43</v>
      </c>
      <c r="D987" s="4" t="s">
        <v>2069</v>
      </c>
      <c r="E987" s="4" t="s">
        <v>319</v>
      </c>
    </row>
    <row r="988" spans="1:5" ht="31" customHeight="1">
      <c r="A988" s="4" t="s">
        <v>339</v>
      </c>
      <c r="B988" s="4" t="s">
        <v>311</v>
      </c>
      <c r="C988" s="4" t="s">
        <v>44</v>
      </c>
      <c r="D988" s="4" t="s">
        <v>2069</v>
      </c>
      <c r="E988" s="4" t="s">
        <v>319</v>
      </c>
    </row>
    <row r="989" spans="1:5" ht="31" customHeight="1">
      <c r="A989" s="4" t="s">
        <v>339</v>
      </c>
      <c r="B989" s="4" t="s">
        <v>311</v>
      </c>
      <c r="C989" s="4" t="s">
        <v>45</v>
      </c>
      <c r="D989" s="4" t="s">
        <v>2069</v>
      </c>
      <c r="E989" s="4" t="s">
        <v>319</v>
      </c>
    </row>
    <row r="990" spans="1:5" ht="31" customHeight="1">
      <c r="A990" s="4" t="s">
        <v>339</v>
      </c>
      <c r="B990" s="4" t="s">
        <v>311</v>
      </c>
      <c r="C990" s="4" t="s">
        <v>46</v>
      </c>
      <c r="D990" s="4" t="s">
        <v>2069</v>
      </c>
      <c r="E990" s="4" t="s">
        <v>319</v>
      </c>
    </row>
    <row r="991" spans="1:5" ht="31" customHeight="1">
      <c r="A991" s="4" t="s">
        <v>339</v>
      </c>
      <c r="B991" s="4" t="s">
        <v>311</v>
      </c>
      <c r="C991" s="4" t="s">
        <v>47</v>
      </c>
      <c r="D991" s="4" t="s">
        <v>2069</v>
      </c>
      <c r="E991" s="4" t="s">
        <v>319</v>
      </c>
    </row>
    <row r="992" spans="1:5" ht="31" customHeight="1">
      <c r="A992" s="4" t="s">
        <v>339</v>
      </c>
      <c r="B992" s="4" t="s">
        <v>311</v>
      </c>
      <c r="C992" s="4" t="s">
        <v>48</v>
      </c>
      <c r="D992" s="4" t="s">
        <v>2069</v>
      </c>
      <c r="E992" s="4" t="s">
        <v>319</v>
      </c>
    </row>
    <row r="993" spans="1:5" ht="31" customHeight="1">
      <c r="A993" s="4" t="s">
        <v>339</v>
      </c>
      <c r="B993" s="4" t="s">
        <v>311</v>
      </c>
      <c r="C993" s="4" t="s">
        <v>49</v>
      </c>
      <c r="D993" s="4" t="s">
        <v>2069</v>
      </c>
      <c r="E993" s="4" t="s">
        <v>319</v>
      </c>
    </row>
    <row r="994" spans="1:5" ht="31" customHeight="1">
      <c r="A994" s="4" t="s">
        <v>339</v>
      </c>
      <c r="B994" s="4" t="s">
        <v>311</v>
      </c>
      <c r="C994" s="4" t="s">
        <v>50</v>
      </c>
      <c r="D994" s="4" t="s">
        <v>2094</v>
      </c>
      <c r="E994" s="4" t="s">
        <v>319</v>
      </c>
    </row>
    <row r="995" spans="1:5" ht="31" customHeight="1">
      <c r="A995" s="4" t="s">
        <v>339</v>
      </c>
      <c r="B995" s="4" t="s">
        <v>311</v>
      </c>
      <c r="C995" s="4" t="s">
        <v>51</v>
      </c>
      <c r="D995" s="4" t="s">
        <v>2094</v>
      </c>
      <c r="E995" s="4" t="s">
        <v>319</v>
      </c>
    </row>
    <row r="996" spans="1:5" ht="31" customHeight="1">
      <c r="A996" s="4" t="s">
        <v>339</v>
      </c>
      <c r="B996" s="4" t="s">
        <v>311</v>
      </c>
      <c r="C996" s="4" t="s">
        <v>52</v>
      </c>
      <c r="D996" s="4" t="s">
        <v>2094</v>
      </c>
      <c r="E996" s="4" t="s">
        <v>319</v>
      </c>
    </row>
    <row r="997" spans="1:5" ht="31" customHeight="1">
      <c r="A997" s="4" t="s">
        <v>339</v>
      </c>
      <c r="B997" s="4" t="s">
        <v>311</v>
      </c>
      <c r="C997" s="4" t="s">
        <v>53</v>
      </c>
      <c r="D997" s="4" t="s">
        <v>2094</v>
      </c>
      <c r="E997" s="4" t="s">
        <v>319</v>
      </c>
    </row>
    <row r="998" spans="1:5" ht="31" customHeight="1">
      <c r="A998" s="4" t="s">
        <v>339</v>
      </c>
      <c r="B998" s="4" t="s">
        <v>311</v>
      </c>
      <c r="C998" s="4" t="s">
        <v>54</v>
      </c>
      <c r="D998" s="4" t="s">
        <v>2094</v>
      </c>
      <c r="E998" s="4" t="s">
        <v>319</v>
      </c>
    </row>
    <row r="999" spans="1:5" ht="31" customHeight="1">
      <c r="A999" s="4" t="s">
        <v>339</v>
      </c>
      <c r="B999" s="4" t="s">
        <v>311</v>
      </c>
      <c r="C999" s="4" t="s">
        <v>55</v>
      </c>
      <c r="D999" s="4" t="s">
        <v>2089</v>
      </c>
      <c r="E999" s="4" t="s">
        <v>319</v>
      </c>
    </row>
    <row r="1000" spans="1:5" ht="31" customHeight="1">
      <c r="A1000" s="4" t="s">
        <v>339</v>
      </c>
      <c r="B1000" s="4" t="s">
        <v>311</v>
      </c>
      <c r="C1000" s="4" t="s">
        <v>56</v>
      </c>
      <c r="D1000" s="4" t="s">
        <v>2089</v>
      </c>
      <c r="E1000" s="4" t="s">
        <v>319</v>
      </c>
    </row>
    <row r="1001" spans="1:5" ht="31" customHeight="1">
      <c r="A1001" s="4" t="s">
        <v>339</v>
      </c>
      <c r="B1001" s="4" t="s">
        <v>311</v>
      </c>
      <c r="C1001" s="4" t="s">
        <v>57</v>
      </c>
      <c r="D1001" s="4" t="s">
        <v>2092</v>
      </c>
      <c r="E1001" s="4" t="s">
        <v>319</v>
      </c>
    </row>
    <row r="1002" spans="1:5" ht="31" customHeight="1">
      <c r="A1002" s="4" t="s">
        <v>339</v>
      </c>
      <c r="B1002" s="4" t="s">
        <v>311</v>
      </c>
      <c r="C1002" s="4" t="s">
        <v>58</v>
      </c>
      <c r="D1002" s="4" t="s">
        <v>2092</v>
      </c>
      <c r="E1002" s="4" t="s">
        <v>319</v>
      </c>
    </row>
    <row r="1003" spans="1:5" ht="31" customHeight="1">
      <c r="A1003" s="4" t="s">
        <v>339</v>
      </c>
      <c r="B1003" s="4" t="s">
        <v>311</v>
      </c>
      <c r="C1003" s="4" t="s">
        <v>60</v>
      </c>
      <c r="D1003" s="4" t="s">
        <v>2089</v>
      </c>
      <c r="E1003" s="4" t="s">
        <v>319</v>
      </c>
    </row>
    <row r="1004" spans="1:5" ht="31" customHeight="1">
      <c r="A1004" s="4" t="s">
        <v>339</v>
      </c>
      <c r="B1004" s="4" t="s">
        <v>311</v>
      </c>
      <c r="C1004" s="4" t="s">
        <v>61</v>
      </c>
      <c r="D1004" s="4" t="s">
        <v>2089</v>
      </c>
      <c r="E1004" s="4" t="s">
        <v>319</v>
      </c>
    </row>
    <row r="1005" spans="1:5" ht="31" customHeight="1">
      <c r="A1005" s="4" t="s">
        <v>339</v>
      </c>
      <c r="B1005" s="4" t="s">
        <v>311</v>
      </c>
      <c r="C1005" s="4" t="s">
        <v>62</v>
      </c>
      <c r="D1005" s="4" t="s">
        <v>2089</v>
      </c>
      <c r="E1005" s="4" t="s">
        <v>319</v>
      </c>
    </row>
    <row r="1006" spans="1:5" ht="31" customHeight="1">
      <c r="A1006" s="4" t="s">
        <v>339</v>
      </c>
      <c r="B1006" s="4" t="s">
        <v>311</v>
      </c>
      <c r="C1006" s="4" t="s">
        <v>63</v>
      </c>
      <c r="D1006" s="4" t="s">
        <v>2089</v>
      </c>
      <c r="E1006" s="4" t="s">
        <v>319</v>
      </c>
    </row>
    <row r="1007" spans="1:5" ht="31" customHeight="1">
      <c r="A1007" s="4" t="s">
        <v>339</v>
      </c>
      <c r="B1007" s="4" t="s">
        <v>311</v>
      </c>
      <c r="C1007" s="4" t="s">
        <v>64</v>
      </c>
      <c r="D1007" s="4" t="s">
        <v>2089</v>
      </c>
      <c r="E1007" s="4" t="s">
        <v>319</v>
      </c>
    </row>
    <row r="1008" spans="1:5" ht="31" customHeight="1">
      <c r="A1008" s="4" t="s">
        <v>339</v>
      </c>
      <c r="B1008" s="4" t="s">
        <v>311</v>
      </c>
      <c r="C1008" s="4" t="s">
        <v>65</v>
      </c>
      <c r="D1008" s="4" t="s">
        <v>2089</v>
      </c>
      <c r="E1008" s="4" t="s">
        <v>319</v>
      </c>
    </row>
    <row r="1009" spans="1:5" ht="31" customHeight="1">
      <c r="A1009" s="4" t="s">
        <v>339</v>
      </c>
      <c r="B1009" s="4" t="s">
        <v>311</v>
      </c>
      <c r="C1009" s="4" t="s">
        <v>66</v>
      </c>
      <c r="D1009" s="4" t="s">
        <v>2093</v>
      </c>
      <c r="E1009" s="4" t="s">
        <v>319</v>
      </c>
    </row>
    <row r="1010" spans="1:5" ht="31" customHeight="1">
      <c r="A1010" s="4" t="s">
        <v>339</v>
      </c>
      <c r="B1010" s="4" t="s">
        <v>311</v>
      </c>
      <c r="C1010" s="4" t="s">
        <v>67</v>
      </c>
      <c r="D1010" s="4" t="s">
        <v>2089</v>
      </c>
      <c r="E1010" s="4" t="s">
        <v>319</v>
      </c>
    </row>
    <row r="1011" spans="1:5" ht="31" customHeight="1">
      <c r="A1011" s="4" t="s">
        <v>339</v>
      </c>
      <c r="B1011" s="4" t="s">
        <v>311</v>
      </c>
      <c r="C1011" s="4" t="s">
        <v>68</v>
      </c>
      <c r="D1011" s="4" t="s">
        <v>2089</v>
      </c>
      <c r="E1011" s="4" t="s">
        <v>319</v>
      </c>
    </row>
    <row r="1012" spans="1:5" ht="31" customHeight="1">
      <c r="A1012" s="4" t="s">
        <v>339</v>
      </c>
      <c r="B1012" s="4" t="s">
        <v>311</v>
      </c>
      <c r="C1012" s="4" t="s">
        <v>69</v>
      </c>
      <c r="D1012" s="4" t="s">
        <v>2090</v>
      </c>
      <c r="E1012" s="4" t="s">
        <v>319</v>
      </c>
    </row>
    <row r="1013" spans="1:5" ht="31" customHeight="1">
      <c r="A1013" s="4" t="s">
        <v>339</v>
      </c>
      <c r="B1013" s="4" t="s">
        <v>311</v>
      </c>
      <c r="C1013" s="4" t="s">
        <v>70</v>
      </c>
      <c r="D1013" s="4" t="s">
        <v>2089</v>
      </c>
      <c r="E1013" s="4" t="s">
        <v>319</v>
      </c>
    </row>
    <row r="1014" spans="1:5" ht="31" customHeight="1">
      <c r="A1014" s="4" t="s">
        <v>339</v>
      </c>
      <c r="B1014" s="4" t="s">
        <v>311</v>
      </c>
      <c r="C1014" s="4" t="s">
        <v>71</v>
      </c>
      <c r="D1014" s="4" t="s">
        <v>2089</v>
      </c>
      <c r="E1014" s="4" t="s">
        <v>319</v>
      </c>
    </row>
    <row r="1015" spans="1:5" ht="31" customHeight="1">
      <c r="A1015" s="4" t="s">
        <v>339</v>
      </c>
      <c r="B1015" s="4" t="s">
        <v>311</v>
      </c>
      <c r="C1015" s="4" t="s">
        <v>73</v>
      </c>
      <c r="D1015" s="4" t="s">
        <v>2089</v>
      </c>
      <c r="E1015" s="4" t="s">
        <v>319</v>
      </c>
    </row>
    <row r="1016" spans="1:5" ht="31" customHeight="1">
      <c r="A1016" s="4" t="s">
        <v>339</v>
      </c>
      <c r="B1016" s="4" t="s">
        <v>311</v>
      </c>
      <c r="C1016" s="4" t="s">
        <v>75</v>
      </c>
      <c r="D1016" s="4" t="s">
        <v>2089</v>
      </c>
      <c r="E1016" s="4" t="s">
        <v>319</v>
      </c>
    </row>
    <row r="1017" spans="1:5" ht="31" customHeight="1">
      <c r="A1017" s="4" t="s">
        <v>339</v>
      </c>
      <c r="B1017" s="4" t="s">
        <v>311</v>
      </c>
      <c r="C1017" s="4" t="s">
        <v>76</v>
      </c>
      <c r="D1017" s="4" t="s">
        <v>2091</v>
      </c>
      <c r="E1017" s="4" t="s">
        <v>319</v>
      </c>
    </row>
    <row r="1018" spans="1:5" ht="31" customHeight="1">
      <c r="A1018" s="4" t="s">
        <v>341</v>
      </c>
      <c r="B1018" s="4" t="s">
        <v>311</v>
      </c>
      <c r="C1018" s="4" t="s">
        <v>35</v>
      </c>
      <c r="D1018" s="4" t="s">
        <v>2088</v>
      </c>
      <c r="E1018" s="4" t="s">
        <v>319</v>
      </c>
    </row>
    <row r="1019" spans="1:5" ht="31" customHeight="1">
      <c r="A1019" s="4" t="s">
        <v>341</v>
      </c>
      <c r="B1019" s="4" t="s">
        <v>311</v>
      </c>
      <c r="C1019" s="4" t="s">
        <v>37</v>
      </c>
      <c r="D1019" s="4" t="s">
        <v>2089</v>
      </c>
      <c r="E1019" s="4" t="s">
        <v>319</v>
      </c>
    </row>
    <row r="1020" spans="1:5" ht="31" customHeight="1">
      <c r="A1020" s="4" t="s">
        <v>341</v>
      </c>
      <c r="B1020" s="4" t="s">
        <v>311</v>
      </c>
      <c r="C1020" s="4" t="s">
        <v>40</v>
      </c>
      <c r="D1020" s="4" t="s">
        <v>2069</v>
      </c>
      <c r="E1020" s="4" t="s">
        <v>319</v>
      </c>
    </row>
    <row r="1021" spans="1:5" ht="31" customHeight="1">
      <c r="A1021" s="4" t="s">
        <v>341</v>
      </c>
      <c r="B1021" s="4" t="s">
        <v>311</v>
      </c>
      <c r="C1021" s="4" t="s">
        <v>41</v>
      </c>
      <c r="D1021" s="4" t="s">
        <v>2069</v>
      </c>
      <c r="E1021" s="4" t="s">
        <v>319</v>
      </c>
    </row>
    <row r="1022" spans="1:5" ht="31" customHeight="1">
      <c r="A1022" s="4" t="s">
        <v>341</v>
      </c>
      <c r="B1022" s="4" t="s">
        <v>311</v>
      </c>
      <c r="C1022" s="4" t="s">
        <v>42</v>
      </c>
      <c r="D1022" s="4" t="s">
        <v>2069</v>
      </c>
      <c r="E1022" s="4" t="s">
        <v>319</v>
      </c>
    </row>
    <row r="1023" spans="1:5" ht="31" customHeight="1">
      <c r="A1023" s="4" t="s">
        <v>341</v>
      </c>
      <c r="B1023" s="4" t="s">
        <v>311</v>
      </c>
      <c r="C1023" s="4" t="s">
        <v>43</v>
      </c>
      <c r="D1023" s="4" t="s">
        <v>2069</v>
      </c>
      <c r="E1023" s="4" t="s">
        <v>319</v>
      </c>
    </row>
    <row r="1024" spans="1:5" ht="31" customHeight="1">
      <c r="A1024" s="4" t="s">
        <v>341</v>
      </c>
      <c r="B1024" s="4" t="s">
        <v>311</v>
      </c>
      <c r="C1024" s="4" t="s">
        <v>44</v>
      </c>
      <c r="D1024" s="4" t="s">
        <v>2069</v>
      </c>
      <c r="E1024" s="4" t="s">
        <v>319</v>
      </c>
    </row>
    <row r="1025" spans="1:5" ht="31" customHeight="1">
      <c r="A1025" s="4" t="s">
        <v>341</v>
      </c>
      <c r="B1025" s="4" t="s">
        <v>311</v>
      </c>
      <c r="C1025" s="4" t="s">
        <v>45</v>
      </c>
      <c r="D1025" s="4" t="s">
        <v>2069</v>
      </c>
      <c r="E1025" s="4" t="s">
        <v>319</v>
      </c>
    </row>
    <row r="1026" spans="1:5" ht="31" customHeight="1">
      <c r="A1026" s="4" t="s">
        <v>341</v>
      </c>
      <c r="B1026" s="4" t="s">
        <v>311</v>
      </c>
      <c r="C1026" s="4" t="s">
        <v>46</v>
      </c>
      <c r="D1026" s="4" t="s">
        <v>2069</v>
      </c>
      <c r="E1026" s="4" t="s">
        <v>319</v>
      </c>
    </row>
    <row r="1027" spans="1:5" ht="31" customHeight="1">
      <c r="A1027" s="4" t="s">
        <v>341</v>
      </c>
      <c r="B1027" s="4" t="s">
        <v>311</v>
      </c>
      <c r="C1027" s="4" t="s">
        <v>47</v>
      </c>
      <c r="D1027" s="4" t="s">
        <v>2069</v>
      </c>
      <c r="E1027" s="4" t="s">
        <v>319</v>
      </c>
    </row>
    <row r="1028" spans="1:5" ht="31" customHeight="1">
      <c r="A1028" s="4" t="s">
        <v>341</v>
      </c>
      <c r="B1028" s="4" t="s">
        <v>311</v>
      </c>
      <c r="C1028" s="4" t="s">
        <v>48</v>
      </c>
      <c r="D1028" s="4" t="s">
        <v>2069</v>
      </c>
      <c r="E1028" s="4" t="s">
        <v>319</v>
      </c>
    </row>
    <row r="1029" spans="1:5" ht="31" customHeight="1">
      <c r="A1029" s="4" t="s">
        <v>341</v>
      </c>
      <c r="B1029" s="4" t="s">
        <v>311</v>
      </c>
      <c r="C1029" s="4" t="s">
        <v>49</v>
      </c>
      <c r="D1029" s="4" t="s">
        <v>2069</v>
      </c>
      <c r="E1029" s="4" t="s">
        <v>319</v>
      </c>
    </row>
    <row r="1030" spans="1:5" ht="31" customHeight="1">
      <c r="A1030" s="4" t="s">
        <v>341</v>
      </c>
      <c r="B1030" s="4" t="s">
        <v>311</v>
      </c>
      <c r="C1030" s="4" t="s">
        <v>50</v>
      </c>
      <c r="D1030" s="4" t="s">
        <v>2094</v>
      </c>
      <c r="E1030" s="4" t="s">
        <v>319</v>
      </c>
    </row>
    <row r="1031" spans="1:5" ht="31" customHeight="1">
      <c r="A1031" s="4" t="s">
        <v>341</v>
      </c>
      <c r="B1031" s="4" t="s">
        <v>311</v>
      </c>
      <c r="C1031" s="4" t="s">
        <v>51</v>
      </c>
      <c r="D1031" s="4" t="s">
        <v>2094</v>
      </c>
      <c r="E1031" s="4" t="s">
        <v>319</v>
      </c>
    </row>
    <row r="1032" spans="1:5" ht="31" customHeight="1">
      <c r="A1032" s="4" t="s">
        <v>341</v>
      </c>
      <c r="B1032" s="4" t="s">
        <v>311</v>
      </c>
      <c r="C1032" s="4" t="s">
        <v>52</v>
      </c>
      <c r="D1032" s="4" t="s">
        <v>2094</v>
      </c>
      <c r="E1032" s="4" t="s">
        <v>319</v>
      </c>
    </row>
    <row r="1033" spans="1:5" ht="31" customHeight="1">
      <c r="A1033" s="4" t="s">
        <v>341</v>
      </c>
      <c r="B1033" s="4" t="s">
        <v>311</v>
      </c>
      <c r="C1033" s="4" t="s">
        <v>53</v>
      </c>
      <c r="D1033" s="4" t="s">
        <v>2094</v>
      </c>
      <c r="E1033" s="4" t="s">
        <v>319</v>
      </c>
    </row>
    <row r="1034" spans="1:5" ht="31" customHeight="1">
      <c r="A1034" s="4" t="s">
        <v>341</v>
      </c>
      <c r="B1034" s="4" t="s">
        <v>311</v>
      </c>
      <c r="C1034" s="4" t="s">
        <v>54</v>
      </c>
      <c r="D1034" s="4" t="s">
        <v>2094</v>
      </c>
      <c r="E1034" s="4" t="s">
        <v>319</v>
      </c>
    </row>
    <row r="1035" spans="1:5" ht="31" customHeight="1">
      <c r="A1035" s="4" t="s">
        <v>341</v>
      </c>
      <c r="B1035" s="4" t="s">
        <v>311</v>
      </c>
      <c r="C1035" s="4" t="s">
        <v>55</v>
      </c>
      <c r="D1035" s="4" t="s">
        <v>2089</v>
      </c>
      <c r="E1035" s="4" t="s">
        <v>319</v>
      </c>
    </row>
    <row r="1036" spans="1:5" ht="31" customHeight="1">
      <c r="A1036" s="4" t="s">
        <v>341</v>
      </c>
      <c r="B1036" s="4" t="s">
        <v>311</v>
      </c>
      <c r="C1036" s="4" t="s">
        <v>56</v>
      </c>
      <c r="D1036" s="4" t="s">
        <v>2089</v>
      </c>
      <c r="E1036" s="4" t="s">
        <v>319</v>
      </c>
    </row>
    <row r="1037" spans="1:5" ht="31" customHeight="1">
      <c r="A1037" s="4" t="s">
        <v>341</v>
      </c>
      <c r="B1037" s="4" t="s">
        <v>311</v>
      </c>
      <c r="C1037" s="4" t="s">
        <v>57</v>
      </c>
      <c r="D1037" s="4" t="s">
        <v>2092</v>
      </c>
      <c r="E1037" s="4" t="s">
        <v>319</v>
      </c>
    </row>
    <row r="1038" spans="1:5" ht="31" customHeight="1">
      <c r="A1038" s="4" t="s">
        <v>341</v>
      </c>
      <c r="B1038" s="4" t="s">
        <v>311</v>
      </c>
      <c r="C1038" s="4" t="s">
        <v>58</v>
      </c>
      <c r="D1038" s="4" t="s">
        <v>2092</v>
      </c>
      <c r="E1038" s="4" t="s">
        <v>319</v>
      </c>
    </row>
    <row r="1039" spans="1:5" ht="31" customHeight="1">
      <c r="A1039" s="4" t="s">
        <v>341</v>
      </c>
      <c r="B1039" s="4" t="s">
        <v>311</v>
      </c>
      <c r="C1039" s="4" t="s">
        <v>60</v>
      </c>
      <c r="D1039" s="4" t="s">
        <v>2089</v>
      </c>
      <c r="E1039" s="4" t="s">
        <v>319</v>
      </c>
    </row>
    <row r="1040" spans="1:5" ht="31" customHeight="1">
      <c r="A1040" s="4" t="s">
        <v>341</v>
      </c>
      <c r="B1040" s="4" t="s">
        <v>311</v>
      </c>
      <c r="C1040" s="4" t="s">
        <v>61</v>
      </c>
      <c r="D1040" s="4" t="s">
        <v>2089</v>
      </c>
      <c r="E1040" s="4" t="s">
        <v>319</v>
      </c>
    </row>
    <row r="1041" spans="1:5" ht="31" customHeight="1">
      <c r="A1041" s="4" t="s">
        <v>341</v>
      </c>
      <c r="B1041" s="4" t="s">
        <v>311</v>
      </c>
      <c r="C1041" s="4" t="s">
        <v>62</v>
      </c>
      <c r="D1041" s="4" t="s">
        <v>2089</v>
      </c>
      <c r="E1041" s="4" t="s">
        <v>319</v>
      </c>
    </row>
    <row r="1042" spans="1:5" ht="31" customHeight="1">
      <c r="A1042" s="4" t="s">
        <v>341</v>
      </c>
      <c r="B1042" s="4" t="s">
        <v>311</v>
      </c>
      <c r="C1042" s="4" t="s">
        <v>63</v>
      </c>
      <c r="D1042" s="4" t="s">
        <v>2089</v>
      </c>
      <c r="E1042" s="4" t="s">
        <v>319</v>
      </c>
    </row>
    <row r="1043" spans="1:5" ht="31" customHeight="1">
      <c r="A1043" s="4" t="s">
        <v>341</v>
      </c>
      <c r="B1043" s="4" t="s">
        <v>311</v>
      </c>
      <c r="C1043" s="4" t="s">
        <v>64</v>
      </c>
      <c r="D1043" s="4" t="s">
        <v>2089</v>
      </c>
      <c r="E1043" s="4" t="s">
        <v>319</v>
      </c>
    </row>
    <row r="1044" spans="1:5" ht="31" customHeight="1">
      <c r="A1044" s="4" t="s">
        <v>341</v>
      </c>
      <c r="B1044" s="4" t="s">
        <v>311</v>
      </c>
      <c r="C1044" s="4" t="s">
        <v>65</v>
      </c>
      <c r="D1044" s="4" t="s">
        <v>2089</v>
      </c>
      <c r="E1044" s="4" t="s">
        <v>319</v>
      </c>
    </row>
    <row r="1045" spans="1:5" ht="31" customHeight="1">
      <c r="A1045" s="4" t="s">
        <v>341</v>
      </c>
      <c r="B1045" s="4" t="s">
        <v>311</v>
      </c>
      <c r="C1045" s="4" t="s">
        <v>66</v>
      </c>
      <c r="D1045" s="4" t="s">
        <v>2093</v>
      </c>
      <c r="E1045" s="4" t="s">
        <v>319</v>
      </c>
    </row>
    <row r="1046" spans="1:5" ht="31" customHeight="1">
      <c r="A1046" s="4" t="s">
        <v>341</v>
      </c>
      <c r="B1046" s="4" t="s">
        <v>311</v>
      </c>
      <c r="C1046" s="4" t="s">
        <v>67</v>
      </c>
      <c r="D1046" s="4" t="s">
        <v>2089</v>
      </c>
      <c r="E1046" s="4" t="s">
        <v>319</v>
      </c>
    </row>
    <row r="1047" spans="1:5" ht="31" customHeight="1">
      <c r="A1047" s="4" t="s">
        <v>341</v>
      </c>
      <c r="B1047" s="4" t="s">
        <v>311</v>
      </c>
      <c r="C1047" s="4" t="s">
        <v>68</v>
      </c>
      <c r="D1047" s="4" t="s">
        <v>2089</v>
      </c>
      <c r="E1047" s="4" t="s">
        <v>319</v>
      </c>
    </row>
    <row r="1048" spans="1:5" ht="31" customHeight="1">
      <c r="A1048" s="4" t="s">
        <v>341</v>
      </c>
      <c r="B1048" s="4" t="s">
        <v>311</v>
      </c>
      <c r="C1048" s="4" t="s">
        <v>69</v>
      </c>
      <c r="D1048" s="4" t="s">
        <v>2090</v>
      </c>
      <c r="E1048" s="4" t="s">
        <v>319</v>
      </c>
    </row>
    <row r="1049" spans="1:5" ht="31" customHeight="1">
      <c r="A1049" s="4" t="s">
        <v>341</v>
      </c>
      <c r="B1049" s="4" t="s">
        <v>311</v>
      </c>
      <c r="C1049" s="4" t="s">
        <v>70</v>
      </c>
      <c r="D1049" s="4" t="s">
        <v>2089</v>
      </c>
      <c r="E1049" s="4" t="s">
        <v>319</v>
      </c>
    </row>
    <row r="1050" spans="1:5" ht="31" customHeight="1">
      <c r="A1050" s="4" t="s">
        <v>341</v>
      </c>
      <c r="B1050" s="4" t="s">
        <v>311</v>
      </c>
      <c r="C1050" s="4" t="s">
        <v>71</v>
      </c>
      <c r="D1050" s="4" t="s">
        <v>2089</v>
      </c>
      <c r="E1050" s="4" t="s">
        <v>319</v>
      </c>
    </row>
    <row r="1051" spans="1:5" ht="31" customHeight="1">
      <c r="A1051" s="4" t="s">
        <v>341</v>
      </c>
      <c r="B1051" s="4" t="s">
        <v>311</v>
      </c>
      <c r="C1051" s="4" t="s">
        <v>73</v>
      </c>
      <c r="D1051" s="4" t="s">
        <v>2089</v>
      </c>
      <c r="E1051" s="4" t="s">
        <v>319</v>
      </c>
    </row>
    <row r="1052" spans="1:5" ht="31" customHeight="1">
      <c r="A1052" s="4" t="s">
        <v>341</v>
      </c>
      <c r="B1052" s="4" t="s">
        <v>311</v>
      </c>
      <c r="C1052" s="4" t="s">
        <v>75</v>
      </c>
      <c r="D1052" s="4" t="s">
        <v>2089</v>
      </c>
      <c r="E1052" s="4" t="s">
        <v>319</v>
      </c>
    </row>
    <row r="1053" spans="1:5" ht="31" customHeight="1">
      <c r="A1053" s="4" t="s">
        <v>341</v>
      </c>
      <c r="B1053" s="4" t="s">
        <v>311</v>
      </c>
      <c r="C1053" s="4" t="s">
        <v>76</v>
      </c>
      <c r="D1053" s="4" t="s">
        <v>2091</v>
      </c>
      <c r="E1053" s="4" t="s">
        <v>319</v>
      </c>
    </row>
    <row r="1054" spans="1:5" ht="31" customHeight="1">
      <c r="A1054" s="4" t="s">
        <v>343</v>
      </c>
      <c r="B1054" s="4" t="s">
        <v>311</v>
      </c>
      <c r="C1054" s="4" t="s">
        <v>35</v>
      </c>
      <c r="D1054" s="4" t="s">
        <v>2088</v>
      </c>
      <c r="E1054" s="4" t="s">
        <v>319</v>
      </c>
    </row>
    <row r="1055" spans="1:5" ht="31" customHeight="1">
      <c r="A1055" s="4" t="s">
        <v>343</v>
      </c>
      <c r="B1055" s="4" t="s">
        <v>311</v>
      </c>
      <c r="C1055" s="4" t="s">
        <v>37</v>
      </c>
      <c r="D1055" s="4" t="s">
        <v>2089</v>
      </c>
      <c r="E1055" s="4" t="s">
        <v>319</v>
      </c>
    </row>
    <row r="1056" spans="1:5" ht="31" customHeight="1">
      <c r="A1056" s="4" t="s">
        <v>343</v>
      </c>
      <c r="B1056" s="4" t="s">
        <v>311</v>
      </c>
      <c r="C1056" s="4" t="s">
        <v>40</v>
      </c>
      <c r="D1056" s="4" t="s">
        <v>2069</v>
      </c>
      <c r="E1056" s="4" t="s">
        <v>319</v>
      </c>
    </row>
    <row r="1057" spans="1:5" ht="31" customHeight="1">
      <c r="A1057" s="4" t="s">
        <v>343</v>
      </c>
      <c r="B1057" s="4" t="s">
        <v>311</v>
      </c>
      <c r="C1057" s="4" t="s">
        <v>41</v>
      </c>
      <c r="D1057" s="4" t="s">
        <v>2069</v>
      </c>
      <c r="E1057" s="4" t="s">
        <v>319</v>
      </c>
    </row>
    <row r="1058" spans="1:5" ht="31" customHeight="1">
      <c r="A1058" s="4" t="s">
        <v>343</v>
      </c>
      <c r="B1058" s="4" t="s">
        <v>311</v>
      </c>
      <c r="C1058" s="4" t="s">
        <v>42</v>
      </c>
      <c r="D1058" s="4" t="s">
        <v>2069</v>
      </c>
      <c r="E1058" s="4" t="s">
        <v>319</v>
      </c>
    </row>
    <row r="1059" spans="1:5" ht="31" customHeight="1">
      <c r="A1059" s="4" t="s">
        <v>343</v>
      </c>
      <c r="B1059" s="4" t="s">
        <v>311</v>
      </c>
      <c r="C1059" s="4" t="s">
        <v>43</v>
      </c>
      <c r="D1059" s="4" t="s">
        <v>2069</v>
      </c>
      <c r="E1059" s="4" t="s">
        <v>319</v>
      </c>
    </row>
    <row r="1060" spans="1:5" ht="31" customHeight="1">
      <c r="A1060" s="4" t="s">
        <v>343</v>
      </c>
      <c r="B1060" s="4" t="s">
        <v>311</v>
      </c>
      <c r="C1060" s="4" t="s">
        <v>44</v>
      </c>
      <c r="D1060" s="4" t="s">
        <v>2069</v>
      </c>
      <c r="E1060" s="4" t="s">
        <v>319</v>
      </c>
    </row>
    <row r="1061" spans="1:5" ht="31" customHeight="1">
      <c r="A1061" s="4" t="s">
        <v>343</v>
      </c>
      <c r="B1061" s="4" t="s">
        <v>311</v>
      </c>
      <c r="C1061" s="4" t="s">
        <v>45</v>
      </c>
      <c r="D1061" s="4" t="s">
        <v>2069</v>
      </c>
      <c r="E1061" s="4" t="s">
        <v>319</v>
      </c>
    </row>
    <row r="1062" spans="1:5" ht="31" customHeight="1">
      <c r="A1062" s="4" t="s">
        <v>343</v>
      </c>
      <c r="B1062" s="4" t="s">
        <v>311</v>
      </c>
      <c r="C1062" s="4" t="s">
        <v>46</v>
      </c>
      <c r="D1062" s="4" t="s">
        <v>2069</v>
      </c>
      <c r="E1062" s="4" t="s">
        <v>319</v>
      </c>
    </row>
    <row r="1063" spans="1:5" ht="31" customHeight="1">
      <c r="A1063" s="4" t="s">
        <v>343</v>
      </c>
      <c r="B1063" s="4" t="s">
        <v>311</v>
      </c>
      <c r="C1063" s="4" t="s">
        <v>47</v>
      </c>
      <c r="D1063" s="4" t="s">
        <v>2069</v>
      </c>
      <c r="E1063" s="4" t="s">
        <v>319</v>
      </c>
    </row>
    <row r="1064" spans="1:5" ht="31" customHeight="1">
      <c r="A1064" s="4" t="s">
        <v>343</v>
      </c>
      <c r="B1064" s="4" t="s">
        <v>311</v>
      </c>
      <c r="C1064" s="4" t="s">
        <v>48</v>
      </c>
      <c r="D1064" s="4" t="s">
        <v>2069</v>
      </c>
      <c r="E1064" s="4" t="s">
        <v>319</v>
      </c>
    </row>
    <row r="1065" spans="1:5" ht="31" customHeight="1">
      <c r="A1065" s="4" t="s">
        <v>343</v>
      </c>
      <c r="B1065" s="4" t="s">
        <v>311</v>
      </c>
      <c r="C1065" s="4" t="s">
        <v>49</v>
      </c>
      <c r="D1065" s="4" t="s">
        <v>2069</v>
      </c>
      <c r="E1065" s="4" t="s">
        <v>319</v>
      </c>
    </row>
    <row r="1066" spans="1:5" ht="31" customHeight="1">
      <c r="A1066" s="4" t="s">
        <v>343</v>
      </c>
      <c r="B1066" s="4" t="s">
        <v>311</v>
      </c>
      <c r="C1066" s="4" t="s">
        <v>50</v>
      </c>
      <c r="D1066" s="4" t="s">
        <v>2094</v>
      </c>
      <c r="E1066" s="4" t="s">
        <v>319</v>
      </c>
    </row>
    <row r="1067" spans="1:5" ht="31" customHeight="1">
      <c r="A1067" s="4" t="s">
        <v>343</v>
      </c>
      <c r="B1067" s="4" t="s">
        <v>311</v>
      </c>
      <c r="C1067" s="4" t="s">
        <v>51</v>
      </c>
      <c r="D1067" s="4" t="s">
        <v>2094</v>
      </c>
      <c r="E1067" s="4" t="s">
        <v>319</v>
      </c>
    </row>
    <row r="1068" spans="1:5" ht="31" customHeight="1">
      <c r="A1068" s="4" t="s">
        <v>343</v>
      </c>
      <c r="B1068" s="4" t="s">
        <v>311</v>
      </c>
      <c r="C1068" s="4" t="s">
        <v>52</v>
      </c>
      <c r="D1068" s="4" t="s">
        <v>2094</v>
      </c>
      <c r="E1068" s="4" t="s">
        <v>319</v>
      </c>
    </row>
    <row r="1069" spans="1:5" ht="31" customHeight="1">
      <c r="A1069" s="4" t="s">
        <v>343</v>
      </c>
      <c r="B1069" s="4" t="s">
        <v>311</v>
      </c>
      <c r="C1069" s="4" t="s">
        <v>53</v>
      </c>
      <c r="D1069" s="4" t="s">
        <v>2094</v>
      </c>
      <c r="E1069" s="4" t="s">
        <v>319</v>
      </c>
    </row>
    <row r="1070" spans="1:5" ht="31" customHeight="1">
      <c r="A1070" s="4" t="s">
        <v>343</v>
      </c>
      <c r="B1070" s="4" t="s">
        <v>311</v>
      </c>
      <c r="C1070" s="4" t="s">
        <v>54</v>
      </c>
      <c r="D1070" s="4" t="s">
        <v>2094</v>
      </c>
      <c r="E1070" s="4" t="s">
        <v>319</v>
      </c>
    </row>
    <row r="1071" spans="1:5" ht="31" customHeight="1">
      <c r="A1071" s="4" t="s">
        <v>343</v>
      </c>
      <c r="B1071" s="4" t="s">
        <v>311</v>
      </c>
      <c r="C1071" s="4" t="s">
        <v>55</v>
      </c>
      <c r="D1071" s="4" t="s">
        <v>2089</v>
      </c>
      <c r="E1071" s="4" t="s">
        <v>319</v>
      </c>
    </row>
    <row r="1072" spans="1:5" ht="31" customHeight="1">
      <c r="A1072" s="4" t="s">
        <v>343</v>
      </c>
      <c r="B1072" s="4" t="s">
        <v>311</v>
      </c>
      <c r="C1072" s="4" t="s">
        <v>56</v>
      </c>
      <c r="D1072" s="4" t="s">
        <v>2089</v>
      </c>
      <c r="E1072" s="4" t="s">
        <v>319</v>
      </c>
    </row>
    <row r="1073" spans="1:5" ht="31" customHeight="1">
      <c r="A1073" s="4" t="s">
        <v>343</v>
      </c>
      <c r="B1073" s="4" t="s">
        <v>311</v>
      </c>
      <c r="C1073" s="4" t="s">
        <v>57</v>
      </c>
      <c r="D1073" s="4" t="s">
        <v>2092</v>
      </c>
      <c r="E1073" s="4" t="s">
        <v>319</v>
      </c>
    </row>
    <row r="1074" spans="1:5" ht="31" customHeight="1">
      <c r="A1074" s="4" t="s">
        <v>343</v>
      </c>
      <c r="B1074" s="4" t="s">
        <v>311</v>
      </c>
      <c r="C1074" s="4" t="s">
        <v>58</v>
      </c>
      <c r="D1074" s="4" t="s">
        <v>2092</v>
      </c>
      <c r="E1074" s="4" t="s">
        <v>319</v>
      </c>
    </row>
    <row r="1075" spans="1:5" ht="31" customHeight="1">
      <c r="A1075" s="4" t="s">
        <v>343</v>
      </c>
      <c r="B1075" s="4" t="s">
        <v>311</v>
      </c>
      <c r="C1075" s="4" t="s">
        <v>60</v>
      </c>
      <c r="D1075" s="4" t="s">
        <v>2089</v>
      </c>
      <c r="E1075" s="4" t="s">
        <v>319</v>
      </c>
    </row>
    <row r="1076" spans="1:5" ht="31" customHeight="1">
      <c r="A1076" s="4" t="s">
        <v>343</v>
      </c>
      <c r="B1076" s="4" t="s">
        <v>311</v>
      </c>
      <c r="C1076" s="4" t="s">
        <v>61</v>
      </c>
      <c r="D1076" s="4" t="s">
        <v>2089</v>
      </c>
      <c r="E1076" s="4" t="s">
        <v>319</v>
      </c>
    </row>
    <row r="1077" spans="1:5" ht="31" customHeight="1">
      <c r="A1077" s="4" t="s">
        <v>343</v>
      </c>
      <c r="B1077" s="4" t="s">
        <v>311</v>
      </c>
      <c r="C1077" s="4" t="s">
        <v>62</v>
      </c>
      <c r="D1077" s="4" t="s">
        <v>2089</v>
      </c>
      <c r="E1077" s="4" t="s">
        <v>319</v>
      </c>
    </row>
    <row r="1078" spans="1:5" ht="31" customHeight="1">
      <c r="A1078" s="4" t="s">
        <v>343</v>
      </c>
      <c r="B1078" s="4" t="s">
        <v>311</v>
      </c>
      <c r="C1078" s="4" t="s">
        <v>63</v>
      </c>
      <c r="D1078" s="4" t="s">
        <v>2089</v>
      </c>
      <c r="E1078" s="4" t="s">
        <v>319</v>
      </c>
    </row>
    <row r="1079" spans="1:5" ht="31" customHeight="1">
      <c r="A1079" s="4" t="s">
        <v>343</v>
      </c>
      <c r="B1079" s="4" t="s">
        <v>311</v>
      </c>
      <c r="C1079" s="4" t="s">
        <v>64</v>
      </c>
      <c r="D1079" s="4" t="s">
        <v>2089</v>
      </c>
      <c r="E1079" s="4" t="s">
        <v>319</v>
      </c>
    </row>
    <row r="1080" spans="1:5" ht="31" customHeight="1">
      <c r="A1080" s="4" t="s">
        <v>343</v>
      </c>
      <c r="B1080" s="4" t="s">
        <v>311</v>
      </c>
      <c r="C1080" s="4" t="s">
        <v>65</v>
      </c>
      <c r="D1080" s="4" t="s">
        <v>2089</v>
      </c>
      <c r="E1080" s="4" t="s">
        <v>319</v>
      </c>
    </row>
    <row r="1081" spans="1:5" ht="31" customHeight="1">
      <c r="A1081" s="4" t="s">
        <v>343</v>
      </c>
      <c r="B1081" s="4" t="s">
        <v>311</v>
      </c>
      <c r="C1081" s="4" t="s">
        <v>66</v>
      </c>
      <c r="D1081" s="4" t="s">
        <v>2093</v>
      </c>
      <c r="E1081" s="4" t="s">
        <v>319</v>
      </c>
    </row>
    <row r="1082" spans="1:5" ht="31" customHeight="1">
      <c r="A1082" s="4" t="s">
        <v>343</v>
      </c>
      <c r="B1082" s="4" t="s">
        <v>311</v>
      </c>
      <c r="C1082" s="4" t="s">
        <v>67</v>
      </c>
      <c r="D1082" s="4" t="s">
        <v>2089</v>
      </c>
      <c r="E1082" s="4" t="s">
        <v>319</v>
      </c>
    </row>
    <row r="1083" spans="1:5" ht="31" customHeight="1">
      <c r="A1083" s="4" t="s">
        <v>343</v>
      </c>
      <c r="B1083" s="4" t="s">
        <v>311</v>
      </c>
      <c r="C1083" s="4" t="s">
        <v>68</v>
      </c>
      <c r="D1083" s="4" t="s">
        <v>2089</v>
      </c>
      <c r="E1083" s="4" t="s">
        <v>319</v>
      </c>
    </row>
    <row r="1084" spans="1:5" ht="31" customHeight="1">
      <c r="A1084" s="4" t="s">
        <v>343</v>
      </c>
      <c r="B1084" s="4" t="s">
        <v>311</v>
      </c>
      <c r="C1084" s="4" t="s">
        <v>69</v>
      </c>
      <c r="D1084" s="4" t="s">
        <v>2090</v>
      </c>
      <c r="E1084" s="4" t="s">
        <v>319</v>
      </c>
    </row>
    <row r="1085" spans="1:5" ht="31" customHeight="1">
      <c r="A1085" s="4" t="s">
        <v>343</v>
      </c>
      <c r="B1085" s="4" t="s">
        <v>311</v>
      </c>
      <c r="C1085" s="4" t="s">
        <v>70</v>
      </c>
      <c r="D1085" s="4" t="s">
        <v>2089</v>
      </c>
      <c r="E1085" s="4" t="s">
        <v>319</v>
      </c>
    </row>
    <row r="1086" spans="1:5" ht="31" customHeight="1">
      <c r="A1086" s="4" t="s">
        <v>343</v>
      </c>
      <c r="B1086" s="4" t="s">
        <v>311</v>
      </c>
      <c r="C1086" s="4" t="s">
        <v>71</v>
      </c>
      <c r="D1086" s="4" t="s">
        <v>2089</v>
      </c>
      <c r="E1086" s="4" t="s">
        <v>319</v>
      </c>
    </row>
    <row r="1087" spans="1:5" ht="31" customHeight="1">
      <c r="A1087" s="4" t="s">
        <v>343</v>
      </c>
      <c r="B1087" s="4" t="s">
        <v>311</v>
      </c>
      <c r="C1087" s="4" t="s">
        <v>73</v>
      </c>
      <c r="D1087" s="4" t="s">
        <v>2089</v>
      </c>
      <c r="E1087" s="4" t="s">
        <v>319</v>
      </c>
    </row>
    <row r="1088" spans="1:5" ht="31" customHeight="1">
      <c r="A1088" s="4" t="s">
        <v>343</v>
      </c>
      <c r="B1088" s="4" t="s">
        <v>311</v>
      </c>
      <c r="C1088" s="4" t="s">
        <v>75</v>
      </c>
      <c r="D1088" s="4" t="s">
        <v>2089</v>
      </c>
      <c r="E1088" s="4" t="s">
        <v>319</v>
      </c>
    </row>
    <row r="1089" spans="1:5" ht="31" customHeight="1">
      <c r="A1089" s="4" t="s">
        <v>343</v>
      </c>
      <c r="B1089" s="4" t="s">
        <v>311</v>
      </c>
      <c r="C1089" s="4" t="s">
        <v>76</v>
      </c>
      <c r="D1089" s="4" t="s">
        <v>2091</v>
      </c>
      <c r="E1089" s="4" t="s">
        <v>319</v>
      </c>
    </row>
    <row r="1090" spans="1:5" ht="31" customHeight="1">
      <c r="A1090" s="4" t="s">
        <v>345</v>
      </c>
      <c r="B1090" s="4" t="s">
        <v>346</v>
      </c>
      <c r="C1090" s="4" t="s">
        <v>35</v>
      </c>
      <c r="D1090" s="4" t="s">
        <v>2088</v>
      </c>
      <c r="E1090" s="4" t="s">
        <v>352</v>
      </c>
    </row>
    <row r="1091" spans="1:5" ht="31" customHeight="1">
      <c r="A1091" s="4" t="s">
        <v>345</v>
      </c>
      <c r="B1091" s="4" t="s">
        <v>346</v>
      </c>
      <c r="C1091" s="4" t="s">
        <v>37</v>
      </c>
      <c r="D1091" s="4" t="s">
        <v>2089</v>
      </c>
      <c r="E1091" s="4" t="s">
        <v>352</v>
      </c>
    </row>
    <row r="1092" spans="1:5" ht="31" customHeight="1">
      <c r="A1092" s="4" t="s">
        <v>345</v>
      </c>
      <c r="B1092" s="4" t="s">
        <v>346</v>
      </c>
      <c r="C1092" s="4" t="s">
        <v>62</v>
      </c>
      <c r="D1092" s="4" t="s">
        <v>2089</v>
      </c>
      <c r="E1092" s="4" t="s">
        <v>352</v>
      </c>
    </row>
    <row r="1093" spans="1:5" ht="31" customHeight="1">
      <c r="A1093" s="4" t="s">
        <v>345</v>
      </c>
      <c r="B1093" s="4" t="s">
        <v>346</v>
      </c>
      <c r="C1093" s="4" t="s">
        <v>68</v>
      </c>
      <c r="D1093" s="4" t="s">
        <v>2089</v>
      </c>
      <c r="E1093" s="4" t="s">
        <v>352</v>
      </c>
    </row>
    <row r="1094" spans="1:5" ht="31" customHeight="1">
      <c r="A1094" s="4" t="s">
        <v>345</v>
      </c>
      <c r="B1094" s="4" t="s">
        <v>346</v>
      </c>
      <c r="C1094" s="4" t="s">
        <v>70</v>
      </c>
      <c r="D1094" s="4" t="s">
        <v>2089</v>
      </c>
      <c r="E1094" s="4" t="s">
        <v>352</v>
      </c>
    </row>
    <row r="1095" spans="1:5" ht="31" customHeight="1">
      <c r="A1095" s="4" t="s">
        <v>345</v>
      </c>
      <c r="B1095" s="4" t="s">
        <v>346</v>
      </c>
      <c r="C1095" s="4" t="s">
        <v>75</v>
      </c>
      <c r="D1095" s="4" t="s">
        <v>2089</v>
      </c>
      <c r="E1095" s="4" t="s">
        <v>352</v>
      </c>
    </row>
    <row r="1096" spans="1:5" ht="31" customHeight="1">
      <c r="A1096" s="4" t="s">
        <v>345</v>
      </c>
      <c r="B1096" s="4" t="s">
        <v>346</v>
      </c>
      <c r="C1096" s="4" t="s">
        <v>76</v>
      </c>
      <c r="D1096" s="4" t="s">
        <v>2091</v>
      </c>
      <c r="E1096" s="4" t="s">
        <v>352</v>
      </c>
    </row>
    <row r="1097" spans="1:5" ht="31" customHeight="1">
      <c r="A1097" s="4" t="s">
        <v>354</v>
      </c>
      <c r="B1097" s="4" t="s">
        <v>346</v>
      </c>
      <c r="C1097" s="4" t="s">
        <v>35</v>
      </c>
      <c r="D1097" s="4" t="s">
        <v>2088</v>
      </c>
      <c r="E1097" s="4" t="s">
        <v>352</v>
      </c>
    </row>
    <row r="1098" spans="1:5" ht="31" customHeight="1">
      <c r="A1098" s="4" t="s">
        <v>354</v>
      </c>
      <c r="B1098" s="4" t="s">
        <v>346</v>
      </c>
      <c r="C1098" s="4" t="s">
        <v>37</v>
      </c>
      <c r="D1098" s="4" t="s">
        <v>2089</v>
      </c>
      <c r="E1098" s="4" t="s">
        <v>352</v>
      </c>
    </row>
    <row r="1099" spans="1:5" ht="31" customHeight="1">
      <c r="A1099" s="4" t="s">
        <v>354</v>
      </c>
      <c r="B1099" s="4" t="s">
        <v>346</v>
      </c>
      <c r="C1099" s="4" t="s">
        <v>61</v>
      </c>
      <c r="D1099" s="4" t="s">
        <v>2089</v>
      </c>
      <c r="E1099" s="4" t="s">
        <v>352</v>
      </c>
    </row>
    <row r="1100" spans="1:5" ht="31" customHeight="1">
      <c r="A1100" s="4" t="s">
        <v>354</v>
      </c>
      <c r="B1100" s="4" t="s">
        <v>346</v>
      </c>
      <c r="C1100" s="4" t="s">
        <v>62</v>
      </c>
      <c r="D1100" s="4" t="s">
        <v>2089</v>
      </c>
      <c r="E1100" s="4" t="s">
        <v>352</v>
      </c>
    </row>
    <row r="1101" spans="1:5" ht="31" customHeight="1">
      <c r="A1101" s="4" t="s">
        <v>354</v>
      </c>
      <c r="B1101" s="4" t="s">
        <v>346</v>
      </c>
      <c r="C1101" s="4" t="s">
        <v>68</v>
      </c>
      <c r="D1101" s="4" t="s">
        <v>2089</v>
      </c>
      <c r="E1101" s="4" t="s">
        <v>352</v>
      </c>
    </row>
    <row r="1102" spans="1:5" ht="31" customHeight="1">
      <c r="A1102" s="4" t="s">
        <v>354</v>
      </c>
      <c r="B1102" s="4" t="s">
        <v>346</v>
      </c>
      <c r="C1102" s="4" t="s">
        <v>70</v>
      </c>
      <c r="D1102" s="4" t="s">
        <v>2089</v>
      </c>
      <c r="E1102" s="4" t="s">
        <v>352</v>
      </c>
    </row>
    <row r="1103" spans="1:5" ht="31" customHeight="1">
      <c r="A1103" s="4" t="s">
        <v>354</v>
      </c>
      <c r="B1103" s="4" t="s">
        <v>346</v>
      </c>
      <c r="C1103" s="4" t="s">
        <v>75</v>
      </c>
      <c r="D1103" s="4" t="s">
        <v>2089</v>
      </c>
      <c r="E1103" s="4" t="s">
        <v>352</v>
      </c>
    </row>
    <row r="1104" spans="1:5" ht="31" customHeight="1">
      <c r="A1104" s="4" t="s">
        <v>354</v>
      </c>
      <c r="B1104" s="4" t="s">
        <v>346</v>
      </c>
      <c r="C1104" s="4" t="s">
        <v>76</v>
      </c>
      <c r="D1104" s="4" t="s">
        <v>2091</v>
      </c>
      <c r="E1104" s="4" t="s">
        <v>352</v>
      </c>
    </row>
    <row r="1105" spans="1:5" ht="31" customHeight="1">
      <c r="A1105" s="4" t="s">
        <v>357</v>
      </c>
      <c r="B1105" s="4" t="s">
        <v>346</v>
      </c>
      <c r="C1105" s="4" t="s">
        <v>35</v>
      </c>
      <c r="D1105" s="4" t="s">
        <v>2088</v>
      </c>
      <c r="E1105" s="4" t="s">
        <v>352</v>
      </c>
    </row>
    <row r="1106" spans="1:5" ht="31" customHeight="1">
      <c r="A1106" s="4" t="s">
        <v>357</v>
      </c>
      <c r="B1106" s="4" t="s">
        <v>346</v>
      </c>
      <c r="C1106" s="4" t="s">
        <v>37</v>
      </c>
      <c r="D1106" s="4" t="s">
        <v>2089</v>
      </c>
      <c r="E1106" s="4" t="s">
        <v>352</v>
      </c>
    </row>
    <row r="1107" spans="1:5" ht="31" customHeight="1">
      <c r="A1107" s="4" t="s">
        <v>357</v>
      </c>
      <c r="B1107" s="4" t="s">
        <v>346</v>
      </c>
      <c r="C1107" s="4" t="s">
        <v>59</v>
      </c>
      <c r="D1107" s="4" t="s">
        <v>2089</v>
      </c>
      <c r="E1107" s="4" t="s">
        <v>352</v>
      </c>
    </row>
    <row r="1108" spans="1:5" ht="31" customHeight="1">
      <c r="A1108" s="4" t="s">
        <v>357</v>
      </c>
      <c r="B1108" s="4" t="s">
        <v>346</v>
      </c>
      <c r="C1108" s="4" t="s">
        <v>61</v>
      </c>
      <c r="D1108" s="4" t="s">
        <v>2089</v>
      </c>
      <c r="E1108" s="4" t="s">
        <v>352</v>
      </c>
    </row>
    <row r="1109" spans="1:5" ht="31" customHeight="1">
      <c r="A1109" s="4" t="s">
        <v>357</v>
      </c>
      <c r="B1109" s="4" t="s">
        <v>346</v>
      </c>
      <c r="C1109" s="4" t="s">
        <v>63</v>
      </c>
      <c r="D1109" s="4" t="s">
        <v>2089</v>
      </c>
      <c r="E1109" s="4" t="s">
        <v>352</v>
      </c>
    </row>
    <row r="1110" spans="1:5" ht="31" customHeight="1">
      <c r="A1110" s="4" t="s">
        <v>357</v>
      </c>
      <c r="B1110" s="4" t="s">
        <v>346</v>
      </c>
      <c r="C1110" s="4" t="s">
        <v>64</v>
      </c>
      <c r="D1110" s="4" t="s">
        <v>2089</v>
      </c>
      <c r="E1110" s="4" t="s">
        <v>352</v>
      </c>
    </row>
    <row r="1111" spans="1:5" ht="31" customHeight="1">
      <c r="A1111" s="4" t="s">
        <v>357</v>
      </c>
      <c r="B1111" s="4" t="s">
        <v>346</v>
      </c>
      <c r="C1111" s="4" t="s">
        <v>65</v>
      </c>
      <c r="D1111" s="4" t="s">
        <v>2089</v>
      </c>
      <c r="E1111" s="4" t="s">
        <v>352</v>
      </c>
    </row>
    <row r="1112" spans="1:5" ht="31" customHeight="1">
      <c r="A1112" s="4" t="s">
        <v>357</v>
      </c>
      <c r="B1112" s="4" t="s">
        <v>346</v>
      </c>
      <c r="C1112" s="4" t="s">
        <v>66</v>
      </c>
      <c r="D1112" s="4" t="s">
        <v>2093</v>
      </c>
      <c r="E1112" s="4" t="s">
        <v>352</v>
      </c>
    </row>
    <row r="1113" spans="1:5" ht="31" customHeight="1">
      <c r="A1113" s="4" t="s">
        <v>357</v>
      </c>
      <c r="B1113" s="4" t="s">
        <v>346</v>
      </c>
      <c r="C1113" s="4" t="s">
        <v>67</v>
      </c>
      <c r="D1113" s="4" t="s">
        <v>2089</v>
      </c>
      <c r="E1113" s="4" t="s">
        <v>352</v>
      </c>
    </row>
    <row r="1114" spans="1:5" ht="31" customHeight="1">
      <c r="A1114" s="4" t="s">
        <v>357</v>
      </c>
      <c r="B1114" s="4" t="s">
        <v>346</v>
      </c>
      <c r="C1114" s="4" t="s">
        <v>68</v>
      </c>
      <c r="D1114" s="4" t="s">
        <v>2089</v>
      </c>
      <c r="E1114" s="4" t="s">
        <v>352</v>
      </c>
    </row>
    <row r="1115" spans="1:5" ht="31" customHeight="1">
      <c r="A1115" s="4" t="s">
        <v>357</v>
      </c>
      <c r="B1115" s="4" t="s">
        <v>346</v>
      </c>
      <c r="C1115" s="4" t="s">
        <v>69</v>
      </c>
      <c r="D1115" s="4" t="s">
        <v>2090</v>
      </c>
      <c r="E1115" s="4" t="s">
        <v>352</v>
      </c>
    </row>
    <row r="1116" spans="1:5" ht="31" customHeight="1">
      <c r="A1116" s="4" t="s">
        <v>357</v>
      </c>
      <c r="B1116" s="4" t="s">
        <v>346</v>
      </c>
      <c r="C1116" s="4" t="s">
        <v>70</v>
      </c>
      <c r="D1116" s="4" t="s">
        <v>2089</v>
      </c>
      <c r="E1116" s="4" t="s">
        <v>352</v>
      </c>
    </row>
    <row r="1117" spans="1:5" ht="31" customHeight="1">
      <c r="A1117" s="4" t="s">
        <v>357</v>
      </c>
      <c r="B1117" s="4" t="s">
        <v>346</v>
      </c>
      <c r="C1117" s="4" t="s">
        <v>71</v>
      </c>
      <c r="D1117" s="4" t="s">
        <v>2089</v>
      </c>
      <c r="E1117" s="4" t="s">
        <v>352</v>
      </c>
    </row>
    <row r="1118" spans="1:5" ht="31" customHeight="1">
      <c r="A1118" s="4" t="s">
        <v>357</v>
      </c>
      <c r="B1118" s="4" t="s">
        <v>346</v>
      </c>
      <c r="C1118" s="4" t="s">
        <v>73</v>
      </c>
      <c r="D1118" s="4" t="s">
        <v>2089</v>
      </c>
      <c r="E1118" s="4" t="s">
        <v>352</v>
      </c>
    </row>
    <row r="1119" spans="1:5" ht="31" customHeight="1">
      <c r="A1119" s="4" t="s">
        <v>357</v>
      </c>
      <c r="B1119" s="4" t="s">
        <v>346</v>
      </c>
      <c r="C1119" s="4" t="s">
        <v>75</v>
      </c>
      <c r="D1119" s="4" t="s">
        <v>2089</v>
      </c>
      <c r="E1119" s="4" t="s">
        <v>352</v>
      </c>
    </row>
    <row r="1120" spans="1:5" ht="31" customHeight="1">
      <c r="A1120" s="4" t="s">
        <v>357</v>
      </c>
      <c r="B1120" s="4" t="s">
        <v>346</v>
      </c>
      <c r="C1120" s="4" t="s">
        <v>76</v>
      </c>
      <c r="D1120" s="4" t="s">
        <v>2091</v>
      </c>
      <c r="E1120" s="4" t="s">
        <v>352</v>
      </c>
    </row>
    <row r="1121" spans="1:5" ht="31" customHeight="1">
      <c r="A1121" s="4" t="s">
        <v>360</v>
      </c>
      <c r="B1121" s="4" t="s">
        <v>346</v>
      </c>
      <c r="C1121" s="4" t="s">
        <v>35</v>
      </c>
      <c r="D1121" s="4" t="s">
        <v>2088</v>
      </c>
      <c r="E1121" s="4" t="s">
        <v>352</v>
      </c>
    </row>
    <row r="1122" spans="1:5" ht="31" customHeight="1">
      <c r="A1122" s="4" t="s">
        <v>360</v>
      </c>
      <c r="B1122" s="4" t="s">
        <v>346</v>
      </c>
      <c r="C1122" s="4" t="s">
        <v>37</v>
      </c>
      <c r="D1122" s="4" t="s">
        <v>2089</v>
      </c>
      <c r="E1122" s="4" t="s">
        <v>352</v>
      </c>
    </row>
    <row r="1123" spans="1:5" ht="31" customHeight="1">
      <c r="A1123" s="4" t="s">
        <v>360</v>
      </c>
      <c r="B1123" s="4" t="s">
        <v>346</v>
      </c>
      <c r="C1123" s="4" t="s">
        <v>61</v>
      </c>
      <c r="D1123" s="4" t="s">
        <v>2089</v>
      </c>
      <c r="E1123" s="4" t="s">
        <v>352</v>
      </c>
    </row>
    <row r="1124" spans="1:5" ht="31" customHeight="1">
      <c r="A1124" s="4" t="s">
        <v>360</v>
      </c>
      <c r="B1124" s="4" t="s">
        <v>346</v>
      </c>
      <c r="C1124" s="4" t="s">
        <v>68</v>
      </c>
      <c r="D1124" s="4" t="s">
        <v>2089</v>
      </c>
      <c r="E1124" s="4" t="s">
        <v>352</v>
      </c>
    </row>
    <row r="1125" spans="1:5" ht="31" customHeight="1">
      <c r="A1125" s="4" t="s">
        <v>360</v>
      </c>
      <c r="B1125" s="4" t="s">
        <v>346</v>
      </c>
      <c r="C1125" s="4" t="s">
        <v>70</v>
      </c>
      <c r="D1125" s="4" t="s">
        <v>2089</v>
      </c>
      <c r="E1125" s="4" t="s">
        <v>352</v>
      </c>
    </row>
    <row r="1126" spans="1:5" ht="31" customHeight="1">
      <c r="A1126" s="4" t="s">
        <v>360</v>
      </c>
      <c r="B1126" s="4" t="s">
        <v>346</v>
      </c>
      <c r="C1126" s="4" t="s">
        <v>75</v>
      </c>
      <c r="D1126" s="4" t="s">
        <v>2089</v>
      </c>
      <c r="E1126" s="4" t="s">
        <v>352</v>
      </c>
    </row>
    <row r="1127" spans="1:5" ht="31" customHeight="1">
      <c r="A1127" s="4" t="s">
        <v>360</v>
      </c>
      <c r="B1127" s="4" t="s">
        <v>346</v>
      </c>
      <c r="C1127" s="4" t="s">
        <v>76</v>
      </c>
      <c r="D1127" s="4" t="s">
        <v>2091</v>
      </c>
      <c r="E1127" s="4" t="s">
        <v>352</v>
      </c>
    </row>
    <row r="1128" spans="1:5" ht="31" customHeight="1">
      <c r="A1128" s="4" t="s">
        <v>363</v>
      </c>
      <c r="B1128" s="4" t="s">
        <v>346</v>
      </c>
      <c r="C1128" s="4" t="s">
        <v>35</v>
      </c>
      <c r="D1128" s="4" t="s">
        <v>2088</v>
      </c>
      <c r="E1128" s="4" t="s">
        <v>352</v>
      </c>
    </row>
    <row r="1129" spans="1:5" ht="31" customHeight="1">
      <c r="A1129" s="4" t="s">
        <v>363</v>
      </c>
      <c r="B1129" s="4" t="s">
        <v>346</v>
      </c>
      <c r="C1129" s="4" t="s">
        <v>37</v>
      </c>
      <c r="D1129" s="4" t="s">
        <v>2089</v>
      </c>
      <c r="E1129" s="4" t="s">
        <v>352</v>
      </c>
    </row>
    <row r="1130" spans="1:5" ht="31" customHeight="1">
      <c r="A1130" s="4" t="s">
        <v>363</v>
      </c>
      <c r="B1130" s="4" t="s">
        <v>346</v>
      </c>
      <c r="C1130" s="4" t="s">
        <v>68</v>
      </c>
      <c r="D1130" s="4" t="s">
        <v>2089</v>
      </c>
      <c r="E1130" s="4" t="s">
        <v>352</v>
      </c>
    </row>
    <row r="1131" spans="1:5" ht="31" customHeight="1">
      <c r="A1131" s="4" t="s">
        <v>363</v>
      </c>
      <c r="B1131" s="4" t="s">
        <v>346</v>
      </c>
      <c r="C1131" s="4" t="s">
        <v>70</v>
      </c>
      <c r="D1131" s="4" t="s">
        <v>2089</v>
      </c>
      <c r="E1131" s="4" t="s">
        <v>352</v>
      </c>
    </row>
    <row r="1132" spans="1:5" ht="31" customHeight="1">
      <c r="A1132" s="4" t="s">
        <v>363</v>
      </c>
      <c r="B1132" s="4" t="s">
        <v>346</v>
      </c>
      <c r="C1132" s="4" t="s">
        <v>75</v>
      </c>
      <c r="D1132" s="4" t="s">
        <v>2089</v>
      </c>
      <c r="E1132" s="4" t="s">
        <v>352</v>
      </c>
    </row>
    <row r="1133" spans="1:5" ht="31" customHeight="1">
      <c r="A1133" s="4" t="s">
        <v>363</v>
      </c>
      <c r="B1133" s="4" t="s">
        <v>346</v>
      </c>
      <c r="C1133" s="4" t="s">
        <v>76</v>
      </c>
      <c r="D1133" s="4" t="s">
        <v>2091</v>
      </c>
      <c r="E1133" s="4" t="s">
        <v>352</v>
      </c>
    </row>
    <row r="1134" spans="1:5" ht="31" customHeight="1">
      <c r="A1134" s="4" t="s">
        <v>366</v>
      </c>
      <c r="B1134" s="4" t="s">
        <v>346</v>
      </c>
      <c r="C1134" s="4" t="s">
        <v>35</v>
      </c>
      <c r="D1134" s="4" t="s">
        <v>2088</v>
      </c>
      <c r="E1134" s="4" t="s">
        <v>352</v>
      </c>
    </row>
    <row r="1135" spans="1:5" ht="31" customHeight="1">
      <c r="A1135" s="4" t="s">
        <v>366</v>
      </c>
      <c r="B1135" s="4" t="s">
        <v>346</v>
      </c>
      <c r="C1135" s="4" t="s">
        <v>37</v>
      </c>
      <c r="D1135" s="4" t="s">
        <v>2089</v>
      </c>
      <c r="E1135" s="4" t="s">
        <v>352</v>
      </c>
    </row>
    <row r="1136" spans="1:5" ht="31" customHeight="1">
      <c r="A1136" s="4" t="s">
        <v>366</v>
      </c>
      <c r="B1136" s="4" t="s">
        <v>346</v>
      </c>
      <c r="C1136" s="4" t="s">
        <v>62</v>
      </c>
      <c r="D1136" s="4" t="s">
        <v>2089</v>
      </c>
      <c r="E1136" s="4" t="s">
        <v>352</v>
      </c>
    </row>
    <row r="1137" spans="1:5" ht="31" customHeight="1">
      <c r="A1137" s="4" t="s">
        <v>366</v>
      </c>
      <c r="B1137" s="4" t="s">
        <v>346</v>
      </c>
      <c r="C1137" s="4" t="s">
        <v>68</v>
      </c>
      <c r="D1137" s="4" t="s">
        <v>2089</v>
      </c>
      <c r="E1137" s="4" t="s">
        <v>352</v>
      </c>
    </row>
    <row r="1138" spans="1:5" ht="31" customHeight="1">
      <c r="A1138" s="4" t="s">
        <v>366</v>
      </c>
      <c r="B1138" s="4" t="s">
        <v>346</v>
      </c>
      <c r="C1138" s="4" t="s">
        <v>70</v>
      </c>
      <c r="D1138" s="4" t="s">
        <v>2089</v>
      </c>
      <c r="E1138" s="4" t="s">
        <v>352</v>
      </c>
    </row>
    <row r="1139" spans="1:5" ht="31" customHeight="1">
      <c r="A1139" s="4" t="s">
        <v>366</v>
      </c>
      <c r="B1139" s="4" t="s">
        <v>346</v>
      </c>
      <c r="C1139" s="4" t="s">
        <v>76</v>
      </c>
      <c r="D1139" s="4" t="s">
        <v>2091</v>
      </c>
      <c r="E1139" s="4" t="s">
        <v>352</v>
      </c>
    </row>
    <row r="1140" spans="1:5" ht="31" customHeight="1">
      <c r="A1140" s="4" t="s">
        <v>371</v>
      </c>
      <c r="B1140" s="4" t="s">
        <v>346</v>
      </c>
      <c r="C1140" s="4" t="s">
        <v>35</v>
      </c>
      <c r="D1140" s="4" t="s">
        <v>2088</v>
      </c>
      <c r="E1140" s="4" t="s">
        <v>352</v>
      </c>
    </row>
    <row r="1141" spans="1:5" ht="31" customHeight="1">
      <c r="A1141" s="4" t="s">
        <v>371</v>
      </c>
      <c r="B1141" s="4" t="s">
        <v>346</v>
      </c>
      <c r="C1141" s="4" t="s">
        <v>37</v>
      </c>
      <c r="D1141" s="4" t="s">
        <v>2089</v>
      </c>
      <c r="E1141" s="4" t="s">
        <v>352</v>
      </c>
    </row>
    <row r="1142" spans="1:5" ht="31" customHeight="1">
      <c r="A1142" s="4" t="s">
        <v>371</v>
      </c>
      <c r="B1142" s="4" t="s">
        <v>346</v>
      </c>
      <c r="C1142" s="4" t="s">
        <v>61</v>
      </c>
      <c r="D1142" s="4" t="s">
        <v>2089</v>
      </c>
      <c r="E1142" s="4" t="s">
        <v>352</v>
      </c>
    </row>
    <row r="1143" spans="1:5" ht="31" customHeight="1">
      <c r="A1143" s="4" t="s">
        <v>371</v>
      </c>
      <c r="B1143" s="4" t="s">
        <v>346</v>
      </c>
      <c r="C1143" s="4" t="s">
        <v>62</v>
      </c>
      <c r="D1143" s="4" t="s">
        <v>2089</v>
      </c>
      <c r="E1143" s="4" t="s">
        <v>352</v>
      </c>
    </row>
    <row r="1144" spans="1:5" ht="31" customHeight="1">
      <c r="A1144" s="4" t="s">
        <v>371</v>
      </c>
      <c r="B1144" s="4" t="s">
        <v>346</v>
      </c>
      <c r="C1144" s="4" t="s">
        <v>68</v>
      </c>
      <c r="D1144" s="4" t="s">
        <v>2089</v>
      </c>
      <c r="E1144" s="4" t="s">
        <v>352</v>
      </c>
    </row>
    <row r="1145" spans="1:5" ht="31" customHeight="1">
      <c r="A1145" s="4" t="s">
        <v>371</v>
      </c>
      <c r="B1145" s="4" t="s">
        <v>346</v>
      </c>
      <c r="C1145" s="4" t="s">
        <v>70</v>
      </c>
      <c r="D1145" s="4" t="s">
        <v>2089</v>
      </c>
      <c r="E1145" s="4" t="s">
        <v>352</v>
      </c>
    </row>
    <row r="1146" spans="1:5" ht="31" customHeight="1">
      <c r="A1146" s="4" t="s">
        <v>371</v>
      </c>
      <c r="B1146" s="4" t="s">
        <v>346</v>
      </c>
      <c r="C1146" s="4" t="s">
        <v>76</v>
      </c>
      <c r="D1146" s="4" t="s">
        <v>2091</v>
      </c>
      <c r="E1146" s="4" t="s">
        <v>352</v>
      </c>
    </row>
    <row r="1147" spans="1:5" ht="31" customHeight="1">
      <c r="A1147" s="4" t="s">
        <v>375</v>
      </c>
      <c r="B1147" s="4" t="s">
        <v>346</v>
      </c>
      <c r="C1147" s="4" t="s">
        <v>35</v>
      </c>
      <c r="D1147" s="4" t="s">
        <v>2088</v>
      </c>
      <c r="E1147" s="4" t="s">
        <v>352</v>
      </c>
    </row>
    <row r="1148" spans="1:5" ht="31" customHeight="1">
      <c r="A1148" s="4" t="s">
        <v>375</v>
      </c>
      <c r="B1148" s="4" t="s">
        <v>346</v>
      </c>
      <c r="C1148" s="4" t="s">
        <v>37</v>
      </c>
      <c r="D1148" s="4" t="s">
        <v>2089</v>
      </c>
      <c r="E1148" s="4" t="s">
        <v>352</v>
      </c>
    </row>
    <row r="1149" spans="1:5" ht="31" customHeight="1">
      <c r="A1149" s="4" t="s">
        <v>375</v>
      </c>
      <c r="B1149" s="4" t="s">
        <v>346</v>
      </c>
      <c r="C1149" s="4" t="s">
        <v>62</v>
      </c>
      <c r="D1149" s="4" t="s">
        <v>2089</v>
      </c>
      <c r="E1149" s="4" t="s">
        <v>352</v>
      </c>
    </row>
    <row r="1150" spans="1:5" ht="31" customHeight="1">
      <c r="A1150" s="4" t="s">
        <v>375</v>
      </c>
      <c r="B1150" s="4" t="s">
        <v>346</v>
      </c>
      <c r="C1150" s="4" t="s">
        <v>68</v>
      </c>
      <c r="D1150" s="4" t="s">
        <v>2089</v>
      </c>
      <c r="E1150" s="4" t="s">
        <v>352</v>
      </c>
    </row>
    <row r="1151" spans="1:5" ht="31" customHeight="1">
      <c r="A1151" s="4" t="s">
        <v>375</v>
      </c>
      <c r="B1151" s="4" t="s">
        <v>346</v>
      </c>
      <c r="C1151" s="4" t="s">
        <v>70</v>
      </c>
      <c r="D1151" s="4" t="s">
        <v>2089</v>
      </c>
      <c r="E1151" s="4" t="s">
        <v>352</v>
      </c>
    </row>
    <row r="1152" spans="1:5" ht="31" customHeight="1">
      <c r="A1152" s="4" t="s">
        <v>375</v>
      </c>
      <c r="B1152" s="4" t="s">
        <v>346</v>
      </c>
      <c r="C1152" s="4" t="s">
        <v>76</v>
      </c>
      <c r="D1152" s="4" t="s">
        <v>2091</v>
      </c>
      <c r="E1152" s="4" t="s">
        <v>352</v>
      </c>
    </row>
    <row r="1153" spans="1:5" ht="31" customHeight="1">
      <c r="A1153" s="4" t="s">
        <v>378</v>
      </c>
      <c r="B1153" s="4" t="s">
        <v>346</v>
      </c>
      <c r="C1153" s="4" t="s">
        <v>35</v>
      </c>
      <c r="D1153" s="4" t="s">
        <v>2088</v>
      </c>
      <c r="E1153" s="4" t="s">
        <v>352</v>
      </c>
    </row>
    <row r="1154" spans="1:5" ht="31" customHeight="1">
      <c r="A1154" s="4" t="s">
        <v>378</v>
      </c>
      <c r="B1154" s="4" t="s">
        <v>346</v>
      </c>
      <c r="C1154" s="4" t="s">
        <v>37</v>
      </c>
      <c r="D1154" s="4" t="s">
        <v>2089</v>
      </c>
      <c r="E1154" s="4" t="s">
        <v>352</v>
      </c>
    </row>
    <row r="1155" spans="1:5" ht="31" customHeight="1">
      <c r="A1155" s="4" t="s">
        <v>378</v>
      </c>
      <c r="B1155" s="4" t="s">
        <v>346</v>
      </c>
      <c r="C1155" s="4" t="s">
        <v>62</v>
      </c>
      <c r="D1155" s="4" t="s">
        <v>2089</v>
      </c>
      <c r="E1155" s="4" t="s">
        <v>352</v>
      </c>
    </row>
    <row r="1156" spans="1:5" ht="31" customHeight="1">
      <c r="A1156" s="4" t="s">
        <v>378</v>
      </c>
      <c r="B1156" s="4" t="s">
        <v>346</v>
      </c>
      <c r="C1156" s="4" t="s">
        <v>68</v>
      </c>
      <c r="D1156" s="4" t="s">
        <v>2089</v>
      </c>
      <c r="E1156" s="4" t="s">
        <v>352</v>
      </c>
    </row>
    <row r="1157" spans="1:5" ht="31" customHeight="1">
      <c r="A1157" s="4" t="s">
        <v>378</v>
      </c>
      <c r="B1157" s="4" t="s">
        <v>346</v>
      </c>
      <c r="C1157" s="4" t="s">
        <v>70</v>
      </c>
      <c r="D1157" s="4" t="s">
        <v>2089</v>
      </c>
      <c r="E1157" s="4" t="s">
        <v>352</v>
      </c>
    </row>
    <row r="1158" spans="1:5" ht="31" customHeight="1">
      <c r="A1158" s="4" t="s">
        <v>378</v>
      </c>
      <c r="B1158" s="4" t="s">
        <v>346</v>
      </c>
      <c r="C1158" s="4" t="s">
        <v>76</v>
      </c>
      <c r="D1158" s="4" t="s">
        <v>2091</v>
      </c>
      <c r="E1158" s="4" t="s">
        <v>352</v>
      </c>
    </row>
    <row r="1159" spans="1:5" ht="31" customHeight="1">
      <c r="A1159" s="4" t="s">
        <v>381</v>
      </c>
      <c r="B1159" s="4" t="s">
        <v>346</v>
      </c>
      <c r="C1159" s="4" t="s">
        <v>35</v>
      </c>
      <c r="D1159" s="4" t="s">
        <v>2088</v>
      </c>
      <c r="E1159" s="4" t="s">
        <v>352</v>
      </c>
    </row>
    <row r="1160" spans="1:5" ht="31" customHeight="1">
      <c r="A1160" s="4" t="s">
        <v>381</v>
      </c>
      <c r="B1160" s="4" t="s">
        <v>346</v>
      </c>
      <c r="C1160" s="4" t="s">
        <v>37</v>
      </c>
      <c r="D1160" s="4" t="s">
        <v>2089</v>
      </c>
      <c r="E1160" s="4" t="s">
        <v>352</v>
      </c>
    </row>
    <row r="1161" spans="1:5" ht="31" customHeight="1">
      <c r="A1161" s="4" t="s">
        <v>381</v>
      </c>
      <c r="B1161" s="4" t="s">
        <v>346</v>
      </c>
      <c r="C1161" s="4" t="s">
        <v>61</v>
      </c>
      <c r="D1161" s="4" t="s">
        <v>2089</v>
      </c>
      <c r="E1161" s="4" t="s">
        <v>352</v>
      </c>
    </row>
    <row r="1162" spans="1:5" ht="31" customHeight="1">
      <c r="A1162" s="4" t="s">
        <v>381</v>
      </c>
      <c r="B1162" s="4" t="s">
        <v>346</v>
      </c>
      <c r="C1162" s="4" t="s">
        <v>62</v>
      </c>
      <c r="D1162" s="4" t="s">
        <v>2089</v>
      </c>
      <c r="E1162" s="4" t="s">
        <v>352</v>
      </c>
    </row>
    <row r="1163" spans="1:5" ht="31" customHeight="1">
      <c r="A1163" s="4" t="s">
        <v>381</v>
      </c>
      <c r="B1163" s="4" t="s">
        <v>346</v>
      </c>
      <c r="C1163" s="4" t="s">
        <v>68</v>
      </c>
      <c r="D1163" s="4" t="s">
        <v>2089</v>
      </c>
      <c r="E1163" s="4" t="s">
        <v>352</v>
      </c>
    </row>
    <row r="1164" spans="1:5" ht="31" customHeight="1">
      <c r="A1164" s="4" t="s">
        <v>381</v>
      </c>
      <c r="B1164" s="4" t="s">
        <v>346</v>
      </c>
      <c r="C1164" s="4" t="s">
        <v>70</v>
      </c>
      <c r="D1164" s="4" t="s">
        <v>2089</v>
      </c>
      <c r="E1164" s="4" t="s">
        <v>352</v>
      </c>
    </row>
    <row r="1165" spans="1:5" ht="31" customHeight="1">
      <c r="A1165" s="4" t="s">
        <v>381</v>
      </c>
      <c r="B1165" s="4" t="s">
        <v>346</v>
      </c>
      <c r="C1165" s="4" t="s">
        <v>76</v>
      </c>
      <c r="D1165" s="4" t="s">
        <v>2091</v>
      </c>
      <c r="E1165" s="4" t="s">
        <v>352</v>
      </c>
    </row>
    <row r="1166" spans="1:5" ht="31" customHeight="1">
      <c r="A1166" s="4" t="s">
        <v>384</v>
      </c>
      <c r="B1166" s="4" t="s">
        <v>385</v>
      </c>
      <c r="C1166" s="4" t="s">
        <v>35</v>
      </c>
      <c r="D1166" s="4" t="s">
        <v>2088</v>
      </c>
      <c r="E1166" s="4" t="s">
        <v>393</v>
      </c>
    </row>
    <row r="1167" spans="1:5" ht="31" customHeight="1">
      <c r="A1167" s="4" t="s">
        <v>384</v>
      </c>
      <c r="B1167" s="4" t="s">
        <v>385</v>
      </c>
      <c r="C1167" s="4" t="s">
        <v>36</v>
      </c>
      <c r="D1167" s="4" t="s">
        <v>2089</v>
      </c>
      <c r="E1167" s="4" t="s">
        <v>393</v>
      </c>
    </row>
    <row r="1168" spans="1:5" ht="31" customHeight="1">
      <c r="A1168" s="4" t="s">
        <v>384</v>
      </c>
      <c r="B1168" s="4" t="s">
        <v>385</v>
      </c>
      <c r="C1168" s="4" t="s">
        <v>37</v>
      </c>
      <c r="D1168" s="4" t="s">
        <v>2089</v>
      </c>
      <c r="E1168" s="4" t="s">
        <v>393</v>
      </c>
    </row>
    <row r="1169" spans="1:5" ht="31" customHeight="1">
      <c r="A1169" s="4" t="s">
        <v>384</v>
      </c>
      <c r="B1169" s="4" t="s">
        <v>385</v>
      </c>
      <c r="C1169" s="4" t="s">
        <v>38</v>
      </c>
      <c r="D1169" s="4" t="s">
        <v>2089</v>
      </c>
      <c r="E1169" s="4" t="s">
        <v>393</v>
      </c>
    </row>
    <row r="1170" spans="1:5" ht="31" customHeight="1">
      <c r="A1170" s="4" t="s">
        <v>384</v>
      </c>
      <c r="B1170" s="4" t="s">
        <v>385</v>
      </c>
      <c r="C1170" s="4" t="s">
        <v>39</v>
      </c>
      <c r="D1170" s="4" t="s">
        <v>2089</v>
      </c>
      <c r="E1170" s="4" t="s">
        <v>393</v>
      </c>
    </row>
    <row r="1171" spans="1:5" ht="31" customHeight="1">
      <c r="A1171" s="4" t="s">
        <v>384</v>
      </c>
      <c r="B1171" s="4" t="s">
        <v>385</v>
      </c>
      <c r="C1171" s="4" t="s">
        <v>40</v>
      </c>
      <c r="D1171" s="4" t="s">
        <v>2072</v>
      </c>
      <c r="E1171" s="4" t="s">
        <v>393</v>
      </c>
    </row>
    <row r="1172" spans="1:5" ht="31" customHeight="1">
      <c r="A1172" s="4" t="s">
        <v>384</v>
      </c>
      <c r="B1172" s="4" t="s">
        <v>385</v>
      </c>
      <c r="C1172" s="4" t="s">
        <v>41</v>
      </c>
      <c r="D1172" s="4" t="s">
        <v>2072</v>
      </c>
      <c r="E1172" s="4" t="s">
        <v>393</v>
      </c>
    </row>
    <row r="1173" spans="1:5" ht="31" customHeight="1">
      <c r="A1173" s="4" t="s">
        <v>384</v>
      </c>
      <c r="B1173" s="4" t="s">
        <v>385</v>
      </c>
      <c r="C1173" s="4" t="s">
        <v>42</v>
      </c>
      <c r="D1173" s="4" t="s">
        <v>2072</v>
      </c>
      <c r="E1173" s="4" t="s">
        <v>393</v>
      </c>
    </row>
    <row r="1174" spans="1:5" ht="31" customHeight="1">
      <c r="A1174" s="4" t="s">
        <v>384</v>
      </c>
      <c r="B1174" s="4" t="s">
        <v>385</v>
      </c>
      <c r="C1174" s="4" t="s">
        <v>43</v>
      </c>
      <c r="D1174" s="4" t="s">
        <v>2072</v>
      </c>
      <c r="E1174" s="4" t="s">
        <v>393</v>
      </c>
    </row>
    <row r="1175" spans="1:5" ht="31" customHeight="1">
      <c r="A1175" s="4" t="s">
        <v>384</v>
      </c>
      <c r="B1175" s="4" t="s">
        <v>385</v>
      </c>
      <c r="C1175" s="4" t="s">
        <v>44</v>
      </c>
      <c r="D1175" s="4" t="s">
        <v>2072</v>
      </c>
      <c r="E1175" s="4" t="s">
        <v>393</v>
      </c>
    </row>
    <row r="1176" spans="1:5" ht="31" customHeight="1">
      <c r="A1176" s="4" t="s">
        <v>384</v>
      </c>
      <c r="B1176" s="4" t="s">
        <v>385</v>
      </c>
      <c r="C1176" s="4" t="s">
        <v>45</v>
      </c>
      <c r="D1176" s="4" t="s">
        <v>2072</v>
      </c>
      <c r="E1176" s="4" t="s">
        <v>393</v>
      </c>
    </row>
    <row r="1177" spans="1:5" ht="31" customHeight="1">
      <c r="A1177" s="4" t="s">
        <v>384</v>
      </c>
      <c r="B1177" s="4" t="s">
        <v>385</v>
      </c>
      <c r="C1177" s="4" t="s">
        <v>46</v>
      </c>
      <c r="D1177" s="4" t="s">
        <v>2072</v>
      </c>
      <c r="E1177" s="4" t="s">
        <v>393</v>
      </c>
    </row>
    <row r="1178" spans="1:5" ht="31" customHeight="1">
      <c r="A1178" s="4" t="s">
        <v>384</v>
      </c>
      <c r="B1178" s="4" t="s">
        <v>385</v>
      </c>
      <c r="C1178" s="4" t="s">
        <v>47</v>
      </c>
      <c r="D1178" s="4" t="s">
        <v>2072</v>
      </c>
      <c r="E1178" s="4" t="s">
        <v>393</v>
      </c>
    </row>
    <row r="1179" spans="1:5" ht="31" customHeight="1">
      <c r="A1179" s="4" t="s">
        <v>384</v>
      </c>
      <c r="B1179" s="4" t="s">
        <v>385</v>
      </c>
      <c r="C1179" s="4" t="s">
        <v>48</v>
      </c>
      <c r="D1179" s="4" t="s">
        <v>2072</v>
      </c>
      <c r="E1179" s="4" t="s">
        <v>393</v>
      </c>
    </row>
    <row r="1180" spans="1:5" ht="31" customHeight="1">
      <c r="A1180" s="4" t="s">
        <v>384</v>
      </c>
      <c r="B1180" s="4" t="s">
        <v>385</v>
      </c>
      <c r="C1180" s="4" t="s">
        <v>49</v>
      </c>
      <c r="D1180" s="4" t="s">
        <v>2072</v>
      </c>
      <c r="E1180" s="4" t="s">
        <v>393</v>
      </c>
    </row>
    <row r="1181" spans="1:5" ht="31" customHeight="1">
      <c r="A1181" s="4" t="s">
        <v>384</v>
      </c>
      <c r="B1181" s="4" t="s">
        <v>385</v>
      </c>
      <c r="C1181" s="4" t="s">
        <v>50</v>
      </c>
      <c r="D1181" s="4" t="s">
        <v>2094</v>
      </c>
      <c r="E1181" s="4" t="s">
        <v>393</v>
      </c>
    </row>
    <row r="1182" spans="1:5" ht="31" customHeight="1">
      <c r="A1182" s="4" t="s">
        <v>384</v>
      </c>
      <c r="B1182" s="4" t="s">
        <v>385</v>
      </c>
      <c r="C1182" s="4" t="s">
        <v>51</v>
      </c>
      <c r="D1182" s="4" t="s">
        <v>2094</v>
      </c>
      <c r="E1182" s="4" t="s">
        <v>393</v>
      </c>
    </row>
    <row r="1183" spans="1:5" ht="31" customHeight="1">
      <c r="A1183" s="4" t="s">
        <v>384</v>
      </c>
      <c r="B1183" s="4" t="s">
        <v>385</v>
      </c>
      <c r="C1183" s="4" t="s">
        <v>52</v>
      </c>
      <c r="D1183" s="4" t="s">
        <v>2094</v>
      </c>
      <c r="E1183" s="4" t="s">
        <v>393</v>
      </c>
    </row>
    <row r="1184" spans="1:5" ht="31" customHeight="1">
      <c r="A1184" s="4" t="s">
        <v>384</v>
      </c>
      <c r="B1184" s="4" t="s">
        <v>385</v>
      </c>
      <c r="C1184" s="4" t="s">
        <v>53</v>
      </c>
      <c r="D1184" s="4" t="s">
        <v>2094</v>
      </c>
      <c r="E1184" s="4" t="s">
        <v>393</v>
      </c>
    </row>
    <row r="1185" spans="1:5" ht="31" customHeight="1">
      <c r="A1185" s="4" t="s">
        <v>384</v>
      </c>
      <c r="B1185" s="4" t="s">
        <v>385</v>
      </c>
      <c r="C1185" s="4" t="s">
        <v>54</v>
      </c>
      <c r="D1185" s="4" t="s">
        <v>2094</v>
      </c>
      <c r="E1185" s="4" t="s">
        <v>393</v>
      </c>
    </row>
    <row r="1186" spans="1:5" ht="31" customHeight="1">
      <c r="A1186" s="4" t="s">
        <v>384</v>
      </c>
      <c r="B1186" s="4" t="s">
        <v>385</v>
      </c>
      <c r="C1186" s="4" t="s">
        <v>56</v>
      </c>
      <c r="D1186" s="4" t="s">
        <v>2089</v>
      </c>
      <c r="E1186" s="4" t="s">
        <v>393</v>
      </c>
    </row>
    <row r="1187" spans="1:5" ht="31" customHeight="1">
      <c r="A1187" s="4" t="s">
        <v>384</v>
      </c>
      <c r="B1187" s="4" t="s">
        <v>385</v>
      </c>
      <c r="C1187" s="4" t="s">
        <v>57</v>
      </c>
      <c r="D1187" s="4" t="s">
        <v>2092</v>
      </c>
      <c r="E1187" s="4" t="s">
        <v>393</v>
      </c>
    </row>
    <row r="1188" spans="1:5" ht="31" customHeight="1">
      <c r="A1188" s="4" t="s">
        <v>384</v>
      </c>
      <c r="B1188" s="4" t="s">
        <v>385</v>
      </c>
      <c r="C1188" s="4" t="s">
        <v>58</v>
      </c>
      <c r="D1188" s="4" t="s">
        <v>2092</v>
      </c>
      <c r="E1188" s="4" t="s">
        <v>393</v>
      </c>
    </row>
    <row r="1189" spans="1:5" ht="31" customHeight="1">
      <c r="A1189" s="4" t="s">
        <v>384</v>
      </c>
      <c r="B1189" s="4" t="s">
        <v>385</v>
      </c>
      <c r="C1189" s="4" t="s">
        <v>60</v>
      </c>
      <c r="D1189" s="4" t="s">
        <v>2089</v>
      </c>
      <c r="E1189" s="4" t="s">
        <v>393</v>
      </c>
    </row>
    <row r="1190" spans="1:5" ht="31" customHeight="1">
      <c r="A1190" s="4" t="s">
        <v>384</v>
      </c>
      <c r="B1190" s="4" t="s">
        <v>385</v>
      </c>
      <c r="C1190" s="4" t="s">
        <v>61</v>
      </c>
      <c r="D1190" s="4" t="s">
        <v>2089</v>
      </c>
      <c r="E1190" s="4" t="s">
        <v>393</v>
      </c>
    </row>
    <row r="1191" spans="1:5" ht="31" customHeight="1">
      <c r="A1191" s="4" t="s">
        <v>384</v>
      </c>
      <c r="B1191" s="4" t="s">
        <v>385</v>
      </c>
      <c r="C1191" s="4" t="s">
        <v>62</v>
      </c>
      <c r="D1191" s="4" t="s">
        <v>2089</v>
      </c>
      <c r="E1191" s="4" t="s">
        <v>393</v>
      </c>
    </row>
    <row r="1192" spans="1:5" ht="31" customHeight="1">
      <c r="A1192" s="4" t="s">
        <v>384</v>
      </c>
      <c r="B1192" s="4" t="s">
        <v>385</v>
      </c>
      <c r="C1192" s="4" t="s">
        <v>63</v>
      </c>
      <c r="D1192" s="4" t="s">
        <v>2089</v>
      </c>
      <c r="E1192" s="4" t="s">
        <v>393</v>
      </c>
    </row>
    <row r="1193" spans="1:5" ht="31" customHeight="1">
      <c r="A1193" s="4" t="s">
        <v>384</v>
      </c>
      <c r="B1193" s="4" t="s">
        <v>385</v>
      </c>
      <c r="C1193" s="4" t="s">
        <v>64</v>
      </c>
      <c r="D1193" s="4" t="s">
        <v>2089</v>
      </c>
      <c r="E1193" s="4" t="s">
        <v>393</v>
      </c>
    </row>
    <row r="1194" spans="1:5" ht="31" customHeight="1">
      <c r="A1194" s="4" t="s">
        <v>384</v>
      </c>
      <c r="B1194" s="4" t="s">
        <v>385</v>
      </c>
      <c r="C1194" s="4" t="s">
        <v>65</v>
      </c>
      <c r="D1194" s="4" t="s">
        <v>2089</v>
      </c>
      <c r="E1194" s="4" t="s">
        <v>393</v>
      </c>
    </row>
    <row r="1195" spans="1:5" ht="31" customHeight="1">
      <c r="A1195" s="4" t="s">
        <v>384</v>
      </c>
      <c r="B1195" s="4" t="s">
        <v>385</v>
      </c>
      <c r="C1195" s="4" t="s">
        <v>66</v>
      </c>
      <c r="D1195" s="4" t="s">
        <v>2093</v>
      </c>
      <c r="E1195" s="4" t="s">
        <v>393</v>
      </c>
    </row>
    <row r="1196" spans="1:5" ht="31" customHeight="1">
      <c r="A1196" s="4" t="s">
        <v>384</v>
      </c>
      <c r="B1196" s="4" t="s">
        <v>385</v>
      </c>
      <c r="C1196" s="4" t="s">
        <v>67</v>
      </c>
      <c r="D1196" s="4" t="s">
        <v>2089</v>
      </c>
      <c r="E1196" s="4" t="s">
        <v>393</v>
      </c>
    </row>
    <row r="1197" spans="1:5" ht="31" customHeight="1">
      <c r="A1197" s="4" t="s">
        <v>384</v>
      </c>
      <c r="B1197" s="4" t="s">
        <v>385</v>
      </c>
      <c r="C1197" s="4" t="s">
        <v>68</v>
      </c>
      <c r="D1197" s="4" t="s">
        <v>2089</v>
      </c>
      <c r="E1197" s="4" t="s">
        <v>393</v>
      </c>
    </row>
    <row r="1198" spans="1:5" ht="31" customHeight="1">
      <c r="A1198" s="4" t="s">
        <v>384</v>
      </c>
      <c r="B1198" s="4" t="s">
        <v>385</v>
      </c>
      <c r="C1198" s="4" t="s">
        <v>70</v>
      </c>
      <c r="D1198" s="4" t="s">
        <v>2089</v>
      </c>
      <c r="E1198" s="4" t="s">
        <v>393</v>
      </c>
    </row>
    <row r="1199" spans="1:5" ht="31" customHeight="1">
      <c r="A1199" s="4" t="s">
        <v>384</v>
      </c>
      <c r="B1199" s="4" t="s">
        <v>385</v>
      </c>
      <c r="C1199" s="4" t="s">
        <v>71</v>
      </c>
      <c r="D1199" s="4" t="s">
        <v>2089</v>
      </c>
      <c r="E1199" s="4" t="s">
        <v>393</v>
      </c>
    </row>
    <row r="1200" spans="1:5" ht="31" customHeight="1">
      <c r="A1200" s="4" t="s">
        <v>384</v>
      </c>
      <c r="B1200" s="4" t="s">
        <v>385</v>
      </c>
      <c r="C1200" s="4" t="s">
        <v>75</v>
      </c>
      <c r="D1200" s="4" t="s">
        <v>2089</v>
      </c>
      <c r="E1200" s="4" t="s">
        <v>393</v>
      </c>
    </row>
    <row r="1201" spans="1:5" ht="31" customHeight="1">
      <c r="A1201" s="4" t="s">
        <v>384</v>
      </c>
      <c r="B1201" s="4" t="s">
        <v>385</v>
      </c>
      <c r="C1201" s="4" t="s">
        <v>76</v>
      </c>
      <c r="D1201" s="4" t="s">
        <v>2091</v>
      </c>
      <c r="E1201" s="4" t="s">
        <v>393</v>
      </c>
    </row>
    <row r="1202" spans="1:5" ht="31" customHeight="1">
      <c r="A1202" s="4" t="s">
        <v>395</v>
      </c>
      <c r="B1202" s="4" t="s">
        <v>385</v>
      </c>
      <c r="C1202" s="4" t="s">
        <v>35</v>
      </c>
      <c r="D1202" s="4" t="s">
        <v>2088</v>
      </c>
      <c r="E1202" s="4" t="s">
        <v>393</v>
      </c>
    </row>
    <row r="1203" spans="1:5" ht="31" customHeight="1">
      <c r="A1203" s="4" t="s">
        <v>395</v>
      </c>
      <c r="B1203" s="4" t="s">
        <v>385</v>
      </c>
      <c r="C1203" s="4" t="s">
        <v>36</v>
      </c>
      <c r="D1203" s="4" t="s">
        <v>2089</v>
      </c>
      <c r="E1203" s="4" t="s">
        <v>393</v>
      </c>
    </row>
    <row r="1204" spans="1:5" ht="31" customHeight="1">
      <c r="A1204" s="4" t="s">
        <v>395</v>
      </c>
      <c r="B1204" s="4" t="s">
        <v>385</v>
      </c>
      <c r="C1204" s="4" t="s">
        <v>37</v>
      </c>
      <c r="D1204" s="4" t="s">
        <v>2089</v>
      </c>
      <c r="E1204" s="4" t="s">
        <v>393</v>
      </c>
    </row>
    <row r="1205" spans="1:5" ht="31" customHeight="1">
      <c r="A1205" s="4" t="s">
        <v>395</v>
      </c>
      <c r="B1205" s="4" t="s">
        <v>385</v>
      </c>
      <c r="C1205" s="4" t="s">
        <v>38</v>
      </c>
      <c r="D1205" s="4" t="s">
        <v>2089</v>
      </c>
      <c r="E1205" s="4" t="s">
        <v>393</v>
      </c>
    </row>
    <row r="1206" spans="1:5" ht="31" customHeight="1">
      <c r="A1206" s="4" t="s">
        <v>395</v>
      </c>
      <c r="B1206" s="4" t="s">
        <v>385</v>
      </c>
      <c r="C1206" s="4" t="s">
        <v>39</v>
      </c>
      <c r="D1206" s="4" t="s">
        <v>2089</v>
      </c>
      <c r="E1206" s="4" t="s">
        <v>393</v>
      </c>
    </row>
    <row r="1207" spans="1:5" ht="31" customHeight="1">
      <c r="A1207" s="4" t="s">
        <v>395</v>
      </c>
      <c r="B1207" s="4" t="s">
        <v>385</v>
      </c>
      <c r="C1207" s="4" t="s">
        <v>40</v>
      </c>
      <c r="D1207" s="4" t="s">
        <v>2072</v>
      </c>
      <c r="E1207" s="4" t="s">
        <v>393</v>
      </c>
    </row>
    <row r="1208" spans="1:5" ht="31" customHeight="1">
      <c r="A1208" s="4" t="s">
        <v>395</v>
      </c>
      <c r="B1208" s="4" t="s">
        <v>385</v>
      </c>
      <c r="C1208" s="4" t="s">
        <v>41</v>
      </c>
      <c r="D1208" s="4" t="s">
        <v>2072</v>
      </c>
      <c r="E1208" s="4" t="s">
        <v>393</v>
      </c>
    </row>
    <row r="1209" spans="1:5" ht="31" customHeight="1">
      <c r="A1209" s="4" t="s">
        <v>395</v>
      </c>
      <c r="B1209" s="4" t="s">
        <v>385</v>
      </c>
      <c r="C1209" s="4" t="s">
        <v>42</v>
      </c>
      <c r="D1209" s="4" t="s">
        <v>2072</v>
      </c>
      <c r="E1209" s="4" t="s">
        <v>393</v>
      </c>
    </row>
    <row r="1210" spans="1:5" ht="31" customHeight="1">
      <c r="A1210" s="4" t="s">
        <v>395</v>
      </c>
      <c r="B1210" s="4" t="s">
        <v>385</v>
      </c>
      <c r="C1210" s="4" t="s">
        <v>43</v>
      </c>
      <c r="D1210" s="4" t="s">
        <v>2072</v>
      </c>
      <c r="E1210" s="4" t="s">
        <v>393</v>
      </c>
    </row>
    <row r="1211" spans="1:5" ht="31" customHeight="1">
      <c r="A1211" s="4" t="s">
        <v>395</v>
      </c>
      <c r="B1211" s="4" t="s">
        <v>385</v>
      </c>
      <c r="C1211" s="4" t="s">
        <v>44</v>
      </c>
      <c r="D1211" s="4" t="s">
        <v>2072</v>
      </c>
      <c r="E1211" s="4" t="s">
        <v>393</v>
      </c>
    </row>
    <row r="1212" spans="1:5" ht="31" customHeight="1">
      <c r="A1212" s="4" t="s">
        <v>395</v>
      </c>
      <c r="B1212" s="4" t="s">
        <v>385</v>
      </c>
      <c r="C1212" s="4" t="s">
        <v>45</v>
      </c>
      <c r="D1212" s="4" t="s">
        <v>2072</v>
      </c>
      <c r="E1212" s="4" t="s">
        <v>393</v>
      </c>
    </row>
    <row r="1213" spans="1:5" ht="31" customHeight="1">
      <c r="A1213" s="4" t="s">
        <v>395</v>
      </c>
      <c r="B1213" s="4" t="s">
        <v>385</v>
      </c>
      <c r="C1213" s="4" t="s">
        <v>46</v>
      </c>
      <c r="D1213" s="4" t="s">
        <v>2072</v>
      </c>
      <c r="E1213" s="4" t="s">
        <v>393</v>
      </c>
    </row>
    <row r="1214" spans="1:5" ht="31" customHeight="1">
      <c r="A1214" s="4" t="s">
        <v>395</v>
      </c>
      <c r="B1214" s="4" t="s">
        <v>385</v>
      </c>
      <c r="C1214" s="4" t="s">
        <v>47</v>
      </c>
      <c r="D1214" s="4" t="s">
        <v>2072</v>
      </c>
      <c r="E1214" s="4" t="s">
        <v>393</v>
      </c>
    </row>
    <row r="1215" spans="1:5" ht="31" customHeight="1">
      <c r="A1215" s="4" t="s">
        <v>395</v>
      </c>
      <c r="B1215" s="4" t="s">
        <v>385</v>
      </c>
      <c r="C1215" s="4" t="s">
        <v>48</v>
      </c>
      <c r="D1215" s="4" t="s">
        <v>2072</v>
      </c>
      <c r="E1215" s="4" t="s">
        <v>393</v>
      </c>
    </row>
    <row r="1216" spans="1:5" ht="31" customHeight="1">
      <c r="A1216" s="4" t="s">
        <v>395</v>
      </c>
      <c r="B1216" s="4" t="s">
        <v>385</v>
      </c>
      <c r="C1216" s="4" t="s">
        <v>49</v>
      </c>
      <c r="D1216" s="4" t="s">
        <v>2072</v>
      </c>
      <c r="E1216" s="4" t="s">
        <v>393</v>
      </c>
    </row>
    <row r="1217" spans="1:5" ht="31" customHeight="1">
      <c r="A1217" s="4" t="s">
        <v>395</v>
      </c>
      <c r="B1217" s="4" t="s">
        <v>385</v>
      </c>
      <c r="C1217" s="4" t="s">
        <v>50</v>
      </c>
      <c r="D1217" s="4" t="s">
        <v>2094</v>
      </c>
      <c r="E1217" s="4" t="s">
        <v>393</v>
      </c>
    </row>
    <row r="1218" spans="1:5" ht="31" customHeight="1">
      <c r="A1218" s="4" t="s">
        <v>395</v>
      </c>
      <c r="B1218" s="4" t="s">
        <v>385</v>
      </c>
      <c r="C1218" s="4" t="s">
        <v>51</v>
      </c>
      <c r="D1218" s="4" t="s">
        <v>2094</v>
      </c>
      <c r="E1218" s="4" t="s">
        <v>393</v>
      </c>
    </row>
    <row r="1219" spans="1:5" ht="31" customHeight="1">
      <c r="A1219" s="4" t="s">
        <v>395</v>
      </c>
      <c r="B1219" s="4" t="s">
        <v>385</v>
      </c>
      <c r="C1219" s="4" t="s">
        <v>52</v>
      </c>
      <c r="D1219" s="4" t="s">
        <v>2094</v>
      </c>
      <c r="E1219" s="4" t="s">
        <v>393</v>
      </c>
    </row>
    <row r="1220" spans="1:5" ht="31" customHeight="1">
      <c r="A1220" s="4" t="s">
        <v>395</v>
      </c>
      <c r="B1220" s="4" t="s">
        <v>385</v>
      </c>
      <c r="C1220" s="4" t="s">
        <v>53</v>
      </c>
      <c r="D1220" s="4" t="s">
        <v>2094</v>
      </c>
      <c r="E1220" s="4" t="s">
        <v>393</v>
      </c>
    </row>
    <row r="1221" spans="1:5" ht="31" customHeight="1">
      <c r="A1221" s="4" t="s">
        <v>395</v>
      </c>
      <c r="B1221" s="4" t="s">
        <v>385</v>
      </c>
      <c r="C1221" s="4" t="s">
        <v>54</v>
      </c>
      <c r="D1221" s="4" t="s">
        <v>2094</v>
      </c>
      <c r="E1221" s="4" t="s">
        <v>393</v>
      </c>
    </row>
    <row r="1222" spans="1:5" ht="31" customHeight="1">
      <c r="A1222" s="4" t="s">
        <v>395</v>
      </c>
      <c r="B1222" s="4" t="s">
        <v>385</v>
      </c>
      <c r="C1222" s="4" t="s">
        <v>56</v>
      </c>
      <c r="D1222" s="4" t="s">
        <v>2089</v>
      </c>
      <c r="E1222" s="4" t="s">
        <v>393</v>
      </c>
    </row>
    <row r="1223" spans="1:5" ht="31" customHeight="1">
      <c r="A1223" s="4" t="s">
        <v>395</v>
      </c>
      <c r="B1223" s="4" t="s">
        <v>385</v>
      </c>
      <c r="C1223" s="4" t="s">
        <v>57</v>
      </c>
      <c r="D1223" s="4" t="s">
        <v>2092</v>
      </c>
      <c r="E1223" s="4" t="s">
        <v>393</v>
      </c>
    </row>
    <row r="1224" spans="1:5" ht="31" customHeight="1">
      <c r="A1224" s="4" t="s">
        <v>395</v>
      </c>
      <c r="B1224" s="4" t="s">
        <v>385</v>
      </c>
      <c r="C1224" s="4" t="s">
        <v>58</v>
      </c>
      <c r="D1224" s="4" t="s">
        <v>2092</v>
      </c>
      <c r="E1224" s="4" t="s">
        <v>393</v>
      </c>
    </row>
    <row r="1225" spans="1:5" ht="31" customHeight="1">
      <c r="A1225" s="4" t="s">
        <v>395</v>
      </c>
      <c r="B1225" s="4" t="s">
        <v>385</v>
      </c>
      <c r="C1225" s="4" t="s">
        <v>60</v>
      </c>
      <c r="D1225" s="4" t="s">
        <v>2089</v>
      </c>
      <c r="E1225" s="4" t="s">
        <v>393</v>
      </c>
    </row>
    <row r="1226" spans="1:5" ht="31" customHeight="1">
      <c r="A1226" s="4" t="s">
        <v>395</v>
      </c>
      <c r="B1226" s="4" t="s">
        <v>385</v>
      </c>
      <c r="C1226" s="4" t="s">
        <v>61</v>
      </c>
      <c r="D1226" s="4" t="s">
        <v>2089</v>
      </c>
      <c r="E1226" s="4" t="s">
        <v>393</v>
      </c>
    </row>
    <row r="1227" spans="1:5" ht="31" customHeight="1">
      <c r="A1227" s="4" t="s">
        <v>395</v>
      </c>
      <c r="B1227" s="4" t="s">
        <v>385</v>
      </c>
      <c r="C1227" s="4" t="s">
        <v>62</v>
      </c>
      <c r="D1227" s="4" t="s">
        <v>2089</v>
      </c>
      <c r="E1227" s="4" t="s">
        <v>393</v>
      </c>
    </row>
    <row r="1228" spans="1:5" ht="31" customHeight="1">
      <c r="A1228" s="4" t="s">
        <v>395</v>
      </c>
      <c r="B1228" s="4" t="s">
        <v>385</v>
      </c>
      <c r="C1228" s="4" t="s">
        <v>63</v>
      </c>
      <c r="D1228" s="4" t="s">
        <v>2089</v>
      </c>
      <c r="E1228" s="4" t="s">
        <v>393</v>
      </c>
    </row>
    <row r="1229" spans="1:5" ht="31" customHeight="1">
      <c r="A1229" s="4" t="s">
        <v>395</v>
      </c>
      <c r="B1229" s="4" t="s">
        <v>385</v>
      </c>
      <c r="C1229" s="4" t="s">
        <v>64</v>
      </c>
      <c r="D1229" s="4" t="s">
        <v>2089</v>
      </c>
      <c r="E1229" s="4" t="s">
        <v>393</v>
      </c>
    </row>
    <row r="1230" spans="1:5" ht="31" customHeight="1">
      <c r="A1230" s="4" t="s">
        <v>395</v>
      </c>
      <c r="B1230" s="4" t="s">
        <v>385</v>
      </c>
      <c r="C1230" s="4" t="s">
        <v>65</v>
      </c>
      <c r="D1230" s="4" t="s">
        <v>2089</v>
      </c>
      <c r="E1230" s="4" t="s">
        <v>393</v>
      </c>
    </row>
    <row r="1231" spans="1:5" ht="31" customHeight="1">
      <c r="A1231" s="4" t="s">
        <v>395</v>
      </c>
      <c r="B1231" s="4" t="s">
        <v>385</v>
      </c>
      <c r="C1231" s="4" t="s">
        <v>66</v>
      </c>
      <c r="D1231" s="4" t="s">
        <v>2093</v>
      </c>
      <c r="E1231" s="4" t="s">
        <v>393</v>
      </c>
    </row>
    <row r="1232" spans="1:5" ht="31" customHeight="1">
      <c r="A1232" s="4" t="s">
        <v>395</v>
      </c>
      <c r="B1232" s="4" t="s">
        <v>385</v>
      </c>
      <c r="C1232" s="4" t="s">
        <v>67</v>
      </c>
      <c r="D1232" s="4" t="s">
        <v>2089</v>
      </c>
      <c r="E1232" s="4" t="s">
        <v>393</v>
      </c>
    </row>
    <row r="1233" spans="1:5" ht="31" customHeight="1">
      <c r="A1233" s="4" t="s">
        <v>395</v>
      </c>
      <c r="B1233" s="4" t="s">
        <v>385</v>
      </c>
      <c r="C1233" s="4" t="s">
        <v>68</v>
      </c>
      <c r="D1233" s="4" t="s">
        <v>2089</v>
      </c>
      <c r="E1233" s="4" t="s">
        <v>393</v>
      </c>
    </row>
    <row r="1234" spans="1:5" ht="31" customHeight="1">
      <c r="A1234" s="4" t="s">
        <v>395</v>
      </c>
      <c r="B1234" s="4" t="s">
        <v>385</v>
      </c>
      <c r="C1234" s="4" t="s">
        <v>70</v>
      </c>
      <c r="D1234" s="4" t="s">
        <v>2089</v>
      </c>
      <c r="E1234" s="4" t="s">
        <v>393</v>
      </c>
    </row>
    <row r="1235" spans="1:5" ht="31" customHeight="1">
      <c r="A1235" s="4" t="s">
        <v>395</v>
      </c>
      <c r="B1235" s="4" t="s">
        <v>385</v>
      </c>
      <c r="C1235" s="4" t="s">
        <v>71</v>
      </c>
      <c r="D1235" s="4" t="s">
        <v>2089</v>
      </c>
      <c r="E1235" s="4" t="s">
        <v>393</v>
      </c>
    </row>
    <row r="1236" spans="1:5" ht="31" customHeight="1">
      <c r="A1236" s="4" t="s">
        <v>395</v>
      </c>
      <c r="B1236" s="4" t="s">
        <v>385</v>
      </c>
      <c r="C1236" s="4" t="s">
        <v>75</v>
      </c>
      <c r="D1236" s="4" t="s">
        <v>2089</v>
      </c>
      <c r="E1236" s="4" t="s">
        <v>393</v>
      </c>
    </row>
    <row r="1237" spans="1:5" ht="31" customHeight="1">
      <c r="A1237" s="4" t="s">
        <v>395</v>
      </c>
      <c r="B1237" s="4" t="s">
        <v>385</v>
      </c>
      <c r="C1237" s="4" t="s">
        <v>76</v>
      </c>
      <c r="D1237" s="4" t="s">
        <v>2091</v>
      </c>
      <c r="E1237" s="4" t="s">
        <v>393</v>
      </c>
    </row>
    <row r="1238" spans="1:5" ht="31" customHeight="1">
      <c r="A1238" s="4" t="s">
        <v>397</v>
      </c>
      <c r="B1238" s="4" t="s">
        <v>385</v>
      </c>
      <c r="C1238" s="4" t="s">
        <v>35</v>
      </c>
      <c r="D1238" s="4" t="s">
        <v>2088</v>
      </c>
      <c r="E1238" s="4" t="s">
        <v>393</v>
      </c>
    </row>
    <row r="1239" spans="1:5" ht="31" customHeight="1">
      <c r="A1239" s="4" t="s">
        <v>397</v>
      </c>
      <c r="B1239" s="4" t="s">
        <v>385</v>
      </c>
      <c r="C1239" s="4" t="s">
        <v>36</v>
      </c>
      <c r="D1239" s="4" t="s">
        <v>2089</v>
      </c>
      <c r="E1239" s="4" t="s">
        <v>393</v>
      </c>
    </row>
    <row r="1240" spans="1:5" ht="31" customHeight="1">
      <c r="A1240" s="4" t="s">
        <v>397</v>
      </c>
      <c r="B1240" s="4" t="s">
        <v>385</v>
      </c>
      <c r="C1240" s="4" t="s">
        <v>37</v>
      </c>
      <c r="D1240" s="4" t="s">
        <v>2089</v>
      </c>
      <c r="E1240" s="4" t="s">
        <v>393</v>
      </c>
    </row>
    <row r="1241" spans="1:5" ht="31" customHeight="1">
      <c r="A1241" s="4" t="s">
        <v>397</v>
      </c>
      <c r="B1241" s="4" t="s">
        <v>385</v>
      </c>
      <c r="C1241" s="4" t="s">
        <v>38</v>
      </c>
      <c r="D1241" s="4" t="s">
        <v>2089</v>
      </c>
      <c r="E1241" s="4" t="s">
        <v>393</v>
      </c>
    </row>
    <row r="1242" spans="1:5" ht="31" customHeight="1">
      <c r="A1242" s="4" t="s">
        <v>397</v>
      </c>
      <c r="B1242" s="4" t="s">
        <v>385</v>
      </c>
      <c r="C1242" s="4" t="s">
        <v>39</v>
      </c>
      <c r="D1242" s="4" t="s">
        <v>2089</v>
      </c>
      <c r="E1242" s="4" t="s">
        <v>393</v>
      </c>
    </row>
    <row r="1243" spans="1:5" ht="31" customHeight="1">
      <c r="A1243" s="4" t="s">
        <v>397</v>
      </c>
      <c r="B1243" s="4" t="s">
        <v>385</v>
      </c>
      <c r="C1243" s="4" t="s">
        <v>40</v>
      </c>
      <c r="D1243" s="4" t="s">
        <v>2072</v>
      </c>
      <c r="E1243" s="4" t="s">
        <v>393</v>
      </c>
    </row>
    <row r="1244" spans="1:5" ht="31" customHeight="1">
      <c r="A1244" s="4" t="s">
        <v>397</v>
      </c>
      <c r="B1244" s="4" t="s">
        <v>385</v>
      </c>
      <c r="C1244" s="4" t="s">
        <v>41</v>
      </c>
      <c r="D1244" s="4" t="s">
        <v>2072</v>
      </c>
      <c r="E1244" s="4" t="s">
        <v>393</v>
      </c>
    </row>
    <row r="1245" spans="1:5" ht="31" customHeight="1">
      <c r="A1245" s="4" t="s">
        <v>397</v>
      </c>
      <c r="B1245" s="4" t="s">
        <v>385</v>
      </c>
      <c r="C1245" s="4" t="s">
        <v>42</v>
      </c>
      <c r="D1245" s="4" t="s">
        <v>2072</v>
      </c>
      <c r="E1245" s="4" t="s">
        <v>393</v>
      </c>
    </row>
    <row r="1246" spans="1:5" ht="31" customHeight="1">
      <c r="A1246" s="4" t="s">
        <v>397</v>
      </c>
      <c r="B1246" s="4" t="s">
        <v>385</v>
      </c>
      <c r="C1246" s="4" t="s">
        <v>43</v>
      </c>
      <c r="D1246" s="4" t="s">
        <v>2072</v>
      </c>
      <c r="E1246" s="4" t="s">
        <v>393</v>
      </c>
    </row>
    <row r="1247" spans="1:5" ht="31" customHeight="1">
      <c r="A1247" s="4" t="s">
        <v>397</v>
      </c>
      <c r="B1247" s="4" t="s">
        <v>385</v>
      </c>
      <c r="C1247" s="4" t="s">
        <v>44</v>
      </c>
      <c r="D1247" s="4" t="s">
        <v>2072</v>
      </c>
      <c r="E1247" s="4" t="s">
        <v>393</v>
      </c>
    </row>
    <row r="1248" spans="1:5" ht="31" customHeight="1">
      <c r="A1248" s="4" t="s">
        <v>397</v>
      </c>
      <c r="B1248" s="4" t="s">
        <v>385</v>
      </c>
      <c r="C1248" s="4" t="s">
        <v>45</v>
      </c>
      <c r="D1248" s="4" t="s">
        <v>2072</v>
      </c>
      <c r="E1248" s="4" t="s">
        <v>393</v>
      </c>
    </row>
    <row r="1249" spans="1:5" ht="31" customHeight="1">
      <c r="A1249" s="4" t="s">
        <v>397</v>
      </c>
      <c r="B1249" s="4" t="s">
        <v>385</v>
      </c>
      <c r="C1249" s="4" t="s">
        <v>46</v>
      </c>
      <c r="D1249" s="4" t="s">
        <v>2072</v>
      </c>
      <c r="E1249" s="4" t="s">
        <v>393</v>
      </c>
    </row>
    <row r="1250" spans="1:5" ht="31" customHeight="1">
      <c r="A1250" s="4" t="s">
        <v>397</v>
      </c>
      <c r="B1250" s="4" t="s">
        <v>385</v>
      </c>
      <c r="C1250" s="4" t="s">
        <v>47</v>
      </c>
      <c r="D1250" s="4" t="s">
        <v>2072</v>
      </c>
      <c r="E1250" s="4" t="s">
        <v>393</v>
      </c>
    </row>
    <row r="1251" spans="1:5" ht="31" customHeight="1">
      <c r="A1251" s="4" t="s">
        <v>397</v>
      </c>
      <c r="B1251" s="4" t="s">
        <v>385</v>
      </c>
      <c r="C1251" s="4" t="s">
        <v>48</v>
      </c>
      <c r="D1251" s="4" t="s">
        <v>2072</v>
      </c>
      <c r="E1251" s="4" t="s">
        <v>393</v>
      </c>
    </row>
    <row r="1252" spans="1:5" ht="31" customHeight="1">
      <c r="A1252" s="4" t="s">
        <v>397</v>
      </c>
      <c r="B1252" s="4" t="s">
        <v>385</v>
      </c>
      <c r="C1252" s="4" t="s">
        <v>49</v>
      </c>
      <c r="D1252" s="4" t="s">
        <v>2072</v>
      </c>
      <c r="E1252" s="4" t="s">
        <v>393</v>
      </c>
    </row>
    <row r="1253" spans="1:5" ht="31" customHeight="1">
      <c r="A1253" s="4" t="s">
        <v>397</v>
      </c>
      <c r="B1253" s="4" t="s">
        <v>385</v>
      </c>
      <c r="C1253" s="4" t="s">
        <v>50</v>
      </c>
      <c r="D1253" s="4" t="s">
        <v>2094</v>
      </c>
      <c r="E1253" s="4" t="s">
        <v>393</v>
      </c>
    </row>
    <row r="1254" spans="1:5" ht="31" customHeight="1">
      <c r="A1254" s="4" t="s">
        <v>397</v>
      </c>
      <c r="B1254" s="4" t="s">
        <v>385</v>
      </c>
      <c r="C1254" s="4" t="s">
        <v>51</v>
      </c>
      <c r="D1254" s="4" t="s">
        <v>2094</v>
      </c>
      <c r="E1254" s="4" t="s">
        <v>393</v>
      </c>
    </row>
    <row r="1255" spans="1:5" ht="31" customHeight="1">
      <c r="A1255" s="4" t="s">
        <v>397</v>
      </c>
      <c r="B1255" s="4" t="s">
        <v>385</v>
      </c>
      <c r="C1255" s="4" t="s">
        <v>52</v>
      </c>
      <c r="D1255" s="4" t="s">
        <v>2094</v>
      </c>
      <c r="E1255" s="4" t="s">
        <v>393</v>
      </c>
    </row>
    <row r="1256" spans="1:5" ht="31" customHeight="1">
      <c r="A1256" s="4" t="s">
        <v>397</v>
      </c>
      <c r="B1256" s="4" t="s">
        <v>385</v>
      </c>
      <c r="C1256" s="4" t="s">
        <v>53</v>
      </c>
      <c r="D1256" s="4" t="s">
        <v>2094</v>
      </c>
      <c r="E1256" s="4" t="s">
        <v>393</v>
      </c>
    </row>
    <row r="1257" spans="1:5" ht="31" customHeight="1">
      <c r="A1257" s="4" t="s">
        <v>397</v>
      </c>
      <c r="B1257" s="4" t="s">
        <v>385</v>
      </c>
      <c r="C1257" s="4" t="s">
        <v>54</v>
      </c>
      <c r="D1257" s="4" t="s">
        <v>2094</v>
      </c>
      <c r="E1257" s="4" t="s">
        <v>393</v>
      </c>
    </row>
    <row r="1258" spans="1:5" ht="31" customHeight="1">
      <c r="A1258" s="4" t="s">
        <v>397</v>
      </c>
      <c r="B1258" s="4" t="s">
        <v>385</v>
      </c>
      <c r="C1258" s="4" t="s">
        <v>56</v>
      </c>
      <c r="D1258" s="4" t="s">
        <v>2089</v>
      </c>
      <c r="E1258" s="4" t="s">
        <v>393</v>
      </c>
    </row>
    <row r="1259" spans="1:5" ht="31" customHeight="1">
      <c r="A1259" s="4" t="s">
        <v>397</v>
      </c>
      <c r="B1259" s="4" t="s">
        <v>385</v>
      </c>
      <c r="C1259" s="4" t="s">
        <v>57</v>
      </c>
      <c r="D1259" s="4" t="s">
        <v>2092</v>
      </c>
      <c r="E1259" s="4" t="s">
        <v>393</v>
      </c>
    </row>
    <row r="1260" spans="1:5" ht="31" customHeight="1">
      <c r="A1260" s="4" t="s">
        <v>397</v>
      </c>
      <c r="B1260" s="4" t="s">
        <v>385</v>
      </c>
      <c r="C1260" s="4" t="s">
        <v>58</v>
      </c>
      <c r="D1260" s="4" t="s">
        <v>2092</v>
      </c>
      <c r="E1260" s="4" t="s">
        <v>393</v>
      </c>
    </row>
    <row r="1261" spans="1:5" ht="31" customHeight="1">
      <c r="A1261" s="4" t="s">
        <v>397</v>
      </c>
      <c r="B1261" s="4" t="s">
        <v>385</v>
      </c>
      <c r="C1261" s="4" t="s">
        <v>60</v>
      </c>
      <c r="D1261" s="4" t="s">
        <v>2089</v>
      </c>
      <c r="E1261" s="4" t="s">
        <v>393</v>
      </c>
    </row>
    <row r="1262" spans="1:5" ht="31" customHeight="1">
      <c r="A1262" s="4" t="s">
        <v>397</v>
      </c>
      <c r="B1262" s="4" t="s">
        <v>385</v>
      </c>
      <c r="C1262" s="4" t="s">
        <v>61</v>
      </c>
      <c r="D1262" s="4" t="s">
        <v>2089</v>
      </c>
      <c r="E1262" s="4" t="s">
        <v>393</v>
      </c>
    </row>
    <row r="1263" spans="1:5" ht="31" customHeight="1">
      <c r="A1263" s="4" t="s">
        <v>397</v>
      </c>
      <c r="B1263" s="4" t="s">
        <v>385</v>
      </c>
      <c r="C1263" s="4" t="s">
        <v>62</v>
      </c>
      <c r="D1263" s="4" t="s">
        <v>2089</v>
      </c>
      <c r="E1263" s="4" t="s">
        <v>393</v>
      </c>
    </row>
    <row r="1264" spans="1:5" ht="31" customHeight="1">
      <c r="A1264" s="4" t="s">
        <v>397</v>
      </c>
      <c r="B1264" s="4" t="s">
        <v>385</v>
      </c>
      <c r="C1264" s="4" t="s">
        <v>63</v>
      </c>
      <c r="D1264" s="4" t="s">
        <v>2089</v>
      </c>
      <c r="E1264" s="4" t="s">
        <v>393</v>
      </c>
    </row>
    <row r="1265" spans="1:5" ht="31" customHeight="1">
      <c r="A1265" s="4" t="s">
        <v>397</v>
      </c>
      <c r="B1265" s="4" t="s">
        <v>385</v>
      </c>
      <c r="C1265" s="4" t="s">
        <v>64</v>
      </c>
      <c r="D1265" s="4" t="s">
        <v>2089</v>
      </c>
      <c r="E1265" s="4" t="s">
        <v>393</v>
      </c>
    </row>
    <row r="1266" spans="1:5" ht="31" customHeight="1">
      <c r="A1266" s="4" t="s">
        <v>397</v>
      </c>
      <c r="B1266" s="4" t="s">
        <v>385</v>
      </c>
      <c r="C1266" s="4" t="s">
        <v>65</v>
      </c>
      <c r="D1266" s="4" t="s">
        <v>2089</v>
      </c>
      <c r="E1266" s="4" t="s">
        <v>393</v>
      </c>
    </row>
    <row r="1267" spans="1:5" ht="31" customHeight="1">
      <c r="A1267" s="4" t="s">
        <v>397</v>
      </c>
      <c r="B1267" s="4" t="s">
        <v>385</v>
      </c>
      <c r="C1267" s="4" t="s">
        <v>66</v>
      </c>
      <c r="D1267" s="4" t="s">
        <v>2093</v>
      </c>
      <c r="E1267" s="4" t="s">
        <v>393</v>
      </c>
    </row>
    <row r="1268" spans="1:5" ht="31" customHeight="1">
      <c r="A1268" s="4" t="s">
        <v>397</v>
      </c>
      <c r="B1268" s="4" t="s">
        <v>385</v>
      </c>
      <c r="C1268" s="4" t="s">
        <v>67</v>
      </c>
      <c r="D1268" s="4" t="s">
        <v>2089</v>
      </c>
      <c r="E1268" s="4" t="s">
        <v>393</v>
      </c>
    </row>
    <row r="1269" spans="1:5" ht="31" customHeight="1">
      <c r="A1269" s="4" t="s">
        <v>397</v>
      </c>
      <c r="B1269" s="4" t="s">
        <v>385</v>
      </c>
      <c r="C1269" s="4" t="s">
        <v>68</v>
      </c>
      <c r="D1269" s="4" t="s">
        <v>2089</v>
      </c>
      <c r="E1269" s="4" t="s">
        <v>393</v>
      </c>
    </row>
    <row r="1270" spans="1:5" ht="31" customHeight="1">
      <c r="A1270" s="4" t="s">
        <v>397</v>
      </c>
      <c r="B1270" s="4" t="s">
        <v>385</v>
      </c>
      <c r="C1270" s="4" t="s">
        <v>70</v>
      </c>
      <c r="D1270" s="4" t="s">
        <v>2089</v>
      </c>
      <c r="E1270" s="4" t="s">
        <v>393</v>
      </c>
    </row>
    <row r="1271" spans="1:5" ht="31" customHeight="1">
      <c r="A1271" s="4" t="s">
        <v>397</v>
      </c>
      <c r="B1271" s="4" t="s">
        <v>385</v>
      </c>
      <c r="C1271" s="4" t="s">
        <v>71</v>
      </c>
      <c r="D1271" s="4" t="s">
        <v>2089</v>
      </c>
      <c r="E1271" s="4" t="s">
        <v>393</v>
      </c>
    </row>
    <row r="1272" spans="1:5" ht="31" customHeight="1">
      <c r="A1272" s="4" t="s">
        <v>397</v>
      </c>
      <c r="B1272" s="4" t="s">
        <v>385</v>
      </c>
      <c r="C1272" s="4" t="s">
        <v>75</v>
      </c>
      <c r="D1272" s="4" t="s">
        <v>2089</v>
      </c>
      <c r="E1272" s="4" t="s">
        <v>393</v>
      </c>
    </row>
    <row r="1273" spans="1:5" ht="31" customHeight="1">
      <c r="A1273" s="4" t="s">
        <v>397</v>
      </c>
      <c r="B1273" s="4" t="s">
        <v>385</v>
      </c>
      <c r="C1273" s="4" t="s">
        <v>76</v>
      </c>
      <c r="D1273" s="4" t="s">
        <v>2091</v>
      </c>
      <c r="E1273" s="4" t="s">
        <v>393</v>
      </c>
    </row>
    <row r="1274" spans="1:5" ht="31" customHeight="1">
      <c r="A1274" s="4" t="s">
        <v>399</v>
      </c>
      <c r="B1274" s="4" t="s">
        <v>385</v>
      </c>
      <c r="C1274" s="4" t="s">
        <v>35</v>
      </c>
      <c r="D1274" s="4" t="s">
        <v>2088</v>
      </c>
      <c r="E1274" s="4" t="s">
        <v>393</v>
      </c>
    </row>
    <row r="1275" spans="1:5" ht="31" customHeight="1">
      <c r="A1275" s="4" t="s">
        <v>399</v>
      </c>
      <c r="B1275" s="4" t="s">
        <v>385</v>
      </c>
      <c r="C1275" s="4" t="s">
        <v>36</v>
      </c>
      <c r="D1275" s="4" t="s">
        <v>2089</v>
      </c>
      <c r="E1275" s="4" t="s">
        <v>393</v>
      </c>
    </row>
    <row r="1276" spans="1:5" ht="31" customHeight="1">
      <c r="A1276" s="4" t="s">
        <v>399</v>
      </c>
      <c r="B1276" s="4" t="s">
        <v>385</v>
      </c>
      <c r="C1276" s="4" t="s">
        <v>37</v>
      </c>
      <c r="D1276" s="4" t="s">
        <v>2089</v>
      </c>
      <c r="E1276" s="4" t="s">
        <v>393</v>
      </c>
    </row>
    <row r="1277" spans="1:5" ht="31" customHeight="1">
      <c r="A1277" s="4" t="s">
        <v>399</v>
      </c>
      <c r="B1277" s="4" t="s">
        <v>385</v>
      </c>
      <c r="C1277" s="4" t="s">
        <v>38</v>
      </c>
      <c r="D1277" s="4" t="s">
        <v>2089</v>
      </c>
      <c r="E1277" s="4" t="s">
        <v>393</v>
      </c>
    </row>
    <row r="1278" spans="1:5" ht="31" customHeight="1">
      <c r="A1278" s="4" t="s">
        <v>399</v>
      </c>
      <c r="B1278" s="4" t="s">
        <v>385</v>
      </c>
      <c r="C1278" s="4" t="s">
        <v>39</v>
      </c>
      <c r="D1278" s="4" t="s">
        <v>2089</v>
      </c>
      <c r="E1278" s="4" t="s">
        <v>393</v>
      </c>
    </row>
    <row r="1279" spans="1:5" ht="31" customHeight="1">
      <c r="A1279" s="4" t="s">
        <v>399</v>
      </c>
      <c r="B1279" s="4" t="s">
        <v>385</v>
      </c>
      <c r="C1279" s="4" t="s">
        <v>40</v>
      </c>
      <c r="D1279" s="4" t="s">
        <v>2073</v>
      </c>
      <c r="E1279" s="4" t="s">
        <v>393</v>
      </c>
    </row>
    <row r="1280" spans="1:5" ht="31" customHeight="1">
      <c r="A1280" s="4" t="s">
        <v>399</v>
      </c>
      <c r="B1280" s="4" t="s">
        <v>385</v>
      </c>
      <c r="C1280" s="4" t="s">
        <v>41</v>
      </c>
      <c r="D1280" s="4" t="s">
        <v>2073</v>
      </c>
      <c r="E1280" s="4" t="s">
        <v>393</v>
      </c>
    </row>
    <row r="1281" spans="1:5" ht="31" customHeight="1">
      <c r="A1281" s="4" t="s">
        <v>399</v>
      </c>
      <c r="B1281" s="4" t="s">
        <v>385</v>
      </c>
      <c r="C1281" s="4" t="s">
        <v>42</v>
      </c>
      <c r="D1281" s="4" t="s">
        <v>2073</v>
      </c>
      <c r="E1281" s="4" t="s">
        <v>393</v>
      </c>
    </row>
    <row r="1282" spans="1:5" ht="31" customHeight="1">
      <c r="A1282" s="4" t="s">
        <v>399</v>
      </c>
      <c r="B1282" s="4" t="s">
        <v>385</v>
      </c>
      <c r="C1282" s="4" t="s">
        <v>43</v>
      </c>
      <c r="D1282" s="4" t="s">
        <v>2073</v>
      </c>
      <c r="E1282" s="4" t="s">
        <v>393</v>
      </c>
    </row>
    <row r="1283" spans="1:5" ht="31" customHeight="1">
      <c r="A1283" s="4" t="s">
        <v>399</v>
      </c>
      <c r="B1283" s="4" t="s">
        <v>385</v>
      </c>
      <c r="C1283" s="4" t="s">
        <v>44</v>
      </c>
      <c r="D1283" s="4" t="s">
        <v>2073</v>
      </c>
      <c r="E1283" s="4" t="s">
        <v>393</v>
      </c>
    </row>
    <row r="1284" spans="1:5" ht="31" customHeight="1">
      <c r="A1284" s="4" t="s">
        <v>399</v>
      </c>
      <c r="B1284" s="4" t="s">
        <v>385</v>
      </c>
      <c r="C1284" s="4" t="s">
        <v>45</v>
      </c>
      <c r="D1284" s="4" t="s">
        <v>2073</v>
      </c>
      <c r="E1284" s="4" t="s">
        <v>393</v>
      </c>
    </row>
    <row r="1285" spans="1:5" ht="31" customHeight="1">
      <c r="A1285" s="4" t="s">
        <v>399</v>
      </c>
      <c r="B1285" s="4" t="s">
        <v>385</v>
      </c>
      <c r="C1285" s="4" t="s">
        <v>46</v>
      </c>
      <c r="D1285" s="4" t="s">
        <v>2073</v>
      </c>
      <c r="E1285" s="4" t="s">
        <v>393</v>
      </c>
    </row>
    <row r="1286" spans="1:5" ht="31" customHeight="1">
      <c r="A1286" s="4" t="s">
        <v>399</v>
      </c>
      <c r="B1286" s="4" t="s">
        <v>385</v>
      </c>
      <c r="C1286" s="4" t="s">
        <v>47</v>
      </c>
      <c r="D1286" s="4" t="s">
        <v>2073</v>
      </c>
      <c r="E1286" s="4" t="s">
        <v>393</v>
      </c>
    </row>
    <row r="1287" spans="1:5" ht="31" customHeight="1">
      <c r="A1287" s="4" t="s">
        <v>399</v>
      </c>
      <c r="B1287" s="4" t="s">
        <v>385</v>
      </c>
      <c r="C1287" s="4" t="s">
        <v>48</v>
      </c>
      <c r="D1287" s="4" t="s">
        <v>2073</v>
      </c>
      <c r="E1287" s="4" t="s">
        <v>393</v>
      </c>
    </row>
    <row r="1288" spans="1:5" ht="31" customHeight="1">
      <c r="A1288" s="4" t="s">
        <v>399</v>
      </c>
      <c r="B1288" s="4" t="s">
        <v>385</v>
      </c>
      <c r="C1288" s="4" t="s">
        <v>49</v>
      </c>
      <c r="D1288" s="4" t="s">
        <v>2073</v>
      </c>
      <c r="E1288" s="4" t="s">
        <v>393</v>
      </c>
    </row>
    <row r="1289" spans="1:5" ht="31" customHeight="1">
      <c r="A1289" s="4" t="s">
        <v>399</v>
      </c>
      <c r="B1289" s="4" t="s">
        <v>385</v>
      </c>
      <c r="C1289" s="4" t="s">
        <v>50</v>
      </c>
      <c r="D1289" s="4" t="s">
        <v>2094</v>
      </c>
      <c r="E1289" s="4" t="s">
        <v>393</v>
      </c>
    </row>
    <row r="1290" spans="1:5" ht="31" customHeight="1">
      <c r="A1290" s="4" t="s">
        <v>399</v>
      </c>
      <c r="B1290" s="4" t="s">
        <v>385</v>
      </c>
      <c r="C1290" s="4" t="s">
        <v>51</v>
      </c>
      <c r="D1290" s="4" t="s">
        <v>2094</v>
      </c>
      <c r="E1290" s="4" t="s">
        <v>393</v>
      </c>
    </row>
    <row r="1291" spans="1:5" ht="31" customHeight="1">
      <c r="A1291" s="4" t="s">
        <v>399</v>
      </c>
      <c r="B1291" s="4" t="s">
        <v>385</v>
      </c>
      <c r="C1291" s="4" t="s">
        <v>52</v>
      </c>
      <c r="D1291" s="4" t="s">
        <v>2094</v>
      </c>
      <c r="E1291" s="4" t="s">
        <v>393</v>
      </c>
    </row>
    <row r="1292" spans="1:5" ht="31" customHeight="1">
      <c r="A1292" s="4" t="s">
        <v>399</v>
      </c>
      <c r="B1292" s="4" t="s">
        <v>385</v>
      </c>
      <c r="C1292" s="4" t="s">
        <v>53</v>
      </c>
      <c r="D1292" s="4" t="s">
        <v>2094</v>
      </c>
      <c r="E1292" s="4" t="s">
        <v>393</v>
      </c>
    </row>
    <row r="1293" spans="1:5" ht="31" customHeight="1">
      <c r="A1293" s="4" t="s">
        <v>399</v>
      </c>
      <c r="B1293" s="4" t="s">
        <v>385</v>
      </c>
      <c r="C1293" s="4" t="s">
        <v>54</v>
      </c>
      <c r="D1293" s="4" t="s">
        <v>2094</v>
      </c>
      <c r="E1293" s="4" t="s">
        <v>393</v>
      </c>
    </row>
    <row r="1294" spans="1:5" ht="31" customHeight="1">
      <c r="A1294" s="4" t="s">
        <v>399</v>
      </c>
      <c r="B1294" s="4" t="s">
        <v>385</v>
      </c>
      <c r="C1294" s="4" t="s">
        <v>56</v>
      </c>
      <c r="D1294" s="4" t="s">
        <v>2089</v>
      </c>
      <c r="E1294" s="4" t="s">
        <v>393</v>
      </c>
    </row>
    <row r="1295" spans="1:5" ht="31" customHeight="1">
      <c r="A1295" s="4" t="s">
        <v>399</v>
      </c>
      <c r="B1295" s="4" t="s">
        <v>385</v>
      </c>
      <c r="C1295" s="4" t="s">
        <v>57</v>
      </c>
      <c r="D1295" s="4" t="s">
        <v>2092</v>
      </c>
      <c r="E1295" s="4" t="s">
        <v>393</v>
      </c>
    </row>
    <row r="1296" spans="1:5" ht="31" customHeight="1">
      <c r="A1296" s="4" t="s">
        <v>399</v>
      </c>
      <c r="B1296" s="4" t="s">
        <v>385</v>
      </c>
      <c r="C1296" s="4" t="s">
        <v>58</v>
      </c>
      <c r="D1296" s="4" t="s">
        <v>2092</v>
      </c>
      <c r="E1296" s="4" t="s">
        <v>393</v>
      </c>
    </row>
    <row r="1297" spans="1:5" ht="31" customHeight="1">
      <c r="A1297" s="4" t="s">
        <v>399</v>
      </c>
      <c r="B1297" s="4" t="s">
        <v>385</v>
      </c>
      <c r="C1297" s="4" t="s">
        <v>60</v>
      </c>
      <c r="D1297" s="4" t="s">
        <v>2089</v>
      </c>
      <c r="E1297" s="4" t="s">
        <v>393</v>
      </c>
    </row>
    <row r="1298" spans="1:5" ht="31" customHeight="1">
      <c r="A1298" s="4" t="s">
        <v>399</v>
      </c>
      <c r="B1298" s="4" t="s">
        <v>385</v>
      </c>
      <c r="C1298" s="4" t="s">
        <v>61</v>
      </c>
      <c r="D1298" s="4" t="s">
        <v>2089</v>
      </c>
      <c r="E1298" s="4" t="s">
        <v>393</v>
      </c>
    </row>
    <row r="1299" spans="1:5" ht="31" customHeight="1">
      <c r="A1299" s="4" t="s">
        <v>399</v>
      </c>
      <c r="B1299" s="4" t="s">
        <v>385</v>
      </c>
      <c r="C1299" s="4" t="s">
        <v>62</v>
      </c>
      <c r="D1299" s="4" t="s">
        <v>2089</v>
      </c>
      <c r="E1299" s="4" t="s">
        <v>393</v>
      </c>
    </row>
    <row r="1300" spans="1:5" ht="31" customHeight="1">
      <c r="A1300" s="4" t="s">
        <v>399</v>
      </c>
      <c r="B1300" s="4" t="s">
        <v>385</v>
      </c>
      <c r="C1300" s="4" t="s">
        <v>63</v>
      </c>
      <c r="D1300" s="4" t="s">
        <v>2089</v>
      </c>
      <c r="E1300" s="4" t="s">
        <v>393</v>
      </c>
    </row>
    <row r="1301" spans="1:5" ht="31" customHeight="1">
      <c r="A1301" s="4" t="s">
        <v>399</v>
      </c>
      <c r="B1301" s="4" t="s">
        <v>385</v>
      </c>
      <c r="C1301" s="4" t="s">
        <v>64</v>
      </c>
      <c r="D1301" s="4" t="s">
        <v>2089</v>
      </c>
      <c r="E1301" s="4" t="s">
        <v>393</v>
      </c>
    </row>
    <row r="1302" spans="1:5" ht="31" customHeight="1">
      <c r="A1302" s="4" t="s">
        <v>399</v>
      </c>
      <c r="B1302" s="4" t="s">
        <v>385</v>
      </c>
      <c r="C1302" s="4" t="s">
        <v>65</v>
      </c>
      <c r="D1302" s="4" t="s">
        <v>2089</v>
      </c>
      <c r="E1302" s="4" t="s">
        <v>393</v>
      </c>
    </row>
    <row r="1303" spans="1:5" ht="31" customHeight="1">
      <c r="A1303" s="4" t="s">
        <v>399</v>
      </c>
      <c r="B1303" s="4" t="s">
        <v>385</v>
      </c>
      <c r="C1303" s="4" t="s">
        <v>66</v>
      </c>
      <c r="D1303" s="4" t="s">
        <v>2093</v>
      </c>
      <c r="E1303" s="4" t="s">
        <v>393</v>
      </c>
    </row>
    <row r="1304" spans="1:5" ht="31" customHeight="1">
      <c r="A1304" s="4" t="s">
        <v>399</v>
      </c>
      <c r="B1304" s="4" t="s">
        <v>385</v>
      </c>
      <c r="C1304" s="4" t="s">
        <v>67</v>
      </c>
      <c r="D1304" s="4" t="s">
        <v>2089</v>
      </c>
      <c r="E1304" s="4" t="s">
        <v>393</v>
      </c>
    </row>
    <row r="1305" spans="1:5" ht="31" customHeight="1">
      <c r="A1305" s="4" t="s">
        <v>399</v>
      </c>
      <c r="B1305" s="4" t="s">
        <v>385</v>
      </c>
      <c r="C1305" s="4" t="s">
        <v>68</v>
      </c>
      <c r="D1305" s="4" t="s">
        <v>2089</v>
      </c>
      <c r="E1305" s="4" t="s">
        <v>393</v>
      </c>
    </row>
    <row r="1306" spans="1:5" ht="31" customHeight="1">
      <c r="A1306" s="4" t="s">
        <v>399</v>
      </c>
      <c r="B1306" s="4" t="s">
        <v>385</v>
      </c>
      <c r="C1306" s="4" t="s">
        <v>69</v>
      </c>
      <c r="D1306" s="4" t="s">
        <v>2090</v>
      </c>
      <c r="E1306" s="4" t="s">
        <v>393</v>
      </c>
    </row>
    <row r="1307" spans="1:5" ht="31" customHeight="1">
      <c r="A1307" s="4" t="s">
        <v>399</v>
      </c>
      <c r="B1307" s="4" t="s">
        <v>385</v>
      </c>
      <c r="C1307" s="4" t="s">
        <v>70</v>
      </c>
      <c r="D1307" s="4" t="s">
        <v>2089</v>
      </c>
      <c r="E1307" s="4" t="s">
        <v>393</v>
      </c>
    </row>
    <row r="1308" spans="1:5" ht="31" customHeight="1">
      <c r="A1308" s="4" t="s">
        <v>399</v>
      </c>
      <c r="B1308" s="4" t="s">
        <v>385</v>
      </c>
      <c r="C1308" s="4" t="s">
        <v>71</v>
      </c>
      <c r="D1308" s="4" t="s">
        <v>2089</v>
      </c>
      <c r="E1308" s="4" t="s">
        <v>393</v>
      </c>
    </row>
    <row r="1309" spans="1:5" ht="31" customHeight="1">
      <c r="A1309" s="4" t="s">
        <v>399</v>
      </c>
      <c r="B1309" s="4" t="s">
        <v>385</v>
      </c>
      <c r="C1309" s="4" t="s">
        <v>75</v>
      </c>
      <c r="D1309" s="4" t="s">
        <v>2089</v>
      </c>
      <c r="E1309" s="4" t="s">
        <v>393</v>
      </c>
    </row>
    <row r="1310" spans="1:5" ht="31" customHeight="1">
      <c r="A1310" s="4" t="s">
        <v>399</v>
      </c>
      <c r="B1310" s="4" t="s">
        <v>385</v>
      </c>
      <c r="C1310" s="4" t="s">
        <v>76</v>
      </c>
      <c r="D1310" s="4" t="s">
        <v>2091</v>
      </c>
      <c r="E1310" s="4" t="s">
        <v>393</v>
      </c>
    </row>
    <row r="1311" spans="1:5" ht="31" customHeight="1">
      <c r="A1311" s="4" t="s">
        <v>404</v>
      </c>
      <c r="B1311" s="4" t="s">
        <v>385</v>
      </c>
      <c r="C1311" s="4" t="s">
        <v>35</v>
      </c>
      <c r="D1311" s="4" t="s">
        <v>2088</v>
      </c>
      <c r="E1311" s="4" t="s">
        <v>393</v>
      </c>
    </row>
    <row r="1312" spans="1:5" ht="31" customHeight="1">
      <c r="A1312" s="4" t="s">
        <v>404</v>
      </c>
      <c r="B1312" s="4" t="s">
        <v>385</v>
      </c>
      <c r="C1312" s="4" t="s">
        <v>36</v>
      </c>
      <c r="D1312" s="4" t="s">
        <v>2089</v>
      </c>
      <c r="E1312" s="4" t="s">
        <v>393</v>
      </c>
    </row>
    <row r="1313" spans="1:5" ht="31" customHeight="1">
      <c r="A1313" s="4" t="s">
        <v>404</v>
      </c>
      <c r="B1313" s="4" t="s">
        <v>385</v>
      </c>
      <c r="C1313" s="4" t="s">
        <v>37</v>
      </c>
      <c r="D1313" s="4" t="s">
        <v>2089</v>
      </c>
      <c r="E1313" s="4" t="s">
        <v>393</v>
      </c>
    </row>
    <row r="1314" spans="1:5" ht="31" customHeight="1">
      <c r="A1314" s="4" t="s">
        <v>404</v>
      </c>
      <c r="B1314" s="4" t="s">
        <v>385</v>
      </c>
      <c r="C1314" s="4" t="s">
        <v>38</v>
      </c>
      <c r="D1314" s="4" t="s">
        <v>2089</v>
      </c>
      <c r="E1314" s="4" t="s">
        <v>393</v>
      </c>
    </row>
    <row r="1315" spans="1:5" ht="31" customHeight="1">
      <c r="A1315" s="4" t="s">
        <v>404</v>
      </c>
      <c r="B1315" s="4" t="s">
        <v>385</v>
      </c>
      <c r="C1315" s="4" t="s">
        <v>39</v>
      </c>
      <c r="D1315" s="4" t="s">
        <v>2089</v>
      </c>
      <c r="E1315" s="4" t="s">
        <v>393</v>
      </c>
    </row>
    <row r="1316" spans="1:5" ht="31" customHeight="1">
      <c r="A1316" s="4" t="s">
        <v>404</v>
      </c>
      <c r="B1316" s="4" t="s">
        <v>385</v>
      </c>
      <c r="C1316" s="4" t="s">
        <v>40</v>
      </c>
      <c r="D1316" s="4" t="s">
        <v>2072</v>
      </c>
      <c r="E1316" s="4" t="s">
        <v>393</v>
      </c>
    </row>
    <row r="1317" spans="1:5" ht="31" customHeight="1">
      <c r="A1317" s="4" t="s">
        <v>404</v>
      </c>
      <c r="B1317" s="4" t="s">
        <v>385</v>
      </c>
      <c r="C1317" s="4" t="s">
        <v>41</v>
      </c>
      <c r="D1317" s="4" t="s">
        <v>2072</v>
      </c>
      <c r="E1317" s="4" t="s">
        <v>393</v>
      </c>
    </row>
    <row r="1318" spans="1:5" ht="31" customHeight="1">
      <c r="A1318" s="4" t="s">
        <v>404</v>
      </c>
      <c r="B1318" s="4" t="s">
        <v>385</v>
      </c>
      <c r="C1318" s="4" t="s">
        <v>42</v>
      </c>
      <c r="D1318" s="4" t="s">
        <v>2072</v>
      </c>
      <c r="E1318" s="4" t="s">
        <v>393</v>
      </c>
    </row>
    <row r="1319" spans="1:5" ht="31" customHeight="1">
      <c r="A1319" s="4" t="s">
        <v>404</v>
      </c>
      <c r="B1319" s="4" t="s">
        <v>385</v>
      </c>
      <c r="C1319" s="4" t="s">
        <v>43</v>
      </c>
      <c r="D1319" s="4" t="s">
        <v>2072</v>
      </c>
      <c r="E1319" s="4" t="s">
        <v>393</v>
      </c>
    </row>
    <row r="1320" spans="1:5" ht="31" customHeight="1">
      <c r="A1320" s="4" t="s">
        <v>404</v>
      </c>
      <c r="B1320" s="4" t="s">
        <v>385</v>
      </c>
      <c r="C1320" s="4" t="s">
        <v>44</v>
      </c>
      <c r="D1320" s="4" t="s">
        <v>2072</v>
      </c>
      <c r="E1320" s="4" t="s">
        <v>393</v>
      </c>
    </row>
    <row r="1321" spans="1:5" ht="31" customHeight="1">
      <c r="A1321" s="4" t="s">
        <v>404</v>
      </c>
      <c r="B1321" s="4" t="s">
        <v>385</v>
      </c>
      <c r="C1321" s="4" t="s">
        <v>45</v>
      </c>
      <c r="D1321" s="4" t="s">
        <v>2072</v>
      </c>
      <c r="E1321" s="4" t="s">
        <v>393</v>
      </c>
    </row>
    <row r="1322" spans="1:5" ht="31" customHeight="1">
      <c r="A1322" s="4" t="s">
        <v>404</v>
      </c>
      <c r="B1322" s="4" t="s">
        <v>385</v>
      </c>
      <c r="C1322" s="4" t="s">
        <v>46</v>
      </c>
      <c r="D1322" s="4" t="s">
        <v>2072</v>
      </c>
      <c r="E1322" s="4" t="s">
        <v>393</v>
      </c>
    </row>
    <row r="1323" spans="1:5" ht="31" customHeight="1">
      <c r="A1323" s="4" t="s">
        <v>404</v>
      </c>
      <c r="B1323" s="4" t="s">
        <v>385</v>
      </c>
      <c r="C1323" s="4" t="s">
        <v>47</v>
      </c>
      <c r="D1323" s="4" t="s">
        <v>2072</v>
      </c>
      <c r="E1323" s="4" t="s">
        <v>393</v>
      </c>
    </row>
    <row r="1324" spans="1:5" ht="31" customHeight="1">
      <c r="A1324" s="4" t="s">
        <v>404</v>
      </c>
      <c r="B1324" s="4" t="s">
        <v>385</v>
      </c>
      <c r="C1324" s="4" t="s">
        <v>48</v>
      </c>
      <c r="D1324" s="4" t="s">
        <v>2072</v>
      </c>
      <c r="E1324" s="4" t="s">
        <v>393</v>
      </c>
    </row>
    <row r="1325" spans="1:5" ht="31" customHeight="1">
      <c r="A1325" s="4" t="s">
        <v>404</v>
      </c>
      <c r="B1325" s="4" t="s">
        <v>385</v>
      </c>
      <c r="C1325" s="4" t="s">
        <v>49</v>
      </c>
      <c r="D1325" s="4" t="s">
        <v>2072</v>
      </c>
      <c r="E1325" s="4" t="s">
        <v>393</v>
      </c>
    </row>
    <row r="1326" spans="1:5" ht="31" customHeight="1">
      <c r="A1326" s="4" t="s">
        <v>404</v>
      </c>
      <c r="B1326" s="4" t="s">
        <v>385</v>
      </c>
      <c r="C1326" s="4" t="s">
        <v>50</v>
      </c>
      <c r="D1326" s="4" t="s">
        <v>2094</v>
      </c>
      <c r="E1326" s="4" t="s">
        <v>393</v>
      </c>
    </row>
    <row r="1327" spans="1:5" ht="31" customHeight="1">
      <c r="A1327" s="4" t="s">
        <v>404</v>
      </c>
      <c r="B1327" s="4" t="s">
        <v>385</v>
      </c>
      <c r="C1327" s="4" t="s">
        <v>51</v>
      </c>
      <c r="D1327" s="4" t="s">
        <v>2094</v>
      </c>
      <c r="E1327" s="4" t="s">
        <v>393</v>
      </c>
    </row>
    <row r="1328" spans="1:5" ht="31" customHeight="1">
      <c r="A1328" s="4" t="s">
        <v>404</v>
      </c>
      <c r="B1328" s="4" t="s">
        <v>385</v>
      </c>
      <c r="C1328" s="4" t="s">
        <v>52</v>
      </c>
      <c r="D1328" s="4" t="s">
        <v>2094</v>
      </c>
      <c r="E1328" s="4" t="s">
        <v>393</v>
      </c>
    </row>
    <row r="1329" spans="1:5" ht="31" customHeight="1">
      <c r="A1329" s="4" t="s">
        <v>404</v>
      </c>
      <c r="B1329" s="4" t="s">
        <v>385</v>
      </c>
      <c r="C1329" s="4" t="s">
        <v>53</v>
      </c>
      <c r="D1329" s="4" t="s">
        <v>2094</v>
      </c>
      <c r="E1329" s="4" t="s">
        <v>393</v>
      </c>
    </row>
    <row r="1330" spans="1:5" ht="31" customHeight="1">
      <c r="A1330" s="4" t="s">
        <v>404</v>
      </c>
      <c r="B1330" s="4" t="s">
        <v>385</v>
      </c>
      <c r="C1330" s="4" t="s">
        <v>54</v>
      </c>
      <c r="D1330" s="4" t="s">
        <v>2094</v>
      </c>
      <c r="E1330" s="4" t="s">
        <v>393</v>
      </c>
    </row>
    <row r="1331" spans="1:5" ht="31" customHeight="1">
      <c r="A1331" s="4" t="s">
        <v>404</v>
      </c>
      <c r="B1331" s="4" t="s">
        <v>385</v>
      </c>
      <c r="C1331" s="4" t="s">
        <v>56</v>
      </c>
      <c r="D1331" s="4" t="s">
        <v>2089</v>
      </c>
      <c r="E1331" s="4" t="s">
        <v>393</v>
      </c>
    </row>
    <row r="1332" spans="1:5" ht="31" customHeight="1">
      <c r="A1332" s="4" t="s">
        <v>404</v>
      </c>
      <c r="B1332" s="4" t="s">
        <v>385</v>
      </c>
      <c r="C1332" s="4" t="s">
        <v>57</v>
      </c>
      <c r="D1332" s="4" t="s">
        <v>2092</v>
      </c>
      <c r="E1332" s="4" t="s">
        <v>393</v>
      </c>
    </row>
    <row r="1333" spans="1:5" ht="31" customHeight="1">
      <c r="A1333" s="4" t="s">
        <v>404</v>
      </c>
      <c r="B1333" s="4" t="s">
        <v>385</v>
      </c>
      <c r="C1333" s="4" t="s">
        <v>58</v>
      </c>
      <c r="D1333" s="4" t="s">
        <v>2092</v>
      </c>
      <c r="E1333" s="4" t="s">
        <v>393</v>
      </c>
    </row>
    <row r="1334" spans="1:5" ht="31" customHeight="1">
      <c r="A1334" s="4" t="s">
        <v>404</v>
      </c>
      <c r="B1334" s="4" t="s">
        <v>385</v>
      </c>
      <c r="C1334" s="4" t="s">
        <v>60</v>
      </c>
      <c r="D1334" s="4" t="s">
        <v>2089</v>
      </c>
      <c r="E1334" s="4" t="s">
        <v>393</v>
      </c>
    </row>
    <row r="1335" spans="1:5" ht="31" customHeight="1">
      <c r="A1335" s="4" t="s">
        <v>404</v>
      </c>
      <c r="B1335" s="4" t="s">
        <v>385</v>
      </c>
      <c r="C1335" s="4" t="s">
        <v>61</v>
      </c>
      <c r="D1335" s="4" t="s">
        <v>2089</v>
      </c>
      <c r="E1335" s="4" t="s">
        <v>393</v>
      </c>
    </row>
    <row r="1336" spans="1:5" ht="31" customHeight="1">
      <c r="A1336" s="4" t="s">
        <v>404</v>
      </c>
      <c r="B1336" s="4" t="s">
        <v>385</v>
      </c>
      <c r="C1336" s="4" t="s">
        <v>62</v>
      </c>
      <c r="D1336" s="4" t="s">
        <v>2089</v>
      </c>
      <c r="E1336" s="4" t="s">
        <v>393</v>
      </c>
    </row>
    <row r="1337" spans="1:5" ht="31" customHeight="1">
      <c r="A1337" s="4" t="s">
        <v>404</v>
      </c>
      <c r="B1337" s="4" t="s">
        <v>385</v>
      </c>
      <c r="C1337" s="4" t="s">
        <v>63</v>
      </c>
      <c r="D1337" s="4" t="s">
        <v>2089</v>
      </c>
      <c r="E1337" s="4" t="s">
        <v>393</v>
      </c>
    </row>
    <row r="1338" spans="1:5" ht="31" customHeight="1">
      <c r="A1338" s="4" t="s">
        <v>404</v>
      </c>
      <c r="B1338" s="4" t="s">
        <v>385</v>
      </c>
      <c r="C1338" s="4" t="s">
        <v>64</v>
      </c>
      <c r="D1338" s="4" t="s">
        <v>2089</v>
      </c>
      <c r="E1338" s="4" t="s">
        <v>393</v>
      </c>
    </row>
    <row r="1339" spans="1:5" ht="31" customHeight="1">
      <c r="A1339" s="4" t="s">
        <v>404</v>
      </c>
      <c r="B1339" s="4" t="s">
        <v>385</v>
      </c>
      <c r="C1339" s="4" t="s">
        <v>65</v>
      </c>
      <c r="D1339" s="4" t="s">
        <v>2089</v>
      </c>
      <c r="E1339" s="4" t="s">
        <v>393</v>
      </c>
    </row>
    <row r="1340" spans="1:5" ht="31" customHeight="1">
      <c r="A1340" s="4" t="s">
        <v>404</v>
      </c>
      <c r="B1340" s="4" t="s">
        <v>385</v>
      </c>
      <c r="C1340" s="4" t="s">
        <v>66</v>
      </c>
      <c r="D1340" s="4" t="s">
        <v>2093</v>
      </c>
      <c r="E1340" s="4" t="s">
        <v>393</v>
      </c>
    </row>
    <row r="1341" spans="1:5" ht="31" customHeight="1">
      <c r="A1341" s="4" t="s">
        <v>404</v>
      </c>
      <c r="B1341" s="4" t="s">
        <v>385</v>
      </c>
      <c r="C1341" s="4" t="s">
        <v>67</v>
      </c>
      <c r="D1341" s="4" t="s">
        <v>2089</v>
      </c>
      <c r="E1341" s="4" t="s">
        <v>393</v>
      </c>
    </row>
    <row r="1342" spans="1:5" ht="31" customHeight="1">
      <c r="A1342" s="4" t="s">
        <v>404</v>
      </c>
      <c r="B1342" s="4" t="s">
        <v>385</v>
      </c>
      <c r="C1342" s="4" t="s">
        <v>68</v>
      </c>
      <c r="D1342" s="4" t="s">
        <v>2089</v>
      </c>
      <c r="E1342" s="4" t="s">
        <v>393</v>
      </c>
    </row>
    <row r="1343" spans="1:5" ht="31" customHeight="1">
      <c r="A1343" s="4" t="s">
        <v>404</v>
      </c>
      <c r="B1343" s="4" t="s">
        <v>385</v>
      </c>
      <c r="C1343" s="4" t="s">
        <v>70</v>
      </c>
      <c r="D1343" s="4" t="s">
        <v>2089</v>
      </c>
      <c r="E1343" s="4" t="s">
        <v>393</v>
      </c>
    </row>
    <row r="1344" spans="1:5" ht="31" customHeight="1">
      <c r="A1344" s="4" t="s">
        <v>404</v>
      </c>
      <c r="B1344" s="4" t="s">
        <v>385</v>
      </c>
      <c r="C1344" s="4" t="s">
        <v>71</v>
      </c>
      <c r="D1344" s="4" t="s">
        <v>2089</v>
      </c>
      <c r="E1344" s="4" t="s">
        <v>393</v>
      </c>
    </row>
    <row r="1345" spans="1:5" ht="31" customHeight="1">
      <c r="A1345" s="4" t="s">
        <v>404</v>
      </c>
      <c r="B1345" s="4" t="s">
        <v>385</v>
      </c>
      <c r="C1345" s="4" t="s">
        <v>75</v>
      </c>
      <c r="D1345" s="4" t="s">
        <v>2089</v>
      </c>
      <c r="E1345" s="4" t="s">
        <v>393</v>
      </c>
    </row>
    <row r="1346" spans="1:5" ht="31" customHeight="1">
      <c r="A1346" s="4" t="s">
        <v>404</v>
      </c>
      <c r="B1346" s="4" t="s">
        <v>385</v>
      </c>
      <c r="C1346" s="4" t="s">
        <v>76</v>
      </c>
      <c r="D1346" s="4" t="s">
        <v>2091</v>
      </c>
      <c r="E1346" s="4" t="s">
        <v>393</v>
      </c>
    </row>
    <row r="1347" spans="1:5" ht="31" customHeight="1">
      <c r="A1347" s="4" t="s">
        <v>407</v>
      </c>
      <c r="B1347" s="4" t="s">
        <v>385</v>
      </c>
      <c r="C1347" s="4" t="s">
        <v>35</v>
      </c>
      <c r="D1347" s="4" t="s">
        <v>2088</v>
      </c>
      <c r="E1347" s="4" t="s">
        <v>393</v>
      </c>
    </row>
    <row r="1348" spans="1:5" ht="31" customHeight="1">
      <c r="A1348" s="4" t="s">
        <v>407</v>
      </c>
      <c r="B1348" s="4" t="s">
        <v>385</v>
      </c>
      <c r="C1348" s="4" t="s">
        <v>36</v>
      </c>
      <c r="D1348" s="4" t="s">
        <v>2089</v>
      </c>
      <c r="E1348" s="4" t="s">
        <v>393</v>
      </c>
    </row>
    <row r="1349" spans="1:5" ht="31" customHeight="1">
      <c r="A1349" s="4" t="s">
        <v>407</v>
      </c>
      <c r="B1349" s="4" t="s">
        <v>385</v>
      </c>
      <c r="C1349" s="4" t="s">
        <v>37</v>
      </c>
      <c r="D1349" s="4" t="s">
        <v>2089</v>
      </c>
      <c r="E1349" s="4" t="s">
        <v>393</v>
      </c>
    </row>
    <row r="1350" spans="1:5" ht="31" customHeight="1">
      <c r="A1350" s="4" t="s">
        <v>407</v>
      </c>
      <c r="B1350" s="4" t="s">
        <v>385</v>
      </c>
      <c r="C1350" s="4" t="s">
        <v>38</v>
      </c>
      <c r="D1350" s="4" t="s">
        <v>2089</v>
      </c>
      <c r="E1350" s="4" t="s">
        <v>393</v>
      </c>
    </row>
    <row r="1351" spans="1:5" ht="31" customHeight="1">
      <c r="A1351" s="4" t="s">
        <v>407</v>
      </c>
      <c r="B1351" s="4" t="s">
        <v>385</v>
      </c>
      <c r="C1351" s="4" t="s">
        <v>39</v>
      </c>
      <c r="D1351" s="4" t="s">
        <v>2089</v>
      </c>
      <c r="E1351" s="4" t="s">
        <v>393</v>
      </c>
    </row>
    <row r="1352" spans="1:5" ht="31" customHeight="1">
      <c r="A1352" s="4" t="s">
        <v>407</v>
      </c>
      <c r="B1352" s="4" t="s">
        <v>385</v>
      </c>
      <c r="C1352" s="4" t="s">
        <v>40</v>
      </c>
      <c r="D1352" s="4" t="s">
        <v>2074</v>
      </c>
      <c r="E1352" s="4" t="s">
        <v>393</v>
      </c>
    </row>
    <row r="1353" spans="1:5" ht="31" customHeight="1">
      <c r="A1353" s="4" t="s">
        <v>407</v>
      </c>
      <c r="B1353" s="4" t="s">
        <v>385</v>
      </c>
      <c r="C1353" s="4" t="s">
        <v>41</v>
      </c>
      <c r="D1353" s="4" t="s">
        <v>2074</v>
      </c>
      <c r="E1353" s="4" t="s">
        <v>393</v>
      </c>
    </row>
    <row r="1354" spans="1:5" ht="31" customHeight="1">
      <c r="A1354" s="4" t="s">
        <v>407</v>
      </c>
      <c r="B1354" s="4" t="s">
        <v>385</v>
      </c>
      <c r="C1354" s="4" t="s">
        <v>42</v>
      </c>
      <c r="D1354" s="4" t="s">
        <v>2074</v>
      </c>
      <c r="E1354" s="4" t="s">
        <v>393</v>
      </c>
    </row>
    <row r="1355" spans="1:5" ht="31" customHeight="1">
      <c r="A1355" s="4" t="s">
        <v>407</v>
      </c>
      <c r="B1355" s="4" t="s">
        <v>385</v>
      </c>
      <c r="C1355" s="4" t="s">
        <v>43</v>
      </c>
      <c r="D1355" s="4" t="s">
        <v>2074</v>
      </c>
      <c r="E1355" s="4" t="s">
        <v>393</v>
      </c>
    </row>
    <row r="1356" spans="1:5" ht="31" customHeight="1">
      <c r="A1356" s="4" t="s">
        <v>407</v>
      </c>
      <c r="B1356" s="4" t="s">
        <v>385</v>
      </c>
      <c r="C1356" s="4" t="s">
        <v>44</v>
      </c>
      <c r="D1356" s="4" t="s">
        <v>2074</v>
      </c>
      <c r="E1356" s="4" t="s">
        <v>393</v>
      </c>
    </row>
    <row r="1357" spans="1:5" ht="31" customHeight="1">
      <c r="A1357" s="4" t="s">
        <v>407</v>
      </c>
      <c r="B1357" s="4" t="s">
        <v>385</v>
      </c>
      <c r="C1357" s="4" t="s">
        <v>45</v>
      </c>
      <c r="D1357" s="4" t="s">
        <v>2074</v>
      </c>
      <c r="E1357" s="4" t="s">
        <v>393</v>
      </c>
    </row>
    <row r="1358" spans="1:5" ht="31" customHeight="1">
      <c r="A1358" s="4" t="s">
        <v>407</v>
      </c>
      <c r="B1358" s="4" t="s">
        <v>385</v>
      </c>
      <c r="C1358" s="4" t="s">
        <v>46</v>
      </c>
      <c r="D1358" s="4" t="s">
        <v>2074</v>
      </c>
      <c r="E1358" s="4" t="s">
        <v>393</v>
      </c>
    </row>
    <row r="1359" spans="1:5" ht="31" customHeight="1">
      <c r="A1359" s="4" t="s">
        <v>407</v>
      </c>
      <c r="B1359" s="4" t="s">
        <v>385</v>
      </c>
      <c r="C1359" s="4" t="s">
        <v>47</v>
      </c>
      <c r="D1359" s="4" t="s">
        <v>2074</v>
      </c>
      <c r="E1359" s="4" t="s">
        <v>393</v>
      </c>
    </row>
    <row r="1360" spans="1:5" ht="31" customHeight="1">
      <c r="A1360" s="4" t="s">
        <v>407</v>
      </c>
      <c r="B1360" s="4" t="s">
        <v>385</v>
      </c>
      <c r="C1360" s="4" t="s">
        <v>48</v>
      </c>
      <c r="D1360" s="4" t="s">
        <v>2074</v>
      </c>
      <c r="E1360" s="4" t="s">
        <v>393</v>
      </c>
    </row>
    <row r="1361" spans="1:5" ht="31" customHeight="1">
      <c r="A1361" s="4" t="s">
        <v>407</v>
      </c>
      <c r="B1361" s="4" t="s">
        <v>385</v>
      </c>
      <c r="C1361" s="4" t="s">
        <v>49</v>
      </c>
      <c r="D1361" s="4" t="s">
        <v>2074</v>
      </c>
      <c r="E1361" s="4" t="s">
        <v>393</v>
      </c>
    </row>
    <row r="1362" spans="1:5" ht="31" customHeight="1">
      <c r="A1362" s="4" t="s">
        <v>407</v>
      </c>
      <c r="B1362" s="4" t="s">
        <v>385</v>
      </c>
      <c r="C1362" s="4" t="s">
        <v>50</v>
      </c>
      <c r="D1362" s="4" t="s">
        <v>2094</v>
      </c>
      <c r="E1362" s="4" t="s">
        <v>393</v>
      </c>
    </row>
    <row r="1363" spans="1:5" ht="31" customHeight="1">
      <c r="A1363" s="4" t="s">
        <v>407</v>
      </c>
      <c r="B1363" s="4" t="s">
        <v>385</v>
      </c>
      <c r="C1363" s="4" t="s">
        <v>51</v>
      </c>
      <c r="D1363" s="4" t="s">
        <v>2094</v>
      </c>
      <c r="E1363" s="4" t="s">
        <v>393</v>
      </c>
    </row>
    <row r="1364" spans="1:5" ht="31" customHeight="1">
      <c r="A1364" s="4" t="s">
        <v>407</v>
      </c>
      <c r="B1364" s="4" t="s">
        <v>385</v>
      </c>
      <c r="C1364" s="4" t="s">
        <v>52</v>
      </c>
      <c r="D1364" s="4" t="s">
        <v>2094</v>
      </c>
      <c r="E1364" s="4" t="s">
        <v>393</v>
      </c>
    </row>
    <row r="1365" spans="1:5" ht="31" customHeight="1">
      <c r="A1365" s="4" t="s">
        <v>407</v>
      </c>
      <c r="B1365" s="4" t="s">
        <v>385</v>
      </c>
      <c r="C1365" s="4" t="s">
        <v>53</v>
      </c>
      <c r="D1365" s="4" t="s">
        <v>2094</v>
      </c>
      <c r="E1365" s="4" t="s">
        <v>393</v>
      </c>
    </row>
    <row r="1366" spans="1:5" ht="31" customHeight="1">
      <c r="A1366" s="4" t="s">
        <v>407</v>
      </c>
      <c r="B1366" s="4" t="s">
        <v>385</v>
      </c>
      <c r="C1366" s="4" t="s">
        <v>54</v>
      </c>
      <c r="D1366" s="4" t="s">
        <v>2094</v>
      </c>
      <c r="E1366" s="4" t="s">
        <v>393</v>
      </c>
    </row>
    <row r="1367" spans="1:5" ht="31" customHeight="1">
      <c r="A1367" s="4" t="s">
        <v>407</v>
      </c>
      <c r="B1367" s="4" t="s">
        <v>385</v>
      </c>
      <c r="C1367" s="4" t="s">
        <v>56</v>
      </c>
      <c r="D1367" s="4" t="s">
        <v>2089</v>
      </c>
      <c r="E1367" s="4" t="s">
        <v>393</v>
      </c>
    </row>
    <row r="1368" spans="1:5" ht="31" customHeight="1">
      <c r="A1368" s="4" t="s">
        <v>407</v>
      </c>
      <c r="B1368" s="4" t="s">
        <v>385</v>
      </c>
      <c r="C1368" s="4" t="s">
        <v>57</v>
      </c>
      <c r="D1368" s="4" t="s">
        <v>2092</v>
      </c>
      <c r="E1368" s="4" t="s">
        <v>393</v>
      </c>
    </row>
    <row r="1369" spans="1:5" ht="31" customHeight="1">
      <c r="A1369" s="4" t="s">
        <v>407</v>
      </c>
      <c r="B1369" s="4" t="s">
        <v>385</v>
      </c>
      <c r="C1369" s="4" t="s">
        <v>58</v>
      </c>
      <c r="D1369" s="4" t="s">
        <v>2092</v>
      </c>
      <c r="E1369" s="4" t="s">
        <v>393</v>
      </c>
    </row>
    <row r="1370" spans="1:5" ht="31" customHeight="1">
      <c r="A1370" s="4" t="s">
        <v>407</v>
      </c>
      <c r="B1370" s="4" t="s">
        <v>385</v>
      </c>
      <c r="C1370" s="4" t="s">
        <v>60</v>
      </c>
      <c r="D1370" s="4" t="s">
        <v>2089</v>
      </c>
      <c r="E1370" s="4" t="s">
        <v>393</v>
      </c>
    </row>
    <row r="1371" spans="1:5" ht="31" customHeight="1">
      <c r="A1371" s="4" t="s">
        <v>407</v>
      </c>
      <c r="B1371" s="4" t="s">
        <v>385</v>
      </c>
      <c r="C1371" s="4" t="s">
        <v>61</v>
      </c>
      <c r="D1371" s="4" t="s">
        <v>2089</v>
      </c>
      <c r="E1371" s="4" t="s">
        <v>393</v>
      </c>
    </row>
    <row r="1372" spans="1:5" ht="31" customHeight="1">
      <c r="A1372" s="4" t="s">
        <v>407</v>
      </c>
      <c r="B1372" s="4" t="s">
        <v>385</v>
      </c>
      <c r="C1372" s="4" t="s">
        <v>62</v>
      </c>
      <c r="D1372" s="4" t="s">
        <v>2089</v>
      </c>
      <c r="E1372" s="4" t="s">
        <v>393</v>
      </c>
    </row>
    <row r="1373" spans="1:5" ht="31" customHeight="1">
      <c r="A1373" s="4" t="s">
        <v>407</v>
      </c>
      <c r="B1373" s="4" t="s">
        <v>385</v>
      </c>
      <c r="C1373" s="4" t="s">
        <v>63</v>
      </c>
      <c r="D1373" s="4" t="s">
        <v>2089</v>
      </c>
      <c r="E1373" s="4" t="s">
        <v>393</v>
      </c>
    </row>
    <row r="1374" spans="1:5" ht="31" customHeight="1">
      <c r="A1374" s="4" t="s">
        <v>407</v>
      </c>
      <c r="B1374" s="4" t="s">
        <v>385</v>
      </c>
      <c r="C1374" s="4" t="s">
        <v>64</v>
      </c>
      <c r="D1374" s="4" t="s">
        <v>2089</v>
      </c>
      <c r="E1374" s="4" t="s">
        <v>393</v>
      </c>
    </row>
    <row r="1375" spans="1:5" ht="31" customHeight="1">
      <c r="A1375" s="4" t="s">
        <v>407</v>
      </c>
      <c r="B1375" s="4" t="s">
        <v>385</v>
      </c>
      <c r="C1375" s="4" t="s">
        <v>65</v>
      </c>
      <c r="D1375" s="4" t="s">
        <v>2089</v>
      </c>
      <c r="E1375" s="4" t="s">
        <v>393</v>
      </c>
    </row>
    <row r="1376" spans="1:5" ht="31" customHeight="1">
      <c r="A1376" s="4" t="s">
        <v>407</v>
      </c>
      <c r="B1376" s="4" t="s">
        <v>385</v>
      </c>
      <c r="C1376" s="4" t="s">
        <v>66</v>
      </c>
      <c r="D1376" s="4" t="s">
        <v>2093</v>
      </c>
      <c r="E1376" s="4" t="s">
        <v>393</v>
      </c>
    </row>
    <row r="1377" spans="1:5" ht="31" customHeight="1">
      <c r="A1377" s="4" t="s">
        <v>407</v>
      </c>
      <c r="B1377" s="4" t="s">
        <v>385</v>
      </c>
      <c r="C1377" s="4" t="s">
        <v>67</v>
      </c>
      <c r="D1377" s="4" t="s">
        <v>2089</v>
      </c>
      <c r="E1377" s="4" t="s">
        <v>393</v>
      </c>
    </row>
    <row r="1378" spans="1:5" ht="31" customHeight="1">
      <c r="A1378" s="4" t="s">
        <v>407</v>
      </c>
      <c r="B1378" s="4" t="s">
        <v>385</v>
      </c>
      <c r="C1378" s="4" t="s">
        <v>68</v>
      </c>
      <c r="D1378" s="4" t="s">
        <v>2089</v>
      </c>
      <c r="E1378" s="4" t="s">
        <v>393</v>
      </c>
    </row>
    <row r="1379" spans="1:5" ht="31" customHeight="1">
      <c r="A1379" s="4" t="s">
        <v>407</v>
      </c>
      <c r="B1379" s="4" t="s">
        <v>385</v>
      </c>
      <c r="C1379" s="4" t="s">
        <v>69</v>
      </c>
      <c r="D1379" s="4" t="s">
        <v>2090</v>
      </c>
      <c r="E1379" s="4" t="s">
        <v>393</v>
      </c>
    </row>
    <row r="1380" spans="1:5" ht="31" customHeight="1">
      <c r="A1380" s="4" t="s">
        <v>407</v>
      </c>
      <c r="B1380" s="4" t="s">
        <v>385</v>
      </c>
      <c r="C1380" s="4" t="s">
        <v>70</v>
      </c>
      <c r="D1380" s="4" t="s">
        <v>2089</v>
      </c>
      <c r="E1380" s="4" t="s">
        <v>393</v>
      </c>
    </row>
    <row r="1381" spans="1:5" ht="31" customHeight="1">
      <c r="A1381" s="4" t="s">
        <v>407</v>
      </c>
      <c r="B1381" s="4" t="s">
        <v>385</v>
      </c>
      <c r="C1381" s="4" t="s">
        <v>71</v>
      </c>
      <c r="D1381" s="4" t="s">
        <v>2089</v>
      </c>
      <c r="E1381" s="4" t="s">
        <v>393</v>
      </c>
    </row>
    <row r="1382" spans="1:5" ht="31" customHeight="1">
      <c r="A1382" s="4" t="s">
        <v>407</v>
      </c>
      <c r="B1382" s="4" t="s">
        <v>385</v>
      </c>
      <c r="C1382" s="4" t="s">
        <v>75</v>
      </c>
      <c r="D1382" s="4" t="s">
        <v>2089</v>
      </c>
      <c r="E1382" s="4" t="s">
        <v>393</v>
      </c>
    </row>
    <row r="1383" spans="1:5" ht="31" customHeight="1">
      <c r="A1383" s="4" t="s">
        <v>407</v>
      </c>
      <c r="B1383" s="4" t="s">
        <v>385</v>
      </c>
      <c r="C1383" s="4" t="s">
        <v>76</v>
      </c>
      <c r="D1383" s="4" t="s">
        <v>2091</v>
      </c>
      <c r="E1383" s="4" t="s">
        <v>393</v>
      </c>
    </row>
    <row r="1384" spans="1:5" ht="31" customHeight="1">
      <c r="A1384" s="4" t="s">
        <v>412</v>
      </c>
      <c r="B1384" s="4" t="s">
        <v>385</v>
      </c>
      <c r="C1384" s="4" t="s">
        <v>35</v>
      </c>
      <c r="D1384" s="4" t="s">
        <v>2088</v>
      </c>
      <c r="E1384" s="4" t="s">
        <v>393</v>
      </c>
    </row>
    <row r="1385" spans="1:5" ht="31" customHeight="1">
      <c r="A1385" s="4" t="s">
        <v>412</v>
      </c>
      <c r="B1385" s="4" t="s">
        <v>385</v>
      </c>
      <c r="C1385" s="4" t="s">
        <v>36</v>
      </c>
      <c r="D1385" s="4" t="s">
        <v>2089</v>
      </c>
      <c r="E1385" s="4" t="s">
        <v>393</v>
      </c>
    </row>
    <row r="1386" spans="1:5" ht="31" customHeight="1">
      <c r="A1386" s="4" t="s">
        <v>412</v>
      </c>
      <c r="B1386" s="4" t="s">
        <v>385</v>
      </c>
      <c r="C1386" s="4" t="s">
        <v>37</v>
      </c>
      <c r="D1386" s="4" t="s">
        <v>2089</v>
      </c>
      <c r="E1386" s="4" t="s">
        <v>393</v>
      </c>
    </row>
    <row r="1387" spans="1:5" ht="31" customHeight="1">
      <c r="A1387" s="4" t="s">
        <v>412</v>
      </c>
      <c r="B1387" s="4" t="s">
        <v>385</v>
      </c>
      <c r="C1387" s="4" t="s">
        <v>38</v>
      </c>
      <c r="D1387" s="4" t="s">
        <v>2089</v>
      </c>
      <c r="E1387" s="4" t="s">
        <v>393</v>
      </c>
    </row>
    <row r="1388" spans="1:5" ht="31" customHeight="1">
      <c r="A1388" s="4" t="s">
        <v>412</v>
      </c>
      <c r="B1388" s="4" t="s">
        <v>385</v>
      </c>
      <c r="C1388" s="4" t="s">
        <v>39</v>
      </c>
      <c r="D1388" s="4" t="s">
        <v>2089</v>
      </c>
      <c r="E1388" s="4" t="s">
        <v>393</v>
      </c>
    </row>
    <row r="1389" spans="1:5" ht="31" customHeight="1">
      <c r="A1389" s="4" t="s">
        <v>412</v>
      </c>
      <c r="B1389" s="4" t="s">
        <v>385</v>
      </c>
      <c r="C1389" s="4" t="s">
        <v>40</v>
      </c>
      <c r="D1389" s="4" t="s">
        <v>2075</v>
      </c>
      <c r="E1389" s="4" t="s">
        <v>393</v>
      </c>
    </row>
    <row r="1390" spans="1:5" ht="31" customHeight="1">
      <c r="A1390" s="4" t="s">
        <v>412</v>
      </c>
      <c r="B1390" s="4" t="s">
        <v>385</v>
      </c>
      <c r="C1390" s="4" t="s">
        <v>41</v>
      </c>
      <c r="D1390" s="4" t="s">
        <v>2075</v>
      </c>
      <c r="E1390" s="4" t="s">
        <v>393</v>
      </c>
    </row>
    <row r="1391" spans="1:5" ht="31" customHeight="1">
      <c r="A1391" s="4" t="s">
        <v>412</v>
      </c>
      <c r="B1391" s="4" t="s">
        <v>385</v>
      </c>
      <c r="C1391" s="4" t="s">
        <v>42</v>
      </c>
      <c r="D1391" s="4" t="s">
        <v>2075</v>
      </c>
      <c r="E1391" s="4" t="s">
        <v>393</v>
      </c>
    </row>
    <row r="1392" spans="1:5" ht="31" customHeight="1">
      <c r="A1392" s="4" t="s">
        <v>412</v>
      </c>
      <c r="B1392" s="4" t="s">
        <v>385</v>
      </c>
      <c r="C1392" s="4" t="s">
        <v>43</v>
      </c>
      <c r="D1392" s="4" t="s">
        <v>2075</v>
      </c>
      <c r="E1392" s="4" t="s">
        <v>393</v>
      </c>
    </row>
    <row r="1393" spans="1:5" ht="31" customHeight="1">
      <c r="A1393" s="4" t="s">
        <v>412</v>
      </c>
      <c r="B1393" s="4" t="s">
        <v>385</v>
      </c>
      <c r="C1393" s="4" t="s">
        <v>44</v>
      </c>
      <c r="D1393" s="4" t="s">
        <v>2075</v>
      </c>
      <c r="E1393" s="4" t="s">
        <v>393</v>
      </c>
    </row>
    <row r="1394" spans="1:5" ht="31" customHeight="1">
      <c r="A1394" s="4" t="s">
        <v>412</v>
      </c>
      <c r="B1394" s="4" t="s">
        <v>385</v>
      </c>
      <c r="C1394" s="4" t="s">
        <v>45</v>
      </c>
      <c r="D1394" s="4" t="s">
        <v>2075</v>
      </c>
      <c r="E1394" s="4" t="s">
        <v>393</v>
      </c>
    </row>
    <row r="1395" spans="1:5" ht="31" customHeight="1">
      <c r="A1395" s="4" t="s">
        <v>412</v>
      </c>
      <c r="B1395" s="4" t="s">
        <v>385</v>
      </c>
      <c r="C1395" s="4" t="s">
        <v>46</v>
      </c>
      <c r="D1395" s="4" t="s">
        <v>2075</v>
      </c>
      <c r="E1395" s="4" t="s">
        <v>393</v>
      </c>
    </row>
    <row r="1396" spans="1:5" ht="31" customHeight="1">
      <c r="A1396" s="4" t="s">
        <v>412</v>
      </c>
      <c r="B1396" s="4" t="s">
        <v>385</v>
      </c>
      <c r="C1396" s="4" t="s">
        <v>47</v>
      </c>
      <c r="D1396" s="4" t="s">
        <v>2075</v>
      </c>
      <c r="E1396" s="4" t="s">
        <v>393</v>
      </c>
    </row>
    <row r="1397" spans="1:5" ht="31" customHeight="1">
      <c r="A1397" s="4" t="s">
        <v>412</v>
      </c>
      <c r="B1397" s="4" t="s">
        <v>385</v>
      </c>
      <c r="C1397" s="4" t="s">
        <v>48</v>
      </c>
      <c r="D1397" s="4" t="s">
        <v>2075</v>
      </c>
      <c r="E1397" s="4" t="s">
        <v>393</v>
      </c>
    </row>
    <row r="1398" spans="1:5" ht="31" customHeight="1">
      <c r="A1398" s="4" t="s">
        <v>412</v>
      </c>
      <c r="B1398" s="4" t="s">
        <v>385</v>
      </c>
      <c r="C1398" s="4" t="s">
        <v>49</v>
      </c>
      <c r="D1398" s="4" t="s">
        <v>2075</v>
      </c>
      <c r="E1398" s="4" t="s">
        <v>393</v>
      </c>
    </row>
    <row r="1399" spans="1:5" ht="31" customHeight="1">
      <c r="A1399" s="4" t="s">
        <v>412</v>
      </c>
      <c r="B1399" s="4" t="s">
        <v>385</v>
      </c>
      <c r="C1399" s="4" t="s">
        <v>50</v>
      </c>
      <c r="D1399" s="4" t="s">
        <v>2094</v>
      </c>
      <c r="E1399" s="4" t="s">
        <v>393</v>
      </c>
    </row>
    <row r="1400" spans="1:5" ht="31" customHeight="1">
      <c r="A1400" s="4" t="s">
        <v>412</v>
      </c>
      <c r="B1400" s="4" t="s">
        <v>385</v>
      </c>
      <c r="C1400" s="4" t="s">
        <v>51</v>
      </c>
      <c r="D1400" s="4" t="s">
        <v>2094</v>
      </c>
      <c r="E1400" s="4" t="s">
        <v>393</v>
      </c>
    </row>
    <row r="1401" spans="1:5" ht="31" customHeight="1">
      <c r="A1401" s="4" t="s">
        <v>412</v>
      </c>
      <c r="B1401" s="4" t="s">
        <v>385</v>
      </c>
      <c r="C1401" s="4" t="s">
        <v>52</v>
      </c>
      <c r="D1401" s="4" t="s">
        <v>2094</v>
      </c>
      <c r="E1401" s="4" t="s">
        <v>393</v>
      </c>
    </row>
    <row r="1402" spans="1:5" ht="31" customHeight="1">
      <c r="A1402" s="4" t="s">
        <v>412</v>
      </c>
      <c r="B1402" s="4" t="s">
        <v>385</v>
      </c>
      <c r="C1402" s="4" t="s">
        <v>53</v>
      </c>
      <c r="D1402" s="4" t="s">
        <v>2094</v>
      </c>
      <c r="E1402" s="4" t="s">
        <v>393</v>
      </c>
    </row>
    <row r="1403" spans="1:5" ht="31" customHeight="1">
      <c r="A1403" s="4" t="s">
        <v>412</v>
      </c>
      <c r="B1403" s="4" t="s">
        <v>385</v>
      </c>
      <c r="C1403" s="4" t="s">
        <v>54</v>
      </c>
      <c r="D1403" s="4" t="s">
        <v>2094</v>
      </c>
      <c r="E1403" s="4" t="s">
        <v>393</v>
      </c>
    </row>
    <row r="1404" spans="1:5" ht="31" customHeight="1">
      <c r="A1404" s="4" t="s">
        <v>412</v>
      </c>
      <c r="B1404" s="4" t="s">
        <v>385</v>
      </c>
      <c r="C1404" s="4" t="s">
        <v>56</v>
      </c>
      <c r="D1404" s="4" t="s">
        <v>2089</v>
      </c>
      <c r="E1404" s="4" t="s">
        <v>393</v>
      </c>
    </row>
    <row r="1405" spans="1:5" ht="31" customHeight="1">
      <c r="A1405" s="4" t="s">
        <v>412</v>
      </c>
      <c r="B1405" s="4" t="s">
        <v>385</v>
      </c>
      <c r="C1405" s="4" t="s">
        <v>57</v>
      </c>
      <c r="D1405" s="4" t="s">
        <v>2092</v>
      </c>
      <c r="E1405" s="4" t="s">
        <v>393</v>
      </c>
    </row>
    <row r="1406" spans="1:5" ht="31" customHeight="1">
      <c r="A1406" s="4" t="s">
        <v>412</v>
      </c>
      <c r="B1406" s="4" t="s">
        <v>385</v>
      </c>
      <c r="C1406" s="4" t="s">
        <v>58</v>
      </c>
      <c r="D1406" s="4" t="s">
        <v>2092</v>
      </c>
      <c r="E1406" s="4" t="s">
        <v>393</v>
      </c>
    </row>
    <row r="1407" spans="1:5" ht="31" customHeight="1">
      <c r="A1407" s="4" t="s">
        <v>412</v>
      </c>
      <c r="B1407" s="4" t="s">
        <v>385</v>
      </c>
      <c r="C1407" s="4" t="s">
        <v>60</v>
      </c>
      <c r="D1407" s="4" t="s">
        <v>2089</v>
      </c>
      <c r="E1407" s="4" t="s">
        <v>393</v>
      </c>
    </row>
    <row r="1408" spans="1:5" ht="31" customHeight="1">
      <c r="A1408" s="4" t="s">
        <v>412</v>
      </c>
      <c r="B1408" s="4" t="s">
        <v>385</v>
      </c>
      <c r="C1408" s="4" t="s">
        <v>61</v>
      </c>
      <c r="D1408" s="4" t="s">
        <v>2089</v>
      </c>
      <c r="E1408" s="4" t="s">
        <v>393</v>
      </c>
    </row>
    <row r="1409" spans="1:5" ht="31" customHeight="1">
      <c r="A1409" s="4" t="s">
        <v>412</v>
      </c>
      <c r="B1409" s="4" t="s">
        <v>385</v>
      </c>
      <c r="C1409" s="4" t="s">
        <v>62</v>
      </c>
      <c r="D1409" s="4" t="s">
        <v>2089</v>
      </c>
      <c r="E1409" s="4" t="s">
        <v>393</v>
      </c>
    </row>
    <row r="1410" spans="1:5" ht="31" customHeight="1">
      <c r="A1410" s="4" t="s">
        <v>412</v>
      </c>
      <c r="B1410" s="4" t="s">
        <v>385</v>
      </c>
      <c r="C1410" s="4" t="s">
        <v>63</v>
      </c>
      <c r="D1410" s="4" t="s">
        <v>2089</v>
      </c>
      <c r="E1410" s="4" t="s">
        <v>393</v>
      </c>
    </row>
    <row r="1411" spans="1:5" ht="31" customHeight="1">
      <c r="A1411" s="4" t="s">
        <v>412</v>
      </c>
      <c r="B1411" s="4" t="s">
        <v>385</v>
      </c>
      <c r="C1411" s="4" t="s">
        <v>64</v>
      </c>
      <c r="D1411" s="4" t="s">
        <v>2089</v>
      </c>
      <c r="E1411" s="4" t="s">
        <v>393</v>
      </c>
    </row>
    <row r="1412" spans="1:5" ht="31" customHeight="1">
      <c r="A1412" s="4" t="s">
        <v>412</v>
      </c>
      <c r="B1412" s="4" t="s">
        <v>385</v>
      </c>
      <c r="C1412" s="4" t="s">
        <v>65</v>
      </c>
      <c r="D1412" s="4" t="s">
        <v>2089</v>
      </c>
      <c r="E1412" s="4" t="s">
        <v>393</v>
      </c>
    </row>
    <row r="1413" spans="1:5" ht="31" customHeight="1">
      <c r="A1413" s="4" t="s">
        <v>412</v>
      </c>
      <c r="B1413" s="4" t="s">
        <v>385</v>
      </c>
      <c r="C1413" s="4" t="s">
        <v>66</v>
      </c>
      <c r="D1413" s="4" t="s">
        <v>2093</v>
      </c>
      <c r="E1413" s="4" t="s">
        <v>393</v>
      </c>
    </row>
    <row r="1414" spans="1:5" ht="31" customHeight="1">
      <c r="A1414" s="4" t="s">
        <v>412</v>
      </c>
      <c r="B1414" s="4" t="s">
        <v>385</v>
      </c>
      <c r="C1414" s="4" t="s">
        <v>67</v>
      </c>
      <c r="D1414" s="4" t="s">
        <v>2089</v>
      </c>
      <c r="E1414" s="4" t="s">
        <v>393</v>
      </c>
    </row>
    <row r="1415" spans="1:5" ht="31" customHeight="1">
      <c r="A1415" s="4" t="s">
        <v>412</v>
      </c>
      <c r="B1415" s="4" t="s">
        <v>385</v>
      </c>
      <c r="C1415" s="4" t="s">
        <v>68</v>
      </c>
      <c r="D1415" s="4" t="s">
        <v>2089</v>
      </c>
      <c r="E1415" s="4" t="s">
        <v>393</v>
      </c>
    </row>
    <row r="1416" spans="1:5" ht="31" customHeight="1">
      <c r="A1416" s="4" t="s">
        <v>412</v>
      </c>
      <c r="B1416" s="4" t="s">
        <v>385</v>
      </c>
      <c r="C1416" s="4" t="s">
        <v>69</v>
      </c>
      <c r="D1416" s="4" t="s">
        <v>2090</v>
      </c>
      <c r="E1416" s="4" t="s">
        <v>393</v>
      </c>
    </row>
    <row r="1417" spans="1:5" ht="31" customHeight="1">
      <c r="A1417" s="4" t="s">
        <v>412</v>
      </c>
      <c r="B1417" s="4" t="s">
        <v>385</v>
      </c>
      <c r="C1417" s="4" t="s">
        <v>70</v>
      </c>
      <c r="D1417" s="4" t="s">
        <v>2089</v>
      </c>
      <c r="E1417" s="4" t="s">
        <v>393</v>
      </c>
    </row>
    <row r="1418" spans="1:5" ht="31" customHeight="1">
      <c r="A1418" s="4" t="s">
        <v>412</v>
      </c>
      <c r="B1418" s="4" t="s">
        <v>385</v>
      </c>
      <c r="C1418" s="4" t="s">
        <v>71</v>
      </c>
      <c r="D1418" s="4" t="s">
        <v>2089</v>
      </c>
      <c r="E1418" s="4" t="s">
        <v>393</v>
      </c>
    </row>
    <row r="1419" spans="1:5" ht="31" customHeight="1">
      <c r="A1419" s="4" t="s">
        <v>412</v>
      </c>
      <c r="B1419" s="4" t="s">
        <v>385</v>
      </c>
      <c r="C1419" s="4" t="s">
        <v>75</v>
      </c>
      <c r="D1419" s="4" t="s">
        <v>2089</v>
      </c>
      <c r="E1419" s="4" t="s">
        <v>393</v>
      </c>
    </row>
    <row r="1420" spans="1:5" ht="31" customHeight="1">
      <c r="A1420" s="4" t="s">
        <v>412</v>
      </c>
      <c r="B1420" s="4" t="s">
        <v>385</v>
      </c>
      <c r="C1420" s="4" t="s">
        <v>76</v>
      </c>
      <c r="D1420" s="4" t="s">
        <v>2091</v>
      </c>
      <c r="E1420" s="4" t="s">
        <v>393</v>
      </c>
    </row>
    <row r="1421" spans="1:5" ht="31" customHeight="1">
      <c r="A1421" s="4" t="s">
        <v>417</v>
      </c>
      <c r="B1421" s="4" t="s">
        <v>385</v>
      </c>
      <c r="C1421" s="4" t="s">
        <v>35</v>
      </c>
      <c r="D1421" s="4" t="s">
        <v>2088</v>
      </c>
      <c r="E1421" s="4" t="s">
        <v>393</v>
      </c>
    </row>
    <row r="1422" spans="1:5" ht="31" customHeight="1">
      <c r="A1422" s="4" t="s">
        <v>417</v>
      </c>
      <c r="B1422" s="4" t="s">
        <v>385</v>
      </c>
      <c r="C1422" s="4" t="s">
        <v>36</v>
      </c>
      <c r="D1422" s="4" t="s">
        <v>2089</v>
      </c>
      <c r="E1422" s="4" t="s">
        <v>393</v>
      </c>
    </row>
    <row r="1423" spans="1:5" ht="31" customHeight="1">
      <c r="A1423" s="4" t="s">
        <v>417</v>
      </c>
      <c r="B1423" s="4" t="s">
        <v>385</v>
      </c>
      <c r="C1423" s="4" t="s">
        <v>37</v>
      </c>
      <c r="D1423" s="4" t="s">
        <v>2089</v>
      </c>
      <c r="E1423" s="4" t="s">
        <v>393</v>
      </c>
    </row>
    <row r="1424" spans="1:5" ht="31" customHeight="1">
      <c r="A1424" s="4" t="s">
        <v>417</v>
      </c>
      <c r="B1424" s="4" t="s">
        <v>385</v>
      </c>
      <c r="C1424" s="4" t="s">
        <v>38</v>
      </c>
      <c r="D1424" s="4" t="s">
        <v>2089</v>
      </c>
      <c r="E1424" s="4" t="s">
        <v>393</v>
      </c>
    </row>
    <row r="1425" spans="1:5" ht="31" customHeight="1">
      <c r="A1425" s="4" t="s">
        <v>417</v>
      </c>
      <c r="B1425" s="4" t="s">
        <v>385</v>
      </c>
      <c r="C1425" s="4" t="s">
        <v>39</v>
      </c>
      <c r="D1425" s="4" t="s">
        <v>2089</v>
      </c>
      <c r="E1425" s="4" t="s">
        <v>393</v>
      </c>
    </row>
    <row r="1426" spans="1:5" ht="31" customHeight="1">
      <c r="A1426" s="4" t="s">
        <v>417</v>
      </c>
      <c r="B1426" s="4" t="s">
        <v>385</v>
      </c>
      <c r="C1426" s="4" t="s">
        <v>40</v>
      </c>
      <c r="D1426" s="4" t="s">
        <v>2072</v>
      </c>
      <c r="E1426" s="4" t="s">
        <v>393</v>
      </c>
    </row>
    <row r="1427" spans="1:5" ht="31" customHeight="1">
      <c r="A1427" s="4" t="s">
        <v>417</v>
      </c>
      <c r="B1427" s="4" t="s">
        <v>385</v>
      </c>
      <c r="C1427" s="4" t="s">
        <v>41</v>
      </c>
      <c r="D1427" s="4" t="s">
        <v>2072</v>
      </c>
      <c r="E1427" s="4" t="s">
        <v>393</v>
      </c>
    </row>
    <row r="1428" spans="1:5" ht="31" customHeight="1">
      <c r="A1428" s="4" t="s">
        <v>417</v>
      </c>
      <c r="B1428" s="4" t="s">
        <v>385</v>
      </c>
      <c r="C1428" s="4" t="s">
        <v>42</v>
      </c>
      <c r="D1428" s="4" t="s">
        <v>2072</v>
      </c>
      <c r="E1428" s="4" t="s">
        <v>393</v>
      </c>
    </row>
    <row r="1429" spans="1:5" ht="31" customHeight="1">
      <c r="A1429" s="4" t="s">
        <v>417</v>
      </c>
      <c r="B1429" s="4" t="s">
        <v>385</v>
      </c>
      <c r="C1429" s="4" t="s">
        <v>43</v>
      </c>
      <c r="D1429" s="4" t="s">
        <v>2072</v>
      </c>
      <c r="E1429" s="4" t="s">
        <v>393</v>
      </c>
    </row>
    <row r="1430" spans="1:5" ht="31" customHeight="1">
      <c r="A1430" s="4" t="s">
        <v>417</v>
      </c>
      <c r="B1430" s="4" t="s">
        <v>385</v>
      </c>
      <c r="C1430" s="4" t="s">
        <v>44</v>
      </c>
      <c r="D1430" s="4" t="s">
        <v>2072</v>
      </c>
      <c r="E1430" s="4" t="s">
        <v>393</v>
      </c>
    </row>
    <row r="1431" spans="1:5" ht="31" customHeight="1">
      <c r="A1431" s="4" t="s">
        <v>417</v>
      </c>
      <c r="B1431" s="4" t="s">
        <v>385</v>
      </c>
      <c r="C1431" s="4" t="s">
        <v>45</v>
      </c>
      <c r="D1431" s="4" t="s">
        <v>2072</v>
      </c>
      <c r="E1431" s="4" t="s">
        <v>393</v>
      </c>
    </row>
    <row r="1432" spans="1:5" ht="31" customHeight="1">
      <c r="A1432" s="4" t="s">
        <v>417</v>
      </c>
      <c r="B1432" s="4" t="s">
        <v>385</v>
      </c>
      <c r="C1432" s="4" t="s">
        <v>46</v>
      </c>
      <c r="D1432" s="4" t="s">
        <v>2072</v>
      </c>
      <c r="E1432" s="4" t="s">
        <v>393</v>
      </c>
    </row>
    <row r="1433" spans="1:5" ht="31" customHeight="1">
      <c r="A1433" s="4" t="s">
        <v>417</v>
      </c>
      <c r="B1433" s="4" t="s">
        <v>385</v>
      </c>
      <c r="C1433" s="4" t="s">
        <v>47</v>
      </c>
      <c r="D1433" s="4" t="s">
        <v>2072</v>
      </c>
      <c r="E1433" s="4" t="s">
        <v>393</v>
      </c>
    </row>
    <row r="1434" spans="1:5" ht="31" customHeight="1">
      <c r="A1434" s="4" t="s">
        <v>417</v>
      </c>
      <c r="B1434" s="4" t="s">
        <v>385</v>
      </c>
      <c r="C1434" s="4" t="s">
        <v>48</v>
      </c>
      <c r="D1434" s="4" t="s">
        <v>2072</v>
      </c>
      <c r="E1434" s="4" t="s">
        <v>393</v>
      </c>
    </row>
    <row r="1435" spans="1:5" ht="31" customHeight="1">
      <c r="A1435" s="4" t="s">
        <v>417</v>
      </c>
      <c r="B1435" s="4" t="s">
        <v>385</v>
      </c>
      <c r="C1435" s="4" t="s">
        <v>49</v>
      </c>
      <c r="D1435" s="4" t="s">
        <v>2072</v>
      </c>
      <c r="E1435" s="4" t="s">
        <v>393</v>
      </c>
    </row>
    <row r="1436" spans="1:5" ht="31" customHeight="1">
      <c r="A1436" s="4" t="s">
        <v>417</v>
      </c>
      <c r="B1436" s="4" t="s">
        <v>385</v>
      </c>
      <c r="C1436" s="4" t="s">
        <v>50</v>
      </c>
      <c r="D1436" s="4" t="s">
        <v>2094</v>
      </c>
      <c r="E1436" s="4" t="s">
        <v>393</v>
      </c>
    </row>
    <row r="1437" spans="1:5" ht="31" customHeight="1">
      <c r="A1437" s="4" t="s">
        <v>417</v>
      </c>
      <c r="B1437" s="4" t="s">
        <v>385</v>
      </c>
      <c r="C1437" s="4" t="s">
        <v>51</v>
      </c>
      <c r="D1437" s="4" t="s">
        <v>2094</v>
      </c>
      <c r="E1437" s="4" t="s">
        <v>393</v>
      </c>
    </row>
    <row r="1438" spans="1:5" ht="31" customHeight="1">
      <c r="A1438" s="4" t="s">
        <v>417</v>
      </c>
      <c r="B1438" s="4" t="s">
        <v>385</v>
      </c>
      <c r="C1438" s="4" t="s">
        <v>52</v>
      </c>
      <c r="D1438" s="4" t="s">
        <v>2094</v>
      </c>
      <c r="E1438" s="4" t="s">
        <v>393</v>
      </c>
    </row>
    <row r="1439" spans="1:5" ht="31" customHeight="1">
      <c r="A1439" s="4" t="s">
        <v>417</v>
      </c>
      <c r="B1439" s="4" t="s">
        <v>385</v>
      </c>
      <c r="C1439" s="4" t="s">
        <v>53</v>
      </c>
      <c r="D1439" s="4" t="s">
        <v>2094</v>
      </c>
      <c r="E1439" s="4" t="s">
        <v>393</v>
      </c>
    </row>
    <row r="1440" spans="1:5" ht="31" customHeight="1">
      <c r="A1440" s="4" t="s">
        <v>417</v>
      </c>
      <c r="B1440" s="4" t="s">
        <v>385</v>
      </c>
      <c r="C1440" s="4" t="s">
        <v>54</v>
      </c>
      <c r="D1440" s="4" t="s">
        <v>2094</v>
      </c>
      <c r="E1440" s="4" t="s">
        <v>393</v>
      </c>
    </row>
    <row r="1441" spans="1:5" ht="31" customHeight="1">
      <c r="A1441" s="4" t="s">
        <v>417</v>
      </c>
      <c r="B1441" s="4" t="s">
        <v>385</v>
      </c>
      <c r="C1441" s="4" t="s">
        <v>56</v>
      </c>
      <c r="D1441" s="4" t="s">
        <v>2089</v>
      </c>
      <c r="E1441" s="4" t="s">
        <v>393</v>
      </c>
    </row>
    <row r="1442" spans="1:5" ht="31" customHeight="1">
      <c r="A1442" s="4" t="s">
        <v>417</v>
      </c>
      <c r="B1442" s="4" t="s">
        <v>385</v>
      </c>
      <c r="C1442" s="4" t="s">
        <v>57</v>
      </c>
      <c r="D1442" s="4" t="s">
        <v>2092</v>
      </c>
      <c r="E1442" s="4" t="s">
        <v>393</v>
      </c>
    </row>
    <row r="1443" spans="1:5" ht="31" customHeight="1">
      <c r="A1443" s="4" t="s">
        <v>417</v>
      </c>
      <c r="B1443" s="4" t="s">
        <v>385</v>
      </c>
      <c r="C1443" s="4" t="s">
        <v>58</v>
      </c>
      <c r="D1443" s="4" t="s">
        <v>2092</v>
      </c>
      <c r="E1443" s="4" t="s">
        <v>393</v>
      </c>
    </row>
    <row r="1444" spans="1:5" ht="31" customHeight="1">
      <c r="A1444" s="4" t="s">
        <v>417</v>
      </c>
      <c r="B1444" s="4" t="s">
        <v>385</v>
      </c>
      <c r="C1444" s="4" t="s">
        <v>60</v>
      </c>
      <c r="D1444" s="4" t="s">
        <v>2089</v>
      </c>
      <c r="E1444" s="4" t="s">
        <v>393</v>
      </c>
    </row>
    <row r="1445" spans="1:5" ht="31" customHeight="1">
      <c r="A1445" s="4" t="s">
        <v>417</v>
      </c>
      <c r="B1445" s="4" t="s">
        <v>385</v>
      </c>
      <c r="C1445" s="4" t="s">
        <v>61</v>
      </c>
      <c r="D1445" s="4" t="s">
        <v>2089</v>
      </c>
      <c r="E1445" s="4" t="s">
        <v>393</v>
      </c>
    </row>
    <row r="1446" spans="1:5" ht="31" customHeight="1">
      <c r="A1446" s="4" t="s">
        <v>417</v>
      </c>
      <c r="B1446" s="4" t="s">
        <v>385</v>
      </c>
      <c r="C1446" s="4" t="s">
        <v>62</v>
      </c>
      <c r="D1446" s="4" t="s">
        <v>2089</v>
      </c>
      <c r="E1446" s="4" t="s">
        <v>393</v>
      </c>
    </row>
    <row r="1447" spans="1:5" ht="31" customHeight="1">
      <c r="A1447" s="4" t="s">
        <v>417</v>
      </c>
      <c r="B1447" s="4" t="s">
        <v>385</v>
      </c>
      <c r="C1447" s="4" t="s">
        <v>63</v>
      </c>
      <c r="D1447" s="4" t="s">
        <v>2089</v>
      </c>
      <c r="E1447" s="4" t="s">
        <v>393</v>
      </c>
    </row>
    <row r="1448" spans="1:5" ht="31" customHeight="1">
      <c r="A1448" s="4" t="s">
        <v>417</v>
      </c>
      <c r="B1448" s="4" t="s">
        <v>385</v>
      </c>
      <c r="C1448" s="4" t="s">
        <v>64</v>
      </c>
      <c r="D1448" s="4" t="s">
        <v>2089</v>
      </c>
      <c r="E1448" s="4" t="s">
        <v>393</v>
      </c>
    </row>
    <row r="1449" spans="1:5" ht="31" customHeight="1">
      <c r="A1449" s="4" t="s">
        <v>417</v>
      </c>
      <c r="B1449" s="4" t="s">
        <v>385</v>
      </c>
      <c r="C1449" s="4" t="s">
        <v>65</v>
      </c>
      <c r="D1449" s="4" t="s">
        <v>2089</v>
      </c>
      <c r="E1449" s="4" t="s">
        <v>393</v>
      </c>
    </row>
    <row r="1450" spans="1:5" ht="31" customHeight="1">
      <c r="A1450" s="4" t="s">
        <v>417</v>
      </c>
      <c r="B1450" s="4" t="s">
        <v>385</v>
      </c>
      <c r="C1450" s="4" t="s">
        <v>66</v>
      </c>
      <c r="D1450" s="4" t="s">
        <v>2093</v>
      </c>
      <c r="E1450" s="4" t="s">
        <v>393</v>
      </c>
    </row>
    <row r="1451" spans="1:5" ht="31" customHeight="1">
      <c r="A1451" s="4" t="s">
        <v>417</v>
      </c>
      <c r="B1451" s="4" t="s">
        <v>385</v>
      </c>
      <c r="C1451" s="4" t="s">
        <v>67</v>
      </c>
      <c r="D1451" s="4" t="s">
        <v>2089</v>
      </c>
      <c r="E1451" s="4" t="s">
        <v>393</v>
      </c>
    </row>
    <row r="1452" spans="1:5" ht="31" customHeight="1">
      <c r="A1452" s="4" t="s">
        <v>417</v>
      </c>
      <c r="B1452" s="4" t="s">
        <v>385</v>
      </c>
      <c r="C1452" s="4" t="s">
        <v>68</v>
      </c>
      <c r="D1452" s="4" t="s">
        <v>2089</v>
      </c>
      <c r="E1452" s="4" t="s">
        <v>393</v>
      </c>
    </row>
    <row r="1453" spans="1:5" ht="31" customHeight="1">
      <c r="A1453" s="4" t="s">
        <v>417</v>
      </c>
      <c r="B1453" s="4" t="s">
        <v>385</v>
      </c>
      <c r="C1453" s="4" t="s">
        <v>70</v>
      </c>
      <c r="D1453" s="4" t="s">
        <v>2089</v>
      </c>
      <c r="E1453" s="4" t="s">
        <v>393</v>
      </c>
    </row>
    <row r="1454" spans="1:5" ht="31" customHeight="1">
      <c r="A1454" s="4" t="s">
        <v>417</v>
      </c>
      <c r="B1454" s="4" t="s">
        <v>385</v>
      </c>
      <c r="C1454" s="4" t="s">
        <v>71</v>
      </c>
      <c r="D1454" s="4" t="s">
        <v>2089</v>
      </c>
      <c r="E1454" s="4" t="s">
        <v>393</v>
      </c>
    </row>
    <row r="1455" spans="1:5" ht="31" customHeight="1">
      <c r="A1455" s="4" t="s">
        <v>417</v>
      </c>
      <c r="B1455" s="4" t="s">
        <v>385</v>
      </c>
      <c r="C1455" s="4" t="s">
        <v>75</v>
      </c>
      <c r="D1455" s="4" t="s">
        <v>2089</v>
      </c>
      <c r="E1455" s="4" t="s">
        <v>393</v>
      </c>
    </row>
    <row r="1456" spans="1:5" ht="31" customHeight="1">
      <c r="A1456" s="4" t="s">
        <v>417</v>
      </c>
      <c r="B1456" s="4" t="s">
        <v>385</v>
      </c>
      <c r="C1456" s="4" t="s">
        <v>76</v>
      </c>
      <c r="D1456" s="4" t="s">
        <v>2091</v>
      </c>
      <c r="E1456" s="4" t="s">
        <v>393</v>
      </c>
    </row>
    <row r="1457" spans="1:5" ht="31" customHeight="1">
      <c r="A1457" s="4" t="s">
        <v>419</v>
      </c>
      <c r="B1457" s="4" t="s">
        <v>385</v>
      </c>
      <c r="C1457" s="4" t="s">
        <v>35</v>
      </c>
      <c r="D1457" s="4" t="s">
        <v>2088</v>
      </c>
      <c r="E1457" s="4" t="s">
        <v>393</v>
      </c>
    </row>
    <row r="1458" spans="1:5" ht="31" customHeight="1">
      <c r="A1458" s="4" t="s">
        <v>419</v>
      </c>
      <c r="B1458" s="4" t="s">
        <v>385</v>
      </c>
      <c r="C1458" s="4" t="s">
        <v>36</v>
      </c>
      <c r="D1458" s="4" t="s">
        <v>2089</v>
      </c>
      <c r="E1458" s="4" t="s">
        <v>393</v>
      </c>
    </row>
    <row r="1459" spans="1:5" ht="31" customHeight="1">
      <c r="A1459" s="4" t="s">
        <v>419</v>
      </c>
      <c r="B1459" s="4" t="s">
        <v>385</v>
      </c>
      <c r="C1459" s="4" t="s">
        <v>37</v>
      </c>
      <c r="D1459" s="4" t="s">
        <v>2089</v>
      </c>
      <c r="E1459" s="4" t="s">
        <v>393</v>
      </c>
    </row>
    <row r="1460" spans="1:5" ht="31" customHeight="1">
      <c r="A1460" s="4" t="s">
        <v>419</v>
      </c>
      <c r="B1460" s="4" t="s">
        <v>385</v>
      </c>
      <c r="C1460" s="4" t="s">
        <v>38</v>
      </c>
      <c r="D1460" s="4" t="s">
        <v>2089</v>
      </c>
      <c r="E1460" s="4" t="s">
        <v>393</v>
      </c>
    </row>
    <row r="1461" spans="1:5" ht="31" customHeight="1">
      <c r="A1461" s="4" t="s">
        <v>419</v>
      </c>
      <c r="B1461" s="4" t="s">
        <v>385</v>
      </c>
      <c r="C1461" s="4" t="s">
        <v>39</v>
      </c>
      <c r="D1461" s="4" t="s">
        <v>2089</v>
      </c>
      <c r="E1461" s="4" t="s">
        <v>393</v>
      </c>
    </row>
    <row r="1462" spans="1:5" ht="31" customHeight="1">
      <c r="A1462" s="4" t="s">
        <v>419</v>
      </c>
      <c r="B1462" s="4" t="s">
        <v>385</v>
      </c>
      <c r="C1462" s="4" t="s">
        <v>40</v>
      </c>
      <c r="D1462" s="4" t="s">
        <v>2072</v>
      </c>
      <c r="E1462" s="4" t="s">
        <v>393</v>
      </c>
    </row>
    <row r="1463" spans="1:5" ht="31" customHeight="1">
      <c r="A1463" s="4" t="s">
        <v>419</v>
      </c>
      <c r="B1463" s="4" t="s">
        <v>385</v>
      </c>
      <c r="C1463" s="4" t="s">
        <v>41</v>
      </c>
      <c r="D1463" s="4" t="s">
        <v>2072</v>
      </c>
      <c r="E1463" s="4" t="s">
        <v>393</v>
      </c>
    </row>
    <row r="1464" spans="1:5" ht="31" customHeight="1">
      <c r="A1464" s="4" t="s">
        <v>419</v>
      </c>
      <c r="B1464" s="4" t="s">
        <v>385</v>
      </c>
      <c r="C1464" s="4" t="s">
        <v>42</v>
      </c>
      <c r="D1464" s="4" t="s">
        <v>2072</v>
      </c>
      <c r="E1464" s="4" t="s">
        <v>393</v>
      </c>
    </row>
    <row r="1465" spans="1:5" ht="31" customHeight="1">
      <c r="A1465" s="4" t="s">
        <v>419</v>
      </c>
      <c r="B1465" s="4" t="s">
        <v>385</v>
      </c>
      <c r="C1465" s="4" t="s">
        <v>43</v>
      </c>
      <c r="D1465" s="4" t="s">
        <v>2072</v>
      </c>
      <c r="E1465" s="4" t="s">
        <v>393</v>
      </c>
    </row>
    <row r="1466" spans="1:5" ht="31" customHeight="1">
      <c r="A1466" s="4" t="s">
        <v>419</v>
      </c>
      <c r="B1466" s="4" t="s">
        <v>385</v>
      </c>
      <c r="C1466" s="4" t="s">
        <v>44</v>
      </c>
      <c r="D1466" s="4" t="s">
        <v>2072</v>
      </c>
      <c r="E1466" s="4" t="s">
        <v>393</v>
      </c>
    </row>
    <row r="1467" spans="1:5" ht="31" customHeight="1">
      <c r="A1467" s="4" t="s">
        <v>419</v>
      </c>
      <c r="B1467" s="4" t="s">
        <v>385</v>
      </c>
      <c r="C1467" s="4" t="s">
        <v>45</v>
      </c>
      <c r="D1467" s="4" t="s">
        <v>2072</v>
      </c>
      <c r="E1467" s="4" t="s">
        <v>393</v>
      </c>
    </row>
    <row r="1468" spans="1:5" ht="31" customHeight="1">
      <c r="A1468" s="4" t="s">
        <v>419</v>
      </c>
      <c r="B1468" s="4" t="s">
        <v>385</v>
      </c>
      <c r="C1468" s="4" t="s">
        <v>46</v>
      </c>
      <c r="D1468" s="4" t="s">
        <v>2072</v>
      </c>
      <c r="E1468" s="4" t="s">
        <v>393</v>
      </c>
    </row>
    <row r="1469" spans="1:5" ht="31" customHeight="1">
      <c r="A1469" s="4" t="s">
        <v>419</v>
      </c>
      <c r="B1469" s="4" t="s">
        <v>385</v>
      </c>
      <c r="C1469" s="4" t="s">
        <v>47</v>
      </c>
      <c r="D1469" s="4" t="s">
        <v>2072</v>
      </c>
      <c r="E1469" s="4" t="s">
        <v>393</v>
      </c>
    </row>
    <row r="1470" spans="1:5" ht="31" customHeight="1">
      <c r="A1470" s="4" t="s">
        <v>419</v>
      </c>
      <c r="B1470" s="4" t="s">
        <v>385</v>
      </c>
      <c r="C1470" s="4" t="s">
        <v>48</v>
      </c>
      <c r="D1470" s="4" t="s">
        <v>2072</v>
      </c>
      <c r="E1470" s="4" t="s">
        <v>393</v>
      </c>
    </row>
    <row r="1471" spans="1:5" ht="31" customHeight="1">
      <c r="A1471" s="4" t="s">
        <v>419</v>
      </c>
      <c r="B1471" s="4" t="s">
        <v>385</v>
      </c>
      <c r="C1471" s="4" t="s">
        <v>49</v>
      </c>
      <c r="D1471" s="4" t="s">
        <v>2072</v>
      </c>
      <c r="E1471" s="4" t="s">
        <v>393</v>
      </c>
    </row>
    <row r="1472" spans="1:5" ht="31" customHeight="1">
      <c r="A1472" s="4" t="s">
        <v>419</v>
      </c>
      <c r="B1472" s="4" t="s">
        <v>385</v>
      </c>
      <c r="C1472" s="4" t="s">
        <v>50</v>
      </c>
      <c r="D1472" s="4" t="s">
        <v>2094</v>
      </c>
      <c r="E1472" s="4" t="s">
        <v>393</v>
      </c>
    </row>
    <row r="1473" spans="1:5" ht="31" customHeight="1">
      <c r="A1473" s="4" t="s">
        <v>419</v>
      </c>
      <c r="B1473" s="4" t="s">
        <v>385</v>
      </c>
      <c r="C1473" s="4" t="s">
        <v>51</v>
      </c>
      <c r="D1473" s="4" t="s">
        <v>2094</v>
      </c>
      <c r="E1473" s="4" t="s">
        <v>393</v>
      </c>
    </row>
    <row r="1474" spans="1:5" ht="31" customHeight="1">
      <c r="A1474" s="4" t="s">
        <v>419</v>
      </c>
      <c r="B1474" s="4" t="s">
        <v>385</v>
      </c>
      <c r="C1474" s="4" t="s">
        <v>52</v>
      </c>
      <c r="D1474" s="4" t="s">
        <v>2094</v>
      </c>
      <c r="E1474" s="4" t="s">
        <v>393</v>
      </c>
    </row>
    <row r="1475" spans="1:5" ht="31" customHeight="1">
      <c r="A1475" s="4" t="s">
        <v>419</v>
      </c>
      <c r="B1475" s="4" t="s">
        <v>385</v>
      </c>
      <c r="C1475" s="4" t="s">
        <v>53</v>
      </c>
      <c r="D1475" s="4" t="s">
        <v>2094</v>
      </c>
      <c r="E1475" s="4" t="s">
        <v>393</v>
      </c>
    </row>
    <row r="1476" spans="1:5" ht="31" customHeight="1">
      <c r="A1476" s="4" t="s">
        <v>419</v>
      </c>
      <c r="B1476" s="4" t="s">
        <v>385</v>
      </c>
      <c r="C1476" s="4" t="s">
        <v>54</v>
      </c>
      <c r="D1476" s="4" t="s">
        <v>2094</v>
      </c>
      <c r="E1476" s="4" t="s">
        <v>393</v>
      </c>
    </row>
    <row r="1477" spans="1:5" ht="31" customHeight="1">
      <c r="A1477" s="4" t="s">
        <v>419</v>
      </c>
      <c r="B1477" s="4" t="s">
        <v>385</v>
      </c>
      <c r="C1477" s="4" t="s">
        <v>56</v>
      </c>
      <c r="D1477" s="4" t="s">
        <v>2089</v>
      </c>
      <c r="E1477" s="4" t="s">
        <v>393</v>
      </c>
    </row>
    <row r="1478" spans="1:5" ht="31" customHeight="1">
      <c r="A1478" s="4" t="s">
        <v>419</v>
      </c>
      <c r="B1478" s="4" t="s">
        <v>385</v>
      </c>
      <c r="C1478" s="4" t="s">
        <v>57</v>
      </c>
      <c r="D1478" s="4" t="s">
        <v>2092</v>
      </c>
      <c r="E1478" s="4" t="s">
        <v>393</v>
      </c>
    </row>
    <row r="1479" spans="1:5" ht="31" customHeight="1">
      <c r="A1479" s="4" t="s">
        <v>419</v>
      </c>
      <c r="B1479" s="4" t="s">
        <v>385</v>
      </c>
      <c r="C1479" s="4" t="s">
        <v>58</v>
      </c>
      <c r="D1479" s="4" t="s">
        <v>2092</v>
      </c>
      <c r="E1479" s="4" t="s">
        <v>393</v>
      </c>
    </row>
    <row r="1480" spans="1:5" ht="31" customHeight="1">
      <c r="A1480" s="4" t="s">
        <v>419</v>
      </c>
      <c r="B1480" s="4" t="s">
        <v>385</v>
      </c>
      <c r="C1480" s="4" t="s">
        <v>60</v>
      </c>
      <c r="D1480" s="4" t="s">
        <v>2089</v>
      </c>
      <c r="E1480" s="4" t="s">
        <v>393</v>
      </c>
    </row>
    <row r="1481" spans="1:5" ht="31" customHeight="1">
      <c r="A1481" s="4" t="s">
        <v>419</v>
      </c>
      <c r="B1481" s="4" t="s">
        <v>385</v>
      </c>
      <c r="C1481" s="4" t="s">
        <v>61</v>
      </c>
      <c r="D1481" s="4" t="s">
        <v>2089</v>
      </c>
      <c r="E1481" s="4" t="s">
        <v>393</v>
      </c>
    </row>
    <row r="1482" spans="1:5" ht="31" customHeight="1">
      <c r="A1482" s="4" t="s">
        <v>419</v>
      </c>
      <c r="B1482" s="4" t="s">
        <v>385</v>
      </c>
      <c r="C1482" s="4" t="s">
        <v>62</v>
      </c>
      <c r="D1482" s="4" t="s">
        <v>2089</v>
      </c>
      <c r="E1482" s="4" t="s">
        <v>393</v>
      </c>
    </row>
    <row r="1483" spans="1:5" ht="31" customHeight="1">
      <c r="A1483" s="4" t="s">
        <v>419</v>
      </c>
      <c r="B1483" s="4" t="s">
        <v>385</v>
      </c>
      <c r="C1483" s="4" t="s">
        <v>63</v>
      </c>
      <c r="D1483" s="4" t="s">
        <v>2089</v>
      </c>
      <c r="E1483" s="4" t="s">
        <v>393</v>
      </c>
    </row>
    <row r="1484" spans="1:5" ht="31" customHeight="1">
      <c r="A1484" s="4" t="s">
        <v>419</v>
      </c>
      <c r="B1484" s="4" t="s">
        <v>385</v>
      </c>
      <c r="C1484" s="4" t="s">
        <v>64</v>
      </c>
      <c r="D1484" s="4" t="s">
        <v>2089</v>
      </c>
      <c r="E1484" s="4" t="s">
        <v>393</v>
      </c>
    </row>
    <row r="1485" spans="1:5" ht="31" customHeight="1">
      <c r="A1485" s="4" t="s">
        <v>419</v>
      </c>
      <c r="B1485" s="4" t="s">
        <v>385</v>
      </c>
      <c r="C1485" s="4" t="s">
        <v>65</v>
      </c>
      <c r="D1485" s="4" t="s">
        <v>2089</v>
      </c>
      <c r="E1485" s="4" t="s">
        <v>393</v>
      </c>
    </row>
    <row r="1486" spans="1:5" ht="31" customHeight="1">
      <c r="A1486" s="4" t="s">
        <v>419</v>
      </c>
      <c r="B1486" s="4" t="s">
        <v>385</v>
      </c>
      <c r="C1486" s="4" t="s">
        <v>66</v>
      </c>
      <c r="D1486" s="4" t="s">
        <v>2093</v>
      </c>
      <c r="E1486" s="4" t="s">
        <v>393</v>
      </c>
    </row>
    <row r="1487" spans="1:5" ht="31" customHeight="1">
      <c r="A1487" s="4" t="s">
        <v>419</v>
      </c>
      <c r="B1487" s="4" t="s">
        <v>385</v>
      </c>
      <c r="C1487" s="4" t="s">
        <v>67</v>
      </c>
      <c r="D1487" s="4" t="s">
        <v>2089</v>
      </c>
      <c r="E1487" s="4" t="s">
        <v>393</v>
      </c>
    </row>
    <row r="1488" spans="1:5" ht="31" customHeight="1">
      <c r="A1488" s="4" t="s">
        <v>419</v>
      </c>
      <c r="B1488" s="4" t="s">
        <v>385</v>
      </c>
      <c r="C1488" s="4" t="s">
        <v>68</v>
      </c>
      <c r="D1488" s="4" t="s">
        <v>2089</v>
      </c>
      <c r="E1488" s="4" t="s">
        <v>393</v>
      </c>
    </row>
    <row r="1489" spans="1:5" ht="31" customHeight="1">
      <c r="A1489" s="4" t="s">
        <v>419</v>
      </c>
      <c r="B1489" s="4" t="s">
        <v>385</v>
      </c>
      <c r="C1489" s="4" t="s">
        <v>70</v>
      </c>
      <c r="D1489" s="4" t="s">
        <v>2089</v>
      </c>
      <c r="E1489" s="4" t="s">
        <v>393</v>
      </c>
    </row>
    <row r="1490" spans="1:5" ht="31" customHeight="1">
      <c r="A1490" s="4" t="s">
        <v>419</v>
      </c>
      <c r="B1490" s="4" t="s">
        <v>385</v>
      </c>
      <c r="C1490" s="4" t="s">
        <v>71</v>
      </c>
      <c r="D1490" s="4" t="s">
        <v>2089</v>
      </c>
      <c r="E1490" s="4" t="s">
        <v>393</v>
      </c>
    </row>
    <row r="1491" spans="1:5" ht="31" customHeight="1">
      <c r="A1491" s="4" t="s">
        <v>419</v>
      </c>
      <c r="B1491" s="4" t="s">
        <v>385</v>
      </c>
      <c r="C1491" s="4" t="s">
        <v>75</v>
      </c>
      <c r="D1491" s="4" t="s">
        <v>2089</v>
      </c>
      <c r="E1491" s="4" t="s">
        <v>393</v>
      </c>
    </row>
    <row r="1492" spans="1:5" ht="31" customHeight="1">
      <c r="A1492" s="4" t="s">
        <v>419</v>
      </c>
      <c r="B1492" s="4" t="s">
        <v>385</v>
      </c>
      <c r="C1492" s="4" t="s">
        <v>76</v>
      </c>
      <c r="D1492" s="4" t="s">
        <v>2091</v>
      </c>
      <c r="E1492" s="4" t="s">
        <v>393</v>
      </c>
    </row>
    <row r="1493" spans="1:5" ht="31" customHeight="1">
      <c r="A1493" s="4" t="s">
        <v>421</v>
      </c>
      <c r="B1493" s="4" t="s">
        <v>385</v>
      </c>
      <c r="C1493" s="4" t="s">
        <v>35</v>
      </c>
      <c r="D1493" s="4" t="s">
        <v>2088</v>
      </c>
      <c r="E1493" s="4" t="s">
        <v>393</v>
      </c>
    </row>
    <row r="1494" spans="1:5" ht="31" customHeight="1">
      <c r="A1494" s="4" t="s">
        <v>421</v>
      </c>
      <c r="B1494" s="4" t="s">
        <v>385</v>
      </c>
      <c r="C1494" s="4" t="s">
        <v>36</v>
      </c>
      <c r="D1494" s="4" t="s">
        <v>2089</v>
      </c>
      <c r="E1494" s="4" t="s">
        <v>393</v>
      </c>
    </row>
    <row r="1495" spans="1:5" ht="31" customHeight="1">
      <c r="A1495" s="4" t="s">
        <v>421</v>
      </c>
      <c r="B1495" s="4" t="s">
        <v>385</v>
      </c>
      <c r="C1495" s="4" t="s">
        <v>37</v>
      </c>
      <c r="D1495" s="4" t="s">
        <v>2089</v>
      </c>
      <c r="E1495" s="4" t="s">
        <v>393</v>
      </c>
    </row>
    <row r="1496" spans="1:5" ht="31" customHeight="1">
      <c r="A1496" s="4" t="s">
        <v>421</v>
      </c>
      <c r="B1496" s="4" t="s">
        <v>385</v>
      </c>
      <c r="C1496" s="4" t="s">
        <v>38</v>
      </c>
      <c r="D1496" s="4" t="s">
        <v>2089</v>
      </c>
      <c r="E1496" s="4" t="s">
        <v>393</v>
      </c>
    </row>
    <row r="1497" spans="1:5" ht="31" customHeight="1">
      <c r="A1497" s="4" t="s">
        <v>421</v>
      </c>
      <c r="B1497" s="4" t="s">
        <v>385</v>
      </c>
      <c r="C1497" s="4" t="s">
        <v>39</v>
      </c>
      <c r="D1497" s="4" t="s">
        <v>2089</v>
      </c>
      <c r="E1497" s="4" t="s">
        <v>393</v>
      </c>
    </row>
    <row r="1498" spans="1:5" ht="31" customHeight="1">
      <c r="A1498" s="4" t="s">
        <v>421</v>
      </c>
      <c r="B1498" s="4" t="s">
        <v>385</v>
      </c>
      <c r="C1498" s="4" t="s">
        <v>40</v>
      </c>
      <c r="D1498" s="4" t="s">
        <v>2072</v>
      </c>
      <c r="E1498" s="4" t="s">
        <v>393</v>
      </c>
    </row>
    <row r="1499" spans="1:5" ht="31" customHeight="1">
      <c r="A1499" s="4" t="s">
        <v>421</v>
      </c>
      <c r="B1499" s="4" t="s">
        <v>385</v>
      </c>
      <c r="C1499" s="4" t="s">
        <v>41</v>
      </c>
      <c r="D1499" s="4" t="s">
        <v>2072</v>
      </c>
      <c r="E1499" s="4" t="s">
        <v>393</v>
      </c>
    </row>
    <row r="1500" spans="1:5" ht="31" customHeight="1">
      <c r="A1500" s="4" t="s">
        <v>421</v>
      </c>
      <c r="B1500" s="4" t="s">
        <v>385</v>
      </c>
      <c r="C1500" s="4" t="s">
        <v>42</v>
      </c>
      <c r="D1500" s="4" t="s">
        <v>2072</v>
      </c>
      <c r="E1500" s="4" t="s">
        <v>393</v>
      </c>
    </row>
    <row r="1501" spans="1:5" ht="31" customHeight="1">
      <c r="A1501" s="4" t="s">
        <v>421</v>
      </c>
      <c r="B1501" s="4" t="s">
        <v>385</v>
      </c>
      <c r="C1501" s="4" t="s">
        <v>43</v>
      </c>
      <c r="D1501" s="4" t="s">
        <v>2072</v>
      </c>
      <c r="E1501" s="4" t="s">
        <v>393</v>
      </c>
    </row>
    <row r="1502" spans="1:5" ht="31" customHeight="1">
      <c r="A1502" s="4" t="s">
        <v>421</v>
      </c>
      <c r="B1502" s="4" t="s">
        <v>385</v>
      </c>
      <c r="C1502" s="4" t="s">
        <v>44</v>
      </c>
      <c r="D1502" s="4" t="s">
        <v>2072</v>
      </c>
      <c r="E1502" s="4" t="s">
        <v>393</v>
      </c>
    </row>
    <row r="1503" spans="1:5" ht="31" customHeight="1">
      <c r="A1503" s="4" t="s">
        <v>421</v>
      </c>
      <c r="B1503" s="4" t="s">
        <v>385</v>
      </c>
      <c r="C1503" s="4" t="s">
        <v>45</v>
      </c>
      <c r="D1503" s="4" t="s">
        <v>2072</v>
      </c>
      <c r="E1503" s="4" t="s">
        <v>393</v>
      </c>
    </row>
    <row r="1504" spans="1:5" ht="31" customHeight="1">
      <c r="A1504" s="4" t="s">
        <v>421</v>
      </c>
      <c r="B1504" s="4" t="s">
        <v>385</v>
      </c>
      <c r="C1504" s="4" t="s">
        <v>46</v>
      </c>
      <c r="D1504" s="4" t="s">
        <v>2072</v>
      </c>
      <c r="E1504" s="4" t="s">
        <v>393</v>
      </c>
    </row>
    <row r="1505" spans="1:5" ht="31" customHeight="1">
      <c r="A1505" s="4" t="s">
        <v>421</v>
      </c>
      <c r="B1505" s="4" t="s">
        <v>385</v>
      </c>
      <c r="C1505" s="4" t="s">
        <v>47</v>
      </c>
      <c r="D1505" s="4" t="s">
        <v>2072</v>
      </c>
      <c r="E1505" s="4" t="s">
        <v>393</v>
      </c>
    </row>
    <row r="1506" spans="1:5" ht="31" customHeight="1">
      <c r="A1506" s="4" t="s">
        <v>421</v>
      </c>
      <c r="B1506" s="4" t="s">
        <v>385</v>
      </c>
      <c r="C1506" s="4" t="s">
        <v>48</v>
      </c>
      <c r="D1506" s="4" t="s">
        <v>2072</v>
      </c>
      <c r="E1506" s="4" t="s">
        <v>393</v>
      </c>
    </row>
    <row r="1507" spans="1:5" ht="31" customHeight="1">
      <c r="A1507" s="4" t="s">
        <v>421</v>
      </c>
      <c r="B1507" s="4" t="s">
        <v>385</v>
      </c>
      <c r="C1507" s="4" t="s">
        <v>49</v>
      </c>
      <c r="D1507" s="4" t="s">
        <v>2072</v>
      </c>
      <c r="E1507" s="4" t="s">
        <v>393</v>
      </c>
    </row>
    <row r="1508" spans="1:5" ht="31" customHeight="1">
      <c r="A1508" s="4" t="s">
        <v>421</v>
      </c>
      <c r="B1508" s="4" t="s">
        <v>385</v>
      </c>
      <c r="C1508" s="4" t="s">
        <v>50</v>
      </c>
      <c r="D1508" s="4" t="s">
        <v>2094</v>
      </c>
      <c r="E1508" s="4" t="s">
        <v>393</v>
      </c>
    </row>
    <row r="1509" spans="1:5" ht="31" customHeight="1">
      <c r="A1509" s="4" t="s">
        <v>421</v>
      </c>
      <c r="B1509" s="4" t="s">
        <v>385</v>
      </c>
      <c r="C1509" s="4" t="s">
        <v>51</v>
      </c>
      <c r="D1509" s="4" t="s">
        <v>2094</v>
      </c>
      <c r="E1509" s="4" t="s">
        <v>393</v>
      </c>
    </row>
    <row r="1510" spans="1:5" ht="31" customHeight="1">
      <c r="A1510" s="4" t="s">
        <v>421</v>
      </c>
      <c r="B1510" s="4" t="s">
        <v>385</v>
      </c>
      <c r="C1510" s="4" t="s">
        <v>52</v>
      </c>
      <c r="D1510" s="4" t="s">
        <v>2094</v>
      </c>
      <c r="E1510" s="4" t="s">
        <v>393</v>
      </c>
    </row>
    <row r="1511" spans="1:5" ht="31" customHeight="1">
      <c r="A1511" s="4" t="s">
        <v>421</v>
      </c>
      <c r="B1511" s="4" t="s">
        <v>385</v>
      </c>
      <c r="C1511" s="4" t="s">
        <v>53</v>
      </c>
      <c r="D1511" s="4" t="s">
        <v>2094</v>
      </c>
      <c r="E1511" s="4" t="s">
        <v>393</v>
      </c>
    </row>
    <row r="1512" spans="1:5" ht="31" customHeight="1">
      <c r="A1512" s="4" t="s">
        <v>421</v>
      </c>
      <c r="B1512" s="4" t="s">
        <v>385</v>
      </c>
      <c r="C1512" s="4" t="s">
        <v>54</v>
      </c>
      <c r="D1512" s="4" t="s">
        <v>2094</v>
      </c>
      <c r="E1512" s="4" t="s">
        <v>393</v>
      </c>
    </row>
    <row r="1513" spans="1:5" ht="31" customHeight="1">
      <c r="A1513" s="4" t="s">
        <v>421</v>
      </c>
      <c r="B1513" s="4" t="s">
        <v>385</v>
      </c>
      <c r="C1513" s="4" t="s">
        <v>56</v>
      </c>
      <c r="D1513" s="4" t="s">
        <v>2089</v>
      </c>
      <c r="E1513" s="4" t="s">
        <v>393</v>
      </c>
    </row>
    <row r="1514" spans="1:5" ht="31" customHeight="1">
      <c r="A1514" s="4" t="s">
        <v>421</v>
      </c>
      <c r="B1514" s="4" t="s">
        <v>385</v>
      </c>
      <c r="C1514" s="4" t="s">
        <v>57</v>
      </c>
      <c r="D1514" s="4" t="s">
        <v>2092</v>
      </c>
      <c r="E1514" s="4" t="s">
        <v>393</v>
      </c>
    </row>
    <row r="1515" spans="1:5" ht="31" customHeight="1">
      <c r="A1515" s="4" t="s">
        <v>421</v>
      </c>
      <c r="B1515" s="4" t="s">
        <v>385</v>
      </c>
      <c r="C1515" s="4" t="s">
        <v>58</v>
      </c>
      <c r="D1515" s="4" t="s">
        <v>2092</v>
      </c>
      <c r="E1515" s="4" t="s">
        <v>393</v>
      </c>
    </row>
    <row r="1516" spans="1:5" ht="31" customHeight="1">
      <c r="A1516" s="4" t="s">
        <v>421</v>
      </c>
      <c r="B1516" s="4" t="s">
        <v>385</v>
      </c>
      <c r="C1516" s="4" t="s">
        <v>60</v>
      </c>
      <c r="D1516" s="4" t="s">
        <v>2089</v>
      </c>
      <c r="E1516" s="4" t="s">
        <v>393</v>
      </c>
    </row>
    <row r="1517" spans="1:5" ht="31" customHeight="1">
      <c r="A1517" s="4" t="s">
        <v>421</v>
      </c>
      <c r="B1517" s="4" t="s">
        <v>385</v>
      </c>
      <c r="C1517" s="4" t="s">
        <v>61</v>
      </c>
      <c r="D1517" s="4" t="s">
        <v>2089</v>
      </c>
      <c r="E1517" s="4" t="s">
        <v>393</v>
      </c>
    </row>
    <row r="1518" spans="1:5" ht="31" customHeight="1">
      <c r="A1518" s="4" t="s">
        <v>421</v>
      </c>
      <c r="B1518" s="4" t="s">
        <v>385</v>
      </c>
      <c r="C1518" s="4" t="s">
        <v>62</v>
      </c>
      <c r="D1518" s="4" t="s">
        <v>2089</v>
      </c>
      <c r="E1518" s="4" t="s">
        <v>393</v>
      </c>
    </row>
    <row r="1519" spans="1:5" ht="31" customHeight="1">
      <c r="A1519" s="4" t="s">
        <v>421</v>
      </c>
      <c r="B1519" s="4" t="s">
        <v>385</v>
      </c>
      <c r="C1519" s="4" t="s">
        <v>63</v>
      </c>
      <c r="D1519" s="4" t="s">
        <v>2089</v>
      </c>
      <c r="E1519" s="4" t="s">
        <v>393</v>
      </c>
    </row>
    <row r="1520" spans="1:5" ht="31" customHeight="1">
      <c r="A1520" s="4" t="s">
        <v>421</v>
      </c>
      <c r="B1520" s="4" t="s">
        <v>385</v>
      </c>
      <c r="C1520" s="4" t="s">
        <v>64</v>
      </c>
      <c r="D1520" s="4" t="s">
        <v>2089</v>
      </c>
      <c r="E1520" s="4" t="s">
        <v>393</v>
      </c>
    </row>
    <row r="1521" spans="1:5" ht="31" customHeight="1">
      <c r="A1521" s="4" t="s">
        <v>421</v>
      </c>
      <c r="B1521" s="4" t="s">
        <v>385</v>
      </c>
      <c r="C1521" s="4" t="s">
        <v>65</v>
      </c>
      <c r="D1521" s="4" t="s">
        <v>2089</v>
      </c>
      <c r="E1521" s="4" t="s">
        <v>393</v>
      </c>
    </row>
    <row r="1522" spans="1:5" ht="31" customHeight="1">
      <c r="A1522" s="4" t="s">
        <v>421</v>
      </c>
      <c r="B1522" s="4" t="s">
        <v>385</v>
      </c>
      <c r="C1522" s="4" t="s">
        <v>66</v>
      </c>
      <c r="D1522" s="4" t="s">
        <v>2093</v>
      </c>
      <c r="E1522" s="4" t="s">
        <v>393</v>
      </c>
    </row>
    <row r="1523" spans="1:5" ht="31" customHeight="1">
      <c r="A1523" s="4" t="s">
        <v>421</v>
      </c>
      <c r="B1523" s="4" t="s">
        <v>385</v>
      </c>
      <c r="C1523" s="4" t="s">
        <v>67</v>
      </c>
      <c r="D1523" s="4" t="s">
        <v>2089</v>
      </c>
      <c r="E1523" s="4" t="s">
        <v>393</v>
      </c>
    </row>
    <row r="1524" spans="1:5" ht="31" customHeight="1">
      <c r="A1524" s="4" t="s">
        <v>421</v>
      </c>
      <c r="B1524" s="4" t="s">
        <v>385</v>
      </c>
      <c r="C1524" s="4" t="s">
        <v>68</v>
      </c>
      <c r="D1524" s="4" t="s">
        <v>2089</v>
      </c>
      <c r="E1524" s="4" t="s">
        <v>393</v>
      </c>
    </row>
    <row r="1525" spans="1:5" ht="31" customHeight="1">
      <c r="A1525" s="4" t="s">
        <v>421</v>
      </c>
      <c r="B1525" s="4" t="s">
        <v>385</v>
      </c>
      <c r="C1525" s="4" t="s">
        <v>70</v>
      </c>
      <c r="D1525" s="4" t="s">
        <v>2089</v>
      </c>
      <c r="E1525" s="4" t="s">
        <v>393</v>
      </c>
    </row>
    <row r="1526" spans="1:5" ht="31" customHeight="1">
      <c r="A1526" s="4" t="s">
        <v>421</v>
      </c>
      <c r="B1526" s="4" t="s">
        <v>385</v>
      </c>
      <c r="C1526" s="4" t="s">
        <v>71</v>
      </c>
      <c r="D1526" s="4" t="s">
        <v>2089</v>
      </c>
      <c r="E1526" s="4" t="s">
        <v>393</v>
      </c>
    </row>
    <row r="1527" spans="1:5" ht="31" customHeight="1">
      <c r="A1527" s="4" t="s">
        <v>421</v>
      </c>
      <c r="B1527" s="4" t="s">
        <v>385</v>
      </c>
      <c r="C1527" s="4" t="s">
        <v>75</v>
      </c>
      <c r="D1527" s="4" t="s">
        <v>2089</v>
      </c>
      <c r="E1527" s="4" t="s">
        <v>393</v>
      </c>
    </row>
    <row r="1528" spans="1:5" ht="31" customHeight="1">
      <c r="A1528" s="4" t="s">
        <v>421</v>
      </c>
      <c r="B1528" s="4" t="s">
        <v>385</v>
      </c>
      <c r="C1528" s="4" t="s">
        <v>76</v>
      </c>
      <c r="D1528" s="4" t="s">
        <v>2091</v>
      </c>
      <c r="E1528" s="4" t="s">
        <v>393</v>
      </c>
    </row>
    <row r="1529" spans="1:5" ht="31" customHeight="1">
      <c r="A1529" s="4" t="s">
        <v>423</v>
      </c>
      <c r="B1529" s="4" t="s">
        <v>424</v>
      </c>
      <c r="C1529" s="4" t="s">
        <v>35</v>
      </c>
      <c r="D1529" s="4" t="s">
        <v>2088</v>
      </c>
      <c r="E1529" s="4" t="s">
        <v>433</v>
      </c>
    </row>
    <row r="1530" spans="1:5" ht="31" customHeight="1">
      <c r="A1530" s="4" t="s">
        <v>423</v>
      </c>
      <c r="B1530" s="4" t="s">
        <v>424</v>
      </c>
      <c r="C1530" s="4" t="s">
        <v>36</v>
      </c>
      <c r="D1530" s="4" t="s">
        <v>2089</v>
      </c>
      <c r="E1530" s="4" t="s">
        <v>433</v>
      </c>
    </row>
    <row r="1531" spans="1:5" ht="31" customHeight="1">
      <c r="A1531" s="4" t="s">
        <v>423</v>
      </c>
      <c r="B1531" s="4" t="s">
        <v>424</v>
      </c>
      <c r="C1531" s="4" t="s">
        <v>37</v>
      </c>
      <c r="D1531" s="4" t="s">
        <v>2089</v>
      </c>
      <c r="E1531" s="4" t="s">
        <v>433</v>
      </c>
    </row>
    <row r="1532" spans="1:5" ht="31" customHeight="1">
      <c r="A1532" s="4" t="s">
        <v>423</v>
      </c>
      <c r="B1532" s="4" t="s">
        <v>424</v>
      </c>
      <c r="C1532" s="4" t="s">
        <v>38</v>
      </c>
      <c r="D1532" s="4" t="s">
        <v>2089</v>
      </c>
      <c r="E1532" s="4" t="s">
        <v>433</v>
      </c>
    </row>
    <row r="1533" spans="1:5" ht="31" customHeight="1">
      <c r="A1533" s="4" t="s">
        <v>423</v>
      </c>
      <c r="B1533" s="4" t="s">
        <v>424</v>
      </c>
      <c r="C1533" s="4" t="s">
        <v>39</v>
      </c>
      <c r="D1533" s="4" t="s">
        <v>2089</v>
      </c>
      <c r="E1533" s="4" t="s">
        <v>433</v>
      </c>
    </row>
    <row r="1534" spans="1:5" ht="31" customHeight="1">
      <c r="A1534" s="4" t="s">
        <v>423</v>
      </c>
      <c r="B1534" s="4" t="s">
        <v>424</v>
      </c>
      <c r="C1534" s="4" t="s">
        <v>55</v>
      </c>
      <c r="D1534" s="4" t="s">
        <v>2089</v>
      </c>
      <c r="E1534" s="4" t="s">
        <v>433</v>
      </c>
    </row>
    <row r="1535" spans="1:5" ht="31" customHeight="1">
      <c r="A1535" s="4" t="s">
        <v>423</v>
      </c>
      <c r="B1535" s="4" t="s">
        <v>424</v>
      </c>
      <c r="C1535" s="4" t="s">
        <v>56</v>
      </c>
      <c r="D1535" s="4" t="s">
        <v>2089</v>
      </c>
      <c r="E1535" s="4" t="s">
        <v>433</v>
      </c>
    </row>
    <row r="1536" spans="1:5" ht="31" customHeight="1">
      <c r="A1536" s="4" t="s">
        <v>423</v>
      </c>
      <c r="B1536" s="4" t="s">
        <v>424</v>
      </c>
      <c r="C1536" s="4" t="s">
        <v>57</v>
      </c>
      <c r="D1536" s="4" t="s">
        <v>2092</v>
      </c>
      <c r="E1536" s="4" t="s">
        <v>433</v>
      </c>
    </row>
    <row r="1537" spans="1:5" ht="31" customHeight="1">
      <c r="A1537" s="4" t="s">
        <v>423</v>
      </c>
      <c r="B1537" s="4" t="s">
        <v>424</v>
      </c>
      <c r="C1537" s="4" t="s">
        <v>58</v>
      </c>
      <c r="D1537" s="4" t="s">
        <v>2092</v>
      </c>
      <c r="E1537" s="4" t="s">
        <v>433</v>
      </c>
    </row>
    <row r="1538" spans="1:5" ht="31" customHeight="1">
      <c r="A1538" s="4" t="s">
        <v>423</v>
      </c>
      <c r="B1538" s="4" t="s">
        <v>424</v>
      </c>
      <c r="C1538" s="4" t="s">
        <v>60</v>
      </c>
      <c r="D1538" s="4" t="s">
        <v>2089</v>
      </c>
      <c r="E1538" s="4" t="s">
        <v>433</v>
      </c>
    </row>
    <row r="1539" spans="1:5" ht="31" customHeight="1">
      <c r="A1539" s="4" t="s">
        <v>423</v>
      </c>
      <c r="B1539" s="4" t="s">
        <v>424</v>
      </c>
      <c r="C1539" s="4" t="s">
        <v>61</v>
      </c>
      <c r="D1539" s="4" t="s">
        <v>2089</v>
      </c>
      <c r="E1539" s="4" t="s">
        <v>433</v>
      </c>
    </row>
    <row r="1540" spans="1:5" ht="31" customHeight="1">
      <c r="A1540" s="4" t="s">
        <v>423</v>
      </c>
      <c r="B1540" s="4" t="s">
        <v>424</v>
      </c>
      <c r="C1540" s="4" t="s">
        <v>62</v>
      </c>
      <c r="D1540" s="4" t="s">
        <v>2089</v>
      </c>
      <c r="E1540" s="4" t="s">
        <v>433</v>
      </c>
    </row>
    <row r="1541" spans="1:5" ht="31" customHeight="1">
      <c r="A1541" s="4" t="s">
        <v>423</v>
      </c>
      <c r="B1541" s="4" t="s">
        <v>424</v>
      </c>
      <c r="C1541" s="4" t="s">
        <v>63</v>
      </c>
      <c r="D1541" s="4" t="s">
        <v>2089</v>
      </c>
      <c r="E1541" s="4" t="s">
        <v>433</v>
      </c>
    </row>
    <row r="1542" spans="1:5" ht="31" customHeight="1">
      <c r="A1542" s="4" t="s">
        <v>423</v>
      </c>
      <c r="B1542" s="4" t="s">
        <v>424</v>
      </c>
      <c r="C1542" s="4" t="s">
        <v>64</v>
      </c>
      <c r="D1542" s="4" t="s">
        <v>2089</v>
      </c>
      <c r="E1542" s="4" t="s">
        <v>433</v>
      </c>
    </row>
    <row r="1543" spans="1:5" ht="31" customHeight="1">
      <c r="A1543" s="4" t="s">
        <v>423</v>
      </c>
      <c r="B1543" s="4" t="s">
        <v>424</v>
      </c>
      <c r="C1543" s="4" t="s">
        <v>65</v>
      </c>
      <c r="D1543" s="4" t="s">
        <v>2089</v>
      </c>
      <c r="E1543" s="4" t="s">
        <v>433</v>
      </c>
    </row>
    <row r="1544" spans="1:5" ht="31" customHeight="1">
      <c r="A1544" s="4" t="s">
        <v>423</v>
      </c>
      <c r="B1544" s="4" t="s">
        <v>424</v>
      </c>
      <c r="C1544" s="4" t="s">
        <v>66</v>
      </c>
      <c r="D1544" s="4" t="s">
        <v>2093</v>
      </c>
      <c r="E1544" s="4" t="s">
        <v>433</v>
      </c>
    </row>
    <row r="1545" spans="1:5" ht="31" customHeight="1">
      <c r="A1545" s="4" t="s">
        <v>423</v>
      </c>
      <c r="B1545" s="4" t="s">
        <v>424</v>
      </c>
      <c r="C1545" s="4" t="s">
        <v>67</v>
      </c>
      <c r="D1545" s="4" t="s">
        <v>2089</v>
      </c>
      <c r="E1545" s="4" t="s">
        <v>433</v>
      </c>
    </row>
    <row r="1546" spans="1:5" ht="31" customHeight="1">
      <c r="A1546" s="4" t="s">
        <v>423</v>
      </c>
      <c r="B1546" s="4" t="s">
        <v>424</v>
      </c>
      <c r="C1546" s="4" t="s">
        <v>68</v>
      </c>
      <c r="D1546" s="4" t="s">
        <v>2089</v>
      </c>
      <c r="E1546" s="4" t="s">
        <v>433</v>
      </c>
    </row>
    <row r="1547" spans="1:5" ht="31" customHeight="1">
      <c r="A1547" s="4" t="s">
        <v>423</v>
      </c>
      <c r="B1547" s="4" t="s">
        <v>424</v>
      </c>
      <c r="C1547" s="4" t="s">
        <v>69</v>
      </c>
      <c r="D1547" s="4" t="s">
        <v>2090</v>
      </c>
      <c r="E1547" s="4" t="s">
        <v>433</v>
      </c>
    </row>
    <row r="1548" spans="1:5" ht="31" customHeight="1">
      <c r="A1548" s="4" t="s">
        <v>423</v>
      </c>
      <c r="B1548" s="4" t="s">
        <v>424</v>
      </c>
      <c r="C1548" s="4" t="s">
        <v>70</v>
      </c>
      <c r="D1548" s="4" t="s">
        <v>2089</v>
      </c>
      <c r="E1548" s="4" t="s">
        <v>433</v>
      </c>
    </row>
    <row r="1549" spans="1:5" ht="31" customHeight="1">
      <c r="A1549" s="4" t="s">
        <v>423</v>
      </c>
      <c r="B1549" s="4" t="s">
        <v>424</v>
      </c>
      <c r="C1549" s="4" t="s">
        <v>71</v>
      </c>
      <c r="D1549" s="4" t="s">
        <v>2089</v>
      </c>
      <c r="E1549" s="4" t="s">
        <v>433</v>
      </c>
    </row>
    <row r="1550" spans="1:5" ht="31" customHeight="1">
      <c r="A1550" s="4" t="s">
        <v>423</v>
      </c>
      <c r="B1550" s="4" t="s">
        <v>424</v>
      </c>
      <c r="C1550" s="4" t="s">
        <v>73</v>
      </c>
      <c r="D1550" s="4" t="s">
        <v>2089</v>
      </c>
      <c r="E1550" s="4" t="s">
        <v>433</v>
      </c>
    </row>
    <row r="1551" spans="1:5" ht="31" customHeight="1">
      <c r="A1551" s="4" t="s">
        <v>423</v>
      </c>
      <c r="B1551" s="4" t="s">
        <v>424</v>
      </c>
      <c r="C1551" s="4" t="s">
        <v>76</v>
      </c>
      <c r="D1551" s="4" t="s">
        <v>2091</v>
      </c>
      <c r="E1551" s="4" t="s">
        <v>433</v>
      </c>
    </row>
    <row r="1552" spans="1:5" ht="31" customHeight="1">
      <c r="A1552" s="4" t="s">
        <v>435</v>
      </c>
      <c r="B1552" s="4" t="s">
        <v>424</v>
      </c>
      <c r="C1552" s="4" t="s">
        <v>35</v>
      </c>
      <c r="D1552" s="4" t="s">
        <v>2088</v>
      </c>
      <c r="E1552" s="4" t="s">
        <v>433</v>
      </c>
    </row>
    <row r="1553" spans="1:5" ht="31" customHeight="1">
      <c r="A1553" s="4" t="s">
        <v>435</v>
      </c>
      <c r="B1553" s="4" t="s">
        <v>424</v>
      </c>
      <c r="C1553" s="4" t="s">
        <v>36</v>
      </c>
      <c r="D1553" s="4" t="s">
        <v>2089</v>
      </c>
      <c r="E1553" s="4" t="s">
        <v>433</v>
      </c>
    </row>
    <row r="1554" spans="1:5" ht="31" customHeight="1">
      <c r="A1554" s="4" t="s">
        <v>435</v>
      </c>
      <c r="B1554" s="4" t="s">
        <v>424</v>
      </c>
      <c r="C1554" s="4" t="s">
        <v>37</v>
      </c>
      <c r="D1554" s="4" t="s">
        <v>2089</v>
      </c>
      <c r="E1554" s="4" t="s">
        <v>433</v>
      </c>
    </row>
    <row r="1555" spans="1:5" ht="31" customHeight="1">
      <c r="A1555" s="4" t="s">
        <v>435</v>
      </c>
      <c r="B1555" s="4" t="s">
        <v>424</v>
      </c>
      <c r="C1555" s="4" t="s">
        <v>38</v>
      </c>
      <c r="D1555" s="4" t="s">
        <v>2089</v>
      </c>
      <c r="E1555" s="4" t="s">
        <v>433</v>
      </c>
    </row>
    <row r="1556" spans="1:5" ht="31" customHeight="1">
      <c r="A1556" s="4" t="s">
        <v>435</v>
      </c>
      <c r="B1556" s="4" t="s">
        <v>424</v>
      </c>
      <c r="C1556" s="4" t="s">
        <v>39</v>
      </c>
      <c r="D1556" s="4" t="s">
        <v>2089</v>
      </c>
      <c r="E1556" s="4" t="s">
        <v>433</v>
      </c>
    </row>
    <row r="1557" spans="1:5" ht="31" customHeight="1">
      <c r="A1557" s="4" t="s">
        <v>435</v>
      </c>
      <c r="B1557" s="4" t="s">
        <v>424</v>
      </c>
      <c r="C1557" s="4" t="s">
        <v>56</v>
      </c>
      <c r="D1557" s="4" t="s">
        <v>2089</v>
      </c>
      <c r="E1557" s="4" t="s">
        <v>433</v>
      </c>
    </row>
    <row r="1558" spans="1:5" ht="31" customHeight="1">
      <c r="A1558" s="4" t="s">
        <v>435</v>
      </c>
      <c r="B1558" s="4" t="s">
        <v>424</v>
      </c>
      <c r="C1558" s="4" t="s">
        <v>57</v>
      </c>
      <c r="D1558" s="4" t="s">
        <v>2092</v>
      </c>
      <c r="E1558" s="4" t="s">
        <v>433</v>
      </c>
    </row>
    <row r="1559" spans="1:5" ht="31" customHeight="1">
      <c r="A1559" s="4" t="s">
        <v>435</v>
      </c>
      <c r="B1559" s="4" t="s">
        <v>424</v>
      </c>
      <c r="C1559" s="4" t="s">
        <v>58</v>
      </c>
      <c r="D1559" s="4" t="s">
        <v>2092</v>
      </c>
      <c r="E1559" s="4" t="s">
        <v>433</v>
      </c>
    </row>
    <row r="1560" spans="1:5" ht="31" customHeight="1">
      <c r="A1560" s="4" t="s">
        <v>435</v>
      </c>
      <c r="B1560" s="4" t="s">
        <v>424</v>
      </c>
      <c r="C1560" s="4" t="s">
        <v>60</v>
      </c>
      <c r="D1560" s="4" t="s">
        <v>2089</v>
      </c>
      <c r="E1560" s="4" t="s">
        <v>433</v>
      </c>
    </row>
    <row r="1561" spans="1:5" ht="31" customHeight="1">
      <c r="A1561" s="4" t="s">
        <v>435</v>
      </c>
      <c r="B1561" s="4" t="s">
        <v>424</v>
      </c>
      <c r="C1561" s="4" t="s">
        <v>61</v>
      </c>
      <c r="D1561" s="4" t="s">
        <v>2089</v>
      </c>
      <c r="E1561" s="4" t="s">
        <v>433</v>
      </c>
    </row>
    <row r="1562" spans="1:5" ht="31" customHeight="1">
      <c r="A1562" s="4" t="s">
        <v>435</v>
      </c>
      <c r="B1562" s="4" t="s">
        <v>424</v>
      </c>
      <c r="C1562" s="4" t="s">
        <v>62</v>
      </c>
      <c r="D1562" s="4" t="s">
        <v>2089</v>
      </c>
      <c r="E1562" s="4" t="s">
        <v>433</v>
      </c>
    </row>
    <row r="1563" spans="1:5" ht="31" customHeight="1">
      <c r="A1563" s="4" t="s">
        <v>435</v>
      </c>
      <c r="B1563" s="4" t="s">
        <v>424</v>
      </c>
      <c r="C1563" s="4" t="s">
        <v>63</v>
      </c>
      <c r="D1563" s="4" t="s">
        <v>2089</v>
      </c>
      <c r="E1563" s="4" t="s">
        <v>433</v>
      </c>
    </row>
    <row r="1564" spans="1:5" ht="31" customHeight="1">
      <c r="A1564" s="4" t="s">
        <v>435</v>
      </c>
      <c r="B1564" s="4" t="s">
        <v>424</v>
      </c>
      <c r="C1564" s="4" t="s">
        <v>64</v>
      </c>
      <c r="D1564" s="4" t="s">
        <v>2089</v>
      </c>
      <c r="E1564" s="4" t="s">
        <v>433</v>
      </c>
    </row>
    <row r="1565" spans="1:5" ht="31" customHeight="1">
      <c r="A1565" s="4" t="s">
        <v>435</v>
      </c>
      <c r="B1565" s="4" t="s">
        <v>424</v>
      </c>
      <c r="C1565" s="4" t="s">
        <v>65</v>
      </c>
      <c r="D1565" s="4" t="s">
        <v>2089</v>
      </c>
      <c r="E1565" s="4" t="s">
        <v>433</v>
      </c>
    </row>
    <row r="1566" spans="1:5" ht="31" customHeight="1">
      <c r="A1566" s="4" t="s">
        <v>435</v>
      </c>
      <c r="B1566" s="4" t="s">
        <v>424</v>
      </c>
      <c r="C1566" s="4" t="s">
        <v>66</v>
      </c>
      <c r="D1566" s="4" t="s">
        <v>2093</v>
      </c>
      <c r="E1566" s="4" t="s">
        <v>433</v>
      </c>
    </row>
    <row r="1567" spans="1:5" ht="31" customHeight="1">
      <c r="A1567" s="4" t="s">
        <v>435</v>
      </c>
      <c r="B1567" s="4" t="s">
        <v>424</v>
      </c>
      <c r="C1567" s="4" t="s">
        <v>67</v>
      </c>
      <c r="D1567" s="4" t="s">
        <v>2089</v>
      </c>
      <c r="E1567" s="4" t="s">
        <v>433</v>
      </c>
    </row>
    <row r="1568" spans="1:5" ht="31" customHeight="1">
      <c r="A1568" s="4" t="s">
        <v>435</v>
      </c>
      <c r="B1568" s="4" t="s">
        <v>424</v>
      </c>
      <c r="C1568" s="4" t="s">
        <v>68</v>
      </c>
      <c r="D1568" s="4" t="s">
        <v>2089</v>
      </c>
      <c r="E1568" s="4" t="s">
        <v>433</v>
      </c>
    </row>
    <row r="1569" spans="1:5" ht="31" customHeight="1">
      <c r="A1569" s="4" t="s">
        <v>435</v>
      </c>
      <c r="B1569" s="4" t="s">
        <v>424</v>
      </c>
      <c r="C1569" s="4" t="s">
        <v>69</v>
      </c>
      <c r="D1569" s="4" t="s">
        <v>2090</v>
      </c>
      <c r="E1569" s="4" t="s">
        <v>433</v>
      </c>
    </row>
    <row r="1570" spans="1:5" ht="31" customHeight="1">
      <c r="A1570" s="4" t="s">
        <v>435</v>
      </c>
      <c r="B1570" s="4" t="s">
        <v>424</v>
      </c>
      <c r="C1570" s="4" t="s">
        <v>70</v>
      </c>
      <c r="D1570" s="4" t="s">
        <v>2089</v>
      </c>
      <c r="E1570" s="4" t="s">
        <v>433</v>
      </c>
    </row>
    <row r="1571" spans="1:5" ht="31" customHeight="1">
      <c r="A1571" s="4" t="s">
        <v>435</v>
      </c>
      <c r="B1571" s="4" t="s">
        <v>424</v>
      </c>
      <c r="C1571" s="4" t="s">
        <v>71</v>
      </c>
      <c r="D1571" s="4" t="s">
        <v>2089</v>
      </c>
      <c r="E1571" s="4" t="s">
        <v>433</v>
      </c>
    </row>
    <row r="1572" spans="1:5" ht="31" customHeight="1">
      <c r="A1572" s="4" t="s">
        <v>435</v>
      </c>
      <c r="B1572" s="4" t="s">
        <v>424</v>
      </c>
      <c r="C1572" s="4" t="s">
        <v>73</v>
      </c>
      <c r="D1572" s="4" t="s">
        <v>2089</v>
      </c>
      <c r="E1572" s="4" t="s">
        <v>433</v>
      </c>
    </row>
    <row r="1573" spans="1:5" ht="31" customHeight="1">
      <c r="A1573" s="4" t="s">
        <v>435</v>
      </c>
      <c r="B1573" s="4" t="s">
        <v>424</v>
      </c>
      <c r="C1573" s="4" t="s">
        <v>76</v>
      </c>
      <c r="D1573" s="4" t="s">
        <v>2091</v>
      </c>
      <c r="E1573" s="4" t="s">
        <v>433</v>
      </c>
    </row>
    <row r="1574" spans="1:5" ht="31" customHeight="1">
      <c r="A1574" s="4" t="s">
        <v>440</v>
      </c>
      <c r="B1574" s="4" t="s">
        <v>424</v>
      </c>
      <c r="C1574" s="4" t="s">
        <v>35</v>
      </c>
      <c r="D1574" s="4" t="s">
        <v>2088</v>
      </c>
      <c r="E1574" s="4" t="s">
        <v>433</v>
      </c>
    </row>
    <row r="1575" spans="1:5" ht="31" customHeight="1">
      <c r="A1575" s="4" t="s">
        <v>440</v>
      </c>
      <c r="B1575" s="4" t="s">
        <v>424</v>
      </c>
      <c r="C1575" s="4" t="s">
        <v>36</v>
      </c>
      <c r="D1575" s="4" t="s">
        <v>2089</v>
      </c>
      <c r="E1575" s="4" t="s">
        <v>433</v>
      </c>
    </row>
    <row r="1576" spans="1:5" ht="31" customHeight="1">
      <c r="A1576" s="4" t="s">
        <v>440</v>
      </c>
      <c r="B1576" s="4" t="s">
        <v>424</v>
      </c>
      <c r="C1576" s="4" t="s">
        <v>37</v>
      </c>
      <c r="D1576" s="4" t="s">
        <v>2089</v>
      </c>
      <c r="E1576" s="4" t="s">
        <v>433</v>
      </c>
    </row>
    <row r="1577" spans="1:5" ht="31" customHeight="1">
      <c r="A1577" s="4" t="s">
        <v>440</v>
      </c>
      <c r="B1577" s="4" t="s">
        <v>424</v>
      </c>
      <c r="C1577" s="4" t="s">
        <v>39</v>
      </c>
      <c r="D1577" s="4" t="s">
        <v>2089</v>
      </c>
      <c r="E1577" s="4" t="s">
        <v>433</v>
      </c>
    </row>
    <row r="1578" spans="1:5" ht="31" customHeight="1">
      <c r="A1578" s="4" t="s">
        <v>440</v>
      </c>
      <c r="B1578" s="4" t="s">
        <v>424</v>
      </c>
      <c r="C1578" s="4" t="s">
        <v>55</v>
      </c>
      <c r="D1578" s="4" t="s">
        <v>2089</v>
      </c>
      <c r="E1578" s="4" t="s">
        <v>433</v>
      </c>
    </row>
    <row r="1579" spans="1:5" ht="31" customHeight="1">
      <c r="A1579" s="4" t="s">
        <v>440</v>
      </c>
      <c r="B1579" s="4" t="s">
        <v>424</v>
      </c>
      <c r="C1579" s="4" t="s">
        <v>56</v>
      </c>
      <c r="D1579" s="4" t="s">
        <v>2089</v>
      </c>
      <c r="E1579" s="4" t="s">
        <v>433</v>
      </c>
    </row>
    <row r="1580" spans="1:5" ht="31" customHeight="1">
      <c r="A1580" s="4" t="s">
        <v>440</v>
      </c>
      <c r="B1580" s="4" t="s">
        <v>424</v>
      </c>
      <c r="C1580" s="4" t="s">
        <v>57</v>
      </c>
      <c r="D1580" s="4" t="s">
        <v>2092</v>
      </c>
      <c r="E1580" s="4" t="s">
        <v>433</v>
      </c>
    </row>
    <row r="1581" spans="1:5" ht="31" customHeight="1">
      <c r="A1581" s="4" t="s">
        <v>440</v>
      </c>
      <c r="B1581" s="4" t="s">
        <v>424</v>
      </c>
      <c r="C1581" s="4" t="s">
        <v>58</v>
      </c>
      <c r="D1581" s="4" t="s">
        <v>2092</v>
      </c>
      <c r="E1581" s="4" t="s">
        <v>433</v>
      </c>
    </row>
    <row r="1582" spans="1:5" ht="31" customHeight="1">
      <c r="A1582" s="4" t="s">
        <v>440</v>
      </c>
      <c r="B1582" s="4" t="s">
        <v>424</v>
      </c>
      <c r="C1582" s="4" t="s">
        <v>60</v>
      </c>
      <c r="D1582" s="4" t="s">
        <v>2089</v>
      </c>
      <c r="E1582" s="4" t="s">
        <v>433</v>
      </c>
    </row>
    <row r="1583" spans="1:5" ht="31" customHeight="1">
      <c r="A1583" s="4" t="s">
        <v>440</v>
      </c>
      <c r="B1583" s="4" t="s">
        <v>424</v>
      </c>
      <c r="C1583" s="4" t="s">
        <v>61</v>
      </c>
      <c r="D1583" s="4" t="s">
        <v>2089</v>
      </c>
      <c r="E1583" s="4" t="s">
        <v>433</v>
      </c>
    </row>
    <row r="1584" spans="1:5" ht="31" customHeight="1">
      <c r="A1584" s="4" t="s">
        <v>440</v>
      </c>
      <c r="B1584" s="4" t="s">
        <v>424</v>
      </c>
      <c r="C1584" s="4" t="s">
        <v>62</v>
      </c>
      <c r="D1584" s="4" t="s">
        <v>2089</v>
      </c>
      <c r="E1584" s="4" t="s">
        <v>433</v>
      </c>
    </row>
    <row r="1585" spans="1:5" ht="31" customHeight="1">
      <c r="A1585" s="4" t="s">
        <v>440</v>
      </c>
      <c r="B1585" s="4" t="s">
        <v>424</v>
      </c>
      <c r="C1585" s="4" t="s">
        <v>63</v>
      </c>
      <c r="D1585" s="4" t="s">
        <v>2089</v>
      </c>
      <c r="E1585" s="4" t="s">
        <v>433</v>
      </c>
    </row>
    <row r="1586" spans="1:5" ht="31" customHeight="1">
      <c r="A1586" s="4" t="s">
        <v>440</v>
      </c>
      <c r="B1586" s="4" t="s">
        <v>424</v>
      </c>
      <c r="C1586" s="4" t="s">
        <v>64</v>
      </c>
      <c r="D1586" s="4" t="s">
        <v>2089</v>
      </c>
      <c r="E1586" s="4" t="s">
        <v>433</v>
      </c>
    </row>
    <row r="1587" spans="1:5" ht="31" customHeight="1">
      <c r="A1587" s="4" t="s">
        <v>440</v>
      </c>
      <c r="B1587" s="4" t="s">
        <v>424</v>
      </c>
      <c r="C1587" s="4" t="s">
        <v>65</v>
      </c>
      <c r="D1587" s="4" t="s">
        <v>2089</v>
      </c>
      <c r="E1587" s="4" t="s">
        <v>433</v>
      </c>
    </row>
    <row r="1588" spans="1:5" ht="31" customHeight="1">
      <c r="A1588" s="4" t="s">
        <v>440</v>
      </c>
      <c r="B1588" s="4" t="s">
        <v>424</v>
      </c>
      <c r="C1588" s="4" t="s">
        <v>66</v>
      </c>
      <c r="D1588" s="4" t="s">
        <v>2093</v>
      </c>
      <c r="E1588" s="4" t="s">
        <v>433</v>
      </c>
    </row>
    <row r="1589" spans="1:5" ht="31" customHeight="1">
      <c r="A1589" s="4" t="s">
        <v>440</v>
      </c>
      <c r="B1589" s="4" t="s">
        <v>424</v>
      </c>
      <c r="C1589" s="4" t="s">
        <v>67</v>
      </c>
      <c r="D1589" s="4" t="s">
        <v>2089</v>
      </c>
      <c r="E1589" s="4" t="s">
        <v>433</v>
      </c>
    </row>
    <row r="1590" spans="1:5" ht="31" customHeight="1">
      <c r="A1590" s="4" t="s">
        <v>440</v>
      </c>
      <c r="B1590" s="4" t="s">
        <v>424</v>
      </c>
      <c r="C1590" s="4" t="s">
        <v>68</v>
      </c>
      <c r="D1590" s="4" t="s">
        <v>2089</v>
      </c>
      <c r="E1590" s="4" t="s">
        <v>433</v>
      </c>
    </row>
    <row r="1591" spans="1:5" ht="31" customHeight="1">
      <c r="A1591" s="4" t="s">
        <v>440</v>
      </c>
      <c r="B1591" s="4" t="s">
        <v>424</v>
      </c>
      <c r="C1591" s="4" t="s">
        <v>69</v>
      </c>
      <c r="D1591" s="4" t="s">
        <v>2090</v>
      </c>
      <c r="E1591" s="4" t="s">
        <v>433</v>
      </c>
    </row>
    <row r="1592" spans="1:5" ht="31" customHeight="1">
      <c r="A1592" s="4" t="s">
        <v>440</v>
      </c>
      <c r="B1592" s="4" t="s">
        <v>424</v>
      </c>
      <c r="C1592" s="4" t="s">
        <v>70</v>
      </c>
      <c r="D1592" s="4" t="s">
        <v>2089</v>
      </c>
      <c r="E1592" s="4" t="s">
        <v>433</v>
      </c>
    </row>
    <row r="1593" spans="1:5" ht="31" customHeight="1">
      <c r="A1593" s="4" t="s">
        <v>440</v>
      </c>
      <c r="B1593" s="4" t="s">
        <v>424</v>
      </c>
      <c r="C1593" s="4" t="s">
        <v>71</v>
      </c>
      <c r="D1593" s="4" t="s">
        <v>2089</v>
      </c>
      <c r="E1593" s="4" t="s">
        <v>433</v>
      </c>
    </row>
    <row r="1594" spans="1:5" ht="31" customHeight="1">
      <c r="A1594" s="4" t="s">
        <v>440</v>
      </c>
      <c r="B1594" s="4" t="s">
        <v>424</v>
      </c>
      <c r="C1594" s="4" t="s">
        <v>73</v>
      </c>
      <c r="D1594" s="4" t="s">
        <v>2089</v>
      </c>
      <c r="E1594" s="4" t="s">
        <v>433</v>
      </c>
    </row>
    <row r="1595" spans="1:5" ht="31" customHeight="1">
      <c r="A1595" s="4" t="s">
        <v>440</v>
      </c>
      <c r="B1595" s="4" t="s">
        <v>424</v>
      </c>
      <c r="C1595" s="4" t="s">
        <v>76</v>
      </c>
      <c r="D1595" s="4" t="s">
        <v>2091</v>
      </c>
      <c r="E1595" s="4" t="s">
        <v>433</v>
      </c>
    </row>
    <row r="1596" spans="1:5" ht="31" customHeight="1">
      <c r="A1596" s="4" t="s">
        <v>446</v>
      </c>
      <c r="B1596" s="4" t="s">
        <v>424</v>
      </c>
      <c r="C1596" s="4" t="s">
        <v>35</v>
      </c>
      <c r="D1596" s="4" t="s">
        <v>2088</v>
      </c>
      <c r="E1596" s="4" t="s">
        <v>433</v>
      </c>
    </row>
    <row r="1597" spans="1:5" ht="31" customHeight="1">
      <c r="A1597" s="4" t="s">
        <v>446</v>
      </c>
      <c r="B1597" s="4" t="s">
        <v>424</v>
      </c>
      <c r="C1597" s="4" t="s">
        <v>36</v>
      </c>
      <c r="D1597" s="4" t="s">
        <v>2089</v>
      </c>
      <c r="E1597" s="4" t="s">
        <v>433</v>
      </c>
    </row>
    <row r="1598" spans="1:5" ht="31" customHeight="1">
      <c r="A1598" s="4" t="s">
        <v>446</v>
      </c>
      <c r="B1598" s="4" t="s">
        <v>424</v>
      </c>
      <c r="C1598" s="4" t="s">
        <v>37</v>
      </c>
      <c r="D1598" s="4" t="s">
        <v>2089</v>
      </c>
      <c r="E1598" s="4" t="s">
        <v>433</v>
      </c>
    </row>
    <row r="1599" spans="1:5" ht="31" customHeight="1">
      <c r="A1599" s="4" t="s">
        <v>446</v>
      </c>
      <c r="B1599" s="4" t="s">
        <v>424</v>
      </c>
      <c r="C1599" s="4" t="s">
        <v>39</v>
      </c>
      <c r="D1599" s="4" t="s">
        <v>2089</v>
      </c>
      <c r="E1599" s="4" t="s">
        <v>433</v>
      </c>
    </row>
    <row r="1600" spans="1:5" ht="31" customHeight="1">
      <c r="A1600" s="4" t="s">
        <v>446</v>
      </c>
      <c r="B1600" s="4" t="s">
        <v>424</v>
      </c>
      <c r="C1600" s="4" t="s">
        <v>55</v>
      </c>
      <c r="D1600" s="4" t="s">
        <v>2089</v>
      </c>
      <c r="E1600" s="4" t="s">
        <v>433</v>
      </c>
    </row>
    <row r="1601" spans="1:5" ht="31" customHeight="1">
      <c r="A1601" s="4" t="s">
        <v>446</v>
      </c>
      <c r="B1601" s="4" t="s">
        <v>424</v>
      </c>
      <c r="C1601" s="4" t="s">
        <v>56</v>
      </c>
      <c r="D1601" s="4" t="s">
        <v>2089</v>
      </c>
      <c r="E1601" s="4" t="s">
        <v>433</v>
      </c>
    </row>
    <row r="1602" spans="1:5" ht="31" customHeight="1">
      <c r="A1602" s="4" t="s">
        <v>446</v>
      </c>
      <c r="B1602" s="4" t="s">
        <v>424</v>
      </c>
      <c r="C1602" s="4" t="s">
        <v>57</v>
      </c>
      <c r="D1602" s="4" t="s">
        <v>2092</v>
      </c>
      <c r="E1602" s="4" t="s">
        <v>433</v>
      </c>
    </row>
    <row r="1603" spans="1:5" ht="31" customHeight="1">
      <c r="A1603" s="4" t="s">
        <v>446</v>
      </c>
      <c r="B1603" s="4" t="s">
        <v>424</v>
      </c>
      <c r="C1603" s="4" t="s">
        <v>58</v>
      </c>
      <c r="D1603" s="4" t="s">
        <v>2092</v>
      </c>
      <c r="E1603" s="4" t="s">
        <v>433</v>
      </c>
    </row>
    <row r="1604" spans="1:5" ht="31" customHeight="1">
      <c r="A1604" s="4" t="s">
        <v>446</v>
      </c>
      <c r="B1604" s="4" t="s">
        <v>424</v>
      </c>
      <c r="C1604" s="4" t="s">
        <v>60</v>
      </c>
      <c r="D1604" s="4" t="s">
        <v>2089</v>
      </c>
      <c r="E1604" s="4" t="s">
        <v>433</v>
      </c>
    </row>
    <row r="1605" spans="1:5" ht="31" customHeight="1">
      <c r="A1605" s="4" t="s">
        <v>446</v>
      </c>
      <c r="B1605" s="4" t="s">
        <v>424</v>
      </c>
      <c r="C1605" s="4" t="s">
        <v>61</v>
      </c>
      <c r="D1605" s="4" t="s">
        <v>2089</v>
      </c>
      <c r="E1605" s="4" t="s">
        <v>433</v>
      </c>
    </row>
    <row r="1606" spans="1:5" ht="31" customHeight="1">
      <c r="A1606" s="4" t="s">
        <v>446</v>
      </c>
      <c r="B1606" s="4" t="s">
        <v>424</v>
      </c>
      <c r="C1606" s="4" t="s">
        <v>62</v>
      </c>
      <c r="D1606" s="4" t="s">
        <v>2089</v>
      </c>
      <c r="E1606" s="4" t="s">
        <v>433</v>
      </c>
    </row>
    <row r="1607" spans="1:5" ht="31" customHeight="1">
      <c r="A1607" s="4" t="s">
        <v>446</v>
      </c>
      <c r="B1607" s="4" t="s">
        <v>424</v>
      </c>
      <c r="C1607" s="4" t="s">
        <v>63</v>
      </c>
      <c r="D1607" s="4" t="s">
        <v>2089</v>
      </c>
      <c r="E1607" s="4" t="s">
        <v>433</v>
      </c>
    </row>
    <row r="1608" spans="1:5" ht="31" customHeight="1">
      <c r="A1608" s="4" t="s">
        <v>446</v>
      </c>
      <c r="B1608" s="4" t="s">
        <v>424</v>
      </c>
      <c r="C1608" s="4" t="s">
        <v>64</v>
      </c>
      <c r="D1608" s="4" t="s">
        <v>2089</v>
      </c>
      <c r="E1608" s="4" t="s">
        <v>433</v>
      </c>
    </row>
    <row r="1609" spans="1:5" ht="31" customHeight="1">
      <c r="A1609" s="4" t="s">
        <v>446</v>
      </c>
      <c r="B1609" s="4" t="s">
        <v>424</v>
      </c>
      <c r="C1609" s="4" t="s">
        <v>65</v>
      </c>
      <c r="D1609" s="4" t="s">
        <v>2089</v>
      </c>
      <c r="E1609" s="4" t="s">
        <v>433</v>
      </c>
    </row>
    <row r="1610" spans="1:5" ht="31" customHeight="1">
      <c r="A1610" s="4" t="s">
        <v>446</v>
      </c>
      <c r="B1610" s="4" t="s">
        <v>424</v>
      </c>
      <c r="C1610" s="4" t="s">
        <v>66</v>
      </c>
      <c r="D1610" s="4" t="s">
        <v>2093</v>
      </c>
      <c r="E1610" s="4" t="s">
        <v>433</v>
      </c>
    </row>
    <row r="1611" spans="1:5" ht="31" customHeight="1">
      <c r="A1611" s="4" t="s">
        <v>446</v>
      </c>
      <c r="B1611" s="4" t="s">
        <v>424</v>
      </c>
      <c r="C1611" s="4" t="s">
        <v>67</v>
      </c>
      <c r="D1611" s="4" t="s">
        <v>2089</v>
      </c>
      <c r="E1611" s="4" t="s">
        <v>433</v>
      </c>
    </row>
    <row r="1612" spans="1:5" ht="31" customHeight="1">
      <c r="A1612" s="4" t="s">
        <v>446</v>
      </c>
      <c r="B1612" s="4" t="s">
        <v>424</v>
      </c>
      <c r="C1612" s="4" t="s">
        <v>68</v>
      </c>
      <c r="D1612" s="4" t="s">
        <v>2089</v>
      </c>
      <c r="E1612" s="4" t="s">
        <v>433</v>
      </c>
    </row>
    <row r="1613" spans="1:5" ht="31" customHeight="1">
      <c r="A1613" s="4" t="s">
        <v>446</v>
      </c>
      <c r="B1613" s="4" t="s">
        <v>424</v>
      </c>
      <c r="C1613" s="4" t="s">
        <v>69</v>
      </c>
      <c r="D1613" s="4" t="s">
        <v>2090</v>
      </c>
      <c r="E1613" s="4" t="s">
        <v>433</v>
      </c>
    </row>
    <row r="1614" spans="1:5" ht="31" customHeight="1">
      <c r="A1614" s="4" t="s">
        <v>446</v>
      </c>
      <c r="B1614" s="4" t="s">
        <v>424</v>
      </c>
      <c r="C1614" s="4" t="s">
        <v>70</v>
      </c>
      <c r="D1614" s="4" t="s">
        <v>2089</v>
      </c>
      <c r="E1614" s="4" t="s">
        <v>433</v>
      </c>
    </row>
    <row r="1615" spans="1:5" ht="31" customHeight="1">
      <c r="A1615" s="4" t="s">
        <v>446</v>
      </c>
      <c r="B1615" s="4" t="s">
        <v>424</v>
      </c>
      <c r="C1615" s="4" t="s">
        <v>71</v>
      </c>
      <c r="D1615" s="4" t="s">
        <v>2089</v>
      </c>
      <c r="E1615" s="4" t="s">
        <v>433</v>
      </c>
    </row>
    <row r="1616" spans="1:5" ht="31" customHeight="1">
      <c r="A1616" s="4" t="s">
        <v>446</v>
      </c>
      <c r="B1616" s="4" t="s">
        <v>424</v>
      </c>
      <c r="C1616" s="4" t="s">
        <v>73</v>
      </c>
      <c r="D1616" s="4" t="s">
        <v>2089</v>
      </c>
      <c r="E1616" s="4" t="s">
        <v>433</v>
      </c>
    </row>
    <row r="1617" spans="1:5" ht="31" customHeight="1">
      <c r="A1617" s="4" t="s">
        <v>446</v>
      </c>
      <c r="B1617" s="4" t="s">
        <v>424</v>
      </c>
      <c r="C1617" s="4" t="s">
        <v>75</v>
      </c>
      <c r="D1617" s="4" t="s">
        <v>2089</v>
      </c>
      <c r="E1617" s="4" t="s">
        <v>433</v>
      </c>
    </row>
    <row r="1618" spans="1:5" ht="31" customHeight="1">
      <c r="A1618" s="4" t="s">
        <v>446</v>
      </c>
      <c r="B1618" s="4" t="s">
        <v>424</v>
      </c>
      <c r="C1618" s="4" t="s">
        <v>76</v>
      </c>
      <c r="D1618" s="4" t="s">
        <v>2091</v>
      </c>
      <c r="E1618" s="4" t="s">
        <v>433</v>
      </c>
    </row>
    <row r="1619" spans="1:5" ht="31" customHeight="1">
      <c r="A1619" s="4" t="s">
        <v>451</v>
      </c>
      <c r="B1619" s="4" t="s">
        <v>424</v>
      </c>
      <c r="C1619" s="4" t="s">
        <v>35</v>
      </c>
      <c r="D1619" s="4" t="s">
        <v>2088</v>
      </c>
      <c r="E1619" s="4" t="s">
        <v>433</v>
      </c>
    </row>
    <row r="1620" spans="1:5" ht="31" customHeight="1">
      <c r="A1620" s="4" t="s">
        <v>451</v>
      </c>
      <c r="B1620" s="4" t="s">
        <v>424</v>
      </c>
      <c r="C1620" s="4" t="s">
        <v>36</v>
      </c>
      <c r="D1620" s="4" t="s">
        <v>2089</v>
      </c>
      <c r="E1620" s="4" t="s">
        <v>433</v>
      </c>
    </row>
    <row r="1621" spans="1:5" ht="31" customHeight="1">
      <c r="A1621" s="4" t="s">
        <v>451</v>
      </c>
      <c r="B1621" s="4" t="s">
        <v>424</v>
      </c>
      <c r="C1621" s="4" t="s">
        <v>37</v>
      </c>
      <c r="D1621" s="4" t="s">
        <v>2089</v>
      </c>
      <c r="E1621" s="4" t="s">
        <v>433</v>
      </c>
    </row>
    <row r="1622" spans="1:5" ht="31" customHeight="1">
      <c r="A1622" s="4" t="s">
        <v>451</v>
      </c>
      <c r="B1622" s="4" t="s">
        <v>424</v>
      </c>
      <c r="C1622" s="4" t="s">
        <v>38</v>
      </c>
      <c r="D1622" s="4" t="s">
        <v>2089</v>
      </c>
      <c r="E1622" s="4" t="s">
        <v>433</v>
      </c>
    </row>
    <row r="1623" spans="1:5" ht="31" customHeight="1">
      <c r="A1623" s="4" t="s">
        <v>451</v>
      </c>
      <c r="B1623" s="4" t="s">
        <v>424</v>
      </c>
      <c r="C1623" s="4" t="s">
        <v>39</v>
      </c>
      <c r="D1623" s="4" t="s">
        <v>2089</v>
      </c>
      <c r="E1623" s="4" t="s">
        <v>433</v>
      </c>
    </row>
    <row r="1624" spans="1:5" ht="31" customHeight="1">
      <c r="A1624" s="4" t="s">
        <v>451</v>
      </c>
      <c r="B1624" s="4" t="s">
        <v>424</v>
      </c>
      <c r="C1624" s="4" t="s">
        <v>55</v>
      </c>
      <c r="D1624" s="4" t="s">
        <v>2089</v>
      </c>
      <c r="E1624" s="4" t="s">
        <v>433</v>
      </c>
    </row>
    <row r="1625" spans="1:5" ht="31" customHeight="1">
      <c r="A1625" s="4" t="s">
        <v>451</v>
      </c>
      <c r="B1625" s="4" t="s">
        <v>424</v>
      </c>
      <c r="C1625" s="4" t="s">
        <v>56</v>
      </c>
      <c r="D1625" s="4" t="s">
        <v>2089</v>
      </c>
      <c r="E1625" s="4" t="s">
        <v>433</v>
      </c>
    </row>
    <row r="1626" spans="1:5" ht="31" customHeight="1">
      <c r="A1626" s="4" t="s">
        <v>451</v>
      </c>
      <c r="B1626" s="4" t="s">
        <v>424</v>
      </c>
      <c r="C1626" s="4" t="s">
        <v>57</v>
      </c>
      <c r="D1626" s="4" t="s">
        <v>2092</v>
      </c>
      <c r="E1626" s="4" t="s">
        <v>433</v>
      </c>
    </row>
    <row r="1627" spans="1:5" ht="31" customHeight="1">
      <c r="A1627" s="4" t="s">
        <v>451</v>
      </c>
      <c r="B1627" s="4" t="s">
        <v>424</v>
      </c>
      <c r="C1627" s="4" t="s">
        <v>58</v>
      </c>
      <c r="D1627" s="4" t="s">
        <v>2092</v>
      </c>
      <c r="E1627" s="4" t="s">
        <v>433</v>
      </c>
    </row>
    <row r="1628" spans="1:5" ht="31" customHeight="1">
      <c r="A1628" s="4" t="s">
        <v>451</v>
      </c>
      <c r="B1628" s="4" t="s">
        <v>424</v>
      </c>
      <c r="C1628" s="4" t="s">
        <v>60</v>
      </c>
      <c r="D1628" s="4" t="s">
        <v>2089</v>
      </c>
      <c r="E1628" s="4" t="s">
        <v>433</v>
      </c>
    </row>
    <row r="1629" spans="1:5" ht="31" customHeight="1">
      <c r="A1629" s="4" t="s">
        <v>451</v>
      </c>
      <c r="B1629" s="4" t="s">
        <v>424</v>
      </c>
      <c r="C1629" s="4" t="s">
        <v>61</v>
      </c>
      <c r="D1629" s="4" t="s">
        <v>2089</v>
      </c>
      <c r="E1629" s="4" t="s">
        <v>433</v>
      </c>
    </row>
    <row r="1630" spans="1:5" ht="31" customHeight="1">
      <c r="A1630" s="4" t="s">
        <v>451</v>
      </c>
      <c r="B1630" s="4" t="s">
        <v>424</v>
      </c>
      <c r="C1630" s="4" t="s">
        <v>62</v>
      </c>
      <c r="D1630" s="4" t="s">
        <v>2089</v>
      </c>
      <c r="E1630" s="4" t="s">
        <v>433</v>
      </c>
    </row>
    <row r="1631" spans="1:5" ht="31" customHeight="1">
      <c r="A1631" s="4" t="s">
        <v>451</v>
      </c>
      <c r="B1631" s="4" t="s">
        <v>424</v>
      </c>
      <c r="C1631" s="4" t="s">
        <v>63</v>
      </c>
      <c r="D1631" s="4" t="s">
        <v>2089</v>
      </c>
      <c r="E1631" s="4" t="s">
        <v>433</v>
      </c>
    </row>
    <row r="1632" spans="1:5" ht="31" customHeight="1">
      <c r="A1632" s="4" t="s">
        <v>451</v>
      </c>
      <c r="B1632" s="4" t="s">
        <v>424</v>
      </c>
      <c r="C1632" s="4" t="s">
        <v>64</v>
      </c>
      <c r="D1632" s="4" t="s">
        <v>2089</v>
      </c>
      <c r="E1632" s="4" t="s">
        <v>433</v>
      </c>
    </row>
    <row r="1633" spans="1:5" ht="31" customHeight="1">
      <c r="A1633" s="4" t="s">
        <v>451</v>
      </c>
      <c r="B1633" s="4" t="s">
        <v>424</v>
      </c>
      <c r="C1633" s="4" t="s">
        <v>65</v>
      </c>
      <c r="D1633" s="4" t="s">
        <v>2089</v>
      </c>
      <c r="E1633" s="4" t="s">
        <v>433</v>
      </c>
    </row>
    <row r="1634" spans="1:5" ht="31" customHeight="1">
      <c r="A1634" s="4" t="s">
        <v>451</v>
      </c>
      <c r="B1634" s="4" t="s">
        <v>424</v>
      </c>
      <c r="C1634" s="4" t="s">
        <v>66</v>
      </c>
      <c r="D1634" s="4" t="s">
        <v>2093</v>
      </c>
      <c r="E1634" s="4" t="s">
        <v>433</v>
      </c>
    </row>
    <row r="1635" spans="1:5" ht="31" customHeight="1">
      <c r="A1635" s="4" t="s">
        <v>451</v>
      </c>
      <c r="B1635" s="4" t="s">
        <v>424</v>
      </c>
      <c r="C1635" s="4" t="s">
        <v>67</v>
      </c>
      <c r="D1635" s="4" t="s">
        <v>2089</v>
      </c>
      <c r="E1635" s="4" t="s">
        <v>433</v>
      </c>
    </row>
    <row r="1636" spans="1:5" ht="31" customHeight="1">
      <c r="A1636" s="4" t="s">
        <v>451</v>
      </c>
      <c r="B1636" s="4" t="s">
        <v>424</v>
      </c>
      <c r="C1636" s="4" t="s">
        <v>68</v>
      </c>
      <c r="D1636" s="4" t="s">
        <v>2089</v>
      </c>
      <c r="E1636" s="4" t="s">
        <v>433</v>
      </c>
    </row>
    <row r="1637" spans="1:5" ht="31" customHeight="1">
      <c r="A1637" s="4" t="s">
        <v>451</v>
      </c>
      <c r="B1637" s="4" t="s">
        <v>424</v>
      </c>
      <c r="C1637" s="4" t="s">
        <v>69</v>
      </c>
      <c r="D1637" s="4" t="s">
        <v>2090</v>
      </c>
      <c r="E1637" s="4" t="s">
        <v>433</v>
      </c>
    </row>
    <row r="1638" spans="1:5" ht="31" customHeight="1">
      <c r="A1638" s="4" t="s">
        <v>451</v>
      </c>
      <c r="B1638" s="4" t="s">
        <v>424</v>
      </c>
      <c r="C1638" s="4" t="s">
        <v>70</v>
      </c>
      <c r="D1638" s="4" t="s">
        <v>2089</v>
      </c>
      <c r="E1638" s="4" t="s">
        <v>433</v>
      </c>
    </row>
    <row r="1639" spans="1:5" ht="31" customHeight="1">
      <c r="A1639" s="4" t="s">
        <v>451</v>
      </c>
      <c r="B1639" s="4" t="s">
        <v>424</v>
      </c>
      <c r="C1639" s="4" t="s">
        <v>71</v>
      </c>
      <c r="D1639" s="4" t="s">
        <v>2089</v>
      </c>
      <c r="E1639" s="4" t="s">
        <v>433</v>
      </c>
    </row>
    <row r="1640" spans="1:5" ht="31" customHeight="1">
      <c r="A1640" s="4" t="s">
        <v>451</v>
      </c>
      <c r="B1640" s="4" t="s">
        <v>424</v>
      </c>
      <c r="C1640" s="4" t="s">
        <v>73</v>
      </c>
      <c r="D1640" s="4" t="s">
        <v>2089</v>
      </c>
      <c r="E1640" s="4" t="s">
        <v>433</v>
      </c>
    </row>
    <row r="1641" spans="1:5" ht="31" customHeight="1">
      <c r="A1641" s="4" t="s">
        <v>451</v>
      </c>
      <c r="B1641" s="4" t="s">
        <v>424</v>
      </c>
      <c r="C1641" s="4" t="s">
        <v>76</v>
      </c>
      <c r="D1641" s="4" t="s">
        <v>2091</v>
      </c>
      <c r="E1641" s="4" t="s">
        <v>433</v>
      </c>
    </row>
    <row r="1642" spans="1:5" ht="31" customHeight="1">
      <c r="A1642" s="4" t="s">
        <v>455</v>
      </c>
      <c r="B1642" s="4" t="s">
        <v>424</v>
      </c>
      <c r="C1642" s="4" t="s">
        <v>35</v>
      </c>
      <c r="D1642" s="4" t="s">
        <v>2088</v>
      </c>
      <c r="E1642" s="4" t="s">
        <v>433</v>
      </c>
    </row>
    <row r="1643" spans="1:5" ht="31" customHeight="1">
      <c r="A1643" s="4" t="s">
        <v>455</v>
      </c>
      <c r="B1643" s="4" t="s">
        <v>424</v>
      </c>
      <c r="C1643" s="4" t="s">
        <v>36</v>
      </c>
      <c r="D1643" s="4" t="s">
        <v>2089</v>
      </c>
      <c r="E1643" s="4" t="s">
        <v>433</v>
      </c>
    </row>
    <row r="1644" spans="1:5" ht="31" customHeight="1">
      <c r="A1644" s="4" t="s">
        <v>455</v>
      </c>
      <c r="B1644" s="4" t="s">
        <v>424</v>
      </c>
      <c r="C1644" s="4" t="s">
        <v>37</v>
      </c>
      <c r="D1644" s="4" t="s">
        <v>2089</v>
      </c>
      <c r="E1644" s="4" t="s">
        <v>433</v>
      </c>
    </row>
    <row r="1645" spans="1:5" ht="31" customHeight="1">
      <c r="A1645" s="4" t="s">
        <v>455</v>
      </c>
      <c r="B1645" s="4" t="s">
        <v>424</v>
      </c>
      <c r="C1645" s="4" t="s">
        <v>38</v>
      </c>
      <c r="D1645" s="4" t="s">
        <v>2089</v>
      </c>
      <c r="E1645" s="4" t="s">
        <v>433</v>
      </c>
    </row>
    <row r="1646" spans="1:5" ht="31" customHeight="1">
      <c r="A1646" s="4" t="s">
        <v>455</v>
      </c>
      <c r="B1646" s="4" t="s">
        <v>424</v>
      </c>
      <c r="C1646" s="4" t="s">
        <v>39</v>
      </c>
      <c r="D1646" s="4" t="s">
        <v>2089</v>
      </c>
      <c r="E1646" s="4" t="s">
        <v>433</v>
      </c>
    </row>
    <row r="1647" spans="1:5" ht="31" customHeight="1">
      <c r="A1647" s="4" t="s">
        <v>455</v>
      </c>
      <c r="B1647" s="4" t="s">
        <v>424</v>
      </c>
      <c r="C1647" s="4" t="s">
        <v>55</v>
      </c>
      <c r="D1647" s="4" t="s">
        <v>2089</v>
      </c>
      <c r="E1647" s="4" t="s">
        <v>433</v>
      </c>
    </row>
    <row r="1648" spans="1:5" ht="31" customHeight="1">
      <c r="A1648" s="4" t="s">
        <v>455</v>
      </c>
      <c r="B1648" s="4" t="s">
        <v>424</v>
      </c>
      <c r="C1648" s="4" t="s">
        <v>56</v>
      </c>
      <c r="D1648" s="4" t="s">
        <v>2089</v>
      </c>
      <c r="E1648" s="4" t="s">
        <v>433</v>
      </c>
    </row>
    <row r="1649" spans="1:5" ht="31" customHeight="1">
      <c r="A1649" s="4" t="s">
        <v>455</v>
      </c>
      <c r="B1649" s="4" t="s">
        <v>424</v>
      </c>
      <c r="C1649" s="4" t="s">
        <v>57</v>
      </c>
      <c r="D1649" s="4" t="s">
        <v>2092</v>
      </c>
      <c r="E1649" s="4" t="s">
        <v>433</v>
      </c>
    </row>
    <row r="1650" spans="1:5" ht="31" customHeight="1">
      <c r="A1650" s="4" t="s">
        <v>455</v>
      </c>
      <c r="B1650" s="4" t="s">
        <v>424</v>
      </c>
      <c r="C1650" s="4" t="s">
        <v>58</v>
      </c>
      <c r="D1650" s="4" t="s">
        <v>2092</v>
      </c>
      <c r="E1650" s="4" t="s">
        <v>433</v>
      </c>
    </row>
    <row r="1651" spans="1:5" ht="31" customHeight="1">
      <c r="A1651" s="4" t="s">
        <v>455</v>
      </c>
      <c r="B1651" s="4" t="s">
        <v>424</v>
      </c>
      <c r="C1651" s="4" t="s">
        <v>60</v>
      </c>
      <c r="D1651" s="4" t="s">
        <v>2089</v>
      </c>
      <c r="E1651" s="4" t="s">
        <v>433</v>
      </c>
    </row>
    <row r="1652" spans="1:5" ht="31" customHeight="1">
      <c r="A1652" s="4" t="s">
        <v>455</v>
      </c>
      <c r="B1652" s="4" t="s">
        <v>424</v>
      </c>
      <c r="C1652" s="4" t="s">
        <v>61</v>
      </c>
      <c r="D1652" s="4" t="s">
        <v>2089</v>
      </c>
      <c r="E1652" s="4" t="s">
        <v>433</v>
      </c>
    </row>
    <row r="1653" spans="1:5" ht="31" customHeight="1">
      <c r="A1653" s="4" t="s">
        <v>455</v>
      </c>
      <c r="B1653" s="4" t="s">
        <v>424</v>
      </c>
      <c r="C1653" s="4" t="s">
        <v>62</v>
      </c>
      <c r="D1653" s="4" t="s">
        <v>2089</v>
      </c>
      <c r="E1653" s="4" t="s">
        <v>433</v>
      </c>
    </row>
    <row r="1654" spans="1:5" ht="31" customHeight="1">
      <c r="A1654" s="4" t="s">
        <v>455</v>
      </c>
      <c r="B1654" s="4" t="s">
        <v>424</v>
      </c>
      <c r="C1654" s="4" t="s">
        <v>63</v>
      </c>
      <c r="D1654" s="4" t="s">
        <v>2089</v>
      </c>
      <c r="E1654" s="4" t="s">
        <v>433</v>
      </c>
    </row>
    <row r="1655" spans="1:5" ht="31" customHeight="1">
      <c r="A1655" s="4" t="s">
        <v>455</v>
      </c>
      <c r="B1655" s="4" t="s">
        <v>424</v>
      </c>
      <c r="C1655" s="4" t="s">
        <v>64</v>
      </c>
      <c r="D1655" s="4" t="s">
        <v>2089</v>
      </c>
      <c r="E1655" s="4" t="s">
        <v>433</v>
      </c>
    </row>
    <row r="1656" spans="1:5" ht="31" customHeight="1">
      <c r="A1656" s="4" t="s">
        <v>455</v>
      </c>
      <c r="B1656" s="4" t="s">
        <v>424</v>
      </c>
      <c r="C1656" s="4" t="s">
        <v>65</v>
      </c>
      <c r="D1656" s="4" t="s">
        <v>2089</v>
      </c>
      <c r="E1656" s="4" t="s">
        <v>433</v>
      </c>
    </row>
    <row r="1657" spans="1:5" ht="31" customHeight="1">
      <c r="A1657" s="4" t="s">
        <v>455</v>
      </c>
      <c r="B1657" s="4" t="s">
        <v>424</v>
      </c>
      <c r="C1657" s="4" t="s">
        <v>66</v>
      </c>
      <c r="D1657" s="4" t="s">
        <v>2093</v>
      </c>
      <c r="E1657" s="4" t="s">
        <v>433</v>
      </c>
    </row>
    <row r="1658" spans="1:5" ht="31" customHeight="1">
      <c r="A1658" s="4" t="s">
        <v>455</v>
      </c>
      <c r="B1658" s="4" t="s">
        <v>424</v>
      </c>
      <c r="C1658" s="4" t="s">
        <v>67</v>
      </c>
      <c r="D1658" s="4" t="s">
        <v>2089</v>
      </c>
      <c r="E1658" s="4" t="s">
        <v>433</v>
      </c>
    </row>
    <row r="1659" spans="1:5" ht="31" customHeight="1">
      <c r="A1659" s="4" t="s">
        <v>455</v>
      </c>
      <c r="B1659" s="4" t="s">
        <v>424</v>
      </c>
      <c r="C1659" s="4" t="s">
        <v>68</v>
      </c>
      <c r="D1659" s="4" t="s">
        <v>2089</v>
      </c>
      <c r="E1659" s="4" t="s">
        <v>433</v>
      </c>
    </row>
    <row r="1660" spans="1:5" ht="31" customHeight="1">
      <c r="A1660" s="4" t="s">
        <v>455</v>
      </c>
      <c r="B1660" s="4" t="s">
        <v>424</v>
      </c>
      <c r="C1660" s="4" t="s">
        <v>69</v>
      </c>
      <c r="D1660" s="4" t="s">
        <v>2090</v>
      </c>
      <c r="E1660" s="4" t="s">
        <v>433</v>
      </c>
    </row>
    <row r="1661" spans="1:5" ht="31" customHeight="1">
      <c r="A1661" s="4" t="s">
        <v>455</v>
      </c>
      <c r="B1661" s="4" t="s">
        <v>424</v>
      </c>
      <c r="C1661" s="4" t="s">
        <v>70</v>
      </c>
      <c r="D1661" s="4" t="s">
        <v>2089</v>
      </c>
      <c r="E1661" s="4" t="s">
        <v>433</v>
      </c>
    </row>
    <row r="1662" spans="1:5" ht="31" customHeight="1">
      <c r="A1662" s="4" t="s">
        <v>455</v>
      </c>
      <c r="B1662" s="4" t="s">
        <v>424</v>
      </c>
      <c r="C1662" s="4" t="s">
        <v>71</v>
      </c>
      <c r="D1662" s="4" t="s">
        <v>2089</v>
      </c>
      <c r="E1662" s="4" t="s">
        <v>433</v>
      </c>
    </row>
    <row r="1663" spans="1:5" ht="31" customHeight="1">
      <c r="A1663" s="4" t="s">
        <v>455</v>
      </c>
      <c r="B1663" s="4" t="s">
        <v>424</v>
      </c>
      <c r="C1663" s="4" t="s">
        <v>73</v>
      </c>
      <c r="D1663" s="4" t="s">
        <v>2089</v>
      </c>
      <c r="E1663" s="4" t="s">
        <v>433</v>
      </c>
    </row>
    <row r="1664" spans="1:5" ht="31" customHeight="1">
      <c r="A1664" s="4" t="s">
        <v>455</v>
      </c>
      <c r="B1664" s="4" t="s">
        <v>424</v>
      </c>
      <c r="C1664" s="4" t="s">
        <v>75</v>
      </c>
      <c r="D1664" s="4" t="s">
        <v>2089</v>
      </c>
      <c r="E1664" s="4" t="s">
        <v>433</v>
      </c>
    </row>
    <row r="1665" spans="1:5" ht="31" customHeight="1">
      <c r="A1665" s="4" t="s">
        <v>455</v>
      </c>
      <c r="B1665" s="4" t="s">
        <v>424</v>
      </c>
      <c r="C1665" s="4" t="s">
        <v>76</v>
      </c>
      <c r="D1665" s="4" t="s">
        <v>2091</v>
      </c>
      <c r="E1665" s="4" t="s">
        <v>433</v>
      </c>
    </row>
    <row r="1666" spans="1:5" ht="31" customHeight="1">
      <c r="A1666" s="4" t="s">
        <v>459</v>
      </c>
      <c r="B1666" s="4" t="s">
        <v>424</v>
      </c>
      <c r="C1666" s="4" t="s">
        <v>35</v>
      </c>
      <c r="D1666" s="4" t="s">
        <v>2088</v>
      </c>
      <c r="E1666" s="4" t="s">
        <v>433</v>
      </c>
    </row>
    <row r="1667" spans="1:5" ht="31" customHeight="1">
      <c r="A1667" s="4" t="s">
        <v>459</v>
      </c>
      <c r="B1667" s="4" t="s">
        <v>424</v>
      </c>
      <c r="C1667" s="4" t="s">
        <v>36</v>
      </c>
      <c r="D1667" s="4" t="s">
        <v>2089</v>
      </c>
      <c r="E1667" s="4" t="s">
        <v>433</v>
      </c>
    </row>
    <row r="1668" spans="1:5" ht="31" customHeight="1">
      <c r="A1668" s="4" t="s">
        <v>459</v>
      </c>
      <c r="B1668" s="4" t="s">
        <v>424</v>
      </c>
      <c r="C1668" s="4" t="s">
        <v>37</v>
      </c>
      <c r="D1668" s="4" t="s">
        <v>2089</v>
      </c>
      <c r="E1668" s="4" t="s">
        <v>433</v>
      </c>
    </row>
    <row r="1669" spans="1:5" ht="31" customHeight="1">
      <c r="A1669" s="4" t="s">
        <v>459</v>
      </c>
      <c r="B1669" s="4" t="s">
        <v>424</v>
      </c>
      <c r="C1669" s="4" t="s">
        <v>39</v>
      </c>
      <c r="D1669" s="4" t="s">
        <v>2089</v>
      </c>
      <c r="E1669" s="4" t="s">
        <v>433</v>
      </c>
    </row>
    <row r="1670" spans="1:5" ht="31" customHeight="1">
      <c r="A1670" s="4" t="s">
        <v>459</v>
      </c>
      <c r="B1670" s="4" t="s">
        <v>424</v>
      </c>
      <c r="C1670" s="4" t="s">
        <v>55</v>
      </c>
      <c r="D1670" s="4" t="s">
        <v>2089</v>
      </c>
      <c r="E1670" s="4" t="s">
        <v>433</v>
      </c>
    </row>
    <row r="1671" spans="1:5" ht="31" customHeight="1">
      <c r="A1671" s="4" t="s">
        <v>459</v>
      </c>
      <c r="B1671" s="4" t="s">
        <v>424</v>
      </c>
      <c r="C1671" s="4" t="s">
        <v>56</v>
      </c>
      <c r="D1671" s="4" t="s">
        <v>2089</v>
      </c>
      <c r="E1671" s="4" t="s">
        <v>433</v>
      </c>
    </row>
    <row r="1672" spans="1:5" ht="31" customHeight="1">
      <c r="A1672" s="4" t="s">
        <v>459</v>
      </c>
      <c r="B1672" s="4" t="s">
        <v>424</v>
      </c>
      <c r="C1672" s="4" t="s">
        <v>57</v>
      </c>
      <c r="D1672" s="4" t="s">
        <v>2092</v>
      </c>
      <c r="E1672" s="4" t="s">
        <v>433</v>
      </c>
    </row>
    <row r="1673" spans="1:5" ht="31" customHeight="1">
      <c r="A1673" s="4" t="s">
        <v>459</v>
      </c>
      <c r="B1673" s="4" t="s">
        <v>424</v>
      </c>
      <c r="C1673" s="4" t="s">
        <v>58</v>
      </c>
      <c r="D1673" s="4" t="s">
        <v>2092</v>
      </c>
      <c r="E1673" s="4" t="s">
        <v>433</v>
      </c>
    </row>
    <row r="1674" spans="1:5" ht="31" customHeight="1">
      <c r="A1674" s="4" t="s">
        <v>459</v>
      </c>
      <c r="B1674" s="4" t="s">
        <v>424</v>
      </c>
      <c r="C1674" s="4" t="s">
        <v>60</v>
      </c>
      <c r="D1674" s="4" t="s">
        <v>2089</v>
      </c>
      <c r="E1674" s="4" t="s">
        <v>433</v>
      </c>
    </row>
    <row r="1675" spans="1:5" ht="31" customHeight="1">
      <c r="A1675" s="4" t="s">
        <v>459</v>
      </c>
      <c r="B1675" s="4" t="s">
        <v>424</v>
      </c>
      <c r="C1675" s="4" t="s">
        <v>61</v>
      </c>
      <c r="D1675" s="4" t="s">
        <v>2089</v>
      </c>
      <c r="E1675" s="4" t="s">
        <v>433</v>
      </c>
    </row>
    <row r="1676" spans="1:5" ht="31" customHeight="1">
      <c r="A1676" s="4" t="s">
        <v>459</v>
      </c>
      <c r="B1676" s="4" t="s">
        <v>424</v>
      </c>
      <c r="C1676" s="4" t="s">
        <v>62</v>
      </c>
      <c r="D1676" s="4" t="s">
        <v>2089</v>
      </c>
      <c r="E1676" s="4" t="s">
        <v>433</v>
      </c>
    </row>
    <row r="1677" spans="1:5" ht="31" customHeight="1">
      <c r="A1677" s="4" t="s">
        <v>459</v>
      </c>
      <c r="B1677" s="4" t="s">
        <v>424</v>
      </c>
      <c r="C1677" s="4" t="s">
        <v>63</v>
      </c>
      <c r="D1677" s="4" t="s">
        <v>2089</v>
      </c>
      <c r="E1677" s="4" t="s">
        <v>433</v>
      </c>
    </row>
    <row r="1678" spans="1:5" ht="31" customHeight="1">
      <c r="A1678" s="4" t="s">
        <v>459</v>
      </c>
      <c r="B1678" s="4" t="s">
        <v>424</v>
      </c>
      <c r="C1678" s="4" t="s">
        <v>64</v>
      </c>
      <c r="D1678" s="4" t="s">
        <v>2089</v>
      </c>
      <c r="E1678" s="4" t="s">
        <v>433</v>
      </c>
    </row>
    <row r="1679" spans="1:5" ht="31" customHeight="1">
      <c r="A1679" s="4" t="s">
        <v>459</v>
      </c>
      <c r="B1679" s="4" t="s">
        <v>424</v>
      </c>
      <c r="C1679" s="4" t="s">
        <v>65</v>
      </c>
      <c r="D1679" s="4" t="s">
        <v>2089</v>
      </c>
      <c r="E1679" s="4" t="s">
        <v>433</v>
      </c>
    </row>
    <row r="1680" spans="1:5" ht="31" customHeight="1">
      <c r="A1680" s="4" t="s">
        <v>459</v>
      </c>
      <c r="B1680" s="4" t="s">
        <v>424</v>
      </c>
      <c r="C1680" s="4" t="s">
        <v>66</v>
      </c>
      <c r="D1680" s="4" t="s">
        <v>2093</v>
      </c>
      <c r="E1680" s="4" t="s">
        <v>433</v>
      </c>
    </row>
    <row r="1681" spans="1:5" ht="31" customHeight="1">
      <c r="A1681" s="4" t="s">
        <v>459</v>
      </c>
      <c r="B1681" s="4" t="s">
        <v>424</v>
      </c>
      <c r="C1681" s="4" t="s">
        <v>67</v>
      </c>
      <c r="D1681" s="4" t="s">
        <v>2089</v>
      </c>
      <c r="E1681" s="4" t="s">
        <v>433</v>
      </c>
    </row>
    <row r="1682" spans="1:5" ht="31" customHeight="1">
      <c r="A1682" s="4" t="s">
        <v>459</v>
      </c>
      <c r="B1682" s="4" t="s">
        <v>424</v>
      </c>
      <c r="C1682" s="4" t="s">
        <v>68</v>
      </c>
      <c r="D1682" s="4" t="s">
        <v>2089</v>
      </c>
      <c r="E1682" s="4" t="s">
        <v>433</v>
      </c>
    </row>
    <row r="1683" spans="1:5" ht="31" customHeight="1">
      <c r="A1683" s="4" t="s">
        <v>459</v>
      </c>
      <c r="B1683" s="4" t="s">
        <v>424</v>
      </c>
      <c r="C1683" s="4" t="s">
        <v>69</v>
      </c>
      <c r="D1683" s="4" t="s">
        <v>2090</v>
      </c>
      <c r="E1683" s="4" t="s">
        <v>433</v>
      </c>
    </row>
    <row r="1684" spans="1:5" ht="31" customHeight="1">
      <c r="A1684" s="4" t="s">
        <v>459</v>
      </c>
      <c r="B1684" s="4" t="s">
        <v>424</v>
      </c>
      <c r="C1684" s="4" t="s">
        <v>70</v>
      </c>
      <c r="D1684" s="4" t="s">
        <v>2089</v>
      </c>
      <c r="E1684" s="4" t="s">
        <v>433</v>
      </c>
    </row>
    <row r="1685" spans="1:5" ht="31" customHeight="1">
      <c r="A1685" s="4" t="s">
        <v>459</v>
      </c>
      <c r="B1685" s="4" t="s">
        <v>424</v>
      </c>
      <c r="C1685" s="4" t="s">
        <v>71</v>
      </c>
      <c r="D1685" s="4" t="s">
        <v>2089</v>
      </c>
      <c r="E1685" s="4" t="s">
        <v>433</v>
      </c>
    </row>
    <row r="1686" spans="1:5" ht="31" customHeight="1">
      <c r="A1686" s="4" t="s">
        <v>459</v>
      </c>
      <c r="B1686" s="4" t="s">
        <v>424</v>
      </c>
      <c r="C1686" s="4" t="s">
        <v>73</v>
      </c>
      <c r="D1686" s="4" t="s">
        <v>2089</v>
      </c>
      <c r="E1686" s="4" t="s">
        <v>433</v>
      </c>
    </row>
    <row r="1687" spans="1:5" ht="31" customHeight="1">
      <c r="A1687" s="4" t="s">
        <v>459</v>
      </c>
      <c r="B1687" s="4" t="s">
        <v>424</v>
      </c>
      <c r="C1687" s="4" t="s">
        <v>76</v>
      </c>
      <c r="D1687" s="4" t="s">
        <v>2091</v>
      </c>
      <c r="E1687" s="4" t="s">
        <v>433</v>
      </c>
    </row>
    <row r="1688" spans="1:5" ht="31" customHeight="1">
      <c r="A1688" s="4" t="s">
        <v>463</v>
      </c>
      <c r="B1688" s="4" t="s">
        <v>237</v>
      </c>
      <c r="C1688" s="4" t="s">
        <v>35</v>
      </c>
      <c r="D1688" s="4" t="s">
        <v>2088</v>
      </c>
      <c r="E1688" s="4" t="s">
        <v>250</v>
      </c>
    </row>
    <row r="1689" spans="1:5" ht="31" customHeight="1">
      <c r="A1689" s="4" t="s">
        <v>463</v>
      </c>
      <c r="B1689" s="4" t="s">
        <v>237</v>
      </c>
      <c r="C1689" s="4" t="s">
        <v>37</v>
      </c>
      <c r="D1689" s="4" t="s">
        <v>2089</v>
      </c>
      <c r="E1689" s="4" t="s">
        <v>250</v>
      </c>
    </row>
    <row r="1690" spans="1:5" ht="31" customHeight="1">
      <c r="A1690" s="4" t="s">
        <v>463</v>
      </c>
      <c r="B1690" s="4" t="s">
        <v>237</v>
      </c>
      <c r="C1690" s="4" t="s">
        <v>39</v>
      </c>
      <c r="D1690" s="4" t="s">
        <v>2089</v>
      </c>
      <c r="E1690" s="4" t="s">
        <v>250</v>
      </c>
    </row>
    <row r="1691" spans="1:5" ht="31" customHeight="1">
      <c r="A1691" s="4" t="s">
        <v>463</v>
      </c>
      <c r="B1691" s="4" t="s">
        <v>237</v>
      </c>
      <c r="C1691" s="4" t="s">
        <v>40</v>
      </c>
      <c r="D1691" s="4" t="s">
        <v>2081</v>
      </c>
      <c r="E1691" s="4" t="s">
        <v>250</v>
      </c>
    </row>
    <row r="1692" spans="1:5" ht="31" customHeight="1">
      <c r="A1692" s="4" t="s">
        <v>463</v>
      </c>
      <c r="B1692" s="4" t="s">
        <v>237</v>
      </c>
      <c r="C1692" s="4" t="s">
        <v>41</v>
      </c>
      <c r="D1692" s="4" t="s">
        <v>2081</v>
      </c>
      <c r="E1692" s="4" t="s">
        <v>250</v>
      </c>
    </row>
    <row r="1693" spans="1:5" ht="31" customHeight="1">
      <c r="A1693" s="4" t="s">
        <v>463</v>
      </c>
      <c r="B1693" s="4" t="s">
        <v>237</v>
      </c>
      <c r="C1693" s="4" t="s">
        <v>42</v>
      </c>
      <c r="D1693" s="4" t="s">
        <v>2081</v>
      </c>
      <c r="E1693" s="4" t="s">
        <v>250</v>
      </c>
    </row>
    <row r="1694" spans="1:5" ht="31" customHeight="1">
      <c r="A1694" s="4" t="s">
        <v>463</v>
      </c>
      <c r="B1694" s="4" t="s">
        <v>237</v>
      </c>
      <c r="C1694" s="4" t="s">
        <v>43</v>
      </c>
      <c r="D1694" s="4" t="s">
        <v>2081</v>
      </c>
      <c r="E1694" s="4" t="s">
        <v>250</v>
      </c>
    </row>
    <row r="1695" spans="1:5" ht="31" customHeight="1">
      <c r="A1695" s="4" t="s">
        <v>463</v>
      </c>
      <c r="B1695" s="4" t="s">
        <v>237</v>
      </c>
      <c r="C1695" s="4" t="s">
        <v>44</v>
      </c>
      <c r="D1695" s="4" t="s">
        <v>2081</v>
      </c>
      <c r="E1695" s="4" t="s">
        <v>250</v>
      </c>
    </row>
    <row r="1696" spans="1:5" ht="31" customHeight="1">
      <c r="A1696" s="4" t="s">
        <v>463</v>
      </c>
      <c r="B1696" s="4" t="s">
        <v>237</v>
      </c>
      <c r="C1696" s="4" t="s">
        <v>45</v>
      </c>
      <c r="D1696" s="4" t="s">
        <v>2081</v>
      </c>
      <c r="E1696" s="4" t="s">
        <v>250</v>
      </c>
    </row>
    <row r="1697" spans="1:5" ht="31" customHeight="1">
      <c r="A1697" s="4" t="s">
        <v>463</v>
      </c>
      <c r="B1697" s="4" t="s">
        <v>237</v>
      </c>
      <c r="C1697" s="4" t="s">
        <v>46</v>
      </c>
      <c r="D1697" s="4" t="s">
        <v>2081</v>
      </c>
      <c r="E1697" s="4" t="s">
        <v>250</v>
      </c>
    </row>
    <row r="1698" spans="1:5" ht="31" customHeight="1">
      <c r="A1698" s="4" t="s">
        <v>463</v>
      </c>
      <c r="B1698" s="4" t="s">
        <v>237</v>
      </c>
      <c r="C1698" s="4" t="s">
        <v>47</v>
      </c>
      <c r="D1698" s="4" t="s">
        <v>2081</v>
      </c>
      <c r="E1698" s="4" t="s">
        <v>250</v>
      </c>
    </row>
    <row r="1699" spans="1:5" ht="31" customHeight="1">
      <c r="A1699" s="4" t="s">
        <v>463</v>
      </c>
      <c r="B1699" s="4" t="s">
        <v>237</v>
      </c>
      <c r="C1699" s="4" t="s">
        <v>48</v>
      </c>
      <c r="D1699" s="4" t="s">
        <v>2081</v>
      </c>
      <c r="E1699" s="4" t="s">
        <v>250</v>
      </c>
    </row>
    <row r="1700" spans="1:5" ht="31" customHeight="1">
      <c r="A1700" s="4" t="s">
        <v>463</v>
      </c>
      <c r="B1700" s="4" t="s">
        <v>237</v>
      </c>
      <c r="C1700" s="4" t="s">
        <v>49</v>
      </c>
      <c r="D1700" s="4" t="s">
        <v>2081</v>
      </c>
      <c r="E1700" s="4" t="s">
        <v>250</v>
      </c>
    </row>
    <row r="1701" spans="1:5" ht="31" customHeight="1">
      <c r="A1701" s="4" t="s">
        <v>463</v>
      </c>
      <c r="B1701" s="4" t="s">
        <v>237</v>
      </c>
      <c r="C1701" s="4" t="s">
        <v>50</v>
      </c>
      <c r="D1701" s="4" t="s">
        <v>2094</v>
      </c>
      <c r="E1701" s="4" t="s">
        <v>250</v>
      </c>
    </row>
    <row r="1702" spans="1:5" ht="31" customHeight="1">
      <c r="A1702" s="4" t="s">
        <v>463</v>
      </c>
      <c r="B1702" s="4" t="s">
        <v>237</v>
      </c>
      <c r="C1702" s="4" t="s">
        <v>51</v>
      </c>
      <c r="D1702" s="4" t="s">
        <v>2094</v>
      </c>
      <c r="E1702" s="4" t="s">
        <v>250</v>
      </c>
    </row>
    <row r="1703" spans="1:5" ht="31" customHeight="1">
      <c r="A1703" s="4" t="s">
        <v>463</v>
      </c>
      <c r="B1703" s="4" t="s">
        <v>237</v>
      </c>
      <c r="C1703" s="4" t="s">
        <v>52</v>
      </c>
      <c r="D1703" s="4" t="s">
        <v>2094</v>
      </c>
      <c r="E1703" s="4" t="s">
        <v>250</v>
      </c>
    </row>
    <row r="1704" spans="1:5" ht="31" customHeight="1">
      <c r="A1704" s="4" t="s">
        <v>463</v>
      </c>
      <c r="B1704" s="4" t="s">
        <v>237</v>
      </c>
      <c r="C1704" s="4" t="s">
        <v>53</v>
      </c>
      <c r="D1704" s="4" t="s">
        <v>2094</v>
      </c>
      <c r="E1704" s="4" t="s">
        <v>250</v>
      </c>
    </row>
    <row r="1705" spans="1:5" ht="31" customHeight="1">
      <c r="A1705" s="4" t="s">
        <v>463</v>
      </c>
      <c r="B1705" s="4" t="s">
        <v>237</v>
      </c>
      <c r="C1705" s="4" t="s">
        <v>54</v>
      </c>
      <c r="D1705" s="4" t="s">
        <v>2094</v>
      </c>
      <c r="E1705" s="4" t="s">
        <v>250</v>
      </c>
    </row>
    <row r="1706" spans="1:5" ht="31" customHeight="1">
      <c r="A1706" s="4" t="s">
        <v>463</v>
      </c>
      <c r="B1706" s="4" t="s">
        <v>237</v>
      </c>
      <c r="C1706" s="4" t="s">
        <v>55</v>
      </c>
      <c r="D1706" s="4" t="s">
        <v>2089</v>
      </c>
      <c r="E1706" s="4" t="s">
        <v>250</v>
      </c>
    </row>
    <row r="1707" spans="1:5" ht="31" customHeight="1">
      <c r="A1707" s="4" t="s">
        <v>463</v>
      </c>
      <c r="B1707" s="4" t="s">
        <v>237</v>
      </c>
      <c r="C1707" s="4" t="s">
        <v>56</v>
      </c>
      <c r="D1707" s="4" t="s">
        <v>2089</v>
      </c>
      <c r="E1707" s="4" t="s">
        <v>250</v>
      </c>
    </row>
    <row r="1708" spans="1:5" ht="31" customHeight="1">
      <c r="A1708" s="4" t="s">
        <v>463</v>
      </c>
      <c r="B1708" s="4" t="s">
        <v>237</v>
      </c>
      <c r="C1708" s="4" t="s">
        <v>57</v>
      </c>
      <c r="D1708" s="4" t="s">
        <v>2092</v>
      </c>
      <c r="E1708" s="4" t="s">
        <v>250</v>
      </c>
    </row>
    <row r="1709" spans="1:5" ht="31" customHeight="1">
      <c r="A1709" s="4" t="s">
        <v>463</v>
      </c>
      <c r="B1709" s="4" t="s">
        <v>237</v>
      </c>
      <c r="C1709" s="4" t="s">
        <v>58</v>
      </c>
      <c r="D1709" s="4" t="s">
        <v>2092</v>
      </c>
      <c r="E1709" s="4" t="s">
        <v>250</v>
      </c>
    </row>
    <row r="1710" spans="1:5" ht="31" customHeight="1">
      <c r="A1710" s="4" t="s">
        <v>463</v>
      </c>
      <c r="B1710" s="4" t="s">
        <v>237</v>
      </c>
      <c r="C1710" s="4" t="s">
        <v>59</v>
      </c>
      <c r="D1710" s="4" t="s">
        <v>2089</v>
      </c>
      <c r="E1710" s="4" t="s">
        <v>250</v>
      </c>
    </row>
    <row r="1711" spans="1:5" ht="31" customHeight="1">
      <c r="A1711" s="4" t="s">
        <v>463</v>
      </c>
      <c r="B1711" s="4" t="s">
        <v>237</v>
      </c>
      <c r="C1711" s="4" t="s">
        <v>60</v>
      </c>
      <c r="D1711" s="4" t="s">
        <v>2089</v>
      </c>
      <c r="E1711" s="4" t="s">
        <v>250</v>
      </c>
    </row>
    <row r="1712" spans="1:5" ht="31" customHeight="1">
      <c r="A1712" s="4" t="s">
        <v>463</v>
      </c>
      <c r="B1712" s="4" t="s">
        <v>237</v>
      </c>
      <c r="C1712" s="4" t="s">
        <v>61</v>
      </c>
      <c r="D1712" s="4" t="s">
        <v>2089</v>
      </c>
      <c r="E1712" s="4" t="s">
        <v>250</v>
      </c>
    </row>
    <row r="1713" spans="1:5" ht="31" customHeight="1">
      <c r="A1713" s="4" t="s">
        <v>463</v>
      </c>
      <c r="B1713" s="4" t="s">
        <v>237</v>
      </c>
      <c r="C1713" s="4" t="s">
        <v>62</v>
      </c>
      <c r="D1713" s="4" t="s">
        <v>2089</v>
      </c>
      <c r="E1713" s="4" t="s">
        <v>250</v>
      </c>
    </row>
    <row r="1714" spans="1:5" ht="31" customHeight="1">
      <c r="A1714" s="4" t="s">
        <v>463</v>
      </c>
      <c r="B1714" s="4" t="s">
        <v>237</v>
      </c>
      <c r="C1714" s="4" t="s">
        <v>64</v>
      </c>
      <c r="D1714" s="4" t="s">
        <v>2089</v>
      </c>
      <c r="E1714" s="4" t="s">
        <v>250</v>
      </c>
    </row>
    <row r="1715" spans="1:5" ht="31" customHeight="1">
      <c r="A1715" s="4" t="s">
        <v>463</v>
      </c>
      <c r="B1715" s="4" t="s">
        <v>237</v>
      </c>
      <c r="C1715" s="4" t="s">
        <v>66</v>
      </c>
      <c r="D1715" s="4" t="s">
        <v>2093</v>
      </c>
      <c r="E1715" s="4" t="s">
        <v>250</v>
      </c>
    </row>
    <row r="1716" spans="1:5" ht="31" customHeight="1">
      <c r="A1716" s="4" t="s">
        <v>463</v>
      </c>
      <c r="B1716" s="4" t="s">
        <v>237</v>
      </c>
      <c r="C1716" s="4" t="s">
        <v>67</v>
      </c>
      <c r="D1716" s="4" t="s">
        <v>2089</v>
      </c>
      <c r="E1716" s="4" t="s">
        <v>250</v>
      </c>
    </row>
    <row r="1717" spans="1:5" ht="31" customHeight="1">
      <c r="A1717" s="4" t="s">
        <v>463</v>
      </c>
      <c r="B1717" s="4" t="s">
        <v>237</v>
      </c>
      <c r="C1717" s="4" t="s">
        <v>68</v>
      </c>
      <c r="D1717" s="4" t="s">
        <v>2089</v>
      </c>
      <c r="E1717" s="4" t="s">
        <v>250</v>
      </c>
    </row>
    <row r="1718" spans="1:5" ht="31" customHeight="1">
      <c r="A1718" s="4" t="s">
        <v>463</v>
      </c>
      <c r="B1718" s="4" t="s">
        <v>237</v>
      </c>
      <c r="C1718" s="4" t="s">
        <v>69</v>
      </c>
      <c r="D1718" s="4" t="s">
        <v>2090</v>
      </c>
      <c r="E1718" s="4" t="s">
        <v>250</v>
      </c>
    </row>
    <row r="1719" spans="1:5" ht="31" customHeight="1">
      <c r="A1719" s="4" t="s">
        <v>463</v>
      </c>
      <c r="B1719" s="4" t="s">
        <v>237</v>
      </c>
      <c r="C1719" s="4" t="s">
        <v>70</v>
      </c>
      <c r="D1719" s="4" t="s">
        <v>2089</v>
      </c>
      <c r="E1719" s="4" t="s">
        <v>250</v>
      </c>
    </row>
    <row r="1720" spans="1:5" ht="31" customHeight="1">
      <c r="A1720" s="4" t="s">
        <v>463</v>
      </c>
      <c r="B1720" s="4" t="s">
        <v>237</v>
      </c>
      <c r="C1720" s="4" t="s">
        <v>75</v>
      </c>
      <c r="D1720" s="4" t="s">
        <v>2089</v>
      </c>
      <c r="E1720" s="4" t="s">
        <v>250</v>
      </c>
    </row>
    <row r="1721" spans="1:5" ht="31" customHeight="1">
      <c r="A1721" s="4" t="s">
        <v>463</v>
      </c>
      <c r="B1721" s="4" t="s">
        <v>237</v>
      </c>
      <c r="C1721" s="4" t="s">
        <v>76</v>
      </c>
      <c r="D1721" s="4" t="s">
        <v>2091</v>
      </c>
      <c r="E1721" s="4" t="s">
        <v>250</v>
      </c>
    </row>
    <row r="1722" spans="1:5" ht="31" customHeight="1">
      <c r="A1722" s="4" t="s">
        <v>469</v>
      </c>
      <c r="B1722" s="4" t="s">
        <v>237</v>
      </c>
      <c r="C1722" s="4" t="s">
        <v>35</v>
      </c>
      <c r="D1722" s="4" t="s">
        <v>2088</v>
      </c>
      <c r="E1722" s="4" t="s">
        <v>250</v>
      </c>
    </row>
    <row r="1723" spans="1:5" ht="31" customHeight="1">
      <c r="A1723" s="4" t="s">
        <v>469</v>
      </c>
      <c r="B1723" s="4" t="s">
        <v>237</v>
      </c>
      <c r="C1723" s="4" t="s">
        <v>36</v>
      </c>
      <c r="D1723" s="4" t="s">
        <v>2089</v>
      </c>
      <c r="E1723" s="4" t="s">
        <v>250</v>
      </c>
    </row>
    <row r="1724" spans="1:5" ht="31" customHeight="1">
      <c r="A1724" s="4" t="s">
        <v>469</v>
      </c>
      <c r="B1724" s="4" t="s">
        <v>237</v>
      </c>
      <c r="C1724" s="4" t="s">
        <v>37</v>
      </c>
      <c r="D1724" s="4" t="s">
        <v>2089</v>
      </c>
      <c r="E1724" s="4" t="s">
        <v>250</v>
      </c>
    </row>
    <row r="1725" spans="1:5" ht="31" customHeight="1">
      <c r="A1725" s="4" t="s">
        <v>469</v>
      </c>
      <c r="B1725" s="4" t="s">
        <v>237</v>
      </c>
      <c r="C1725" s="4" t="s">
        <v>39</v>
      </c>
      <c r="D1725" s="4" t="s">
        <v>2089</v>
      </c>
      <c r="E1725" s="4" t="s">
        <v>250</v>
      </c>
    </row>
    <row r="1726" spans="1:5" ht="31" customHeight="1">
      <c r="A1726" s="4" t="s">
        <v>469</v>
      </c>
      <c r="B1726" s="4" t="s">
        <v>237</v>
      </c>
      <c r="C1726" s="4" t="s">
        <v>40</v>
      </c>
      <c r="D1726" s="4" t="s">
        <v>2081</v>
      </c>
      <c r="E1726" s="4" t="s">
        <v>250</v>
      </c>
    </row>
    <row r="1727" spans="1:5" ht="31" customHeight="1">
      <c r="A1727" s="4" t="s">
        <v>469</v>
      </c>
      <c r="B1727" s="4" t="s">
        <v>237</v>
      </c>
      <c r="C1727" s="4" t="s">
        <v>41</v>
      </c>
      <c r="D1727" s="4" t="s">
        <v>2081</v>
      </c>
      <c r="E1727" s="4" t="s">
        <v>250</v>
      </c>
    </row>
    <row r="1728" spans="1:5" ht="31" customHeight="1">
      <c r="A1728" s="4" t="s">
        <v>469</v>
      </c>
      <c r="B1728" s="4" t="s">
        <v>237</v>
      </c>
      <c r="C1728" s="4" t="s">
        <v>42</v>
      </c>
      <c r="D1728" s="4" t="s">
        <v>2081</v>
      </c>
      <c r="E1728" s="4" t="s">
        <v>250</v>
      </c>
    </row>
    <row r="1729" spans="1:5" ht="31" customHeight="1">
      <c r="A1729" s="4" t="s">
        <v>469</v>
      </c>
      <c r="B1729" s="4" t="s">
        <v>237</v>
      </c>
      <c r="C1729" s="4" t="s">
        <v>43</v>
      </c>
      <c r="D1729" s="4" t="s">
        <v>2081</v>
      </c>
      <c r="E1729" s="4" t="s">
        <v>250</v>
      </c>
    </row>
    <row r="1730" spans="1:5" ht="31" customHeight="1">
      <c r="A1730" s="4" t="s">
        <v>469</v>
      </c>
      <c r="B1730" s="4" t="s">
        <v>237</v>
      </c>
      <c r="C1730" s="4" t="s">
        <v>44</v>
      </c>
      <c r="D1730" s="4" t="s">
        <v>2081</v>
      </c>
      <c r="E1730" s="4" t="s">
        <v>250</v>
      </c>
    </row>
    <row r="1731" spans="1:5" ht="31" customHeight="1">
      <c r="A1731" s="4" t="s">
        <v>469</v>
      </c>
      <c r="B1731" s="4" t="s">
        <v>237</v>
      </c>
      <c r="C1731" s="4" t="s">
        <v>45</v>
      </c>
      <c r="D1731" s="4" t="s">
        <v>2081</v>
      </c>
      <c r="E1731" s="4" t="s">
        <v>250</v>
      </c>
    </row>
    <row r="1732" spans="1:5" ht="31" customHeight="1">
      <c r="A1732" s="4" t="s">
        <v>469</v>
      </c>
      <c r="B1732" s="4" t="s">
        <v>237</v>
      </c>
      <c r="C1732" s="4" t="s">
        <v>46</v>
      </c>
      <c r="D1732" s="4" t="s">
        <v>2081</v>
      </c>
      <c r="E1732" s="4" t="s">
        <v>250</v>
      </c>
    </row>
    <row r="1733" spans="1:5" ht="31" customHeight="1">
      <c r="A1733" s="4" t="s">
        <v>469</v>
      </c>
      <c r="B1733" s="4" t="s">
        <v>237</v>
      </c>
      <c r="C1733" s="4" t="s">
        <v>47</v>
      </c>
      <c r="D1733" s="4" t="s">
        <v>2081</v>
      </c>
      <c r="E1733" s="4" t="s">
        <v>250</v>
      </c>
    </row>
    <row r="1734" spans="1:5" ht="31" customHeight="1">
      <c r="A1734" s="4" t="s">
        <v>469</v>
      </c>
      <c r="B1734" s="4" t="s">
        <v>237</v>
      </c>
      <c r="C1734" s="4" t="s">
        <v>48</v>
      </c>
      <c r="D1734" s="4" t="s">
        <v>2081</v>
      </c>
      <c r="E1734" s="4" t="s">
        <v>250</v>
      </c>
    </row>
    <row r="1735" spans="1:5" ht="31" customHeight="1">
      <c r="A1735" s="4" t="s">
        <v>469</v>
      </c>
      <c r="B1735" s="4" t="s">
        <v>237</v>
      </c>
      <c r="C1735" s="4" t="s">
        <v>49</v>
      </c>
      <c r="D1735" s="4" t="s">
        <v>2081</v>
      </c>
      <c r="E1735" s="4" t="s">
        <v>250</v>
      </c>
    </row>
    <row r="1736" spans="1:5" ht="31" customHeight="1">
      <c r="A1736" s="4" t="s">
        <v>469</v>
      </c>
      <c r="B1736" s="4" t="s">
        <v>237</v>
      </c>
      <c r="C1736" s="4" t="s">
        <v>50</v>
      </c>
      <c r="D1736" s="4" t="s">
        <v>2094</v>
      </c>
      <c r="E1736" s="4" t="s">
        <v>250</v>
      </c>
    </row>
    <row r="1737" spans="1:5" ht="31" customHeight="1">
      <c r="A1737" s="4" t="s">
        <v>469</v>
      </c>
      <c r="B1737" s="4" t="s">
        <v>237</v>
      </c>
      <c r="C1737" s="4" t="s">
        <v>51</v>
      </c>
      <c r="D1737" s="4" t="s">
        <v>2094</v>
      </c>
      <c r="E1737" s="4" t="s">
        <v>250</v>
      </c>
    </row>
    <row r="1738" spans="1:5" ht="31" customHeight="1">
      <c r="A1738" s="4" t="s">
        <v>469</v>
      </c>
      <c r="B1738" s="4" t="s">
        <v>237</v>
      </c>
      <c r="C1738" s="4" t="s">
        <v>52</v>
      </c>
      <c r="D1738" s="4" t="s">
        <v>2094</v>
      </c>
      <c r="E1738" s="4" t="s">
        <v>250</v>
      </c>
    </row>
    <row r="1739" spans="1:5" ht="31" customHeight="1">
      <c r="A1739" s="4" t="s">
        <v>469</v>
      </c>
      <c r="B1739" s="4" t="s">
        <v>237</v>
      </c>
      <c r="C1739" s="4" t="s">
        <v>53</v>
      </c>
      <c r="D1739" s="4" t="s">
        <v>2094</v>
      </c>
      <c r="E1739" s="4" t="s">
        <v>250</v>
      </c>
    </row>
    <row r="1740" spans="1:5" ht="31" customHeight="1">
      <c r="A1740" s="4" t="s">
        <v>469</v>
      </c>
      <c r="B1740" s="4" t="s">
        <v>237</v>
      </c>
      <c r="C1740" s="4" t="s">
        <v>54</v>
      </c>
      <c r="D1740" s="4" t="s">
        <v>2094</v>
      </c>
      <c r="E1740" s="4" t="s">
        <v>250</v>
      </c>
    </row>
    <row r="1741" spans="1:5" ht="31" customHeight="1">
      <c r="A1741" s="4" t="s">
        <v>469</v>
      </c>
      <c r="B1741" s="4" t="s">
        <v>237</v>
      </c>
      <c r="C1741" s="4" t="s">
        <v>55</v>
      </c>
      <c r="D1741" s="4" t="s">
        <v>2089</v>
      </c>
      <c r="E1741" s="4" t="s">
        <v>250</v>
      </c>
    </row>
    <row r="1742" spans="1:5" ht="31" customHeight="1">
      <c r="A1742" s="4" t="s">
        <v>469</v>
      </c>
      <c r="B1742" s="4" t="s">
        <v>237</v>
      </c>
      <c r="C1742" s="4" t="s">
        <v>56</v>
      </c>
      <c r="D1742" s="4" t="s">
        <v>2089</v>
      </c>
      <c r="E1742" s="4" t="s">
        <v>250</v>
      </c>
    </row>
    <row r="1743" spans="1:5" ht="31" customHeight="1">
      <c r="A1743" s="4" t="s">
        <v>469</v>
      </c>
      <c r="B1743" s="4" t="s">
        <v>237</v>
      </c>
      <c r="C1743" s="4" t="s">
        <v>57</v>
      </c>
      <c r="D1743" s="4" t="s">
        <v>2092</v>
      </c>
      <c r="E1743" s="4" t="s">
        <v>250</v>
      </c>
    </row>
    <row r="1744" spans="1:5" ht="31" customHeight="1">
      <c r="A1744" s="4" t="s">
        <v>469</v>
      </c>
      <c r="B1744" s="4" t="s">
        <v>237</v>
      </c>
      <c r="C1744" s="4" t="s">
        <v>58</v>
      </c>
      <c r="D1744" s="4" t="s">
        <v>2092</v>
      </c>
      <c r="E1744" s="4" t="s">
        <v>250</v>
      </c>
    </row>
    <row r="1745" spans="1:5" ht="31" customHeight="1">
      <c r="A1745" s="4" t="s">
        <v>469</v>
      </c>
      <c r="B1745" s="4" t="s">
        <v>237</v>
      </c>
      <c r="C1745" s="4" t="s">
        <v>59</v>
      </c>
      <c r="D1745" s="4" t="s">
        <v>2089</v>
      </c>
      <c r="E1745" s="4" t="s">
        <v>250</v>
      </c>
    </row>
    <row r="1746" spans="1:5" ht="31" customHeight="1">
      <c r="A1746" s="4" t="s">
        <v>469</v>
      </c>
      <c r="B1746" s="4" t="s">
        <v>237</v>
      </c>
      <c r="C1746" s="4" t="s">
        <v>60</v>
      </c>
      <c r="D1746" s="4" t="s">
        <v>2089</v>
      </c>
      <c r="E1746" s="4" t="s">
        <v>250</v>
      </c>
    </row>
    <row r="1747" spans="1:5" ht="31" customHeight="1">
      <c r="A1747" s="4" t="s">
        <v>469</v>
      </c>
      <c r="B1747" s="4" t="s">
        <v>237</v>
      </c>
      <c r="C1747" s="4" t="s">
        <v>61</v>
      </c>
      <c r="D1747" s="4" t="s">
        <v>2089</v>
      </c>
      <c r="E1747" s="4" t="s">
        <v>250</v>
      </c>
    </row>
    <row r="1748" spans="1:5" ht="31" customHeight="1">
      <c r="A1748" s="4" t="s">
        <v>469</v>
      </c>
      <c r="B1748" s="4" t="s">
        <v>237</v>
      </c>
      <c r="C1748" s="4" t="s">
        <v>62</v>
      </c>
      <c r="D1748" s="4" t="s">
        <v>2089</v>
      </c>
      <c r="E1748" s="4" t="s">
        <v>250</v>
      </c>
    </row>
    <row r="1749" spans="1:5" ht="31" customHeight="1">
      <c r="A1749" s="4" t="s">
        <v>469</v>
      </c>
      <c r="B1749" s="4" t="s">
        <v>237</v>
      </c>
      <c r="C1749" s="4" t="s">
        <v>63</v>
      </c>
      <c r="D1749" s="4" t="s">
        <v>2089</v>
      </c>
      <c r="E1749" s="4" t="s">
        <v>250</v>
      </c>
    </row>
    <row r="1750" spans="1:5" ht="31" customHeight="1">
      <c r="A1750" s="4" t="s">
        <v>469</v>
      </c>
      <c r="B1750" s="4" t="s">
        <v>237</v>
      </c>
      <c r="C1750" s="4" t="s">
        <v>64</v>
      </c>
      <c r="D1750" s="4" t="s">
        <v>2089</v>
      </c>
      <c r="E1750" s="4" t="s">
        <v>250</v>
      </c>
    </row>
    <row r="1751" spans="1:5" ht="31" customHeight="1">
      <c r="A1751" s="4" t="s">
        <v>469</v>
      </c>
      <c r="B1751" s="4" t="s">
        <v>237</v>
      </c>
      <c r="C1751" s="4" t="s">
        <v>65</v>
      </c>
      <c r="D1751" s="4" t="s">
        <v>2089</v>
      </c>
      <c r="E1751" s="4" t="s">
        <v>250</v>
      </c>
    </row>
    <row r="1752" spans="1:5" ht="31" customHeight="1">
      <c r="A1752" s="4" t="s">
        <v>469</v>
      </c>
      <c r="B1752" s="4" t="s">
        <v>237</v>
      </c>
      <c r="C1752" s="4" t="s">
        <v>66</v>
      </c>
      <c r="D1752" s="4" t="s">
        <v>2093</v>
      </c>
      <c r="E1752" s="4" t="s">
        <v>250</v>
      </c>
    </row>
    <row r="1753" spans="1:5" ht="31" customHeight="1">
      <c r="A1753" s="4" t="s">
        <v>469</v>
      </c>
      <c r="B1753" s="4" t="s">
        <v>237</v>
      </c>
      <c r="C1753" s="4" t="s">
        <v>67</v>
      </c>
      <c r="D1753" s="4" t="s">
        <v>2089</v>
      </c>
      <c r="E1753" s="4" t="s">
        <v>250</v>
      </c>
    </row>
    <row r="1754" spans="1:5" ht="31" customHeight="1">
      <c r="A1754" s="4" t="s">
        <v>469</v>
      </c>
      <c r="B1754" s="4" t="s">
        <v>237</v>
      </c>
      <c r="C1754" s="4" t="s">
        <v>68</v>
      </c>
      <c r="D1754" s="4" t="s">
        <v>2089</v>
      </c>
      <c r="E1754" s="4" t="s">
        <v>250</v>
      </c>
    </row>
    <row r="1755" spans="1:5" ht="31" customHeight="1">
      <c r="A1755" s="4" t="s">
        <v>469</v>
      </c>
      <c r="B1755" s="4" t="s">
        <v>237</v>
      </c>
      <c r="C1755" s="4" t="s">
        <v>69</v>
      </c>
      <c r="D1755" s="4" t="s">
        <v>2090</v>
      </c>
      <c r="E1755" s="4" t="s">
        <v>250</v>
      </c>
    </row>
    <row r="1756" spans="1:5" ht="31" customHeight="1">
      <c r="A1756" s="4" t="s">
        <v>469</v>
      </c>
      <c r="B1756" s="4" t="s">
        <v>237</v>
      </c>
      <c r="C1756" s="4" t="s">
        <v>70</v>
      </c>
      <c r="D1756" s="4" t="s">
        <v>2089</v>
      </c>
      <c r="E1756" s="4" t="s">
        <v>250</v>
      </c>
    </row>
    <row r="1757" spans="1:5" ht="31" customHeight="1">
      <c r="A1757" s="4" t="s">
        <v>469</v>
      </c>
      <c r="B1757" s="4" t="s">
        <v>237</v>
      </c>
      <c r="C1757" s="4" t="s">
        <v>73</v>
      </c>
      <c r="D1757" s="4" t="s">
        <v>2089</v>
      </c>
      <c r="E1757" s="4" t="s">
        <v>250</v>
      </c>
    </row>
    <row r="1758" spans="1:5" ht="31" customHeight="1">
      <c r="A1758" s="4" t="s">
        <v>469</v>
      </c>
      <c r="B1758" s="4" t="s">
        <v>237</v>
      </c>
      <c r="C1758" s="4" t="s">
        <v>75</v>
      </c>
      <c r="D1758" s="4" t="s">
        <v>2089</v>
      </c>
      <c r="E1758" s="4" t="s">
        <v>250</v>
      </c>
    </row>
    <row r="1759" spans="1:5" ht="31" customHeight="1">
      <c r="A1759" s="4" t="s">
        <v>469</v>
      </c>
      <c r="B1759" s="4" t="s">
        <v>237</v>
      </c>
      <c r="C1759" s="4" t="s">
        <v>76</v>
      </c>
      <c r="D1759" s="4" t="s">
        <v>2091</v>
      </c>
      <c r="E1759" s="4" t="s">
        <v>250</v>
      </c>
    </row>
    <row r="1760" spans="1:5" ht="31" customHeight="1">
      <c r="A1760" s="4" t="s">
        <v>472</v>
      </c>
      <c r="B1760" s="4" t="s">
        <v>237</v>
      </c>
      <c r="C1760" s="4" t="s">
        <v>35</v>
      </c>
      <c r="D1760" s="4" t="s">
        <v>2088</v>
      </c>
      <c r="E1760" s="4" t="s">
        <v>250</v>
      </c>
    </row>
    <row r="1761" spans="1:5" ht="31" customHeight="1">
      <c r="A1761" s="4" t="s">
        <v>472</v>
      </c>
      <c r="B1761" s="4" t="s">
        <v>237</v>
      </c>
      <c r="C1761" s="4" t="s">
        <v>37</v>
      </c>
      <c r="D1761" s="4" t="s">
        <v>2089</v>
      </c>
      <c r="E1761" s="4" t="s">
        <v>250</v>
      </c>
    </row>
    <row r="1762" spans="1:5" ht="31" customHeight="1">
      <c r="A1762" s="4" t="s">
        <v>472</v>
      </c>
      <c r="B1762" s="4" t="s">
        <v>237</v>
      </c>
      <c r="C1762" s="4" t="s">
        <v>39</v>
      </c>
      <c r="D1762" s="4" t="s">
        <v>2089</v>
      </c>
      <c r="E1762" s="4" t="s">
        <v>250</v>
      </c>
    </row>
    <row r="1763" spans="1:5" ht="31" customHeight="1">
      <c r="A1763" s="4" t="s">
        <v>472</v>
      </c>
      <c r="B1763" s="4" t="s">
        <v>237</v>
      </c>
      <c r="C1763" s="4" t="s">
        <v>40</v>
      </c>
      <c r="D1763" s="4" t="s">
        <v>2081</v>
      </c>
      <c r="E1763" s="4" t="s">
        <v>250</v>
      </c>
    </row>
    <row r="1764" spans="1:5" ht="31" customHeight="1">
      <c r="A1764" s="4" t="s">
        <v>472</v>
      </c>
      <c r="B1764" s="4" t="s">
        <v>237</v>
      </c>
      <c r="C1764" s="4" t="s">
        <v>41</v>
      </c>
      <c r="D1764" s="4" t="s">
        <v>2081</v>
      </c>
      <c r="E1764" s="4" t="s">
        <v>250</v>
      </c>
    </row>
    <row r="1765" spans="1:5" ht="31" customHeight="1">
      <c r="A1765" s="4" t="s">
        <v>472</v>
      </c>
      <c r="B1765" s="4" t="s">
        <v>237</v>
      </c>
      <c r="C1765" s="4" t="s">
        <v>42</v>
      </c>
      <c r="D1765" s="4" t="s">
        <v>2081</v>
      </c>
      <c r="E1765" s="4" t="s">
        <v>250</v>
      </c>
    </row>
    <row r="1766" spans="1:5" ht="31" customHeight="1">
      <c r="A1766" s="4" t="s">
        <v>472</v>
      </c>
      <c r="B1766" s="4" t="s">
        <v>237</v>
      </c>
      <c r="C1766" s="4" t="s">
        <v>43</v>
      </c>
      <c r="D1766" s="4" t="s">
        <v>2081</v>
      </c>
      <c r="E1766" s="4" t="s">
        <v>250</v>
      </c>
    </row>
    <row r="1767" spans="1:5" ht="31" customHeight="1">
      <c r="A1767" s="4" t="s">
        <v>472</v>
      </c>
      <c r="B1767" s="4" t="s">
        <v>237</v>
      </c>
      <c r="C1767" s="4" t="s">
        <v>44</v>
      </c>
      <c r="D1767" s="4" t="s">
        <v>2081</v>
      </c>
      <c r="E1767" s="4" t="s">
        <v>250</v>
      </c>
    </row>
    <row r="1768" spans="1:5" ht="31" customHeight="1">
      <c r="A1768" s="4" t="s">
        <v>472</v>
      </c>
      <c r="B1768" s="4" t="s">
        <v>237</v>
      </c>
      <c r="C1768" s="4" t="s">
        <v>45</v>
      </c>
      <c r="D1768" s="4" t="s">
        <v>2081</v>
      </c>
      <c r="E1768" s="4" t="s">
        <v>250</v>
      </c>
    </row>
    <row r="1769" spans="1:5" ht="31" customHeight="1">
      <c r="A1769" s="4" t="s">
        <v>472</v>
      </c>
      <c r="B1769" s="4" t="s">
        <v>237</v>
      </c>
      <c r="C1769" s="4" t="s">
        <v>46</v>
      </c>
      <c r="D1769" s="4" t="s">
        <v>2081</v>
      </c>
      <c r="E1769" s="4" t="s">
        <v>250</v>
      </c>
    </row>
    <row r="1770" spans="1:5" ht="31" customHeight="1">
      <c r="A1770" s="4" t="s">
        <v>472</v>
      </c>
      <c r="B1770" s="4" t="s">
        <v>237</v>
      </c>
      <c r="C1770" s="4" t="s">
        <v>47</v>
      </c>
      <c r="D1770" s="4" t="s">
        <v>2081</v>
      </c>
      <c r="E1770" s="4" t="s">
        <v>250</v>
      </c>
    </row>
    <row r="1771" spans="1:5" ht="31" customHeight="1">
      <c r="A1771" s="4" t="s">
        <v>472</v>
      </c>
      <c r="B1771" s="4" t="s">
        <v>237</v>
      </c>
      <c r="C1771" s="4" t="s">
        <v>48</v>
      </c>
      <c r="D1771" s="4" t="s">
        <v>2081</v>
      </c>
      <c r="E1771" s="4" t="s">
        <v>250</v>
      </c>
    </row>
    <row r="1772" spans="1:5" ht="31" customHeight="1">
      <c r="A1772" s="4" t="s">
        <v>472</v>
      </c>
      <c r="B1772" s="4" t="s">
        <v>237</v>
      </c>
      <c r="C1772" s="4" t="s">
        <v>49</v>
      </c>
      <c r="D1772" s="4" t="s">
        <v>2081</v>
      </c>
      <c r="E1772" s="4" t="s">
        <v>250</v>
      </c>
    </row>
    <row r="1773" spans="1:5" ht="31" customHeight="1">
      <c r="A1773" s="4" t="s">
        <v>472</v>
      </c>
      <c r="B1773" s="4" t="s">
        <v>237</v>
      </c>
      <c r="C1773" s="4" t="s">
        <v>50</v>
      </c>
      <c r="D1773" s="4" t="s">
        <v>2094</v>
      </c>
      <c r="E1773" s="4" t="s">
        <v>250</v>
      </c>
    </row>
    <row r="1774" spans="1:5" ht="31" customHeight="1">
      <c r="A1774" s="4" t="s">
        <v>472</v>
      </c>
      <c r="B1774" s="4" t="s">
        <v>237</v>
      </c>
      <c r="C1774" s="4" t="s">
        <v>51</v>
      </c>
      <c r="D1774" s="4" t="s">
        <v>2094</v>
      </c>
      <c r="E1774" s="4" t="s">
        <v>250</v>
      </c>
    </row>
    <row r="1775" spans="1:5" ht="31" customHeight="1">
      <c r="A1775" s="4" t="s">
        <v>472</v>
      </c>
      <c r="B1775" s="4" t="s">
        <v>237</v>
      </c>
      <c r="C1775" s="4" t="s">
        <v>52</v>
      </c>
      <c r="D1775" s="4" t="s">
        <v>2094</v>
      </c>
      <c r="E1775" s="4" t="s">
        <v>250</v>
      </c>
    </row>
    <row r="1776" spans="1:5" ht="31" customHeight="1">
      <c r="A1776" s="4" t="s">
        <v>472</v>
      </c>
      <c r="B1776" s="4" t="s">
        <v>237</v>
      </c>
      <c r="C1776" s="4" t="s">
        <v>53</v>
      </c>
      <c r="D1776" s="4" t="s">
        <v>2094</v>
      </c>
      <c r="E1776" s="4" t="s">
        <v>250</v>
      </c>
    </row>
    <row r="1777" spans="1:5" ht="31" customHeight="1">
      <c r="A1777" s="4" t="s">
        <v>472</v>
      </c>
      <c r="B1777" s="4" t="s">
        <v>237</v>
      </c>
      <c r="C1777" s="4" t="s">
        <v>54</v>
      </c>
      <c r="D1777" s="4" t="s">
        <v>2094</v>
      </c>
      <c r="E1777" s="4" t="s">
        <v>250</v>
      </c>
    </row>
    <row r="1778" spans="1:5" ht="31" customHeight="1">
      <c r="A1778" s="4" t="s">
        <v>472</v>
      </c>
      <c r="B1778" s="4" t="s">
        <v>237</v>
      </c>
      <c r="C1778" s="4" t="s">
        <v>55</v>
      </c>
      <c r="D1778" s="4" t="s">
        <v>2089</v>
      </c>
      <c r="E1778" s="4" t="s">
        <v>250</v>
      </c>
    </row>
    <row r="1779" spans="1:5" ht="31" customHeight="1">
      <c r="A1779" s="4" t="s">
        <v>472</v>
      </c>
      <c r="B1779" s="4" t="s">
        <v>237</v>
      </c>
      <c r="C1779" s="4" t="s">
        <v>56</v>
      </c>
      <c r="D1779" s="4" t="s">
        <v>2089</v>
      </c>
      <c r="E1779" s="4" t="s">
        <v>250</v>
      </c>
    </row>
    <row r="1780" spans="1:5" ht="31" customHeight="1">
      <c r="A1780" s="4" t="s">
        <v>472</v>
      </c>
      <c r="B1780" s="4" t="s">
        <v>237</v>
      </c>
      <c r="C1780" s="4" t="s">
        <v>57</v>
      </c>
      <c r="D1780" s="4" t="s">
        <v>2092</v>
      </c>
      <c r="E1780" s="4" t="s">
        <v>250</v>
      </c>
    </row>
    <row r="1781" spans="1:5" ht="31" customHeight="1">
      <c r="A1781" s="4" t="s">
        <v>472</v>
      </c>
      <c r="B1781" s="4" t="s">
        <v>237</v>
      </c>
      <c r="C1781" s="4" t="s">
        <v>58</v>
      </c>
      <c r="D1781" s="4" t="s">
        <v>2092</v>
      </c>
      <c r="E1781" s="4" t="s">
        <v>250</v>
      </c>
    </row>
    <row r="1782" spans="1:5" ht="31" customHeight="1">
      <c r="A1782" s="4" t="s">
        <v>472</v>
      </c>
      <c r="B1782" s="4" t="s">
        <v>237</v>
      </c>
      <c r="C1782" s="4" t="s">
        <v>59</v>
      </c>
      <c r="D1782" s="4" t="s">
        <v>2089</v>
      </c>
      <c r="E1782" s="4" t="s">
        <v>250</v>
      </c>
    </row>
    <row r="1783" spans="1:5" ht="31" customHeight="1">
      <c r="A1783" s="4" t="s">
        <v>472</v>
      </c>
      <c r="B1783" s="4" t="s">
        <v>237</v>
      </c>
      <c r="C1783" s="4" t="s">
        <v>60</v>
      </c>
      <c r="D1783" s="4" t="s">
        <v>2089</v>
      </c>
      <c r="E1783" s="4" t="s">
        <v>250</v>
      </c>
    </row>
    <row r="1784" spans="1:5" ht="31" customHeight="1">
      <c r="A1784" s="4" t="s">
        <v>472</v>
      </c>
      <c r="B1784" s="4" t="s">
        <v>237</v>
      </c>
      <c r="C1784" s="4" t="s">
        <v>61</v>
      </c>
      <c r="D1784" s="4" t="s">
        <v>2089</v>
      </c>
      <c r="E1784" s="4" t="s">
        <v>250</v>
      </c>
    </row>
    <row r="1785" spans="1:5" ht="31" customHeight="1">
      <c r="A1785" s="4" t="s">
        <v>472</v>
      </c>
      <c r="B1785" s="4" t="s">
        <v>237</v>
      </c>
      <c r="C1785" s="4" t="s">
        <v>62</v>
      </c>
      <c r="D1785" s="4" t="s">
        <v>2089</v>
      </c>
      <c r="E1785" s="4" t="s">
        <v>250</v>
      </c>
    </row>
    <row r="1786" spans="1:5" ht="31" customHeight="1">
      <c r="A1786" s="4" t="s">
        <v>472</v>
      </c>
      <c r="B1786" s="4" t="s">
        <v>237</v>
      </c>
      <c r="C1786" s="4" t="s">
        <v>64</v>
      </c>
      <c r="D1786" s="4" t="s">
        <v>2089</v>
      </c>
      <c r="E1786" s="4" t="s">
        <v>250</v>
      </c>
    </row>
    <row r="1787" spans="1:5" ht="31" customHeight="1">
      <c r="A1787" s="4" t="s">
        <v>472</v>
      </c>
      <c r="B1787" s="4" t="s">
        <v>237</v>
      </c>
      <c r="C1787" s="4" t="s">
        <v>66</v>
      </c>
      <c r="D1787" s="4" t="s">
        <v>2093</v>
      </c>
      <c r="E1787" s="4" t="s">
        <v>250</v>
      </c>
    </row>
    <row r="1788" spans="1:5" ht="31" customHeight="1">
      <c r="A1788" s="4" t="s">
        <v>472</v>
      </c>
      <c r="B1788" s="4" t="s">
        <v>237</v>
      </c>
      <c r="C1788" s="4" t="s">
        <v>67</v>
      </c>
      <c r="D1788" s="4" t="s">
        <v>2089</v>
      </c>
      <c r="E1788" s="4" t="s">
        <v>250</v>
      </c>
    </row>
    <row r="1789" spans="1:5" ht="31" customHeight="1">
      <c r="A1789" s="4" t="s">
        <v>472</v>
      </c>
      <c r="B1789" s="4" t="s">
        <v>237</v>
      </c>
      <c r="C1789" s="4" t="s">
        <v>68</v>
      </c>
      <c r="D1789" s="4" t="s">
        <v>2089</v>
      </c>
      <c r="E1789" s="4" t="s">
        <v>250</v>
      </c>
    </row>
    <row r="1790" spans="1:5" ht="31" customHeight="1">
      <c r="A1790" s="4" t="s">
        <v>472</v>
      </c>
      <c r="B1790" s="4" t="s">
        <v>237</v>
      </c>
      <c r="C1790" s="4" t="s">
        <v>69</v>
      </c>
      <c r="D1790" s="4" t="s">
        <v>2090</v>
      </c>
      <c r="E1790" s="4" t="s">
        <v>250</v>
      </c>
    </row>
    <row r="1791" spans="1:5" ht="31" customHeight="1">
      <c r="A1791" s="4" t="s">
        <v>472</v>
      </c>
      <c r="B1791" s="4" t="s">
        <v>237</v>
      </c>
      <c r="C1791" s="4" t="s">
        <v>70</v>
      </c>
      <c r="D1791" s="4" t="s">
        <v>2089</v>
      </c>
      <c r="E1791" s="4" t="s">
        <v>250</v>
      </c>
    </row>
    <row r="1792" spans="1:5" ht="31" customHeight="1">
      <c r="A1792" s="4" t="s">
        <v>472</v>
      </c>
      <c r="B1792" s="4" t="s">
        <v>237</v>
      </c>
      <c r="C1792" s="4" t="s">
        <v>75</v>
      </c>
      <c r="D1792" s="4" t="s">
        <v>2089</v>
      </c>
      <c r="E1792" s="4" t="s">
        <v>250</v>
      </c>
    </row>
    <row r="1793" spans="1:5" ht="31" customHeight="1">
      <c r="A1793" s="4" t="s">
        <v>472</v>
      </c>
      <c r="B1793" s="4" t="s">
        <v>237</v>
      </c>
      <c r="C1793" s="4" t="s">
        <v>76</v>
      </c>
      <c r="D1793" s="4" t="s">
        <v>2091</v>
      </c>
      <c r="E1793" s="4" t="s">
        <v>250</v>
      </c>
    </row>
    <row r="1794" spans="1:5" ht="31" customHeight="1">
      <c r="A1794" s="4" t="s">
        <v>282</v>
      </c>
      <c r="B1794" s="4" t="s">
        <v>424</v>
      </c>
      <c r="C1794" s="4" t="s">
        <v>35</v>
      </c>
      <c r="D1794" s="4" t="s">
        <v>2088</v>
      </c>
      <c r="E1794" s="4" t="s">
        <v>433</v>
      </c>
    </row>
    <row r="1795" spans="1:5" ht="31" customHeight="1">
      <c r="A1795" s="4" t="s">
        <v>282</v>
      </c>
      <c r="B1795" s="4" t="s">
        <v>424</v>
      </c>
      <c r="C1795" s="4" t="s">
        <v>36</v>
      </c>
      <c r="D1795" s="4" t="s">
        <v>2089</v>
      </c>
      <c r="E1795" s="4" t="s">
        <v>433</v>
      </c>
    </row>
    <row r="1796" spans="1:5" ht="31" customHeight="1">
      <c r="A1796" s="4" t="s">
        <v>282</v>
      </c>
      <c r="B1796" s="4" t="s">
        <v>424</v>
      </c>
      <c r="C1796" s="4" t="s">
        <v>37</v>
      </c>
      <c r="D1796" s="4" t="s">
        <v>2089</v>
      </c>
      <c r="E1796" s="4" t="s">
        <v>433</v>
      </c>
    </row>
    <row r="1797" spans="1:5" ht="31" customHeight="1">
      <c r="A1797" s="4" t="s">
        <v>282</v>
      </c>
      <c r="B1797" s="4" t="s">
        <v>424</v>
      </c>
      <c r="C1797" s="4" t="s">
        <v>38</v>
      </c>
      <c r="D1797" s="4" t="s">
        <v>2089</v>
      </c>
      <c r="E1797" s="4" t="s">
        <v>433</v>
      </c>
    </row>
    <row r="1798" spans="1:5" ht="31" customHeight="1">
      <c r="A1798" s="4" t="s">
        <v>282</v>
      </c>
      <c r="B1798" s="4" t="s">
        <v>424</v>
      </c>
      <c r="C1798" s="4" t="s">
        <v>39</v>
      </c>
      <c r="D1798" s="4" t="s">
        <v>2089</v>
      </c>
      <c r="E1798" s="4" t="s">
        <v>433</v>
      </c>
    </row>
    <row r="1799" spans="1:5" ht="31" customHeight="1">
      <c r="A1799" s="4" t="s">
        <v>282</v>
      </c>
      <c r="B1799" s="4" t="s">
        <v>424</v>
      </c>
      <c r="C1799" s="4" t="s">
        <v>55</v>
      </c>
      <c r="D1799" s="4" t="s">
        <v>2089</v>
      </c>
      <c r="E1799" s="4" t="s">
        <v>433</v>
      </c>
    </row>
    <row r="1800" spans="1:5" ht="31" customHeight="1">
      <c r="A1800" s="4" t="s">
        <v>282</v>
      </c>
      <c r="B1800" s="4" t="s">
        <v>424</v>
      </c>
      <c r="C1800" s="4" t="s">
        <v>56</v>
      </c>
      <c r="D1800" s="4" t="s">
        <v>2089</v>
      </c>
      <c r="E1800" s="4" t="s">
        <v>433</v>
      </c>
    </row>
    <row r="1801" spans="1:5" ht="31" customHeight="1">
      <c r="A1801" s="4" t="s">
        <v>282</v>
      </c>
      <c r="B1801" s="4" t="s">
        <v>424</v>
      </c>
      <c r="C1801" s="4" t="s">
        <v>57</v>
      </c>
      <c r="D1801" s="4" t="s">
        <v>2092</v>
      </c>
      <c r="E1801" s="4" t="s">
        <v>433</v>
      </c>
    </row>
    <row r="1802" spans="1:5" ht="31" customHeight="1">
      <c r="A1802" s="4" t="s">
        <v>282</v>
      </c>
      <c r="B1802" s="4" t="s">
        <v>424</v>
      </c>
      <c r="C1802" s="4" t="s">
        <v>58</v>
      </c>
      <c r="D1802" s="4" t="s">
        <v>2092</v>
      </c>
      <c r="E1802" s="4" t="s">
        <v>433</v>
      </c>
    </row>
    <row r="1803" spans="1:5" ht="31" customHeight="1">
      <c r="A1803" s="4" t="s">
        <v>282</v>
      </c>
      <c r="B1803" s="4" t="s">
        <v>424</v>
      </c>
      <c r="C1803" s="4" t="s">
        <v>59</v>
      </c>
      <c r="D1803" s="4" t="s">
        <v>2089</v>
      </c>
      <c r="E1803" s="4" t="s">
        <v>433</v>
      </c>
    </row>
    <row r="1804" spans="1:5" ht="31" customHeight="1">
      <c r="A1804" s="4" t="s">
        <v>282</v>
      </c>
      <c r="B1804" s="4" t="s">
        <v>424</v>
      </c>
      <c r="C1804" s="4" t="s">
        <v>60</v>
      </c>
      <c r="D1804" s="4" t="s">
        <v>2089</v>
      </c>
      <c r="E1804" s="4" t="s">
        <v>433</v>
      </c>
    </row>
    <row r="1805" spans="1:5" ht="31" customHeight="1">
      <c r="A1805" s="4" t="s">
        <v>282</v>
      </c>
      <c r="B1805" s="4" t="s">
        <v>424</v>
      </c>
      <c r="C1805" s="4" t="s">
        <v>61</v>
      </c>
      <c r="D1805" s="4" t="s">
        <v>2089</v>
      </c>
      <c r="E1805" s="4" t="s">
        <v>433</v>
      </c>
    </row>
    <row r="1806" spans="1:5" ht="31" customHeight="1">
      <c r="A1806" s="4" t="s">
        <v>282</v>
      </c>
      <c r="B1806" s="4" t="s">
        <v>424</v>
      </c>
      <c r="C1806" s="4" t="s">
        <v>62</v>
      </c>
      <c r="D1806" s="4" t="s">
        <v>2089</v>
      </c>
      <c r="E1806" s="4" t="s">
        <v>433</v>
      </c>
    </row>
    <row r="1807" spans="1:5" ht="31" customHeight="1">
      <c r="A1807" s="4" t="s">
        <v>282</v>
      </c>
      <c r="B1807" s="4" t="s">
        <v>424</v>
      </c>
      <c r="C1807" s="4" t="s">
        <v>63</v>
      </c>
      <c r="D1807" s="4" t="s">
        <v>2089</v>
      </c>
      <c r="E1807" s="4" t="s">
        <v>433</v>
      </c>
    </row>
    <row r="1808" spans="1:5" ht="31" customHeight="1">
      <c r="A1808" s="4" t="s">
        <v>282</v>
      </c>
      <c r="B1808" s="4" t="s">
        <v>424</v>
      </c>
      <c r="C1808" s="4" t="s">
        <v>64</v>
      </c>
      <c r="D1808" s="4" t="s">
        <v>2089</v>
      </c>
      <c r="E1808" s="4" t="s">
        <v>433</v>
      </c>
    </row>
    <row r="1809" spans="1:5" ht="31" customHeight="1">
      <c r="A1809" s="4" t="s">
        <v>282</v>
      </c>
      <c r="B1809" s="4" t="s">
        <v>424</v>
      </c>
      <c r="C1809" s="4" t="s">
        <v>65</v>
      </c>
      <c r="D1809" s="4" t="s">
        <v>2089</v>
      </c>
      <c r="E1809" s="4" t="s">
        <v>433</v>
      </c>
    </row>
    <row r="1810" spans="1:5" ht="31" customHeight="1">
      <c r="A1810" s="4" t="s">
        <v>282</v>
      </c>
      <c r="B1810" s="4" t="s">
        <v>424</v>
      </c>
      <c r="C1810" s="4" t="s">
        <v>66</v>
      </c>
      <c r="D1810" s="4" t="s">
        <v>2093</v>
      </c>
      <c r="E1810" s="4" t="s">
        <v>433</v>
      </c>
    </row>
    <row r="1811" spans="1:5" ht="31" customHeight="1">
      <c r="A1811" s="4" t="s">
        <v>282</v>
      </c>
      <c r="B1811" s="4" t="s">
        <v>424</v>
      </c>
      <c r="C1811" s="4" t="s">
        <v>67</v>
      </c>
      <c r="D1811" s="4" t="s">
        <v>2089</v>
      </c>
      <c r="E1811" s="4" t="s">
        <v>433</v>
      </c>
    </row>
    <row r="1812" spans="1:5" ht="31" customHeight="1">
      <c r="A1812" s="4" t="s">
        <v>282</v>
      </c>
      <c r="B1812" s="4" t="s">
        <v>424</v>
      </c>
      <c r="C1812" s="4" t="s">
        <v>68</v>
      </c>
      <c r="D1812" s="4" t="s">
        <v>2089</v>
      </c>
      <c r="E1812" s="4" t="s">
        <v>433</v>
      </c>
    </row>
    <row r="1813" spans="1:5" ht="31" customHeight="1">
      <c r="A1813" s="4" t="s">
        <v>282</v>
      </c>
      <c r="B1813" s="4" t="s">
        <v>424</v>
      </c>
      <c r="C1813" s="4" t="s">
        <v>69</v>
      </c>
      <c r="D1813" s="4" t="s">
        <v>2090</v>
      </c>
      <c r="E1813" s="4" t="s">
        <v>433</v>
      </c>
    </row>
    <row r="1814" spans="1:5" ht="31" customHeight="1">
      <c r="A1814" s="4" t="s">
        <v>282</v>
      </c>
      <c r="B1814" s="4" t="s">
        <v>424</v>
      </c>
      <c r="C1814" s="4" t="s">
        <v>70</v>
      </c>
      <c r="D1814" s="4" t="s">
        <v>2089</v>
      </c>
      <c r="E1814" s="4" t="s">
        <v>433</v>
      </c>
    </row>
    <row r="1815" spans="1:5" ht="31" customHeight="1">
      <c r="A1815" s="4" t="s">
        <v>282</v>
      </c>
      <c r="B1815" s="4" t="s">
        <v>424</v>
      </c>
      <c r="C1815" s="4" t="s">
        <v>71</v>
      </c>
      <c r="D1815" s="4" t="s">
        <v>2089</v>
      </c>
      <c r="E1815" s="4" t="s">
        <v>433</v>
      </c>
    </row>
    <row r="1816" spans="1:5" ht="31" customHeight="1">
      <c r="A1816" s="4" t="s">
        <v>282</v>
      </c>
      <c r="B1816" s="4" t="s">
        <v>424</v>
      </c>
      <c r="C1816" s="4" t="s">
        <v>73</v>
      </c>
      <c r="D1816" s="4" t="s">
        <v>2089</v>
      </c>
      <c r="E1816" s="4" t="s">
        <v>433</v>
      </c>
    </row>
    <row r="1817" spans="1:5" ht="31" customHeight="1">
      <c r="A1817" s="4" t="s">
        <v>282</v>
      </c>
      <c r="B1817" s="4" t="s">
        <v>424</v>
      </c>
      <c r="C1817" s="4" t="s">
        <v>75</v>
      </c>
      <c r="D1817" s="4" t="s">
        <v>2089</v>
      </c>
      <c r="E1817" s="4" t="s">
        <v>433</v>
      </c>
    </row>
    <row r="1818" spans="1:5" ht="31" customHeight="1">
      <c r="A1818" s="4" t="s">
        <v>282</v>
      </c>
      <c r="B1818" s="4" t="s">
        <v>424</v>
      </c>
      <c r="C1818" s="4" t="s">
        <v>76</v>
      </c>
      <c r="D1818" s="4" t="s">
        <v>2091</v>
      </c>
      <c r="E1818" s="4" t="s">
        <v>433</v>
      </c>
    </row>
  </sheetData>
  <autoFilter ref="A1:E1818"/>
  <pageMargins left="0.7" right="0.7" top="0.75" bottom="0.75" header="0.3" footer="0.3"/>
  <pageSetup fitToHeight="0" orientation="landscape"/>
</worksheet>
</file>

<file path=xl/worksheets/sheet8.xml><?xml version="1.0" encoding="utf-8"?>
<worksheet xmlns="http://schemas.openxmlformats.org/spreadsheetml/2006/main" xmlns:r="http://schemas.openxmlformats.org/officeDocument/2006/relationships">
  <sheetPr>
    <tabColor rgb="FF237C89"/>
    <pageSetUpPr fitToPage="1"/>
  </sheetPr>
  <dimension ref="A1:K32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3.7109375" customWidth="1"/>
    <col min="2" max="2" width="20.7109375" customWidth="1"/>
    <col min="3" max="3" width="38.7109375" customWidth="1"/>
    <col min="4" max="6" width="20.7109375" customWidth="1"/>
    <col min="7" max="8" width="65.7109375" customWidth="1"/>
    <col min="9" max="9" width="110.7109375" customWidth="1"/>
    <col min="10" max="10" width="85.7109375" customWidth="1"/>
    <col min="11" max="11" width="100.7109375" customWidth="1"/>
  </cols>
  <sheetData>
    <row r="1" spans="1:11" ht="42" customHeight="1">
      <c r="A1" s="2" t="s">
        <v>1094</v>
      </c>
      <c r="B1" s="2" t="s">
        <v>34</v>
      </c>
      <c r="C1" s="2" t="s">
        <v>1225</v>
      </c>
      <c r="D1" s="2" t="s">
        <v>1733</v>
      </c>
      <c r="E1" s="2" t="s">
        <v>1734</v>
      </c>
      <c r="F1" s="2" t="s">
        <v>1735</v>
      </c>
      <c r="G1" s="2" t="s">
        <v>1346</v>
      </c>
      <c r="H1" s="2" t="s">
        <v>1443</v>
      </c>
      <c r="I1" s="2" t="s">
        <v>1736</v>
      </c>
      <c r="J1" s="2" t="s">
        <v>1737</v>
      </c>
      <c r="K1" s="2" t="s">
        <v>1738</v>
      </c>
    </row>
    <row r="2" spans="1:11" ht="31" customHeight="1">
      <c r="A2" s="4" t="s">
        <v>109</v>
      </c>
      <c r="B2" s="4" t="s">
        <v>110</v>
      </c>
      <c r="C2" s="4" t="s">
        <v>90</v>
      </c>
      <c r="D2" s="5"/>
      <c r="E2" s="6">
        <v>1</v>
      </c>
      <c r="F2" s="4" t="s">
        <v>1739</v>
      </c>
      <c r="G2" s="4" t="s">
        <v>1526</v>
      </c>
      <c r="H2" s="4" t="s">
        <v>1740</v>
      </c>
      <c r="I2" s="4" t="s">
        <v>1741</v>
      </c>
      <c r="J2" s="4" t="s">
        <v>1742</v>
      </c>
      <c r="K2" s="4" t="s">
        <v>1743</v>
      </c>
    </row>
    <row r="3" spans="1:11" ht="31" customHeight="1">
      <c r="A3" s="4" t="s">
        <v>109</v>
      </c>
      <c r="B3" s="4" t="s">
        <v>110</v>
      </c>
      <c r="C3" s="4" t="s">
        <v>55</v>
      </c>
      <c r="D3" s="5"/>
      <c r="E3" s="4" t="s">
        <v>113</v>
      </c>
      <c r="F3" s="4" t="s">
        <v>1744</v>
      </c>
      <c r="G3" s="4" t="s">
        <v>1526</v>
      </c>
      <c r="H3" s="4" t="s">
        <v>1745</v>
      </c>
      <c r="I3" s="4" t="s">
        <v>1746</v>
      </c>
      <c r="J3" s="4" t="s">
        <v>1747</v>
      </c>
      <c r="K3" s="4" t="s">
        <v>1748</v>
      </c>
    </row>
    <row r="4" spans="1:11" ht="31" customHeight="1">
      <c r="A4" s="4" t="s">
        <v>129</v>
      </c>
      <c r="B4" s="4" t="s">
        <v>110</v>
      </c>
      <c r="C4" s="4" t="s">
        <v>90</v>
      </c>
      <c r="D4" s="5"/>
      <c r="E4" s="6">
        <v>1</v>
      </c>
      <c r="F4" s="4" t="s">
        <v>1739</v>
      </c>
      <c r="G4" s="4" t="s">
        <v>1526</v>
      </c>
      <c r="H4" s="4" t="s">
        <v>1740</v>
      </c>
      <c r="I4" s="4" t="s">
        <v>1749</v>
      </c>
      <c r="J4" s="4" t="s">
        <v>1742</v>
      </c>
      <c r="K4" s="4" t="s">
        <v>1743</v>
      </c>
    </row>
    <row r="5" spans="1:11" ht="31" customHeight="1">
      <c r="A5" s="4" t="s">
        <v>133</v>
      </c>
      <c r="B5" s="4" t="s">
        <v>110</v>
      </c>
      <c r="C5" s="4" t="s">
        <v>90</v>
      </c>
      <c r="D5" s="5"/>
      <c r="E5" s="6">
        <v>1</v>
      </c>
      <c r="F5" s="4" t="s">
        <v>1739</v>
      </c>
      <c r="G5" s="4" t="s">
        <v>1526</v>
      </c>
      <c r="H5" s="4" t="s">
        <v>1740</v>
      </c>
      <c r="I5" s="4" t="s">
        <v>1750</v>
      </c>
      <c r="J5" s="4" t="s">
        <v>1742</v>
      </c>
      <c r="K5" s="4" t="s">
        <v>1743</v>
      </c>
    </row>
    <row r="6" spans="1:11" ht="31" customHeight="1">
      <c r="A6" s="4" t="s">
        <v>133</v>
      </c>
      <c r="B6" s="4" t="s">
        <v>110</v>
      </c>
      <c r="C6" s="4" t="s">
        <v>55</v>
      </c>
      <c r="D6" s="5"/>
      <c r="E6" s="4" t="s">
        <v>113</v>
      </c>
      <c r="F6" s="4" t="s">
        <v>1744</v>
      </c>
      <c r="G6" s="4" t="s">
        <v>1526</v>
      </c>
      <c r="H6" s="4" t="s">
        <v>1745</v>
      </c>
      <c r="I6" s="4" t="s">
        <v>1746</v>
      </c>
      <c r="J6" s="4" t="s">
        <v>1747</v>
      </c>
      <c r="K6" s="4" t="s">
        <v>1748</v>
      </c>
    </row>
    <row r="7" spans="1:11" ht="31" customHeight="1">
      <c r="A7" s="4" t="s">
        <v>138</v>
      </c>
      <c r="B7" s="4" t="s">
        <v>110</v>
      </c>
      <c r="C7" s="4" t="s">
        <v>90</v>
      </c>
      <c r="D7" s="5"/>
      <c r="E7" s="6">
        <v>0</v>
      </c>
      <c r="F7" s="4" t="s">
        <v>1739</v>
      </c>
      <c r="G7" s="4" t="s">
        <v>1526</v>
      </c>
      <c r="H7" s="4" t="s">
        <v>1740</v>
      </c>
      <c r="I7" s="4" t="s">
        <v>1751</v>
      </c>
      <c r="J7" s="4" t="s">
        <v>1742</v>
      </c>
      <c r="K7" s="4" t="s">
        <v>1743</v>
      </c>
    </row>
    <row r="8" spans="1:11" ht="31" customHeight="1">
      <c r="A8" s="4" t="s">
        <v>141</v>
      </c>
      <c r="B8" s="4" t="s">
        <v>110</v>
      </c>
      <c r="C8" s="4" t="s">
        <v>90</v>
      </c>
      <c r="D8" s="5"/>
      <c r="E8" s="6">
        <v>1</v>
      </c>
      <c r="F8" s="4" t="s">
        <v>1739</v>
      </c>
      <c r="G8" s="4" t="s">
        <v>1526</v>
      </c>
      <c r="H8" s="4" t="s">
        <v>1740</v>
      </c>
      <c r="I8" s="4" t="s">
        <v>1752</v>
      </c>
      <c r="J8" s="4" t="s">
        <v>1742</v>
      </c>
      <c r="K8" s="4" t="s">
        <v>1743</v>
      </c>
    </row>
    <row r="9" spans="1:11" ht="31" customHeight="1">
      <c r="A9" s="4" t="s">
        <v>141</v>
      </c>
      <c r="B9" s="4" t="s">
        <v>110</v>
      </c>
      <c r="C9" s="4" t="s">
        <v>55</v>
      </c>
      <c r="D9" s="5"/>
      <c r="E9" s="4" t="s">
        <v>113</v>
      </c>
      <c r="F9" s="4" t="s">
        <v>1744</v>
      </c>
      <c r="G9" s="4" t="s">
        <v>1526</v>
      </c>
      <c r="H9" s="4" t="s">
        <v>1745</v>
      </c>
      <c r="I9" s="4" t="s">
        <v>1746</v>
      </c>
      <c r="J9" s="4" t="s">
        <v>1747</v>
      </c>
      <c r="K9" s="4" t="s">
        <v>1748</v>
      </c>
    </row>
    <row r="10" spans="1:11" ht="31" customHeight="1">
      <c r="A10" s="4" t="s">
        <v>143</v>
      </c>
      <c r="B10" s="4" t="s">
        <v>110</v>
      </c>
      <c r="C10" s="4" t="s">
        <v>90</v>
      </c>
      <c r="D10" s="5"/>
      <c r="E10" s="6">
        <v>0</v>
      </c>
      <c r="F10" s="4" t="s">
        <v>1739</v>
      </c>
      <c r="G10" s="4" t="s">
        <v>1526</v>
      </c>
      <c r="H10" s="4" t="s">
        <v>1740</v>
      </c>
      <c r="I10" s="4" t="s">
        <v>1753</v>
      </c>
      <c r="J10" s="4" t="s">
        <v>1742</v>
      </c>
      <c r="K10" s="4" t="s">
        <v>1743</v>
      </c>
    </row>
    <row r="11" spans="1:11" ht="31" customHeight="1">
      <c r="A11" s="4" t="s">
        <v>148</v>
      </c>
      <c r="B11" s="4" t="s">
        <v>110</v>
      </c>
      <c r="C11" s="4" t="s">
        <v>90</v>
      </c>
      <c r="D11" s="5"/>
      <c r="E11" s="6">
        <v>1</v>
      </c>
      <c r="F11" s="4" t="s">
        <v>1739</v>
      </c>
      <c r="G11" s="4" t="s">
        <v>1526</v>
      </c>
      <c r="H11" s="4" t="s">
        <v>1740</v>
      </c>
      <c r="I11" s="4" t="s">
        <v>1754</v>
      </c>
      <c r="J11" s="4" t="s">
        <v>1742</v>
      </c>
      <c r="K11" s="4" t="s">
        <v>1743</v>
      </c>
    </row>
    <row r="12" spans="1:11" ht="31" customHeight="1">
      <c r="A12" s="4" t="s">
        <v>151</v>
      </c>
      <c r="B12" s="4" t="s">
        <v>110</v>
      </c>
      <c r="C12" s="4" t="s">
        <v>90</v>
      </c>
      <c r="D12" s="5"/>
      <c r="E12" s="6">
        <v>0</v>
      </c>
      <c r="F12" s="4" t="s">
        <v>1739</v>
      </c>
      <c r="G12" s="4" t="s">
        <v>1526</v>
      </c>
      <c r="H12" s="4" t="s">
        <v>1740</v>
      </c>
      <c r="I12" s="4" t="s">
        <v>1755</v>
      </c>
      <c r="J12" s="4" t="s">
        <v>1742</v>
      </c>
      <c r="K12" s="4" t="s">
        <v>1743</v>
      </c>
    </row>
    <row r="13" spans="1:11" ht="31" customHeight="1">
      <c r="A13" s="4" t="s">
        <v>151</v>
      </c>
      <c r="B13" s="4" t="s">
        <v>110</v>
      </c>
      <c r="C13" s="4" t="s">
        <v>55</v>
      </c>
      <c r="D13" s="5"/>
      <c r="E13" s="4" t="s">
        <v>113</v>
      </c>
      <c r="F13" s="4" t="s">
        <v>1744</v>
      </c>
      <c r="G13" s="4" t="s">
        <v>1526</v>
      </c>
      <c r="H13" s="4" t="s">
        <v>1745</v>
      </c>
      <c r="I13" s="4" t="s">
        <v>1746</v>
      </c>
      <c r="J13" s="4" t="s">
        <v>1747</v>
      </c>
      <c r="K13" s="4" t="s">
        <v>1748</v>
      </c>
    </row>
    <row r="14" spans="1:11" ht="31" customHeight="1">
      <c r="A14" s="4" t="s">
        <v>153</v>
      </c>
      <c r="B14" s="4" t="s">
        <v>110</v>
      </c>
      <c r="C14" s="4" t="s">
        <v>90</v>
      </c>
      <c r="D14" s="5"/>
      <c r="E14" s="6">
        <v>0</v>
      </c>
      <c r="F14" s="4" t="s">
        <v>1739</v>
      </c>
      <c r="G14" s="4" t="s">
        <v>1526</v>
      </c>
      <c r="H14" s="4" t="s">
        <v>1740</v>
      </c>
      <c r="I14" s="4" t="s">
        <v>1756</v>
      </c>
      <c r="J14" s="4" t="s">
        <v>1742</v>
      </c>
      <c r="K14" s="4" t="s">
        <v>1743</v>
      </c>
    </row>
    <row r="15" spans="1:11" ht="31" customHeight="1">
      <c r="A15" s="4" t="s">
        <v>109</v>
      </c>
      <c r="B15" s="4" t="s">
        <v>110</v>
      </c>
      <c r="C15" s="4" t="s">
        <v>61</v>
      </c>
      <c r="D15" s="4" t="s">
        <v>135</v>
      </c>
      <c r="E15" s="6">
        <v>1</v>
      </c>
      <c r="F15" s="4" t="s">
        <v>1744</v>
      </c>
      <c r="G15" s="4" t="s">
        <v>1526</v>
      </c>
      <c r="H15" s="4" t="s">
        <v>1757</v>
      </c>
      <c r="I15" s="4" t="s">
        <v>1758</v>
      </c>
      <c r="J15" s="4" t="s">
        <v>1759</v>
      </c>
      <c r="K15" s="4" t="s">
        <v>1760</v>
      </c>
    </row>
    <row r="16" spans="1:11" ht="31" customHeight="1">
      <c r="A16" s="4" t="s">
        <v>129</v>
      </c>
      <c r="B16" s="4" t="s">
        <v>110</v>
      </c>
      <c r="C16" s="4" t="s">
        <v>61</v>
      </c>
      <c r="D16" s="4" t="s">
        <v>135</v>
      </c>
      <c r="E16" s="6">
        <v>1</v>
      </c>
      <c r="F16" s="4" t="s">
        <v>1744</v>
      </c>
      <c r="G16" s="4" t="s">
        <v>1526</v>
      </c>
      <c r="H16" s="4" t="s">
        <v>1757</v>
      </c>
      <c r="I16" s="4" t="s">
        <v>1758</v>
      </c>
      <c r="J16" s="4" t="s">
        <v>1759</v>
      </c>
      <c r="K16" s="4" t="s">
        <v>1760</v>
      </c>
    </row>
    <row r="17" spans="1:11" ht="31" customHeight="1">
      <c r="A17" s="4" t="s">
        <v>109</v>
      </c>
      <c r="B17" s="4" t="s">
        <v>110</v>
      </c>
      <c r="C17" s="4" t="s">
        <v>98</v>
      </c>
      <c r="D17" s="5"/>
      <c r="E17" s="6">
        <v>0.07743589202645541</v>
      </c>
      <c r="F17" s="4" t="s">
        <v>1739</v>
      </c>
      <c r="G17" s="4" t="s">
        <v>1539</v>
      </c>
      <c r="H17" s="4" t="s">
        <v>1761</v>
      </c>
      <c r="I17" s="4" t="s">
        <v>1762</v>
      </c>
      <c r="J17" s="4" t="s">
        <v>1763</v>
      </c>
      <c r="K17" s="4" t="s">
        <v>1764</v>
      </c>
    </row>
    <row r="18" spans="1:11" ht="31" customHeight="1">
      <c r="A18" s="4" t="s">
        <v>129</v>
      </c>
      <c r="B18" s="4" t="s">
        <v>110</v>
      </c>
      <c r="C18" s="4" t="s">
        <v>98</v>
      </c>
      <c r="D18" s="5"/>
      <c r="E18" s="6">
        <v>0.08518308489954633</v>
      </c>
      <c r="F18" s="4" t="s">
        <v>1739</v>
      </c>
      <c r="G18" s="4" t="s">
        <v>1539</v>
      </c>
      <c r="H18" s="4" t="s">
        <v>1765</v>
      </c>
      <c r="I18" s="4" t="s">
        <v>1762</v>
      </c>
      <c r="J18" s="4" t="s">
        <v>1763</v>
      </c>
      <c r="K18" s="4" t="s">
        <v>1764</v>
      </c>
    </row>
    <row r="19" spans="1:11" ht="31" customHeight="1">
      <c r="A19" s="4" t="s">
        <v>133</v>
      </c>
      <c r="B19" s="4" t="s">
        <v>110</v>
      </c>
      <c r="C19" s="4" t="s">
        <v>98</v>
      </c>
      <c r="D19" s="5"/>
      <c r="E19" s="6">
        <v>0.07562137867547518</v>
      </c>
      <c r="F19" s="4" t="s">
        <v>1739</v>
      </c>
      <c r="G19" s="4" t="s">
        <v>1539</v>
      </c>
      <c r="H19" s="4" t="s">
        <v>1766</v>
      </c>
      <c r="I19" s="4" t="s">
        <v>1762</v>
      </c>
      <c r="J19" s="4" t="s">
        <v>1763</v>
      </c>
      <c r="K19" s="4" t="s">
        <v>1764</v>
      </c>
    </row>
    <row r="20" spans="1:11" ht="31" customHeight="1">
      <c r="A20" s="4" t="s">
        <v>138</v>
      </c>
      <c r="B20" s="4" t="s">
        <v>110</v>
      </c>
      <c r="C20" s="4" t="s">
        <v>98</v>
      </c>
      <c r="D20" s="5"/>
      <c r="E20" s="6">
        <v>0.07128110398783005</v>
      </c>
      <c r="F20" s="4" t="s">
        <v>1739</v>
      </c>
      <c r="G20" s="4" t="s">
        <v>1539</v>
      </c>
      <c r="H20" s="4" t="s">
        <v>1767</v>
      </c>
      <c r="I20" s="4" t="s">
        <v>1762</v>
      </c>
      <c r="J20" s="4" t="s">
        <v>1763</v>
      </c>
      <c r="K20" s="4" t="s">
        <v>1764</v>
      </c>
    </row>
    <row r="21" spans="1:11" ht="31" customHeight="1">
      <c r="A21" s="4" t="s">
        <v>141</v>
      </c>
      <c r="B21" s="4" t="s">
        <v>110</v>
      </c>
      <c r="C21" s="4" t="s">
        <v>98</v>
      </c>
      <c r="D21" s="5"/>
      <c r="E21" s="6">
        <v>0.09559512652296158</v>
      </c>
      <c r="F21" s="4" t="s">
        <v>1739</v>
      </c>
      <c r="G21" s="4" t="s">
        <v>1539</v>
      </c>
      <c r="H21" s="4" t="s">
        <v>1768</v>
      </c>
      <c r="I21" s="4" t="s">
        <v>1762</v>
      </c>
      <c r="J21" s="4" t="s">
        <v>1763</v>
      </c>
      <c r="K21" s="4" t="s">
        <v>1764</v>
      </c>
    </row>
    <row r="22" spans="1:11" ht="31" customHeight="1">
      <c r="A22" s="4" t="s">
        <v>143</v>
      </c>
      <c r="B22" s="4" t="s">
        <v>110</v>
      </c>
      <c r="C22" s="4" t="s">
        <v>98</v>
      </c>
      <c r="D22" s="5"/>
      <c r="E22" s="6">
        <v>0.1103401590793704</v>
      </c>
      <c r="F22" s="4" t="s">
        <v>1739</v>
      </c>
      <c r="G22" s="4" t="s">
        <v>1539</v>
      </c>
      <c r="H22" s="4" t="s">
        <v>1769</v>
      </c>
      <c r="I22" s="4" t="s">
        <v>1762</v>
      </c>
      <c r="J22" s="4" t="s">
        <v>1763</v>
      </c>
      <c r="K22" s="4" t="s">
        <v>1764</v>
      </c>
    </row>
    <row r="23" spans="1:11" ht="31" customHeight="1">
      <c r="A23" s="4" t="s">
        <v>148</v>
      </c>
      <c r="B23" s="4" t="s">
        <v>110</v>
      </c>
      <c r="C23" s="4" t="s">
        <v>98</v>
      </c>
      <c r="D23" s="5"/>
      <c r="E23" s="6">
        <v>0.1825095057034221</v>
      </c>
      <c r="F23" s="4" t="s">
        <v>1739</v>
      </c>
      <c r="G23" s="4" t="s">
        <v>1539</v>
      </c>
      <c r="H23" s="4" t="s">
        <v>1770</v>
      </c>
      <c r="I23" s="4" t="s">
        <v>1762</v>
      </c>
      <c r="J23" s="4" t="s">
        <v>1763</v>
      </c>
      <c r="K23" s="4" t="s">
        <v>1764</v>
      </c>
    </row>
    <row r="24" spans="1:11" ht="31" customHeight="1">
      <c r="A24" s="4" t="s">
        <v>151</v>
      </c>
      <c r="B24" s="4" t="s">
        <v>110</v>
      </c>
      <c r="C24" s="4" t="s">
        <v>98</v>
      </c>
      <c r="D24" s="5"/>
      <c r="E24" s="6">
        <v>0.1792556634304207</v>
      </c>
      <c r="F24" s="4" t="s">
        <v>1739</v>
      </c>
      <c r="G24" s="4" t="s">
        <v>1539</v>
      </c>
      <c r="H24" s="4" t="s">
        <v>1771</v>
      </c>
      <c r="I24" s="4" t="s">
        <v>1762</v>
      </c>
      <c r="J24" s="4" t="s">
        <v>1763</v>
      </c>
      <c r="K24" s="4" t="s">
        <v>1764</v>
      </c>
    </row>
    <row r="25" spans="1:11" ht="31" customHeight="1">
      <c r="A25" s="4" t="s">
        <v>153</v>
      </c>
      <c r="B25" s="4" t="s">
        <v>110</v>
      </c>
      <c r="C25" s="4" t="s">
        <v>98</v>
      </c>
      <c r="D25" s="5"/>
      <c r="E25" s="6">
        <v>0.04337899543378995</v>
      </c>
      <c r="F25" s="4" t="s">
        <v>1739</v>
      </c>
      <c r="G25" s="4" t="s">
        <v>1539</v>
      </c>
      <c r="H25" s="4" t="s">
        <v>1772</v>
      </c>
      <c r="I25" s="4" t="s">
        <v>1762</v>
      </c>
      <c r="J25" s="4" t="s">
        <v>1763</v>
      </c>
      <c r="K25" s="4" t="s">
        <v>1764</v>
      </c>
    </row>
    <row r="26" spans="1:11" ht="31" customHeight="1">
      <c r="A26" s="4" t="s">
        <v>181</v>
      </c>
      <c r="B26" s="4" t="s">
        <v>157</v>
      </c>
      <c r="C26" s="4" t="s">
        <v>60</v>
      </c>
      <c r="D26" s="5"/>
      <c r="E26" s="6">
        <v>0.0025</v>
      </c>
      <c r="F26" s="4" t="s">
        <v>1744</v>
      </c>
      <c r="G26" s="4" t="s">
        <v>1508</v>
      </c>
      <c r="H26" s="4" t="s">
        <v>1773</v>
      </c>
      <c r="I26" s="4" t="s">
        <v>1774</v>
      </c>
      <c r="J26" s="4" t="s">
        <v>1775</v>
      </c>
      <c r="K26" s="4" t="s">
        <v>1776</v>
      </c>
    </row>
    <row r="27" spans="1:11" ht="31" customHeight="1">
      <c r="A27" s="4" t="s">
        <v>184</v>
      </c>
      <c r="B27" s="4" t="s">
        <v>157</v>
      </c>
      <c r="C27" s="4" t="s">
        <v>60</v>
      </c>
      <c r="D27" s="5"/>
      <c r="E27" s="6">
        <v>0</v>
      </c>
      <c r="F27" s="4" t="s">
        <v>1744</v>
      </c>
      <c r="G27" s="4" t="s">
        <v>1508</v>
      </c>
      <c r="H27" s="4" t="s">
        <v>1773</v>
      </c>
      <c r="I27" s="4" t="s">
        <v>1774</v>
      </c>
      <c r="J27" s="4" t="s">
        <v>1775</v>
      </c>
      <c r="K27" s="4" t="s">
        <v>1776</v>
      </c>
    </row>
    <row r="28" spans="1:11" ht="31" customHeight="1">
      <c r="A28" s="4" t="s">
        <v>172</v>
      </c>
      <c r="B28" s="4" t="s">
        <v>157</v>
      </c>
      <c r="C28" s="4" t="s">
        <v>60</v>
      </c>
      <c r="D28" s="5"/>
      <c r="E28" s="6">
        <v>0</v>
      </c>
      <c r="F28" s="4" t="s">
        <v>1744</v>
      </c>
      <c r="G28" s="4" t="s">
        <v>1508</v>
      </c>
      <c r="H28" s="4" t="s">
        <v>1773</v>
      </c>
      <c r="I28" s="4" t="s">
        <v>1774</v>
      </c>
      <c r="J28" s="4" t="s">
        <v>1775</v>
      </c>
      <c r="K28" s="4" t="s">
        <v>1776</v>
      </c>
    </row>
    <row r="29" spans="1:11" ht="31" customHeight="1">
      <c r="A29" s="4" t="s">
        <v>168</v>
      </c>
      <c r="B29" s="4" t="s">
        <v>157</v>
      </c>
      <c r="C29" s="4" t="s">
        <v>60</v>
      </c>
      <c r="D29" s="5"/>
      <c r="E29" s="6">
        <v>0</v>
      </c>
      <c r="F29" s="4" t="s">
        <v>1744</v>
      </c>
      <c r="G29" s="4" t="s">
        <v>1508</v>
      </c>
      <c r="H29" s="4" t="s">
        <v>1773</v>
      </c>
      <c r="I29" s="4" t="s">
        <v>1774</v>
      </c>
      <c r="J29" s="4" t="s">
        <v>1775</v>
      </c>
      <c r="K29" s="4" t="s">
        <v>1776</v>
      </c>
    </row>
    <row r="30" spans="1:11" ht="31" customHeight="1">
      <c r="A30" s="4" t="s">
        <v>187</v>
      </c>
      <c r="B30" s="4" t="s">
        <v>157</v>
      </c>
      <c r="C30" s="4" t="s">
        <v>60</v>
      </c>
      <c r="D30" s="5"/>
      <c r="E30" s="6">
        <v>0</v>
      </c>
      <c r="F30" s="4" t="s">
        <v>1744</v>
      </c>
      <c r="G30" s="4" t="s">
        <v>1508</v>
      </c>
      <c r="H30" s="4" t="s">
        <v>1773</v>
      </c>
      <c r="I30" s="4" t="s">
        <v>1774</v>
      </c>
      <c r="J30" s="4" t="s">
        <v>1775</v>
      </c>
      <c r="K30" s="4" t="s">
        <v>1776</v>
      </c>
    </row>
    <row r="31" spans="1:11" ht="31" customHeight="1">
      <c r="A31" s="4" t="s">
        <v>156</v>
      </c>
      <c r="B31" s="4" t="s">
        <v>157</v>
      </c>
      <c r="C31" s="4" t="s">
        <v>59</v>
      </c>
      <c r="D31" s="5"/>
      <c r="E31" s="6">
        <v>1</v>
      </c>
      <c r="F31" s="4" t="s">
        <v>1744</v>
      </c>
      <c r="G31" s="4" t="s">
        <v>1508</v>
      </c>
      <c r="H31" s="4" t="s">
        <v>1777</v>
      </c>
      <c r="I31" s="4" t="s">
        <v>1778</v>
      </c>
      <c r="J31" s="4" t="s">
        <v>1779</v>
      </c>
      <c r="K31" s="4" t="s">
        <v>1780</v>
      </c>
    </row>
    <row r="32" spans="1:11" ht="31" customHeight="1">
      <c r="A32" s="4" t="s">
        <v>168</v>
      </c>
      <c r="B32" s="4" t="s">
        <v>157</v>
      </c>
      <c r="C32" s="4" t="s">
        <v>59</v>
      </c>
      <c r="D32" s="5"/>
      <c r="E32" s="6">
        <v>1</v>
      </c>
      <c r="F32" s="4" t="s">
        <v>1744</v>
      </c>
      <c r="G32" s="4" t="s">
        <v>1508</v>
      </c>
      <c r="H32" s="4" t="s">
        <v>1777</v>
      </c>
      <c r="I32" s="4" t="s">
        <v>1778</v>
      </c>
      <c r="J32" s="4" t="s">
        <v>1779</v>
      </c>
      <c r="K32" s="4" t="s">
        <v>1780</v>
      </c>
    </row>
    <row r="33" spans="1:11" ht="31" customHeight="1">
      <c r="A33" s="4" t="s">
        <v>172</v>
      </c>
      <c r="B33" s="4" t="s">
        <v>157</v>
      </c>
      <c r="C33" s="4" t="s">
        <v>59</v>
      </c>
      <c r="D33" s="5"/>
      <c r="E33" s="6">
        <v>1</v>
      </c>
      <c r="F33" s="4" t="s">
        <v>1744</v>
      </c>
      <c r="G33" s="4" t="s">
        <v>1508</v>
      </c>
      <c r="H33" s="4" t="s">
        <v>1777</v>
      </c>
      <c r="I33" s="4" t="s">
        <v>1778</v>
      </c>
      <c r="J33" s="4" t="s">
        <v>1779</v>
      </c>
      <c r="K33" s="4" t="s">
        <v>1780</v>
      </c>
    </row>
    <row r="34" spans="1:11" ht="31" customHeight="1">
      <c r="A34" s="4" t="s">
        <v>177</v>
      </c>
      <c r="B34" s="4" t="s">
        <v>157</v>
      </c>
      <c r="C34" s="4" t="s">
        <v>59</v>
      </c>
      <c r="D34" s="5"/>
      <c r="E34" s="6">
        <v>1</v>
      </c>
      <c r="F34" s="4" t="s">
        <v>1744</v>
      </c>
      <c r="G34" s="4" t="s">
        <v>1508</v>
      </c>
      <c r="H34" s="4" t="s">
        <v>1777</v>
      </c>
      <c r="I34" s="4" t="s">
        <v>1778</v>
      </c>
      <c r="J34" s="4" t="s">
        <v>1779</v>
      </c>
      <c r="K34" s="4" t="s">
        <v>1780</v>
      </c>
    </row>
    <row r="35" spans="1:11" ht="31" customHeight="1">
      <c r="A35" s="4" t="s">
        <v>181</v>
      </c>
      <c r="B35" s="4" t="s">
        <v>157</v>
      </c>
      <c r="C35" s="4" t="s">
        <v>59</v>
      </c>
      <c r="D35" s="5"/>
      <c r="E35" s="6">
        <v>1</v>
      </c>
      <c r="F35" s="4" t="s">
        <v>1744</v>
      </c>
      <c r="G35" s="4" t="s">
        <v>1508</v>
      </c>
      <c r="H35" s="4" t="s">
        <v>1777</v>
      </c>
      <c r="I35" s="4" t="s">
        <v>1778</v>
      </c>
      <c r="J35" s="4" t="s">
        <v>1779</v>
      </c>
      <c r="K35" s="4" t="s">
        <v>1780</v>
      </c>
    </row>
    <row r="36" spans="1:11" ht="31" customHeight="1">
      <c r="A36" s="4" t="s">
        <v>184</v>
      </c>
      <c r="B36" s="4" t="s">
        <v>157</v>
      </c>
      <c r="C36" s="4" t="s">
        <v>59</v>
      </c>
      <c r="D36" s="5"/>
      <c r="E36" s="6">
        <v>1</v>
      </c>
      <c r="F36" s="4" t="s">
        <v>1744</v>
      </c>
      <c r="G36" s="4" t="s">
        <v>1508</v>
      </c>
      <c r="H36" s="4" t="s">
        <v>1777</v>
      </c>
      <c r="I36" s="4" t="s">
        <v>1778</v>
      </c>
      <c r="J36" s="4" t="s">
        <v>1779</v>
      </c>
      <c r="K36" s="4" t="s">
        <v>1780</v>
      </c>
    </row>
    <row r="37" spans="1:11" ht="31" customHeight="1">
      <c r="A37" s="4" t="s">
        <v>187</v>
      </c>
      <c r="B37" s="4" t="s">
        <v>157</v>
      </c>
      <c r="C37" s="4" t="s">
        <v>59</v>
      </c>
      <c r="D37" s="5"/>
      <c r="E37" s="6">
        <v>1</v>
      </c>
      <c r="F37" s="4" t="s">
        <v>1744</v>
      </c>
      <c r="G37" s="4" t="s">
        <v>1508</v>
      </c>
      <c r="H37" s="4" t="s">
        <v>1777</v>
      </c>
      <c r="I37" s="4" t="s">
        <v>1778</v>
      </c>
      <c r="J37" s="4" t="s">
        <v>1779</v>
      </c>
      <c r="K37" s="4" t="s">
        <v>1780</v>
      </c>
    </row>
    <row r="38" spans="1:11" ht="31" customHeight="1">
      <c r="A38" s="4" t="s">
        <v>156</v>
      </c>
      <c r="B38" s="4" t="s">
        <v>157</v>
      </c>
      <c r="C38" s="4" t="s">
        <v>92</v>
      </c>
      <c r="D38" s="5"/>
      <c r="E38" s="6">
        <v>12</v>
      </c>
      <c r="F38" s="4" t="s">
        <v>1739</v>
      </c>
      <c r="G38" s="4" t="s">
        <v>1508</v>
      </c>
      <c r="H38" s="4" t="s">
        <v>1781</v>
      </c>
      <c r="I38" s="4" t="s">
        <v>1782</v>
      </c>
      <c r="J38" s="4" t="s">
        <v>1783</v>
      </c>
      <c r="K38" s="4" t="s">
        <v>1784</v>
      </c>
    </row>
    <row r="39" spans="1:11" ht="31" customHeight="1">
      <c r="A39" s="4" t="s">
        <v>181</v>
      </c>
      <c r="B39" s="4" t="s">
        <v>157</v>
      </c>
      <c r="C39" s="4" t="s">
        <v>92</v>
      </c>
      <c r="D39" s="5"/>
      <c r="E39" s="6">
        <v>49</v>
      </c>
      <c r="F39" s="4" t="s">
        <v>1739</v>
      </c>
      <c r="G39" s="4" t="s">
        <v>1508</v>
      </c>
      <c r="H39" s="4" t="s">
        <v>1781</v>
      </c>
      <c r="I39" s="4" t="s">
        <v>1785</v>
      </c>
      <c r="J39" s="4" t="s">
        <v>1783</v>
      </c>
      <c r="K39" s="4" t="s">
        <v>1784</v>
      </c>
    </row>
    <row r="40" spans="1:11" ht="31" customHeight="1">
      <c r="A40" s="4" t="s">
        <v>168</v>
      </c>
      <c r="B40" s="4" t="s">
        <v>157</v>
      </c>
      <c r="C40" s="4" t="s">
        <v>92</v>
      </c>
      <c r="D40" s="5"/>
      <c r="E40" s="6">
        <v>7</v>
      </c>
      <c r="F40" s="4" t="s">
        <v>1739</v>
      </c>
      <c r="G40" s="4" t="s">
        <v>1498</v>
      </c>
      <c r="H40" s="4" t="s">
        <v>1786</v>
      </c>
      <c r="I40" s="4" t="s">
        <v>1787</v>
      </c>
      <c r="J40" s="4" t="s">
        <v>1783</v>
      </c>
      <c r="K40" s="4" t="s">
        <v>1784</v>
      </c>
    </row>
    <row r="41" spans="1:11" ht="31" customHeight="1">
      <c r="A41" s="4" t="s">
        <v>184</v>
      </c>
      <c r="B41" s="4" t="s">
        <v>157</v>
      </c>
      <c r="C41" s="4" t="s">
        <v>62</v>
      </c>
      <c r="D41" s="5"/>
      <c r="E41" s="6">
        <v>1</v>
      </c>
      <c r="F41" s="4" t="s">
        <v>1744</v>
      </c>
      <c r="G41" s="4" t="s">
        <v>1508</v>
      </c>
      <c r="H41" s="4" t="s">
        <v>1781</v>
      </c>
      <c r="I41" s="4" t="s">
        <v>1788</v>
      </c>
      <c r="J41" s="4" t="s">
        <v>1789</v>
      </c>
      <c r="K41" s="4" t="s">
        <v>1790</v>
      </c>
    </row>
    <row r="42" spans="1:11" ht="31" customHeight="1">
      <c r="A42" s="4" t="s">
        <v>172</v>
      </c>
      <c r="B42" s="4" t="s">
        <v>157</v>
      </c>
      <c r="C42" s="4" t="s">
        <v>62</v>
      </c>
      <c r="D42" s="5"/>
      <c r="E42" s="6">
        <v>1</v>
      </c>
      <c r="F42" s="4" t="s">
        <v>1744</v>
      </c>
      <c r="G42" s="4" t="s">
        <v>1508</v>
      </c>
      <c r="H42" s="4" t="s">
        <v>1781</v>
      </c>
      <c r="I42" s="4" t="s">
        <v>1788</v>
      </c>
      <c r="J42" s="4" t="s">
        <v>1789</v>
      </c>
      <c r="K42" s="4" t="s">
        <v>1790</v>
      </c>
    </row>
    <row r="43" spans="1:11" ht="31" customHeight="1">
      <c r="A43" s="4" t="s">
        <v>156</v>
      </c>
      <c r="B43" s="4" t="s">
        <v>157</v>
      </c>
      <c r="C43" s="4" t="s">
        <v>99</v>
      </c>
      <c r="D43" s="5"/>
      <c r="E43" s="4" t="s">
        <v>165</v>
      </c>
      <c r="F43" s="4" t="s">
        <v>1739</v>
      </c>
      <c r="G43" s="4" t="s">
        <v>1508</v>
      </c>
      <c r="H43" s="4" t="s">
        <v>1791</v>
      </c>
      <c r="I43" s="4" t="s">
        <v>1792</v>
      </c>
      <c r="J43" s="4" t="s">
        <v>1793</v>
      </c>
      <c r="K43" s="4" t="s">
        <v>1794</v>
      </c>
    </row>
    <row r="44" spans="1:11" ht="31" customHeight="1">
      <c r="A44" s="4" t="s">
        <v>177</v>
      </c>
      <c r="B44" s="4" t="s">
        <v>157</v>
      </c>
      <c r="C44" s="4" t="s">
        <v>99</v>
      </c>
      <c r="D44" s="5"/>
      <c r="E44" s="4" t="s">
        <v>180</v>
      </c>
      <c r="F44" s="4" t="s">
        <v>1739</v>
      </c>
      <c r="G44" s="4" t="s">
        <v>1508</v>
      </c>
      <c r="H44" s="4" t="s">
        <v>1791</v>
      </c>
      <c r="I44" s="4" t="s">
        <v>1795</v>
      </c>
      <c r="J44" s="4" t="s">
        <v>1793</v>
      </c>
      <c r="K44" s="4" t="s">
        <v>1794</v>
      </c>
    </row>
    <row r="45" spans="1:11" ht="31" customHeight="1">
      <c r="A45" s="4" t="s">
        <v>345</v>
      </c>
      <c r="B45" s="4" t="s">
        <v>346</v>
      </c>
      <c r="C45" s="4" t="s">
        <v>489</v>
      </c>
      <c r="D45" s="5"/>
      <c r="E45" s="6">
        <v>44.97</v>
      </c>
      <c r="F45" s="4" t="s">
        <v>1796</v>
      </c>
      <c r="G45" s="4" t="s">
        <v>1492</v>
      </c>
      <c r="H45" s="4" t="s">
        <v>1797</v>
      </c>
      <c r="I45" s="4" t="s">
        <v>1798</v>
      </c>
      <c r="J45" s="4" t="s">
        <v>1799</v>
      </c>
      <c r="K45" s="4" t="s">
        <v>1800</v>
      </c>
    </row>
    <row r="46" spans="1:11" ht="31" customHeight="1">
      <c r="A46" s="4" t="s">
        <v>354</v>
      </c>
      <c r="B46" s="4" t="s">
        <v>346</v>
      </c>
      <c r="C46" s="4" t="s">
        <v>489</v>
      </c>
      <c r="D46" s="5"/>
      <c r="E46" s="6">
        <v>96.40000000000001</v>
      </c>
      <c r="F46" s="4" t="s">
        <v>1796</v>
      </c>
      <c r="G46" s="4" t="s">
        <v>1492</v>
      </c>
      <c r="H46" s="4" t="s">
        <v>1801</v>
      </c>
      <c r="I46" s="4" t="s">
        <v>1802</v>
      </c>
      <c r="J46" s="4" t="s">
        <v>1799</v>
      </c>
      <c r="K46" s="4" t="s">
        <v>1800</v>
      </c>
    </row>
    <row r="47" spans="1:11" ht="31" customHeight="1">
      <c r="A47" s="4" t="s">
        <v>381</v>
      </c>
      <c r="B47" s="4" t="s">
        <v>346</v>
      </c>
      <c r="C47" s="4" t="s">
        <v>489</v>
      </c>
      <c r="D47" s="5"/>
      <c r="E47" s="6">
        <v>980.02</v>
      </c>
      <c r="F47" s="4" t="s">
        <v>1796</v>
      </c>
      <c r="G47" s="4" t="s">
        <v>1492</v>
      </c>
      <c r="H47" s="4" t="s">
        <v>1803</v>
      </c>
      <c r="I47" s="4" t="s">
        <v>1804</v>
      </c>
      <c r="J47" s="4" t="s">
        <v>1799</v>
      </c>
      <c r="K47" s="4" t="s">
        <v>1800</v>
      </c>
    </row>
    <row r="48" spans="1:11" ht="31" customHeight="1">
      <c r="A48" s="4" t="s">
        <v>360</v>
      </c>
      <c r="B48" s="4" t="s">
        <v>346</v>
      </c>
      <c r="C48" s="4" t="s">
        <v>489</v>
      </c>
      <c r="D48" s="5"/>
      <c r="E48" s="6">
        <v>170.59</v>
      </c>
      <c r="F48" s="4" t="s">
        <v>1796</v>
      </c>
      <c r="G48" s="4" t="s">
        <v>1492</v>
      </c>
      <c r="H48" s="4" t="s">
        <v>1805</v>
      </c>
      <c r="I48" s="4" t="s">
        <v>1806</v>
      </c>
      <c r="J48" s="4" t="s">
        <v>1799</v>
      </c>
      <c r="K48" s="4" t="s">
        <v>1800</v>
      </c>
    </row>
    <row r="49" spans="1:11" ht="31" customHeight="1">
      <c r="A49" s="4" t="s">
        <v>371</v>
      </c>
      <c r="B49" s="4" t="s">
        <v>346</v>
      </c>
      <c r="C49" s="4" t="s">
        <v>489</v>
      </c>
      <c r="D49" s="5"/>
      <c r="E49" s="6">
        <v>114039.77</v>
      </c>
      <c r="F49" s="4" t="s">
        <v>1796</v>
      </c>
      <c r="G49" s="4" t="s">
        <v>1492</v>
      </c>
      <c r="H49" s="4" t="s">
        <v>1807</v>
      </c>
      <c r="I49" s="4" t="s">
        <v>1808</v>
      </c>
      <c r="J49" s="4" t="s">
        <v>1799</v>
      </c>
      <c r="K49" s="4" t="s">
        <v>1800</v>
      </c>
    </row>
    <row r="50" spans="1:11" ht="31" customHeight="1">
      <c r="A50" s="4" t="s">
        <v>366</v>
      </c>
      <c r="B50" s="4" t="s">
        <v>346</v>
      </c>
      <c r="C50" s="4" t="s">
        <v>489</v>
      </c>
      <c r="D50" s="5"/>
      <c r="E50" s="6">
        <v>4598.71</v>
      </c>
      <c r="F50" s="4" t="s">
        <v>1796</v>
      </c>
      <c r="G50" s="4" t="s">
        <v>1492</v>
      </c>
      <c r="H50" s="4" t="s">
        <v>1809</v>
      </c>
      <c r="I50" s="4" t="s">
        <v>1810</v>
      </c>
      <c r="J50" s="4" t="s">
        <v>1799</v>
      </c>
      <c r="K50" s="4" t="s">
        <v>1800</v>
      </c>
    </row>
    <row r="51" spans="1:11" ht="31" customHeight="1">
      <c r="A51" s="4" t="s">
        <v>375</v>
      </c>
      <c r="B51" s="4" t="s">
        <v>346</v>
      </c>
      <c r="C51" s="4" t="s">
        <v>489</v>
      </c>
      <c r="D51" s="5"/>
      <c r="E51" s="6">
        <v>7679.9</v>
      </c>
      <c r="F51" s="4" t="s">
        <v>1796</v>
      </c>
      <c r="G51" s="4" t="s">
        <v>1492</v>
      </c>
      <c r="H51" s="4" t="s">
        <v>1811</v>
      </c>
      <c r="I51" s="4" t="s">
        <v>1812</v>
      </c>
      <c r="J51" s="4" t="s">
        <v>1799</v>
      </c>
      <c r="K51" s="4" t="s">
        <v>1800</v>
      </c>
    </row>
    <row r="52" spans="1:11" ht="31" customHeight="1">
      <c r="A52" s="4" t="s">
        <v>378</v>
      </c>
      <c r="B52" s="4" t="s">
        <v>346</v>
      </c>
      <c r="C52" s="4" t="s">
        <v>489</v>
      </c>
      <c r="D52" s="5"/>
      <c r="E52" s="6">
        <v>10656.46</v>
      </c>
      <c r="F52" s="4" t="s">
        <v>1796</v>
      </c>
      <c r="G52" s="4" t="s">
        <v>1492</v>
      </c>
      <c r="H52" s="4" t="s">
        <v>1813</v>
      </c>
      <c r="I52" s="4" t="s">
        <v>1814</v>
      </c>
      <c r="J52" s="4" t="s">
        <v>1799</v>
      </c>
      <c r="K52" s="4" t="s">
        <v>1800</v>
      </c>
    </row>
    <row r="53" spans="1:11" ht="31" customHeight="1">
      <c r="A53" s="4" t="s">
        <v>363</v>
      </c>
      <c r="B53" s="4" t="s">
        <v>346</v>
      </c>
      <c r="C53" s="4" t="s">
        <v>489</v>
      </c>
      <c r="D53" s="5"/>
      <c r="E53" s="6">
        <v>872.77</v>
      </c>
      <c r="F53" s="4" t="s">
        <v>1796</v>
      </c>
      <c r="G53" s="4" t="s">
        <v>1492</v>
      </c>
      <c r="H53" s="4" t="s">
        <v>1815</v>
      </c>
      <c r="I53" s="4" t="s">
        <v>1816</v>
      </c>
      <c r="J53" s="4" t="s">
        <v>1799</v>
      </c>
      <c r="K53" s="4" t="s">
        <v>1800</v>
      </c>
    </row>
    <row r="54" spans="1:11" ht="31" customHeight="1">
      <c r="A54" s="4" t="s">
        <v>345</v>
      </c>
      <c r="B54" s="4" t="s">
        <v>346</v>
      </c>
      <c r="C54" s="4" t="s">
        <v>61</v>
      </c>
      <c r="D54" s="4" t="s">
        <v>135</v>
      </c>
      <c r="E54" s="6">
        <v>0</v>
      </c>
      <c r="F54" s="4" t="s">
        <v>1744</v>
      </c>
      <c r="G54" s="4" t="s">
        <v>1492</v>
      </c>
      <c r="H54" s="4" t="s">
        <v>1817</v>
      </c>
      <c r="I54" s="4" t="s">
        <v>1818</v>
      </c>
      <c r="J54" s="4" t="s">
        <v>1819</v>
      </c>
      <c r="K54" s="4" t="s">
        <v>1820</v>
      </c>
    </row>
    <row r="55" spans="1:11" ht="31" customHeight="1">
      <c r="A55" s="4" t="s">
        <v>366</v>
      </c>
      <c r="B55" s="4" t="s">
        <v>346</v>
      </c>
      <c r="C55" s="4" t="s">
        <v>61</v>
      </c>
      <c r="D55" s="4" t="s">
        <v>135</v>
      </c>
      <c r="E55" s="6">
        <v>0</v>
      </c>
      <c r="F55" s="4" t="s">
        <v>1744</v>
      </c>
      <c r="G55" s="4" t="s">
        <v>1492</v>
      </c>
      <c r="H55" s="4" t="s">
        <v>1821</v>
      </c>
      <c r="I55" s="4" t="s">
        <v>1818</v>
      </c>
      <c r="J55" s="4" t="s">
        <v>1819</v>
      </c>
      <c r="K55" s="4" t="s">
        <v>1820</v>
      </c>
    </row>
    <row r="56" spans="1:11" ht="31" customHeight="1">
      <c r="A56" s="4" t="s">
        <v>375</v>
      </c>
      <c r="B56" s="4" t="s">
        <v>346</v>
      </c>
      <c r="C56" s="4" t="s">
        <v>61</v>
      </c>
      <c r="D56" s="4" t="s">
        <v>135</v>
      </c>
      <c r="E56" s="6">
        <v>0</v>
      </c>
      <c r="F56" s="4" t="s">
        <v>1744</v>
      </c>
      <c r="G56" s="4" t="s">
        <v>1492</v>
      </c>
      <c r="H56" s="4" t="s">
        <v>1822</v>
      </c>
      <c r="I56" s="4" t="s">
        <v>1818</v>
      </c>
      <c r="J56" s="4" t="s">
        <v>1819</v>
      </c>
      <c r="K56" s="4" t="s">
        <v>1820</v>
      </c>
    </row>
    <row r="57" spans="1:11" ht="31" customHeight="1">
      <c r="A57" s="4" t="s">
        <v>378</v>
      </c>
      <c r="B57" s="4" t="s">
        <v>346</v>
      </c>
      <c r="C57" s="4" t="s">
        <v>61</v>
      </c>
      <c r="D57" s="4" t="s">
        <v>135</v>
      </c>
      <c r="E57" s="6">
        <v>0</v>
      </c>
      <c r="F57" s="4" t="s">
        <v>1744</v>
      </c>
      <c r="G57" s="4" t="s">
        <v>1492</v>
      </c>
      <c r="H57" s="4" t="s">
        <v>1823</v>
      </c>
      <c r="I57" s="4" t="s">
        <v>1818</v>
      </c>
      <c r="J57" s="4" t="s">
        <v>1819</v>
      </c>
      <c r="K57" s="4" t="s">
        <v>1820</v>
      </c>
    </row>
    <row r="58" spans="1:11" ht="31" customHeight="1">
      <c r="A58" s="4" t="s">
        <v>363</v>
      </c>
      <c r="B58" s="4" t="s">
        <v>346</v>
      </c>
      <c r="C58" s="4" t="s">
        <v>61</v>
      </c>
      <c r="D58" s="4" t="s">
        <v>135</v>
      </c>
      <c r="E58" s="6">
        <v>0</v>
      </c>
      <c r="F58" s="4" t="s">
        <v>1744</v>
      </c>
      <c r="G58" s="4" t="s">
        <v>1492</v>
      </c>
      <c r="H58" s="4" t="s">
        <v>1824</v>
      </c>
      <c r="I58" s="4" t="s">
        <v>1818</v>
      </c>
      <c r="J58" s="4" t="s">
        <v>1819</v>
      </c>
      <c r="K58" s="4" t="s">
        <v>1820</v>
      </c>
    </row>
    <row r="59" spans="1:11" ht="31" customHeight="1">
      <c r="A59" s="4" t="s">
        <v>357</v>
      </c>
      <c r="B59" s="4" t="s">
        <v>346</v>
      </c>
      <c r="C59" s="4" t="s">
        <v>62</v>
      </c>
      <c r="D59" s="5"/>
      <c r="E59" s="6">
        <v>0</v>
      </c>
      <c r="F59" s="4" t="s">
        <v>1744</v>
      </c>
      <c r="G59" s="4" t="s">
        <v>1490</v>
      </c>
      <c r="H59" s="4" t="s">
        <v>1825</v>
      </c>
      <c r="I59" s="4" t="s">
        <v>902</v>
      </c>
      <c r="J59" s="4" t="s">
        <v>1826</v>
      </c>
      <c r="K59" s="4" t="s">
        <v>1827</v>
      </c>
    </row>
    <row r="60" spans="1:11" ht="31" customHeight="1">
      <c r="A60" s="4" t="s">
        <v>357</v>
      </c>
      <c r="B60" s="4" t="s">
        <v>346</v>
      </c>
      <c r="C60" s="4" t="s">
        <v>60</v>
      </c>
      <c r="D60" s="5"/>
      <c r="E60" s="6">
        <v>0.0459</v>
      </c>
      <c r="F60" s="4" t="s">
        <v>1744</v>
      </c>
      <c r="G60" s="4" t="s">
        <v>1490</v>
      </c>
      <c r="H60" s="4" t="s">
        <v>1828</v>
      </c>
      <c r="I60" s="4" t="s">
        <v>902</v>
      </c>
      <c r="J60" s="4" t="s">
        <v>1829</v>
      </c>
      <c r="K60" s="4" t="s">
        <v>1830</v>
      </c>
    </row>
    <row r="61" spans="1:11" ht="31" customHeight="1">
      <c r="A61" s="4" t="s">
        <v>357</v>
      </c>
      <c r="B61" s="4" t="s">
        <v>346</v>
      </c>
      <c r="C61" s="4" t="s">
        <v>38</v>
      </c>
      <c r="D61" s="5"/>
      <c r="E61" s="4" t="s">
        <v>134</v>
      </c>
      <c r="F61" s="4" t="s">
        <v>1744</v>
      </c>
      <c r="G61" s="4" t="s">
        <v>1490</v>
      </c>
      <c r="H61" s="4" t="s">
        <v>1831</v>
      </c>
      <c r="I61" s="4" t="s">
        <v>1832</v>
      </c>
      <c r="J61" s="4" t="s">
        <v>1833</v>
      </c>
      <c r="K61" s="4" t="s">
        <v>1834</v>
      </c>
    </row>
    <row r="62" spans="1:11" ht="31" customHeight="1">
      <c r="A62" s="4" t="s">
        <v>360</v>
      </c>
      <c r="B62" s="4" t="s">
        <v>346</v>
      </c>
      <c r="C62" s="4" t="s">
        <v>62</v>
      </c>
      <c r="D62" s="5"/>
      <c r="E62" s="6">
        <v>0</v>
      </c>
      <c r="F62" s="4" t="s">
        <v>1744</v>
      </c>
      <c r="G62" s="4" t="s">
        <v>1490</v>
      </c>
      <c r="H62" s="4" t="s">
        <v>1835</v>
      </c>
      <c r="I62" s="4" t="s">
        <v>921</v>
      </c>
      <c r="J62" s="4" t="s">
        <v>1826</v>
      </c>
      <c r="K62" s="4" t="s">
        <v>1827</v>
      </c>
    </row>
    <row r="63" spans="1:11" ht="31" customHeight="1">
      <c r="A63" s="4" t="s">
        <v>363</v>
      </c>
      <c r="B63" s="4" t="s">
        <v>346</v>
      </c>
      <c r="C63" s="4" t="s">
        <v>62</v>
      </c>
      <c r="D63" s="5"/>
      <c r="E63" s="6">
        <v>0</v>
      </c>
      <c r="F63" s="4" t="s">
        <v>1744</v>
      </c>
      <c r="G63" s="4" t="s">
        <v>1490</v>
      </c>
      <c r="H63" s="4" t="s">
        <v>1836</v>
      </c>
      <c r="I63" s="4" t="s">
        <v>940</v>
      </c>
      <c r="J63" s="4" t="s">
        <v>1837</v>
      </c>
      <c r="K63" s="4" t="s">
        <v>1827</v>
      </c>
    </row>
    <row r="64" spans="1:11" ht="31" customHeight="1">
      <c r="A64" s="4" t="s">
        <v>366</v>
      </c>
      <c r="B64" s="4" t="s">
        <v>346</v>
      </c>
      <c r="C64" s="4" t="s">
        <v>75</v>
      </c>
      <c r="D64" s="5"/>
      <c r="E64" s="4" t="s">
        <v>368</v>
      </c>
      <c r="F64" s="4" t="s">
        <v>1744</v>
      </c>
      <c r="G64" s="4" t="s">
        <v>1490</v>
      </c>
      <c r="H64" s="4" t="s">
        <v>1838</v>
      </c>
      <c r="I64" s="4" t="s">
        <v>959</v>
      </c>
      <c r="J64" s="4" t="s">
        <v>1839</v>
      </c>
      <c r="K64" s="4" t="s">
        <v>1840</v>
      </c>
    </row>
    <row r="65" spans="1:11" ht="31" customHeight="1">
      <c r="A65" s="4" t="s">
        <v>371</v>
      </c>
      <c r="B65" s="4" t="s">
        <v>346</v>
      </c>
      <c r="C65" s="4" t="s">
        <v>75</v>
      </c>
      <c r="D65" s="5"/>
      <c r="E65" s="4" t="s">
        <v>372</v>
      </c>
      <c r="F65" s="4" t="s">
        <v>1744</v>
      </c>
      <c r="G65" s="4" t="s">
        <v>1490</v>
      </c>
      <c r="H65" s="4" t="s">
        <v>1841</v>
      </c>
      <c r="I65" s="4" t="s">
        <v>981</v>
      </c>
      <c r="J65" s="4" t="s">
        <v>1839</v>
      </c>
      <c r="K65" s="4" t="s">
        <v>1840</v>
      </c>
    </row>
    <row r="66" spans="1:11" ht="31" customHeight="1">
      <c r="A66" s="4" t="s">
        <v>375</v>
      </c>
      <c r="B66" s="4" t="s">
        <v>346</v>
      </c>
      <c r="C66" s="4" t="s">
        <v>75</v>
      </c>
      <c r="D66" s="5"/>
      <c r="E66" s="4" t="s">
        <v>376</v>
      </c>
      <c r="F66" s="4" t="s">
        <v>1744</v>
      </c>
      <c r="G66" s="4" t="s">
        <v>1490</v>
      </c>
      <c r="H66" s="4" t="s">
        <v>1842</v>
      </c>
      <c r="I66" s="4" t="s">
        <v>1001</v>
      </c>
      <c r="J66" s="4" t="s">
        <v>1839</v>
      </c>
      <c r="K66" s="4" t="s">
        <v>1840</v>
      </c>
    </row>
    <row r="67" spans="1:11" ht="31" customHeight="1">
      <c r="A67" s="4" t="s">
        <v>378</v>
      </c>
      <c r="B67" s="4" t="s">
        <v>346</v>
      </c>
      <c r="C67" s="4" t="s">
        <v>75</v>
      </c>
      <c r="D67" s="5"/>
      <c r="E67" s="4" t="s">
        <v>379</v>
      </c>
      <c r="F67" s="4" t="s">
        <v>1744</v>
      </c>
      <c r="G67" s="4" t="s">
        <v>1490</v>
      </c>
      <c r="H67" s="4" t="s">
        <v>1843</v>
      </c>
      <c r="I67" s="4" t="s">
        <v>1021</v>
      </c>
      <c r="J67" s="4" t="s">
        <v>1839</v>
      </c>
      <c r="K67" s="4" t="s">
        <v>1840</v>
      </c>
    </row>
    <row r="68" spans="1:11" ht="31" customHeight="1">
      <c r="A68" s="4" t="s">
        <v>381</v>
      </c>
      <c r="B68" s="4" t="s">
        <v>346</v>
      </c>
      <c r="C68" s="4" t="s">
        <v>75</v>
      </c>
      <c r="D68" s="5"/>
      <c r="E68" s="4" t="s">
        <v>382</v>
      </c>
      <c r="F68" s="4" t="s">
        <v>1744</v>
      </c>
      <c r="G68" s="4" t="s">
        <v>1490</v>
      </c>
      <c r="H68" s="4" t="s">
        <v>1844</v>
      </c>
      <c r="I68" s="4" t="s">
        <v>1040</v>
      </c>
      <c r="J68" s="4" t="s">
        <v>1839</v>
      </c>
      <c r="K68" s="4" t="s">
        <v>1840</v>
      </c>
    </row>
    <row r="69" spans="1:11" ht="31" customHeight="1">
      <c r="A69" s="4" t="s">
        <v>236</v>
      </c>
      <c r="B69" s="4" t="s">
        <v>237</v>
      </c>
      <c r="C69" s="4" t="s">
        <v>71</v>
      </c>
      <c r="D69" s="5"/>
      <c r="E69" s="4" t="s">
        <v>115</v>
      </c>
      <c r="F69" s="4" t="s">
        <v>1744</v>
      </c>
      <c r="G69" s="4" t="s">
        <v>464</v>
      </c>
      <c r="H69" s="4" t="s">
        <v>1845</v>
      </c>
      <c r="I69" s="4" t="s">
        <v>1846</v>
      </c>
      <c r="J69" s="4" t="s">
        <v>1847</v>
      </c>
      <c r="K69" s="4" t="s">
        <v>1848</v>
      </c>
    </row>
    <row r="70" spans="1:11" ht="31" customHeight="1">
      <c r="A70" s="4" t="s">
        <v>236</v>
      </c>
      <c r="B70" s="4" t="s">
        <v>237</v>
      </c>
      <c r="C70" s="4" t="s">
        <v>99</v>
      </c>
      <c r="D70" s="5"/>
      <c r="E70" s="4" t="s">
        <v>248</v>
      </c>
      <c r="F70" s="4" t="s">
        <v>1739</v>
      </c>
      <c r="G70" s="4" t="s">
        <v>464</v>
      </c>
      <c r="H70" s="4" t="s">
        <v>1845</v>
      </c>
      <c r="I70" s="4" t="s">
        <v>1846</v>
      </c>
      <c r="J70" s="4" t="s">
        <v>1849</v>
      </c>
      <c r="K70" s="4" t="s">
        <v>1850</v>
      </c>
    </row>
    <row r="71" spans="1:11" ht="31" customHeight="1">
      <c r="A71" s="4" t="s">
        <v>236</v>
      </c>
      <c r="B71" s="4" t="s">
        <v>237</v>
      </c>
      <c r="C71" s="4" t="s">
        <v>90</v>
      </c>
      <c r="D71" s="5"/>
      <c r="E71" s="6">
        <v>1</v>
      </c>
      <c r="F71" s="4" t="s">
        <v>1739</v>
      </c>
      <c r="G71" s="4" t="s">
        <v>464</v>
      </c>
      <c r="H71" s="4" t="s">
        <v>1845</v>
      </c>
      <c r="I71" s="4" t="s">
        <v>1846</v>
      </c>
      <c r="J71" s="4" t="s">
        <v>1851</v>
      </c>
      <c r="K71" s="4" t="s">
        <v>1852</v>
      </c>
    </row>
    <row r="72" spans="1:11" ht="31" customHeight="1">
      <c r="A72" s="4" t="s">
        <v>252</v>
      </c>
      <c r="B72" s="4" t="s">
        <v>237</v>
      </c>
      <c r="C72" s="4" t="s">
        <v>38</v>
      </c>
      <c r="D72" s="5"/>
      <c r="E72" s="4" t="s">
        <v>112</v>
      </c>
      <c r="F72" s="4" t="s">
        <v>1744</v>
      </c>
      <c r="G72" s="4" t="s">
        <v>464</v>
      </c>
      <c r="H72" s="4" t="s">
        <v>1845</v>
      </c>
      <c r="I72" s="4" t="s">
        <v>1853</v>
      </c>
      <c r="J72" s="4" t="s">
        <v>1854</v>
      </c>
      <c r="K72" s="4" t="s">
        <v>1855</v>
      </c>
    </row>
    <row r="73" spans="1:11" ht="31" customHeight="1">
      <c r="A73" s="4" t="s">
        <v>252</v>
      </c>
      <c r="B73" s="4" t="s">
        <v>237</v>
      </c>
      <c r="C73" s="4" t="s">
        <v>36</v>
      </c>
      <c r="D73" s="5"/>
      <c r="E73" s="6">
        <v>1</v>
      </c>
      <c r="F73" s="4" t="s">
        <v>1744</v>
      </c>
      <c r="G73" s="4" t="s">
        <v>464</v>
      </c>
      <c r="H73" s="4" t="s">
        <v>1845</v>
      </c>
      <c r="I73" s="4" t="s">
        <v>1853</v>
      </c>
      <c r="J73" s="4" t="s">
        <v>1856</v>
      </c>
      <c r="K73" s="4" t="s">
        <v>1857</v>
      </c>
    </row>
    <row r="74" spans="1:11" ht="31" customHeight="1">
      <c r="A74" s="4" t="s">
        <v>252</v>
      </c>
      <c r="B74" s="4" t="s">
        <v>237</v>
      </c>
      <c r="C74" s="4" t="s">
        <v>71</v>
      </c>
      <c r="D74" s="5"/>
      <c r="E74" s="4" t="s">
        <v>115</v>
      </c>
      <c r="F74" s="4" t="s">
        <v>1744</v>
      </c>
      <c r="G74" s="4" t="s">
        <v>464</v>
      </c>
      <c r="H74" s="4" t="s">
        <v>1845</v>
      </c>
      <c r="I74" s="4" t="s">
        <v>1853</v>
      </c>
      <c r="J74" s="4" t="s">
        <v>1847</v>
      </c>
      <c r="K74" s="4" t="s">
        <v>1848</v>
      </c>
    </row>
    <row r="75" spans="1:11" ht="31" customHeight="1">
      <c r="A75" s="4" t="s">
        <v>252</v>
      </c>
      <c r="B75" s="4" t="s">
        <v>237</v>
      </c>
      <c r="C75" s="4" t="s">
        <v>99</v>
      </c>
      <c r="D75" s="5"/>
      <c r="E75" s="4" t="s">
        <v>260</v>
      </c>
      <c r="F75" s="4" t="s">
        <v>1739</v>
      </c>
      <c r="G75" s="4" t="s">
        <v>464</v>
      </c>
      <c r="H75" s="4" t="s">
        <v>1845</v>
      </c>
      <c r="I75" s="4" t="s">
        <v>1853</v>
      </c>
      <c r="J75" s="4" t="s">
        <v>1849</v>
      </c>
      <c r="K75" s="4" t="s">
        <v>1850</v>
      </c>
    </row>
    <row r="76" spans="1:11" ht="31" customHeight="1">
      <c r="A76" s="4" t="s">
        <v>252</v>
      </c>
      <c r="B76" s="4" t="s">
        <v>237</v>
      </c>
      <c r="C76" s="4" t="s">
        <v>90</v>
      </c>
      <c r="D76" s="5"/>
      <c r="E76" s="6">
        <v>1</v>
      </c>
      <c r="F76" s="4" t="s">
        <v>1739</v>
      </c>
      <c r="G76" s="4" t="s">
        <v>464</v>
      </c>
      <c r="H76" s="4" t="s">
        <v>1845</v>
      </c>
      <c r="I76" s="4" t="s">
        <v>1853</v>
      </c>
      <c r="J76" s="4" t="s">
        <v>1851</v>
      </c>
      <c r="K76" s="4" t="s">
        <v>1852</v>
      </c>
    </row>
    <row r="77" spans="1:11" ht="31" customHeight="1">
      <c r="A77" s="4" t="s">
        <v>263</v>
      </c>
      <c r="B77" s="4" t="s">
        <v>237</v>
      </c>
      <c r="C77" s="4" t="s">
        <v>38</v>
      </c>
      <c r="D77" s="5"/>
      <c r="E77" s="4" t="s">
        <v>134</v>
      </c>
      <c r="F77" s="4" t="s">
        <v>1744</v>
      </c>
      <c r="G77" s="4" t="s">
        <v>464</v>
      </c>
      <c r="H77" s="4" t="s">
        <v>1845</v>
      </c>
      <c r="I77" s="4" t="s">
        <v>1858</v>
      </c>
      <c r="J77" s="4" t="s">
        <v>1854</v>
      </c>
      <c r="K77" s="4" t="s">
        <v>1855</v>
      </c>
    </row>
    <row r="78" spans="1:11" ht="31" customHeight="1">
      <c r="A78" s="4" t="s">
        <v>263</v>
      </c>
      <c r="B78" s="4" t="s">
        <v>237</v>
      </c>
      <c r="C78" s="4" t="s">
        <v>71</v>
      </c>
      <c r="D78" s="5"/>
      <c r="E78" s="4" t="s">
        <v>115</v>
      </c>
      <c r="F78" s="4" t="s">
        <v>1744</v>
      </c>
      <c r="G78" s="4" t="s">
        <v>464</v>
      </c>
      <c r="H78" s="4" t="s">
        <v>1845</v>
      </c>
      <c r="I78" s="4" t="s">
        <v>1858</v>
      </c>
      <c r="J78" s="4" t="s">
        <v>1847</v>
      </c>
      <c r="K78" s="4" t="s">
        <v>1848</v>
      </c>
    </row>
    <row r="79" spans="1:11" ht="31" customHeight="1">
      <c r="A79" s="4" t="s">
        <v>263</v>
      </c>
      <c r="B79" s="4" t="s">
        <v>237</v>
      </c>
      <c r="C79" s="4" t="s">
        <v>99</v>
      </c>
      <c r="D79" s="5"/>
      <c r="E79" s="4" t="s">
        <v>248</v>
      </c>
      <c r="F79" s="4" t="s">
        <v>1739</v>
      </c>
      <c r="G79" s="4" t="s">
        <v>464</v>
      </c>
      <c r="H79" s="4" t="s">
        <v>1845</v>
      </c>
      <c r="I79" s="4" t="s">
        <v>1858</v>
      </c>
      <c r="J79" s="4" t="s">
        <v>1849</v>
      </c>
      <c r="K79" s="4" t="s">
        <v>1850</v>
      </c>
    </row>
    <row r="80" spans="1:11" ht="31" customHeight="1">
      <c r="A80" s="4" t="s">
        <v>263</v>
      </c>
      <c r="B80" s="4" t="s">
        <v>237</v>
      </c>
      <c r="C80" s="4" t="s">
        <v>90</v>
      </c>
      <c r="D80" s="5"/>
      <c r="E80" s="6">
        <v>1</v>
      </c>
      <c r="F80" s="4" t="s">
        <v>1739</v>
      </c>
      <c r="G80" s="4" t="s">
        <v>464</v>
      </c>
      <c r="H80" s="4" t="s">
        <v>1845</v>
      </c>
      <c r="I80" s="4" t="s">
        <v>1858</v>
      </c>
      <c r="J80" s="4" t="s">
        <v>1851</v>
      </c>
      <c r="K80" s="4" t="s">
        <v>1852</v>
      </c>
    </row>
    <row r="81" spans="1:11" ht="31" customHeight="1">
      <c r="A81" s="4" t="s">
        <v>268</v>
      </c>
      <c r="B81" s="4" t="s">
        <v>237</v>
      </c>
      <c r="C81" s="4" t="s">
        <v>38</v>
      </c>
      <c r="D81" s="5"/>
      <c r="E81" s="4" t="s">
        <v>112</v>
      </c>
      <c r="F81" s="4" t="s">
        <v>1744</v>
      </c>
      <c r="G81" s="4" t="s">
        <v>464</v>
      </c>
      <c r="H81" s="4" t="s">
        <v>1845</v>
      </c>
      <c r="I81" s="4" t="s">
        <v>1859</v>
      </c>
      <c r="J81" s="4" t="s">
        <v>1854</v>
      </c>
      <c r="K81" s="4" t="s">
        <v>1855</v>
      </c>
    </row>
    <row r="82" spans="1:11" ht="31" customHeight="1">
      <c r="A82" s="4" t="s">
        <v>268</v>
      </c>
      <c r="B82" s="4" t="s">
        <v>237</v>
      </c>
      <c r="C82" s="4" t="s">
        <v>71</v>
      </c>
      <c r="D82" s="5"/>
      <c r="E82" s="4" t="s">
        <v>115</v>
      </c>
      <c r="F82" s="4" t="s">
        <v>1744</v>
      </c>
      <c r="G82" s="4" t="s">
        <v>464</v>
      </c>
      <c r="H82" s="4" t="s">
        <v>1845</v>
      </c>
      <c r="I82" s="4" t="s">
        <v>1859</v>
      </c>
      <c r="J82" s="4" t="s">
        <v>1847</v>
      </c>
      <c r="K82" s="4" t="s">
        <v>1848</v>
      </c>
    </row>
    <row r="83" spans="1:11" ht="31" customHeight="1">
      <c r="A83" s="4" t="s">
        <v>268</v>
      </c>
      <c r="B83" s="4" t="s">
        <v>237</v>
      </c>
      <c r="C83" s="4" t="s">
        <v>99</v>
      </c>
      <c r="D83" s="5"/>
      <c r="E83" s="4" t="s">
        <v>248</v>
      </c>
      <c r="F83" s="4" t="s">
        <v>1739</v>
      </c>
      <c r="G83" s="4" t="s">
        <v>464</v>
      </c>
      <c r="H83" s="4" t="s">
        <v>1845</v>
      </c>
      <c r="I83" s="4" t="s">
        <v>1859</v>
      </c>
      <c r="J83" s="4" t="s">
        <v>1849</v>
      </c>
      <c r="K83" s="4" t="s">
        <v>1850</v>
      </c>
    </row>
    <row r="84" spans="1:11" ht="31" customHeight="1">
      <c r="A84" s="4" t="s">
        <v>268</v>
      </c>
      <c r="B84" s="4" t="s">
        <v>237</v>
      </c>
      <c r="C84" s="4" t="s">
        <v>90</v>
      </c>
      <c r="D84" s="5"/>
      <c r="E84" s="6">
        <v>1</v>
      </c>
      <c r="F84" s="4" t="s">
        <v>1739</v>
      </c>
      <c r="G84" s="4" t="s">
        <v>464</v>
      </c>
      <c r="H84" s="4" t="s">
        <v>1845</v>
      </c>
      <c r="I84" s="4" t="s">
        <v>1859</v>
      </c>
      <c r="J84" s="4" t="s">
        <v>1851</v>
      </c>
      <c r="K84" s="4" t="s">
        <v>1852</v>
      </c>
    </row>
    <row r="85" spans="1:11" ht="31" customHeight="1">
      <c r="A85" s="4" t="s">
        <v>290</v>
      </c>
      <c r="B85" s="4" t="s">
        <v>237</v>
      </c>
      <c r="C85" s="4" t="s">
        <v>38</v>
      </c>
      <c r="D85" s="5"/>
      <c r="E85" s="4" t="s">
        <v>112</v>
      </c>
      <c r="F85" s="4" t="s">
        <v>1744</v>
      </c>
      <c r="G85" s="4" t="s">
        <v>464</v>
      </c>
      <c r="H85" s="4" t="s">
        <v>1845</v>
      </c>
      <c r="I85" s="4" t="s">
        <v>1860</v>
      </c>
      <c r="J85" s="4" t="s">
        <v>1854</v>
      </c>
      <c r="K85" s="4" t="s">
        <v>1855</v>
      </c>
    </row>
    <row r="86" spans="1:11" ht="31" customHeight="1">
      <c r="A86" s="4" t="s">
        <v>290</v>
      </c>
      <c r="B86" s="4" t="s">
        <v>237</v>
      </c>
      <c r="C86" s="4" t="s">
        <v>71</v>
      </c>
      <c r="D86" s="5"/>
      <c r="E86" s="4" t="s">
        <v>144</v>
      </c>
      <c r="F86" s="4" t="s">
        <v>1744</v>
      </c>
      <c r="G86" s="4" t="s">
        <v>464</v>
      </c>
      <c r="H86" s="4" t="s">
        <v>1845</v>
      </c>
      <c r="I86" s="4" t="s">
        <v>1860</v>
      </c>
      <c r="J86" s="4" t="s">
        <v>1847</v>
      </c>
      <c r="K86" s="4" t="s">
        <v>1848</v>
      </c>
    </row>
    <row r="87" spans="1:11" ht="31" customHeight="1">
      <c r="A87" s="4" t="s">
        <v>290</v>
      </c>
      <c r="B87" s="4" t="s">
        <v>237</v>
      </c>
      <c r="C87" s="4" t="s">
        <v>99</v>
      </c>
      <c r="D87" s="5"/>
      <c r="E87" s="4" t="s">
        <v>248</v>
      </c>
      <c r="F87" s="4" t="s">
        <v>1739</v>
      </c>
      <c r="G87" s="4" t="s">
        <v>464</v>
      </c>
      <c r="H87" s="4" t="s">
        <v>1845</v>
      </c>
      <c r="I87" s="4" t="s">
        <v>1860</v>
      </c>
      <c r="J87" s="4" t="s">
        <v>1849</v>
      </c>
      <c r="K87" s="4" t="s">
        <v>1850</v>
      </c>
    </row>
    <row r="88" spans="1:11" ht="31" customHeight="1">
      <c r="A88" s="4" t="s">
        <v>290</v>
      </c>
      <c r="B88" s="4" t="s">
        <v>237</v>
      </c>
      <c r="C88" s="4" t="s">
        <v>90</v>
      </c>
      <c r="D88" s="5"/>
      <c r="E88" s="6">
        <v>1</v>
      </c>
      <c r="F88" s="4" t="s">
        <v>1739</v>
      </c>
      <c r="G88" s="4" t="s">
        <v>464</v>
      </c>
      <c r="H88" s="4" t="s">
        <v>1845</v>
      </c>
      <c r="I88" s="4" t="s">
        <v>1860</v>
      </c>
      <c r="J88" s="4" t="s">
        <v>1851</v>
      </c>
      <c r="K88" s="4" t="s">
        <v>1852</v>
      </c>
    </row>
    <row r="89" spans="1:11" ht="31" customHeight="1">
      <c r="A89" s="4" t="s">
        <v>296</v>
      </c>
      <c r="B89" s="4" t="s">
        <v>237</v>
      </c>
      <c r="C89" s="4" t="s">
        <v>38</v>
      </c>
      <c r="D89" s="5"/>
      <c r="E89" s="4" t="s">
        <v>112</v>
      </c>
      <c r="F89" s="4" t="s">
        <v>1744</v>
      </c>
      <c r="G89" s="4" t="s">
        <v>464</v>
      </c>
      <c r="H89" s="4" t="s">
        <v>1845</v>
      </c>
      <c r="I89" s="4" t="s">
        <v>1861</v>
      </c>
      <c r="J89" s="4" t="s">
        <v>1854</v>
      </c>
      <c r="K89" s="4" t="s">
        <v>1855</v>
      </c>
    </row>
    <row r="90" spans="1:11" ht="31" customHeight="1">
      <c r="A90" s="4" t="s">
        <v>296</v>
      </c>
      <c r="B90" s="4" t="s">
        <v>237</v>
      </c>
      <c r="C90" s="4" t="s">
        <v>71</v>
      </c>
      <c r="D90" s="5"/>
      <c r="E90" s="4" t="s">
        <v>144</v>
      </c>
      <c r="F90" s="4" t="s">
        <v>1744</v>
      </c>
      <c r="G90" s="4" t="s">
        <v>464</v>
      </c>
      <c r="H90" s="4" t="s">
        <v>1845</v>
      </c>
      <c r="I90" s="4" t="s">
        <v>1861</v>
      </c>
      <c r="J90" s="4" t="s">
        <v>1847</v>
      </c>
      <c r="K90" s="4" t="s">
        <v>1848</v>
      </c>
    </row>
    <row r="91" spans="1:11" ht="31" customHeight="1">
      <c r="A91" s="4" t="s">
        <v>296</v>
      </c>
      <c r="B91" s="4" t="s">
        <v>237</v>
      </c>
      <c r="C91" s="4" t="s">
        <v>99</v>
      </c>
      <c r="D91" s="5"/>
      <c r="E91" s="4" t="s">
        <v>248</v>
      </c>
      <c r="F91" s="4" t="s">
        <v>1739</v>
      </c>
      <c r="G91" s="4" t="s">
        <v>464</v>
      </c>
      <c r="H91" s="4" t="s">
        <v>1845</v>
      </c>
      <c r="I91" s="4" t="s">
        <v>1861</v>
      </c>
      <c r="J91" s="4" t="s">
        <v>1849</v>
      </c>
      <c r="K91" s="4" t="s">
        <v>1850</v>
      </c>
    </row>
    <row r="92" spans="1:11" ht="31" customHeight="1">
      <c r="A92" s="4" t="s">
        <v>296</v>
      </c>
      <c r="B92" s="4" t="s">
        <v>237</v>
      </c>
      <c r="C92" s="4" t="s">
        <v>90</v>
      </c>
      <c r="D92" s="5"/>
      <c r="E92" s="6">
        <v>1</v>
      </c>
      <c r="F92" s="4" t="s">
        <v>1739</v>
      </c>
      <c r="G92" s="4" t="s">
        <v>464</v>
      </c>
      <c r="H92" s="4" t="s">
        <v>1845</v>
      </c>
      <c r="I92" s="4" t="s">
        <v>1861</v>
      </c>
      <c r="J92" s="4" t="s">
        <v>1851</v>
      </c>
      <c r="K92" s="4" t="s">
        <v>1852</v>
      </c>
    </row>
    <row r="93" spans="1:11" ht="31" customHeight="1">
      <c r="A93" s="4" t="s">
        <v>282</v>
      </c>
      <c r="B93" s="4" t="s">
        <v>237</v>
      </c>
      <c r="C93" s="4" t="s">
        <v>38</v>
      </c>
      <c r="D93" s="5"/>
      <c r="E93" s="4" t="s">
        <v>112</v>
      </c>
      <c r="F93" s="4" t="s">
        <v>1744</v>
      </c>
      <c r="G93" s="4" t="s">
        <v>464</v>
      </c>
      <c r="H93" s="4" t="s">
        <v>1845</v>
      </c>
      <c r="I93" s="4" t="s">
        <v>1862</v>
      </c>
      <c r="J93" s="4" t="s">
        <v>1854</v>
      </c>
      <c r="K93" s="4" t="s">
        <v>1855</v>
      </c>
    </row>
    <row r="94" spans="1:11" ht="31" customHeight="1">
      <c r="A94" s="4" t="s">
        <v>282</v>
      </c>
      <c r="B94" s="4" t="s">
        <v>237</v>
      </c>
      <c r="C94" s="4" t="s">
        <v>71</v>
      </c>
      <c r="D94" s="5"/>
      <c r="E94" s="4" t="s">
        <v>115</v>
      </c>
      <c r="F94" s="4" t="s">
        <v>1744</v>
      </c>
      <c r="G94" s="4" t="s">
        <v>464</v>
      </c>
      <c r="H94" s="4" t="s">
        <v>1845</v>
      </c>
      <c r="I94" s="4" t="s">
        <v>1862</v>
      </c>
      <c r="J94" s="4" t="s">
        <v>1847</v>
      </c>
      <c r="K94" s="4" t="s">
        <v>1848</v>
      </c>
    </row>
    <row r="95" spans="1:11" ht="31" customHeight="1">
      <c r="A95" s="4" t="s">
        <v>282</v>
      </c>
      <c r="B95" s="4" t="s">
        <v>237</v>
      </c>
      <c r="C95" s="4" t="s">
        <v>99</v>
      </c>
      <c r="D95" s="5"/>
      <c r="E95" s="4" t="s">
        <v>279</v>
      </c>
      <c r="F95" s="4" t="s">
        <v>1739</v>
      </c>
      <c r="G95" s="4" t="s">
        <v>464</v>
      </c>
      <c r="H95" s="4" t="s">
        <v>1845</v>
      </c>
      <c r="I95" s="4" t="s">
        <v>1862</v>
      </c>
      <c r="J95" s="4" t="s">
        <v>1849</v>
      </c>
      <c r="K95" s="4" t="s">
        <v>1850</v>
      </c>
    </row>
    <row r="96" spans="1:11" ht="31" customHeight="1">
      <c r="A96" s="4" t="s">
        <v>282</v>
      </c>
      <c r="B96" s="4" t="s">
        <v>237</v>
      </c>
      <c r="C96" s="4" t="s">
        <v>90</v>
      </c>
      <c r="D96" s="5"/>
      <c r="E96" s="6">
        <v>0</v>
      </c>
      <c r="F96" s="4" t="s">
        <v>1739</v>
      </c>
      <c r="G96" s="4" t="s">
        <v>464</v>
      </c>
      <c r="H96" s="4" t="s">
        <v>1845</v>
      </c>
      <c r="I96" s="4" t="s">
        <v>1862</v>
      </c>
      <c r="J96" s="4" t="s">
        <v>1851</v>
      </c>
      <c r="K96" s="4" t="s">
        <v>1852</v>
      </c>
    </row>
    <row r="97" spans="1:11" ht="31" customHeight="1">
      <c r="A97" s="4" t="s">
        <v>469</v>
      </c>
      <c r="B97" s="4" t="s">
        <v>237</v>
      </c>
      <c r="C97" s="4" t="s">
        <v>38</v>
      </c>
      <c r="D97" s="5"/>
      <c r="E97" s="4" t="s">
        <v>134</v>
      </c>
      <c r="F97" s="4" t="s">
        <v>1744</v>
      </c>
      <c r="G97" s="4" t="s">
        <v>464</v>
      </c>
      <c r="H97" s="4" t="s">
        <v>1845</v>
      </c>
      <c r="I97" s="4" t="s">
        <v>1863</v>
      </c>
      <c r="J97" s="4" t="s">
        <v>1854</v>
      </c>
      <c r="K97" s="4" t="s">
        <v>1855</v>
      </c>
    </row>
    <row r="98" spans="1:11" ht="31" customHeight="1">
      <c r="A98" s="4" t="s">
        <v>469</v>
      </c>
      <c r="B98" s="4" t="s">
        <v>237</v>
      </c>
      <c r="C98" s="4" t="s">
        <v>71</v>
      </c>
      <c r="D98" s="5"/>
      <c r="E98" s="4" t="s">
        <v>144</v>
      </c>
      <c r="F98" s="4" t="s">
        <v>1744</v>
      </c>
      <c r="G98" s="4" t="s">
        <v>464</v>
      </c>
      <c r="H98" s="4" t="s">
        <v>1845</v>
      </c>
      <c r="I98" s="4" t="s">
        <v>1863</v>
      </c>
      <c r="J98" s="4" t="s">
        <v>1847</v>
      </c>
      <c r="K98" s="4" t="s">
        <v>1848</v>
      </c>
    </row>
    <row r="99" spans="1:11" ht="31" customHeight="1">
      <c r="A99" s="4" t="s">
        <v>469</v>
      </c>
      <c r="B99" s="4" t="s">
        <v>237</v>
      </c>
      <c r="C99" s="4" t="s">
        <v>99</v>
      </c>
      <c r="D99" s="5"/>
      <c r="E99" s="4" t="s">
        <v>248</v>
      </c>
      <c r="F99" s="4" t="s">
        <v>1739</v>
      </c>
      <c r="G99" s="4" t="s">
        <v>464</v>
      </c>
      <c r="H99" s="4" t="s">
        <v>1845</v>
      </c>
      <c r="I99" s="4" t="s">
        <v>1863</v>
      </c>
      <c r="J99" s="4" t="s">
        <v>1849</v>
      </c>
      <c r="K99" s="4" t="s">
        <v>1850</v>
      </c>
    </row>
    <row r="100" spans="1:11" ht="31" customHeight="1">
      <c r="A100" s="4" t="s">
        <v>469</v>
      </c>
      <c r="B100" s="4" t="s">
        <v>237</v>
      </c>
      <c r="C100" s="4" t="s">
        <v>90</v>
      </c>
      <c r="D100" s="5"/>
      <c r="E100" s="6">
        <v>1</v>
      </c>
      <c r="F100" s="4" t="s">
        <v>1739</v>
      </c>
      <c r="G100" s="4" t="s">
        <v>464</v>
      </c>
      <c r="H100" s="4" t="s">
        <v>1845</v>
      </c>
      <c r="I100" s="4" t="s">
        <v>1863</v>
      </c>
      <c r="J100" s="4" t="s">
        <v>1851</v>
      </c>
      <c r="K100" s="4" t="s">
        <v>1852</v>
      </c>
    </row>
    <row r="101" spans="1:11" ht="31" customHeight="1">
      <c r="A101" s="4" t="s">
        <v>298</v>
      </c>
      <c r="B101" s="4" t="s">
        <v>237</v>
      </c>
      <c r="C101" s="4" t="s">
        <v>38</v>
      </c>
      <c r="D101" s="5"/>
      <c r="E101" s="4" t="s">
        <v>112</v>
      </c>
      <c r="F101" s="4" t="s">
        <v>1744</v>
      </c>
      <c r="G101" s="4" t="s">
        <v>464</v>
      </c>
      <c r="H101" s="4" t="s">
        <v>1845</v>
      </c>
      <c r="I101" s="4" t="s">
        <v>1864</v>
      </c>
      <c r="J101" s="4" t="s">
        <v>1854</v>
      </c>
      <c r="K101" s="4" t="s">
        <v>1855</v>
      </c>
    </row>
    <row r="102" spans="1:11" ht="31" customHeight="1">
      <c r="A102" s="4" t="s">
        <v>298</v>
      </c>
      <c r="B102" s="4" t="s">
        <v>237</v>
      </c>
      <c r="C102" s="4" t="s">
        <v>71</v>
      </c>
      <c r="D102" s="5"/>
      <c r="E102" s="4" t="s">
        <v>144</v>
      </c>
      <c r="F102" s="4" t="s">
        <v>1744</v>
      </c>
      <c r="G102" s="4" t="s">
        <v>464</v>
      </c>
      <c r="H102" s="4" t="s">
        <v>1845</v>
      </c>
      <c r="I102" s="4" t="s">
        <v>1864</v>
      </c>
      <c r="J102" s="4" t="s">
        <v>1847</v>
      </c>
      <c r="K102" s="4" t="s">
        <v>1848</v>
      </c>
    </row>
    <row r="103" spans="1:11" ht="31" customHeight="1">
      <c r="A103" s="4" t="s">
        <v>298</v>
      </c>
      <c r="B103" s="4" t="s">
        <v>237</v>
      </c>
      <c r="C103" s="4" t="s">
        <v>99</v>
      </c>
      <c r="D103" s="5"/>
      <c r="E103" s="4" t="s">
        <v>248</v>
      </c>
      <c r="F103" s="4" t="s">
        <v>1739</v>
      </c>
      <c r="G103" s="4" t="s">
        <v>464</v>
      </c>
      <c r="H103" s="4" t="s">
        <v>1845</v>
      </c>
      <c r="I103" s="4" t="s">
        <v>1864</v>
      </c>
      <c r="J103" s="4" t="s">
        <v>1849</v>
      </c>
      <c r="K103" s="4" t="s">
        <v>1850</v>
      </c>
    </row>
    <row r="104" spans="1:11" ht="31" customHeight="1">
      <c r="A104" s="4" t="s">
        <v>298</v>
      </c>
      <c r="B104" s="4" t="s">
        <v>237</v>
      </c>
      <c r="C104" s="4" t="s">
        <v>90</v>
      </c>
      <c r="D104" s="5"/>
      <c r="E104" s="6">
        <v>0</v>
      </c>
      <c r="F104" s="4" t="s">
        <v>1739</v>
      </c>
      <c r="G104" s="4" t="s">
        <v>464</v>
      </c>
      <c r="H104" s="4" t="s">
        <v>1845</v>
      </c>
      <c r="I104" s="4" t="s">
        <v>1864</v>
      </c>
      <c r="J104" s="4" t="s">
        <v>1851</v>
      </c>
      <c r="K104" s="4" t="s">
        <v>1852</v>
      </c>
    </row>
    <row r="105" spans="1:11" ht="31" customHeight="1">
      <c r="A105" s="4" t="s">
        <v>472</v>
      </c>
      <c r="B105" s="4" t="s">
        <v>237</v>
      </c>
      <c r="C105" s="4" t="s">
        <v>38</v>
      </c>
      <c r="D105" s="5"/>
      <c r="E105" s="4" t="s">
        <v>112</v>
      </c>
      <c r="F105" s="4" t="s">
        <v>1744</v>
      </c>
      <c r="G105" s="4" t="s">
        <v>464</v>
      </c>
      <c r="H105" s="4" t="s">
        <v>1845</v>
      </c>
      <c r="I105" s="4" t="s">
        <v>1865</v>
      </c>
      <c r="J105" s="4" t="s">
        <v>1854</v>
      </c>
      <c r="K105" s="4" t="s">
        <v>1855</v>
      </c>
    </row>
    <row r="106" spans="1:11" ht="31" customHeight="1">
      <c r="A106" s="4" t="s">
        <v>472</v>
      </c>
      <c r="B106" s="4" t="s">
        <v>237</v>
      </c>
      <c r="C106" s="4" t="s">
        <v>36</v>
      </c>
      <c r="D106" s="5"/>
      <c r="E106" s="6">
        <v>1</v>
      </c>
      <c r="F106" s="4" t="s">
        <v>1744</v>
      </c>
      <c r="G106" s="4" t="s">
        <v>464</v>
      </c>
      <c r="H106" s="4" t="s">
        <v>1845</v>
      </c>
      <c r="I106" s="4" t="s">
        <v>1865</v>
      </c>
      <c r="J106" s="4" t="s">
        <v>1856</v>
      </c>
      <c r="K106" s="4" t="s">
        <v>1857</v>
      </c>
    </row>
    <row r="107" spans="1:11" ht="31" customHeight="1">
      <c r="A107" s="4" t="s">
        <v>472</v>
      </c>
      <c r="B107" s="4" t="s">
        <v>237</v>
      </c>
      <c r="C107" s="4" t="s">
        <v>71</v>
      </c>
      <c r="D107" s="5"/>
      <c r="E107" s="4" t="s">
        <v>144</v>
      </c>
      <c r="F107" s="4" t="s">
        <v>1744</v>
      </c>
      <c r="G107" s="4" t="s">
        <v>464</v>
      </c>
      <c r="H107" s="4" t="s">
        <v>1845</v>
      </c>
      <c r="I107" s="4" t="s">
        <v>1865</v>
      </c>
      <c r="J107" s="4" t="s">
        <v>1847</v>
      </c>
      <c r="K107" s="4" t="s">
        <v>1848</v>
      </c>
    </row>
    <row r="108" spans="1:11" ht="31" customHeight="1">
      <c r="A108" s="4" t="s">
        <v>472</v>
      </c>
      <c r="B108" s="4" t="s">
        <v>237</v>
      </c>
      <c r="C108" s="4" t="s">
        <v>99</v>
      </c>
      <c r="D108" s="5"/>
      <c r="E108" s="4" t="s">
        <v>248</v>
      </c>
      <c r="F108" s="4" t="s">
        <v>1739</v>
      </c>
      <c r="G108" s="4" t="s">
        <v>464</v>
      </c>
      <c r="H108" s="4" t="s">
        <v>1845</v>
      </c>
      <c r="I108" s="4" t="s">
        <v>1865</v>
      </c>
      <c r="J108" s="4" t="s">
        <v>1849</v>
      </c>
      <c r="K108" s="4" t="s">
        <v>1850</v>
      </c>
    </row>
    <row r="109" spans="1:11" ht="31" customHeight="1">
      <c r="A109" s="4" t="s">
        <v>472</v>
      </c>
      <c r="B109" s="4" t="s">
        <v>237</v>
      </c>
      <c r="C109" s="4" t="s">
        <v>90</v>
      </c>
      <c r="D109" s="5"/>
      <c r="E109" s="6">
        <v>1</v>
      </c>
      <c r="F109" s="4" t="s">
        <v>1739</v>
      </c>
      <c r="G109" s="4" t="s">
        <v>464</v>
      </c>
      <c r="H109" s="4" t="s">
        <v>1845</v>
      </c>
      <c r="I109" s="4" t="s">
        <v>1865</v>
      </c>
      <c r="J109" s="4" t="s">
        <v>1851</v>
      </c>
      <c r="K109" s="4" t="s">
        <v>1852</v>
      </c>
    </row>
    <row r="110" spans="1:11" ht="31" customHeight="1">
      <c r="A110" s="4" t="s">
        <v>463</v>
      </c>
      <c r="B110" s="4" t="s">
        <v>237</v>
      </c>
      <c r="C110" s="4" t="s">
        <v>38</v>
      </c>
      <c r="D110" s="5"/>
      <c r="E110" s="4" t="s">
        <v>112</v>
      </c>
      <c r="F110" s="4" t="s">
        <v>1744</v>
      </c>
      <c r="G110" s="4" t="s">
        <v>464</v>
      </c>
      <c r="H110" s="4" t="s">
        <v>1845</v>
      </c>
      <c r="I110" s="4" t="s">
        <v>1866</v>
      </c>
      <c r="J110" s="4" t="s">
        <v>1854</v>
      </c>
      <c r="K110" s="4" t="s">
        <v>1855</v>
      </c>
    </row>
    <row r="111" spans="1:11" ht="31" customHeight="1">
      <c r="A111" s="4" t="s">
        <v>463</v>
      </c>
      <c r="B111" s="4" t="s">
        <v>237</v>
      </c>
      <c r="C111" s="4" t="s">
        <v>36</v>
      </c>
      <c r="D111" s="5"/>
      <c r="E111" s="6">
        <v>1</v>
      </c>
      <c r="F111" s="4" t="s">
        <v>1744</v>
      </c>
      <c r="G111" s="4" t="s">
        <v>464</v>
      </c>
      <c r="H111" s="4" t="s">
        <v>1845</v>
      </c>
      <c r="I111" s="4" t="s">
        <v>1866</v>
      </c>
      <c r="J111" s="4" t="s">
        <v>1856</v>
      </c>
      <c r="K111" s="4" t="s">
        <v>1857</v>
      </c>
    </row>
    <row r="112" spans="1:11" ht="31" customHeight="1">
      <c r="A112" s="4" t="s">
        <v>463</v>
      </c>
      <c r="B112" s="4" t="s">
        <v>237</v>
      </c>
      <c r="C112" s="4" t="s">
        <v>71</v>
      </c>
      <c r="D112" s="5"/>
      <c r="E112" s="4" t="s">
        <v>144</v>
      </c>
      <c r="F112" s="4" t="s">
        <v>1744</v>
      </c>
      <c r="G112" s="4" t="s">
        <v>464</v>
      </c>
      <c r="H112" s="4" t="s">
        <v>1845</v>
      </c>
      <c r="I112" s="4" t="s">
        <v>1866</v>
      </c>
      <c r="J112" s="4" t="s">
        <v>1847</v>
      </c>
      <c r="K112" s="4" t="s">
        <v>1848</v>
      </c>
    </row>
    <row r="113" spans="1:11" ht="31" customHeight="1">
      <c r="A113" s="4" t="s">
        <v>463</v>
      </c>
      <c r="B113" s="4" t="s">
        <v>237</v>
      </c>
      <c r="C113" s="4" t="s">
        <v>99</v>
      </c>
      <c r="D113" s="5"/>
      <c r="E113" s="4" t="s">
        <v>248</v>
      </c>
      <c r="F113" s="4" t="s">
        <v>1739</v>
      </c>
      <c r="G113" s="4" t="s">
        <v>464</v>
      </c>
      <c r="H113" s="4" t="s">
        <v>1845</v>
      </c>
      <c r="I113" s="4" t="s">
        <v>1866</v>
      </c>
      <c r="J113" s="4" t="s">
        <v>1849</v>
      </c>
      <c r="K113" s="4" t="s">
        <v>1850</v>
      </c>
    </row>
    <row r="114" spans="1:11" ht="31" customHeight="1">
      <c r="A114" s="4" t="s">
        <v>463</v>
      </c>
      <c r="B114" s="4" t="s">
        <v>237</v>
      </c>
      <c r="C114" s="4" t="s">
        <v>90</v>
      </c>
      <c r="D114" s="5"/>
      <c r="E114" s="6">
        <v>1</v>
      </c>
      <c r="F114" s="4" t="s">
        <v>1739</v>
      </c>
      <c r="G114" s="4" t="s">
        <v>464</v>
      </c>
      <c r="H114" s="4" t="s">
        <v>1845</v>
      </c>
      <c r="I114" s="4" t="s">
        <v>1866</v>
      </c>
      <c r="J114" s="4" t="s">
        <v>1851</v>
      </c>
      <c r="K114" s="4" t="s">
        <v>1852</v>
      </c>
    </row>
    <row r="115" spans="1:11" ht="31" customHeight="1">
      <c r="A115" s="4" t="s">
        <v>274</v>
      </c>
      <c r="B115" s="4" t="s">
        <v>237</v>
      </c>
      <c r="C115" s="4" t="s">
        <v>38</v>
      </c>
      <c r="D115" s="5"/>
      <c r="E115" s="4" t="s">
        <v>112</v>
      </c>
      <c r="F115" s="4" t="s">
        <v>1744</v>
      </c>
      <c r="G115" s="4" t="s">
        <v>464</v>
      </c>
      <c r="H115" s="4" t="s">
        <v>1845</v>
      </c>
      <c r="I115" s="4" t="s">
        <v>1867</v>
      </c>
      <c r="J115" s="4" t="s">
        <v>1854</v>
      </c>
      <c r="K115" s="4" t="s">
        <v>1855</v>
      </c>
    </row>
    <row r="116" spans="1:11" ht="31" customHeight="1">
      <c r="A116" s="4" t="s">
        <v>274</v>
      </c>
      <c r="B116" s="4" t="s">
        <v>237</v>
      </c>
      <c r="C116" s="4" t="s">
        <v>36</v>
      </c>
      <c r="D116" s="5"/>
      <c r="E116" s="6">
        <v>1</v>
      </c>
      <c r="F116" s="4" t="s">
        <v>1744</v>
      </c>
      <c r="G116" s="4" t="s">
        <v>464</v>
      </c>
      <c r="H116" s="4" t="s">
        <v>1845</v>
      </c>
      <c r="I116" s="4" t="s">
        <v>1867</v>
      </c>
      <c r="J116" s="4" t="s">
        <v>1856</v>
      </c>
      <c r="K116" s="4" t="s">
        <v>1857</v>
      </c>
    </row>
    <row r="117" spans="1:11" ht="31" customHeight="1">
      <c r="A117" s="4" t="s">
        <v>274</v>
      </c>
      <c r="B117" s="4" t="s">
        <v>237</v>
      </c>
      <c r="C117" s="4" t="s">
        <v>71</v>
      </c>
      <c r="D117" s="5"/>
      <c r="E117" s="4" t="s">
        <v>115</v>
      </c>
      <c r="F117" s="4" t="s">
        <v>1744</v>
      </c>
      <c r="G117" s="4" t="s">
        <v>464</v>
      </c>
      <c r="H117" s="4" t="s">
        <v>1845</v>
      </c>
      <c r="I117" s="4" t="s">
        <v>1867</v>
      </c>
      <c r="J117" s="4" t="s">
        <v>1847</v>
      </c>
      <c r="K117" s="4" t="s">
        <v>1848</v>
      </c>
    </row>
    <row r="118" spans="1:11" ht="31" customHeight="1">
      <c r="A118" s="4" t="s">
        <v>274</v>
      </c>
      <c r="B118" s="4" t="s">
        <v>237</v>
      </c>
      <c r="C118" s="4" t="s">
        <v>99</v>
      </c>
      <c r="D118" s="5"/>
      <c r="E118" s="4" t="s">
        <v>279</v>
      </c>
      <c r="F118" s="4" t="s">
        <v>1739</v>
      </c>
      <c r="G118" s="4" t="s">
        <v>464</v>
      </c>
      <c r="H118" s="4" t="s">
        <v>1845</v>
      </c>
      <c r="I118" s="4" t="s">
        <v>1867</v>
      </c>
      <c r="J118" s="4" t="s">
        <v>1849</v>
      </c>
      <c r="K118" s="4" t="s">
        <v>1850</v>
      </c>
    </row>
    <row r="119" spans="1:11" ht="31" customHeight="1">
      <c r="A119" s="4" t="s">
        <v>274</v>
      </c>
      <c r="B119" s="4" t="s">
        <v>237</v>
      </c>
      <c r="C119" s="4" t="s">
        <v>90</v>
      </c>
      <c r="D119" s="5"/>
      <c r="E119" s="6">
        <v>0</v>
      </c>
      <c r="F119" s="4" t="s">
        <v>1739</v>
      </c>
      <c r="G119" s="4" t="s">
        <v>464</v>
      </c>
      <c r="H119" s="4" t="s">
        <v>1845</v>
      </c>
      <c r="I119" s="4" t="s">
        <v>1867</v>
      </c>
      <c r="J119" s="4" t="s">
        <v>1851</v>
      </c>
      <c r="K119" s="4" t="s">
        <v>1852</v>
      </c>
    </row>
    <row r="120" spans="1:11" ht="31" customHeight="1">
      <c r="A120" s="4" t="s">
        <v>282</v>
      </c>
      <c r="B120" s="4" t="s">
        <v>237</v>
      </c>
      <c r="C120" s="4" t="s">
        <v>104</v>
      </c>
      <c r="D120" s="5"/>
      <c r="E120" s="4" t="s">
        <v>288</v>
      </c>
      <c r="F120" s="4" t="s">
        <v>1739</v>
      </c>
      <c r="G120" s="4" t="s">
        <v>1868</v>
      </c>
      <c r="H120" s="4" t="s">
        <v>1869</v>
      </c>
      <c r="I120" s="4" t="s">
        <v>1870</v>
      </c>
      <c r="J120" s="4" t="s">
        <v>1871</v>
      </c>
      <c r="K120" s="4" t="s">
        <v>1872</v>
      </c>
    </row>
    <row r="121" spans="1:11" ht="31" customHeight="1">
      <c r="A121" s="4" t="s">
        <v>282</v>
      </c>
      <c r="B121" s="4" t="s">
        <v>237</v>
      </c>
      <c r="C121" s="4" t="s">
        <v>91</v>
      </c>
      <c r="D121" s="5"/>
      <c r="E121" s="4" t="s">
        <v>286</v>
      </c>
      <c r="F121" s="4" t="s">
        <v>1739</v>
      </c>
      <c r="G121" s="4" t="s">
        <v>1868</v>
      </c>
      <c r="H121" s="4" t="s">
        <v>1873</v>
      </c>
      <c r="I121" s="4" t="s">
        <v>1874</v>
      </c>
      <c r="J121" s="4" t="s">
        <v>1875</v>
      </c>
      <c r="K121" s="4" t="s">
        <v>1876</v>
      </c>
    </row>
    <row r="122" spans="1:11" ht="31" customHeight="1">
      <c r="A122" s="4" t="s">
        <v>236</v>
      </c>
      <c r="B122" s="4" t="s">
        <v>237</v>
      </c>
      <c r="C122" s="4" t="s">
        <v>104</v>
      </c>
      <c r="D122" s="5"/>
      <c r="E122" s="4" t="s">
        <v>249</v>
      </c>
      <c r="F122" s="4" t="s">
        <v>1739</v>
      </c>
      <c r="G122" s="4" t="s">
        <v>1868</v>
      </c>
      <c r="H122" s="4" t="s">
        <v>1869</v>
      </c>
      <c r="I122" s="4" t="s">
        <v>1877</v>
      </c>
      <c r="J122" s="4" t="s">
        <v>1871</v>
      </c>
      <c r="K122" s="4" t="s">
        <v>1872</v>
      </c>
    </row>
    <row r="123" spans="1:11" ht="31" customHeight="1">
      <c r="A123" s="4" t="s">
        <v>236</v>
      </c>
      <c r="B123" s="4" t="s">
        <v>237</v>
      </c>
      <c r="C123" s="4" t="s">
        <v>91</v>
      </c>
      <c r="D123" s="5"/>
      <c r="E123" s="4" t="s">
        <v>246</v>
      </c>
      <c r="F123" s="4" t="s">
        <v>1739</v>
      </c>
      <c r="G123" s="4" t="s">
        <v>1868</v>
      </c>
      <c r="H123" s="4" t="s">
        <v>1873</v>
      </c>
      <c r="I123" s="4" t="s">
        <v>1878</v>
      </c>
      <c r="J123" s="4" t="s">
        <v>1875</v>
      </c>
      <c r="K123" s="4" t="s">
        <v>1876</v>
      </c>
    </row>
    <row r="124" spans="1:11" ht="31" customHeight="1">
      <c r="A124" s="4" t="s">
        <v>252</v>
      </c>
      <c r="B124" s="4" t="s">
        <v>237</v>
      </c>
      <c r="C124" s="4" t="s">
        <v>104</v>
      </c>
      <c r="D124" s="5"/>
      <c r="E124" s="4" t="s">
        <v>261</v>
      </c>
      <c r="F124" s="4" t="s">
        <v>1739</v>
      </c>
      <c r="G124" s="4" t="s">
        <v>1868</v>
      </c>
      <c r="H124" s="4" t="s">
        <v>1869</v>
      </c>
      <c r="I124" s="4" t="s">
        <v>1879</v>
      </c>
      <c r="J124" s="4" t="s">
        <v>1871</v>
      </c>
      <c r="K124" s="4" t="s">
        <v>1872</v>
      </c>
    </row>
    <row r="125" spans="1:11" ht="31" customHeight="1">
      <c r="A125" s="4" t="s">
        <v>252</v>
      </c>
      <c r="B125" s="4" t="s">
        <v>237</v>
      </c>
      <c r="C125" s="4" t="s">
        <v>91</v>
      </c>
      <c r="D125" s="5"/>
      <c r="E125" s="4" t="s">
        <v>246</v>
      </c>
      <c r="F125" s="4" t="s">
        <v>1739</v>
      </c>
      <c r="G125" s="4" t="s">
        <v>1868</v>
      </c>
      <c r="H125" s="4" t="s">
        <v>1873</v>
      </c>
      <c r="I125" s="4" t="s">
        <v>1880</v>
      </c>
      <c r="J125" s="4" t="s">
        <v>1875</v>
      </c>
      <c r="K125" s="4" t="s">
        <v>1876</v>
      </c>
    </row>
    <row r="126" spans="1:11" ht="31" customHeight="1">
      <c r="A126" s="4" t="s">
        <v>263</v>
      </c>
      <c r="B126" s="4" t="s">
        <v>237</v>
      </c>
      <c r="C126" s="4" t="s">
        <v>104</v>
      </c>
      <c r="D126" s="5"/>
      <c r="E126" s="4" t="s">
        <v>261</v>
      </c>
      <c r="F126" s="4" t="s">
        <v>1739</v>
      </c>
      <c r="G126" s="4" t="s">
        <v>1868</v>
      </c>
      <c r="H126" s="4" t="s">
        <v>1869</v>
      </c>
      <c r="I126" s="4" t="s">
        <v>1881</v>
      </c>
      <c r="J126" s="4" t="s">
        <v>1871</v>
      </c>
      <c r="K126" s="4" t="s">
        <v>1872</v>
      </c>
    </row>
    <row r="127" spans="1:11" ht="31" customHeight="1">
      <c r="A127" s="4" t="s">
        <v>263</v>
      </c>
      <c r="B127" s="4" t="s">
        <v>237</v>
      </c>
      <c r="C127" s="4" t="s">
        <v>91</v>
      </c>
      <c r="D127" s="5"/>
      <c r="E127" s="4" t="s">
        <v>246</v>
      </c>
      <c r="F127" s="4" t="s">
        <v>1739</v>
      </c>
      <c r="G127" s="4" t="s">
        <v>1868</v>
      </c>
      <c r="H127" s="4" t="s">
        <v>1873</v>
      </c>
      <c r="I127" s="4" t="s">
        <v>1882</v>
      </c>
      <c r="J127" s="4" t="s">
        <v>1875</v>
      </c>
      <c r="K127" s="4" t="s">
        <v>1876</v>
      </c>
    </row>
    <row r="128" spans="1:11" ht="31" customHeight="1">
      <c r="A128" s="4" t="s">
        <v>268</v>
      </c>
      <c r="B128" s="4" t="s">
        <v>237</v>
      </c>
      <c r="C128" s="4" t="s">
        <v>104</v>
      </c>
      <c r="D128" s="5"/>
      <c r="E128" s="4" t="s">
        <v>261</v>
      </c>
      <c r="F128" s="4" t="s">
        <v>1739</v>
      </c>
      <c r="G128" s="4" t="s">
        <v>1868</v>
      </c>
      <c r="H128" s="4" t="s">
        <v>1869</v>
      </c>
      <c r="I128" s="4" t="s">
        <v>1883</v>
      </c>
      <c r="J128" s="4" t="s">
        <v>1871</v>
      </c>
      <c r="K128" s="4" t="s">
        <v>1872</v>
      </c>
    </row>
    <row r="129" spans="1:11" ht="31" customHeight="1">
      <c r="A129" s="4" t="s">
        <v>268</v>
      </c>
      <c r="B129" s="4" t="s">
        <v>237</v>
      </c>
      <c r="C129" s="4" t="s">
        <v>91</v>
      </c>
      <c r="D129" s="5"/>
      <c r="E129" s="4" t="s">
        <v>246</v>
      </c>
      <c r="F129" s="4" t="s">
        <v>1739</v>
      </c>
      <c r="G129" s="4" t="s">
        <v>1868</v>
      </c>
      <c r="H129" s="4" t="s">
        <v>1873</v>
      </c>
      <c r="I129" s="4" t="s">
        <v>1884</v>
      </c>
      <c r="J129" s="4" t="s">
        <v>1875</v>
      </c>
      <c r="K129" s="4" t="s">
        <v>1876</v>
      </c>
    </row>
    <row r="130" spans="1:11" ht="31" customHeight="1">
      <c r="A130" s="4" t="s">
        <v>274</v>
      </c>
      <c r="B130" s="4" t="s">
        <v>237</v>
      </c>
      <c r="C130" s="4" t="s">
        <v>104</v>
      </c>
      <c r="D130" s="5"/>
      <c r="E130" s="4" t="s">
        <v>280</v>
      </c>
      <c r="F130" s="4" t="s">
        <v>1739</v>
      </c>
      <c r="G130" s="4" t="s">
        <v>1868</v>
      </c>
      <c r="H130" s="4" t="s">
        <v>1869</v>
      </c>
      <c r="I130" s="4" t="s">
        <v>1885</v>
      </c>
      <c r="J130" s="4" t="s">
        <v>1871</v>
      </c>
      <c r="K130" s="4" t="s">
        <v>1872</v>
      </c>
    </row>
    <row r="131" spans="1:11" ht="31" customHeight="1">
      <c r="A131" s="4" t="s">
        <v>274</v>
      </c>
      <c r="B131" s="4" t="s">
        <v>237</v>
      </c>
      <c r="C131" s="4" t="s">
        <v>91</v>
      </c>
      <c r="D131" s="5"/>
      <c r="E131" s="4" t="s">
        <v>246</v>
      </c>
      <c r="F131" s="4" t="s">
        <v>1739</v>
      </c>
      <c r="G131" s="4" t="s">
        <v>1868</v>
      </c>
      <c r="H131" s="4" t="s">
        <v>1873</v>
      </c>
      <c r="I131" s="4" t="s">
        <v>1886</v>
      </c>
      <c r="J131" s="4" t="s">
        <v>1875</v>
      </c>
      <c r="K131" s="4" t="s">
        <v>1876</v>
      </c>
    </row>
    <row r="132" spans="1:11" ht="31" customHeight="1">
      <c r="A132" s="4" t="s">
        <v>290</v>
      </c>
      <c r="B132" s="4" t="s">
        <v>237</v>
      </c>
      <c r="C132" s="4" t="s">
        <v>104</v>
      </c>
      <c r="D132" s="5"/>
      <c r="E132" s="4" t="s">
        <v>295</v>
      </c>
      <c r="F132" s="4" t="s">
        <v>1739</v>
      </c>
      <c r="G132" s="4" t="s">
        <v>1868</v>
      </c>
      <c r="H132" s="4" t="s">
        <v>1869</v>
      </c>
      <c r="I132" s="4" t="s">
        <v>1887</v>
      </c>
      <c r="J132" s="4" t="s">
        <v>1871</v>
      </c>
      <c r="K132" s="4" t="s">
        <v>1872</v>
      </c>
    </row>
    <row r="133" spans="1:11" ht="31" customHeight="1">
      <c r="A133" s="4" t="s">
        <v>290</v>
      </c>
      <c r="B133" s="4" t="s">
        <v>237</v>
      </c>
      <c r="C133" s="4" t="s">
        <v>91</v>
      </c>
      <c r="D133" s="5"/>
      <c r="E133" s="4" t="s">
        <v>246</v>
      </c>
      <c r="F133" s="4" t="s">
        <v>1739</v>
      </c>
      <c r="G133" s="4" t="s">
        <v>1868</v>
      </c>
      <c r="H133" s="4" t="s">
        <v>1873</v>
      </c>
      <c r="I133" s="4" t="s">
        <v>1888</v>
      </c>
      <c r="J133" s="4" t="s">
        <v>1875</v>
      </c>
      <c r="K133" s="4" t="s">
        <v>1876</v>
      </c>
    </row>
    <row r="134" spans="1:11" ht="31" customHeight="1">
      <c r="A134" s="4" t="s">
        <v>296</v>
      </c>
      <c r="B134" s="4" t="s">
        <v>237</v>
      </c>
      <c r="C134" s="4" t="s">
        <v>104</v>
      </c>
      <c r="D134" s="5"/>
      <c r="E134" s="4" t="s">
        <v>295</v>
      </c>
      <c r="F134" s="4" t="s">
        <v>1739</v>
      </c>
      <c r="G134" s="4" t="s">
        <v>1868</v>
      </c>
      <c r="H134" s="4" t="s">
        <v>1869</v>
      </c>
      <c r="I134" s="4" t="s">
        <v>1889</v>
      </c>
      <c r="J134" s="4" t="s">
        <v>1871</v>
      </c>
      <c r="K134" s="4" t="s">
        <v>1872</v>
      </c>
    </row>
    <row r="135" spans="1:11" ht="31" customHeight="1">
      <c r="A135" s="4" t="s">
        <v>296</v>
      </c>
      <c r="B135" s="4" t="s">
        <v>237</v>
      </c>
      <c r="C135" s="4" t="s">
        <v>91</v>
      </c>
      <c r="D135" s="5"/>
      <c r="E135" s="4" t="s">
        <v>246</v>
      </c>
      <c r="F135" s="4" t="s">
        <v>1739</v>
      </c>
      <c r="G135" s="4" t="s">
        <v>1868</v>
      </c>
      <c r="H135" s="4" t="s">
        <v>1873</v>
      </c>
      <c r="I135" s="4" t="s">
        <v>1890</v>
      </c>
      <c r="J135" s="4" t="s">
        <v>1875</v>
      </c>
      <c r="K135" s="4" t="s">
        <v>1876</v>
      </c>
    </row>
    <row r="136" spans="1:11" ht="31" customHeight="1">
      <c r="A136" s="4" t="s">
        <v>469</v>
      </c>
      <c r="B136" s="4" t="s">
        <v>237</v>
      </c>
      <c r="C136" s="4" t="s">
        <v>104</v>
      </c>
      <c r="D136" s="5"/>
      <c r="E136" s="4" t="s">
        <v>295</v>
      </c>
      <c r="F136" s="4" t="s">
        <v>1739</v>
      </c>
      <c r="G136" s="4" t="s">
        <v>1868</v>
      </c>
      <c r="H136" s="4" t="s">
        <v>1869</v>
      </c>
      <c r="I136" s="4" t="s">
        <v>1891</v>
      </c>
      <c r="J136" s="4" t="s">
        <v>1871</v>
      </c>
      <c r="K136" s="4" t="s">
        <v>1872</v>
      </c>
    </row>
    <row r="137" spans="1:11" ht="31" customHeight="1">
      <c r="A137" s="4" t="s">
        <v>469</v>
      </c>
      <c r="B137" s="4" t="s">
        <v>237</v>
      </c>
      <c r="C137" s="4" t="s">
        <v>91</v>
      </c>
      <c r="D137" s="5"/>
      <c r="E137" s="4" t="s">
        <v>246</v>
      </c>
      <c r="F137" s="4" t="s">
        <v>1739</v>
      </c>
      <c r="G137" s="4" t="s">
        <v>1868</v>
      </c>
      <c r="H137" s="4" t="s">
        <v>1873</v>
      </c>
      <c r="I137" s="4" t="s">
        <v>1892</v>
      </c>
      <c r="J137" s="4" t="s">
        <v>1875</v>
      </c>
      <c r="K137" s="4" t="s">
        <v>1876</v>
      </c>
    </row>
    <row r="138" spans="1:11" ht="31" customHeight="1">
      <c r="A138" s="4" t="s">
        <v>298</v>
      </c>
      <c r="B138" s="4" t="s">
        <v>237</v>
      </c>
      <c r="C138" s="4" t="s">
        <v>104</v>
      </c>
      <c r="D138" s="5"/>
      <c r="E138" s="4" t="s">
        <v>295</v>
      </c>
      <c r="F138" s="4" t="s">
        <v>1739</v>
      </c>
      <c r="G138" s="4" t="s">
        <v>1868</v>
      </c>
      <c r="H138" s="4" t="s">
        <v>1869</v>
      </c>
      <c r="I138" s="4" t="s">
        <v>1893</v>
      </c>
      <c r="J138" s="4" t="s">
        <v>1871</v>
      </c>
      <c r="K138" s="4" t="s">
        <v>1872</v>
      </c>
    </row>
    <row r="139" spans="1:11" ht="31" customHeight="1">
      <c r="A139" s="4" t="s">
        <v>298</v>
      </c>
      <c r="B139" s="4" t="s">
        <v>237</v>
      </c>
      <c r="C139" s="4" t="s">
        <v>91</v>
      </c>
      <c r="D139" s="5"/>
      <c r="E139" s="4" t="s">
        <v>246</v>
      </c>
      <c r="F139" s="4" t="s">
        <v>1739</v>
      </c>
      <c r="G139" s="4" t="s">
        <v>1868</v>
      </c>
      <c r="H139" s="4" t="s">
        <v>1873</v>
      </c>
      <c r="I139" s="4" t="s">
        <v>1894</v>
      </c>
      <c r="J139" s="4" t="s">
        <v>1875</v>
      </c>
      <c r="K139" s="4" t="s">
        <v>1876</v>
      </c>
    </row>
    <row r="140" spans="1:11" ht="31" customHeight="1">
      <c r="A140" s="4" t="s">
        <v>472</v>
      </c>
      <c r="B140" s="4" t="s">
        <v>237</v>
      </c>
      <c r="C140" s="4" t="s">
        <v>104</v>
      </c>
      <c r="D140" s="5"/>
      <c r="E140" s="4" t="s">
        <v>295</v>
      </c>
      <c r="F140" s="4" t="s">
        <v>1739</v>
      </c>
      <c r="G140" s="4" t="s">
        <v>1868</v>
      </c>
      <c r="H140" s="4" t="s">
        <v>1869</v>
      </c>
      <c r="I140" s="4" t="s">
        <v>1895</v>
      </c>
      <c r="J140" s="4" t="s">
        <v>1871</v>
      </c>
      <c r="K140" s="4" t="s">
        <v>1872</v>
      </c>
    </row>
    <row r="141" spans="1:11" ht="31" customHeight="1">
      <c r="A141" s="4" t="s">
        <v>472</v>
      </c>
      <c r="B141" s="4" t="s">
        <v>237</v>
      </c>
      <c r="C141" s="4" t="s">
        <v>91</v>
      </c>
      <c r="D141" s="5"/>
      <c r="E141" s="4" t="s">
        <v>246</v>
      </c>
      <c r="F141" s="4" t="s">
        <v>1739</v>
      </c>
      <c r="G141" s="4" t="s">
        <v>1868</v>
      </c>
      <c r="H141" s="4" t="s">
        <v>1873</v>
      </c>
      <c r="I141" s="4" t="s">
        <v>1896</v>
      </c>
      <c r="J141" s="4" t="s">
        <v>1875</v>
      </c>
      <c r="K141" s="4" t="s">
        <v>1876</v>
      </c>
    </row>
    <row r="142" spans="1:11" ht="31" customHeight="1">
      <c r="A142" s="4" t="s">
        <v>463</v>
      </c>
      <c r="B142" s="4" t="s">
        <v>237</v>
      </c>
      <c r="C142" s="4" t="s">
        <v>104</v>
      </c>
      <c r="D142" s="5"/>
      <c r="E142" s="4" t="s">
        <v>295</v>
      </c>
      <c r="F142" s="4" t="s">
        <v>1739</v>
      </c>
      <c r="G142" s="4" t="s">
        <v>1868</v>
      </c>
      <c r="H142" s="4" t="s">
        <v>1869</v>
      </c>
      <c r="I142" s="4" t="s">
        <v>1897</v>
      </c>
      <c r="J142" s="4" t="s">
        <v>1871</v>
      </c>
      <c r="K142" s="4" t="s">
        <v>1872</v>
      </c>
    </row>
    <row r="143" spans="1:11" ht="31" customHeight="1">
      <c r="A143" s="4" t="s">
        <v>463</v>
      </c>
      <c r="B143" s="4" t="s">
        <v>237</v>
      </c>
      <c r="C143" s="4" t="s">
        <v>91</v>
      </c>
      <c r="D143" s="5"/>
      <c r="E143" s="4" t="s">
        <v>246</v>
      </c>
      <c r="F143" s="4" t="s">
        <v>1739</v>
      </c>
      <c r="G143" s="4" t="s">
        <v>1868</v>
      </c>
      <c r="H143" s="4" t="s">
        <v>1873</v>
      </c>
      <c r="I143" s="4" t="s">
        <v>1898</v>
      </c>
      <c r="J143" s="4" t="s">
        <v>1875</v>
      </c>
      <c r="K143" s="4" t="s">
        <v>1876</v>
      </c>
    </row>
    <row r="144" spans="1:11" ht="31" customHeight="1">
      <c r="A144" s="4" t="s">
        <v>268</v>
      </c>
      <c r="B144" s="4" t="s">
        <v>237</v>
      </c>
      <c r="C144" s="4" t="s">
        <v>93</v>
      </c>
      <c r="D144" s="5"/>
      <c r="E144" s="6">
        <v>10</v>
      </c>
      <c r="F144" s="4" t="s">
        <v>1739</v>
      </c>
      <c r="G144" s="4" t="s">
        <v>464</v>
      </c>
      <c r="H144" s="4" t="s">
        <v>1899</v>
      </c>
      <c r="I144" s="4" t="s">
        <v>1900</v>
      </c>
      <c r="J144" s="4" t="s">
        <v>1901</v>
      </c>
      <c r="K144" s="4" t="s">
        <v>1902</v>
      </c>
    </row>
    <row r="145" spans="1:11" ht="31" customHeight="1">
      <c r="A145" s="4" t="s">
        <v>268</v>
      </c>
      <c r="B145" s="4" t="s">
        <v>237</v>
      </c>
      <c r="C145" s="4" t="s">
        <v>95</v>
      </c>
      <c r="D145" s="5"/>
      <c r="E145" s="4" t="s">
        <v>272</v>
      </c>
      <c r="F145" s="4" t="s">
        <v>1739</v>
      </c>
      <c r="G145" s="4" t="s">
        <v>464</v>
      </c>
      <c r="H145" s="4" t="s">
        <v>1899</v>
      </c>
      <c r="I145" s="4" t="s">
        <v>1903</v>
      </c>
      <c r="J145" s="4" t="s">
        <v>1904</v>
      </c>
      <c r="K145" s="4" t="s">
        <v>1905</v>
      </c>
    </row>
    <row r="146" spans="1:11" ht="31" customHeight="1">
      <c r="A146" s="4" t="s">
        <v>290</v>
      </c>
      <c r="B146" s="4" t="s">
        <v>237</v>
      </c>
      <c r="C146" s="4" t="s">
        <v>93</v>
      </c>
      <c r="D146" s="5"/>
      <c r="E146" s="6">
        <v>10</v>
      </c>
      <c r="F146" s="4" t="s">
        <v>1739</v>
      </c>
      <c r="G146" s="4" t="s">
        <v>464</v>
      </c>
      <c r="H146" s="4" t="s">
        <v>1899</v>
      </c>
      <c r="I146" s="4" t="s">
        <v>1906</v>
      </c>
      <c r="J146" s="4" t="s">
        <v>1901</v>
      </c>
      <c r="K146" s="4" t="s">
        <v>1902</v>
      </c>
    </row>
    <row r="147" spans="1:11" ht="31" customHeight="1">
      <c r="A147" s="4" t="s">
        <v>290</v>
      </c>
      <c r="B147" s="4" t="s">
        <v>237</v>
      </c>
      <c r="C147" s="4" t="s">
        <v>95</v>
      </c>
      <c r="D147" s="5"/>
      <c r="E147" s="4" t="s">
        <v>294</v>
      </c>
      <c r="F147" s="4" t="s">
        <v>1739</v>
      </c>
      <c r="G147" s="4" t="s">
        <v>464</v>
      </c>
      <c r="H147" s="4" t="s">
        <v>1899</v>
      </c>
      <c r="I147" s="4" t="s">
        <v>1907</v>
      </c>
      <c r="J147" s="4" t="s">
        <v>1904</v>
      </c>
      <c r="K147" s="4" t="s">
        <v>1905</v>
      </c>
    </row>
    <row r="148" spans="1:11" ht="31" customHeight="1">
      <c r="A148" s="4" t="s">
        <v>296</v>
      </c>
      <c r="B148" s="4" t="s">
        <v>237</v>
      </c>
      <c r="C148" s="4" t="s">
        <v>93</v>
      </c>
      <c r="D148" s="5"/>
      <c r="E148" s="6">
        <v>10</v>
      </c>
      <c r="F148" s="4" t="s">
        <v>1739</v>
      </c>
      <c r="G148" s="4" t="s">
        <v>464</v>
      </c>
      <c r="H148" s="4" t="s">
        <v>1899</v>
      </c>
      <c r="I148" s="4" t="s">
        <v>1908</v>
      </c>
      <c r="J148" s="4" t="s">
        <v>1901</v>
      </c>
      <c r="K148" s="4" t="s">
        <v>1902</v>
      </c>
    </row>
    <row r="149" spans="1:11" ht="31" customHeight="1">
      <c r="A149" s="4" t="s">
        <v>296</v>
      </c>
      <c r="B149" s="4" t="s">
        <v>237</v>
      </c>
      <c r="C149" s="4" t="s">
        <v>95</v>
      </c>
      <c r="D149" s="5"/>
      <c r="E149" s="4" t="s">
        <v>294</v>
      </c>
      <c r="F149" s="4" t="s">
        <v>1739</v>
      </c>
      <c r="G149" s="4" t="s">
        <v>464</v>
      </c>
      <c r="H149" s="4" t="s">
        <v>1899</v>
      </c>
      <c r="I149" s="4" t="s">
        <v>1909</v>
      </c>
      <c r="J149" s="4" t="s">
        <v>1904</v>
      </c>
      <c r="K149" s="4" t="s">
        <v>1905</v>
      </c>
    </row>
    <row r="150" spans="1:11" ht="31" customHeight="1">
      <c r="A150" s="4" t="s">
        <v>298</v>
      </c>
      <c r="B150" s="4" t="s">
        <v>237</v>
      </c>
      <c r="C150" s="4" t="s">
        <v>93</v>
      </c>
      <c r="D150" s="5"/>
      <c r="E150" s="6">
        <v>10</v>
      </c>
      <c r="F150" s="4" t="s">
        <v>1739</v>
      </c>
      <c r="G150" s="4" t="s">
        <v>464</v>
      </c>
      <c r="H150" s="4" t="s">
        <v>1899</v>
      </c>
      <c r="I150" s="4" t="s">
        <v>1910</v>
      </c>
      <c r="J150" s="4" t="s">
        <v>1901</v>
      </c>
      <c r="K150" s="4" t="s">
        <v>1902</v>
      </c>
    </row>
    <row r="151" spans="1:11" ht="31" customHeight="1">
      <c r="A151" s="4" t="s">
        <v>298</v>
      </c>
      <c r="B151" s="4" t="s">
        <v>237</v>
      </c>
      <c r="C151" s="4" t="s">
        <v>95</v>
      </c>
      <c r="D151" s="5"/>
      <c r="E151" s="4" t="s">
        <v>294</v>
      </c>
      <c r="F151" s="4" t="s">
        <v>1739</v>
      </c>
      <c r="G151" s="4" t="s">
        <v>464</v>
      </c>
      <c r="H151" s="4" t="s">
        <v>1899</v>
      </c>
      <c r="I151" s="4" t="s">
        <v>1911</v>
      </c>
      <c r="J151" s="4" t="s">
        <v>1904</v>
      </c>
      <c r="K151" s="4" t="s">
        <v>1905</v>
      </c>
    </row>
    <row r="152" spans="1:11" ht="31" customHeight="1">
      <c r="A152" s="4" t="s">
        <v>252</v>
      </c>
      <c r="B152" s="4" t="s">
        <v>237</v>
      </c>
      <c r="C152" s="4" t="s">
        <v>93</v>
      </c>
      <c r="D152" s="5"/>
      <c r="E152" s="6">
        <v>2</v>
      </c>
      <c r="F152" s="4" t="s">
        <v>1739</v>
      </c>
      <c r="G152" s="4" t="s">
        <v>464</v>
      </c>
      <c r="H152" s="4" t="s">
        <v>1899</v>
      </c>
      <c r="I152" s="4" t="s">
        <v>1912</v>
      </c>
      <c r="J152" s="4" t="s">
        <v>1901</v>
      </c>
      <c r="K152" s="4" t="s">
        <v>1902</v>
      </c>
    </row>
    <row r="153" spans="1:11" ht="31" customHeight="1">
      <c r="A153" s="4" t="s">
        <v>252</v>
      </c>
      <c r="B153" s="4" t="s">
        <v>237</v>
      </c>
      <c r="C153" s="4" t="s">
        <v>95</v>
      </c>
      <c r="D153" s="5"/>
      <c r="E153" s="4" t="s">
        <v>259</v>
      </c>
      <c r="F153" s="4" t="s">
        <v>1739</v>
      </c>
      <c r="G153" s="4" t="s">
        <v>464</v>
      </c>
      <c r="H153" s="4" t="s">
        <v>1899</v>
      </c>
      <c r="I153" s="4" t="s">
        <v>1913</v>
      </c>
      <c r="J153" s="4" t="s">
        <v>1904</v>
      </c>
      <c r="K153" s="4" t="s">
        <v>1905</v>
      </c>
    </row>
    <row r="154" spans="1:11" ht="31" customHeight="1">
      <c r="A154" s="4" t="s">
        <v>282</v>
      </c>
      <c r="B154" s="4" t="s">
        <v>237</v>
      </c>
      <c r="C154" s="4" t="s">
        <v>93</v>
      </c>
      <c r="D154" s="5"/>
      <c r="E154" s="6">
        <v>2</v>
      </c>
      <c r="F154" s="4" t="s">
        <v>1739</v>
      </c>
      <c r="G154" s="4" t="s">
        <v>464</v>
      </c>
      <c r="H154" s="4" t="s">
        <v>1899</v>
      </c>
      <c r="I154" s="4" t="s">
        <v>1914</v>
      </c>
      <c r="J154" s="4" t="s">
        <v>1901</v>
      </c>
      <c r="K154" s="4" t="s">
        <v>1902</v>
      </c>
    </row>
    <row r="155" spans="1:11" ht="31" customHeight="1">
      <c r="A155" s="4" t="s">
        <v>282</v>
      </c>
      <c r="B155" s="4" t="s">
        <v>237</v>
      </c>
      <c r="C155" s="4" t="s">
        <v>95</v>
      </c>
      <c r="D155" s="5"/>
      <c r="E155" s="4" t="s">
        <v>287</v>
      </c>
      <c r="F155" s="4" t="s">
        <v>1739</v>
      </c>
      <c r="G155" s="4" t="s">
        <v>464</v>
      </c>
      <c r="H155" s="4" t="s">
        <v>1899</v>
      </c>
      <c r="I155" s="4" t="s">
        <v>1915</v>
      </c>
      <c r="J155" s="4" t="s">
        <v>1904</v>
      </c>
      <c r="K155" s="4" t="s">
        <v>1905</v>
      </c>
    </row>
    <row r="156" spans="1:11" ht="31" customHeight="1">
      <c r="A156" s="4" t="s">
        <v>463</v>
      </c>
      <c r="B156" s="4" t="s">
        <v>237</v>
      </c>
      <c r="C156" s="4" t="s">
        <v>93</v>
      </c>
      <c r="D156" s="5"/>
      <c r="E156" s="6">
        <v>3</v>
      </c>
      <c r="F156" s="4" t="s">
        <v>1739</v>
      </c>
      <c r="G156" s="4" t="s">
        <v>464</v>
      </c>
      <c r="H156" s="4" t="s">
        <v>1899</v>
      </c>
      <c r="I156" s="4" t="s">
        <v>1916</v>
      </c>
      <c r="J156" s="4" t="s">
        <v>1901</v>
      </c>
      <c r="K156" s="4" t="s">
        <v>1902</v>
      </c>
    </row>
    <row r="157" spans="1:11" ht="31" customHeight="1">
      <c r="A157" s="4" t="s">
        <v>274</v>
      </c>
      <c r="B157" s="4" t="s">
        <v>237</v>
      </c>
      <c r="C157" s="4" t="s">
        <v>93</v>
      </c>
      <c r="D157" s="5"/>
      <c r="E157" s="6">
        <v>1</v>
      </c>
      <c r="F157" s="4" t="s">
        <v>1739</v>
      </c>
      <c r="G157" s="4" t="s">
        <v>464</v>
      </c>
      <c r="H157" s="4" t="s">
        <v>1899</v>
      </c>
      <c r="I157" s="4" t="s">
        <v>1917</v>
      </c>
      <c r="J157" s="4" t="s">
        <v>1901</v>
      </c>
      <c r="K157" s="4" t="s">
        <v>1902</v>
      </c>
    </row>
    <row r="158" spans="1:11" ht="31" customHeight="1">
      <c r="A158" s="4" t="s">
        <v>274</v>
      </c>
      <c r="B158" s="4" t="s">
        <v>237</v>
      </c>
      <c r="C158" s="4" t="s">
        <v>95</v>
      </c>
      <c r="D158" s="5"/>
      <c r="E158" s="4" t="s">
        <v>278</v>
      </c>
      <c r="F158" s="4" t="s">
        <v>1739</v>
      </c>
      <c r="G158" s="4" t="s">
        <v>464</v>
      </c>
      <c r="H158" s="4" t="s">
        <v>1899</v>
      </c>
      <c r="I158" s="4" t="s">
        <v>1918</v>
      </c>
      <c r="J158" s="4" t="s">
        <v>1904</v>
      </c>
      <c r="K158" s="4" t="s">
        <v>1905</v>
      </c>
    </row>
    <row r="159" spans="1:11" ht="31" customHeight="1">
      <c r="A159" s="4" t="s">
        <v>263</v>
      </c>
      <c r="B159" s="4" t="s">
        <v>237</v>
      </c>
      <c r="C159" s="4" t="s">
        <v>93</v>
      </c>
      <c r="D159" s="5"/>
      <c r="E159" s="6">
        <v>0</v>
      </c>
      <c r="F159" s="4" t="s">
        <v>1739</v>
      </c>
      <c r="G159" s="4" t="s">
        <v>464</v>
      </c>
      <c r="H159" s="4" t="s">
        <v>1899</v>
      </c>
      <c r="I159" s="4" t="s">
        <v>1919</v>
      </c>
      <c r="J159" s="4" t="s">
        <v>1901</v>
      </c>
      <c r="K159" s="4" t="s">
        <v>1902</v>
      </c>
    </row>
    <row r="160" spans="1:11" ht="31" customHeight="1">
      <c r="A160" s="4" t="s">
        <v>469</v>
      </c>
      <c r="B160" s="4" t="s">
        <v>237</v>
      </c>
      <c r="C160" s="4" t="s">
        <v>93</v>
      </c>
      <c r="D160" s="5"/>
      <c r="E160" s="6">
        <v>0</v>
      </c>
      <c r="F160" s="4" t="s">
        <v>1739</v>
      </c>
      <c r="G160" s="4" t="s">
        <v>464</v>
      </c>
      <c r="H160" s="4" t="s">
        <v>1899</v>
      </c>
      <c r="I160" s="4" t="s">
        <v>1920</v>
      </c>
      <c r="J160" s="4" t="s">
        <v>1901</v>
      </c>
      <c r="K160" s="4" t="s">
        <v>1902</v>
      </c>
    </row>
    <row r="161" spans="1:11" ht="31" customHeight="1">
      <c r="A161" s="4" t="s">
        <v>472</v>
      </c>
      <c r="B161" s="4" t="s">
        <v>237</v>
      </c>
      <c r="C161" s="4" t="s">
        <v>93</v>
      </c>
      <c r="D161" s="5"/>
      <c r="E161" s="6">
        <v>0</v>
      </c>
      <c r="F161" s="4" t="s">
        <v>1739</v>
      </c>
      <c r="G161" s="4" t="s">
        <v>464</v>
      </c>
      <c r="H161" s="4" t="s">
        <v>1899</v>
      </c>
      <c r="I161" s="4" t="s">
        <v>1921</v>
      </c>
      <c r="J161" s="4" t="s">
        <v>1901</v>
      </c>
      <c r="K161" s="4" t="s">
        <v>1902</v>
      </c>
    </row>
    <row r="162" spans="1:11" ht="31" customHeight="1">
      <c r="A162" s="4" t="s">
        <v>236</v>
      </c>
      <c r="B162" s="4" t="s">
        <v>237</v>
      </c>
      <c r="C162" s="4" t="s">
        <v>93</v>
      </c>
      <c r="D162" s="5"/>
      <c r="E162" s="6">
        <v>0</v>
      </c>
      <c r="F162" s="4" t="s">
        <v>1739</v>
      </c>
      <c r="G162" s="4" t="s">
        <v>464</v>
      </c>
      <c r="H162" s="4" t="s">
        <v>1899</v>
      </c>
      <c r="I162" s="4" t="s">
        <v>1922</v>
      </c>
      <c r="J162" s="4" t="s">
        <v>1901</v>
      </c>
      <c r="K162" s="4" t="s">
        <v>1902</v>
      </c>
    </row>
    <row r="163" spans="1:11" ht="31" customHeight="1">
      <c r="A163" s="4" t="s">
        <v>236</v>
      </c>
      <c r="B163" s="4" t="s">
        <v>237</v>
      </c>
      <c r="C163" s="4" t="s">
        <v>95</v>
      </c>
      <c r="D163" s="5"/>
      <c r="E163" s="4" t="s">
        <v>247</v>
      </c>
      <c r="F163" s="4" t="s">
        <v>1739</v>
      </c>
      <c r="G163" s="4" t="s">
        <v>464</v>
      </c>
      <c r="H163" s="4" t="s">
        <v>1899</v>
      </c>
      <c r="I163" s="4" t="s">
        <v>1923</v>
      </c>
      <c r="J163" s="4" t="s">
        <v>1904</v>
      </c>
      <c r="K163" s="4" t="s">
        <v>1905</v>
      </c>
    </row>
    <row r="164" spans="1:11" ht="31" customHeight="1">
      <c r="A164" s="4" t="s">
        <v>252</v>
      </c>
      <c r="B164" s="4" t="s">
        <v>237</v>
      </c>
      <c r="C164" s="4" t="s">
        <v>63</v>
      </c>
      <c r="D164" s="5"/>
      <c r="E164" s="6">
        <v>13538</v>
      </c>
      <c r="F164" s="4" t="s">
        <v>1744</v>
      </c>
      <c r="G164" s="4" t="s">
        <v>464</v>
      </c>
      <c r="H164" s="4" t="s">
        <v>1924</v>
      </c>
      <c r="I164" s="4" t="s">
        <v>1925</v>
      </c>
      <c r="J164" s="4" t="s">
        <v>1926</v>
      </c>
      <c r="K164" s="4" t="s">
        <v>1927</v>
      </c>
    </row>
    <row r="165" spans="1:11" ht="31" customHeight="1">
      <c r="A165" s="4" t="s">
        <v>252</v>
      </c>
      <c r="B165" s="4" t="s">
        <v>237</v>
      </c>
      <c r="C165" s="4" t="s">
        <v>73</v>
      </c>
      <c r="D165" s="5"/>
      <c r="E165" s="4" t="s">
        <v>130</v>
      </c>
      <c r="F165" s="4" t="s">
        <v>1744</v>
      </c>
      <c r="G165" s="4" t="s">
        <v>464</v>
      </c>
      <c r="H165" s="4" t="s">
        <v>1924</v>
      </c>
      <c r="I165" s="4" t="s">
        <v>1925</v>
      </c>
      <c r="J165" s="4" t="s">
        <v>1926</v>
      </c>
      <c r="K165" s="4" t="s">
        <v>1927</v>
      </c>
    </row>
    <row r="166" spans="1:11" ht="31" customHeight="1">
      <c r="A166" s="4" t="s">
        <v>252</v>
      </c>
      <c r="B166" s="4" t="s">
        <v>237</v>
      </c>
      <c r="C166" s="4" t="s">
        <v>94</v>
      </c>
      <c r="D166" s="5"/>
      <c r="E166" s="6">
        <v>856</v>
      </c>
      <c r="F166" s="4" t="s">
        <v>1739</v>
      </c>
      <c r="G166" s="4" t="s">
        <v>464</v>
      </c>
      <c r="H166" s="4" t="s">
        <v>1924</v>
      </c>
      <c r="I166" s="4" t="s">
        <v>1925</v>
      </c>
      <c r="J166" s="4" t="s">
        <v>1926</v>
      </c>
      <c r="K166" s="4" t="s">
        <v>1927</v>
      </c>
    </row>
    <row r="167" spans="1:11" ht="31" customHeight="1">
      <c r="A167" s="4" t="s">
        <v>252</v>
      </c>
      <c r="B167" s="4" t="s">
        <v>237</v>
      </c>
      <c r="C167" s="4" t="s">
        <v>102</v>
      </c>
      <c r="D167" s="5"/>
      <c r="E167" s="6">
        <v>1767</v>
      </c>
      <c r="F167" s="4" t="s">
        <v>1739</v>
      </c>
      <c r="G167" s="4" t="s">
        <v>464</v>
      </c>
      <c r="H167" s="4" t="s">
        <v>1924</v>
      </c>
      <c r="I167" s="4" t="s">
        <v>1925</v>
      </c>
      <c r="J167" s="4" t="s">
        <v>1926</v>
      </c>
      <c r="K167" s="4" t="s">
        <v>1927</v>
      </c>
    </row>
    <row r="168" spans="1:11" ht="31" customHeight="1">
      <c r="A168" s="4" t="s">
        <v>252</v>
      </c>
      <c r="B168" s="4" t="s">
        <v>237</v>
      </c>
      <c r="C168" s="4" t="s">
        <v>84</v>
      </c>
      <c r="D168" s="5"/>
      <c r="E168" s="4" t="s">
        <v>257</v>
      </c>
      <c r="F168" s="4" t="s">
        <v>1928</v>
      </c>
      <c r="G168" s="4" t="s">
        <v>464</v>
      </c>
      <c r="H168" s="4" t="s">
        <v>1924</v>
      </c>
      <c r="I168" s="4" t="s">
        <v>1925</v>
      </c>
      <c r="J168" s="4" t="s">
        <v>1929</v>
      </c>
      <c r="K168" s="4" t="s">
        <v>1927</v>
      </c>
    </row>
    <row r="169" spans="1:11" ht="31" customHeight="1">
      <c r="A169" s="4" t="s">
        <v>263</v>
      </c>
      <c r="B169" s="4" t="s">
        <v>237</v>
      </c>
      <c r="C169" s="4" t="s">
        <v>63</v>
      </c>
      <c r="D169" s="5"/>
      <c r="E169" s="6">
        <v>21567.9</v>
      </c>
      <c r="F169" s="4" t="s">
        <v>1744</v>
      </c>
      <c r="G169" s="4" t="s">
        <v>464</v>
      </c>
      <c r="H169" s="4" t="s">
        <v>1930</v>
      </c>
      <c r="I169" s="4" t="s">
        <v>1931</v>
      </c>
      <c r="J169" s="4" t="s">
        <v>1926</v>
      </c>
      <c r="K169" s="4" t="s">
        <v>1932</v>
      </c>
    </row>
    <row r="170" spans="1:11" ht="31" customHeight="1">
      <c r="A170" s="4" t="s">
        <v>263</v>
      </c>
      <c r="B170" s="4" t="s">
        <v>237</v>
      </c>
      <c r="C170" s="4" t="s">
        <v>65</v>
      </c>
      <c r="D170" s="5"/>
      <c r="E170" s="6">
        <v>169.7</v>
      </c>
      <c r="F170" s="4" t="s">
        <v>1744</v>
      </c>
      <c r="G170" s="4" t="s">
        <v>464</v>
      </c>
      <c r="H170" s="4" t="s">
        <v>1930</v>
      </c>
      <c r="I170" s="4" t="s">
        <v>1931</v>
      </c>
      <c r="J170" s="4" t="s">
        <v>1926</v>
      </c>
      <c r="K170" s="4" t="s">
        <v>1932</v>
      </c>
    </row>
    <row r="171" spans="1:11" ht="31" customHeight="1">
      <c r="A171" s="4" t="s">
        <v>263</v>
      </c>
      <c r="B171" s="4" t="s">
        <v>237</v>
      </c>
      <c r="C171" s="4" t="s">
        <v>73</v>
      </c>
      <c r="D171" s="5"/>
      <c r="E171" s="4" t="s">
        <v>130</v>
      </c>
      <c r="F171" s="4" t="s">
        <v>1744</v>
      </c>
      <c r="G171" s="4" t="s">
        <v>464</v>
      </c>
      <c r="H171" s="4" t="s">
        <v>1930</v>
      </c>
      <c r="I171" s="4" t="s">
        <v>1931</v>
      </c>
      <c r="J171" s="4" t="s">
        <v>1926</v>
      </c>
      <c r="K171" s="4" t="s">
        <v>1932</v>
      </c>
    </row>
    <row r="172" spans="1:11" ht="31" customHeight="1">
      <c r="A172" s="4" t="s">
        <v>263</v>
      </c>
      <c r="B172" s="4" t="s">
        <v>237</v>
      </c>
      <c r="C172" s="4" t="s">
        <v>97</v>
      </c>
      <c r="D172" s="5"/>
      <c r="E172" s="6">
        <v>211.5</v>
      </c>
      <c r="F172" s="4" t="s">
        <v>1739</v>
      </c>
      <c r="G172" s="4" t="s">
        <v>464</v>
      </c>
      <c r="H172" s="4" t="s">
        <v>1930</v>
      </c>
      <c r="I172" s="4" t="s">
        <v>1931</v>
      </c>
      <c r="J172" s="4" t="s">
        <v>1926</v>
      </c>
      <c r="K172" s="4" t="s">
        <v>1932</v>
      </c>
    </row>
    <row r="173" spans="1:11" ht="31" customHeight="1">
      <c r="A173" s="4" t="s">
        <v>263</v>
      </c>
      <c r="B173" s="4" t="s">
        <v>237</v>
      </c>
      <c r="C173" s="4" t="s">
        <v>84</v>
      </c>
      <c r="D173" s="5"/>
      <c r="E173" s="4" t="s">
        <v>266</v>
      </c>
      <c r="F173" s="4" t="s">
        <v>1928</v>
      </c>
      <c r="G173" s="4" t="s">
        <v>464</v>
      </c>
      <c r="H173" s="4" t="s">
        <v>1930</v>
      </c>
      <c r="I173" s="4" t="s">
        <v>1931</v>
      </c>
      <c r="J173" s="4" t="s">
        <v>1929</v>
      </c>
      <c r="K173" s="4" t="s">
        <v>1932</v>
      </c>
    </row>
    <row r="174" spans="1:11" ht="31" customHeight="1">
      <c r="A174" s="4" t="s">
        <v>298</v>
      </c>
      <c r="B174" s="4" t="s">
        <v>237</v>
      </c>
      <c r="C174" s="4" t="s">
        <v>63</v>
      </c>
      <c r="D174" s="5"/>
      <c r="E174" s="6">
        <v>1001.6</v>
      </c>
      <c r="F174" s="4" t="s">
        <v>1744</v>
      </c>
      <c r="G174" s="4" t="s">
        <v>464</v>
      </c>
      <c r="H174" s="4" t="s">
        <v>1930</v>
      </c>
      <c r="I174" s="4" t="s">
        <v>1933</v>
      </c>
      <c r="J174" s="4" t="s">
        <v>1926</v>
      </c>
      <c r="K174" s="4" t="s">
        <v>1934</v>
      </c>
    </row>
    <row r="175" spans="1:11" ht="31" customHeight="1">
      <c r="A175" s="4" t="s">
        <v>298</v>
      </c>
      <c r="B175" s="4" t="s">
        <v>237</v>
      </c>
      <c r="C175" s="4" t="s">
        <v>65</v>
      </c>
      <c r="D175" s="5"/>
      <c r="E175" s="6">
        <v>68.8</v>
      </c>
      <c r="F175" s="4" t="s">
        <v>1744</v>
      </c>
      <c r="G175" s="4" t="s">
        <v>464</v>
      </c>
      <c r="H175" s="4" t="s">
        <v>1930</v>
      </c>
      <c r="I175" s="4" t="s">
        <v>1933</v>
      </c>
      <c r="J175" s="4" t="s">
        <v>1926</v>
      </c>
      <c r="K175" s="4" t="s">
        <v>1934</v>
      </c>
    </row>
    <row r="176" spans="1:11" ht="31" customHeight="1">
      <c r="A176" s="4" t="s">
        <v>298</v>
      </c>
      <c r="B176" s="4" t="s">
        <v>237</v>
      </c>
      <c r="C176" s="4" t="s">
        <v>73</v>
      </c>
      <c r="D176" s="5"/>
      <c r="E176" s="4" t="s">
        <v>130</v>
      </c>
      <c r="F176" s="4" t="s">
        <v>1744</v>
      </c>
      <c r="G176" s="4" t="s">
        <v>464</v>
      </c>
      <c r="H176" s="4" t="s">
        <v>1930</v>
      </c>
      <c r="I176" s="4" t="s">
        <v>1933</v>
      </c>
      <c r="J176" s="4" t="s">
        <v>1926</v>
      </c>
      <c r="K176" s="4" t="s">
        <v>1934</v>
      </c>
    </row>
    <row r="177" spans="1:11" ht="31" customHeight="1">
      <c r="A177" s="4" t="s">
        <v>298</v>
      </c>
      <c r="B177" s="4" t="s">
        <v>237</v>
      </c>
      <c r="C177" s="4" t="s">
        <v>84</v>
      </c>
      <c r="D177" s="5"/>
      <c r="E177" s="4" t="s">
        <v>277</v>
      </c>
      <c r="F177" s="4" t="s">
        <v>1928</v>
      </c>
      <c r="G177" s="4" t="s">
        <v>464</v>
      </c>
      <c r="H177" s="4" t="s">
        <v>1930</v>
      </c>
      <c r="I177" s="4" t="s">
        <v>1933</v>
      </c>
      <c r="J177" s="4" t="s">
        <v>1929</v>
      </c>
      <c r="K177" s="4" t="s">
        <v>1934</v>
      </c>
    </row>
    <row r="178" spans="1:11" ht="31" customHeight="1">
      <c r="A178" s="4" t="s">
        <v>472</v>
      </c>
      <c r="B178" s="4" t="s">
        <v>237</v>
      </c>
      <c r="C178" s="4" t="s">
        <v>63</v>
      </c>
      <c r="D178" s="5"/>
      <c r="E178" s="6">
        <v>1867</v>
      </c>
      <c r="F178" s="4" t="s">
        <v>1744</v>
      </c>
      <c r="G178" s="4" t="s">
        <v>464</v>
      </c>
      <c r="H178" s="4" t="s">
        <v>1930</v>
      </c>
      <c r="I178" s="4" t="s">
        <v>1935</v>
      </c>
      <c r="J178" s="4" t="s">
        <v>1926</v>
      </c>
      <c r="K178" s="4" t="s">
        <v>1934</v>
      </c>
    </row>
    <row r="179" spans="1:11" ht="31" customHeight="1">
      <c r="A179" s="4" t="s">
        <v>472</v>
      </c>
      <c r="B179" s="4" t="s">
        <v>237</v>
      </c>
      <c r="C179" s="4" t="s">
        <v>65</v>
      </c>
      <c r="D179" s="5"/>
      <c r="E179" s="6">
        <v>150.2</v>
      </c>
      <c r="F179" s="4" t="s">
        <v>1744</v>
      </c>
      <c r="G179" s="4" t="s">
        <v>464</v>
      </c>
      <c r="H179" s="4" t="s">
        <v>1930</v>
      </c>
      <c r="I179" s="4" t="s">
        <v>1935</v>
      </c>
      <c r="J179" s="4" t="s">
        <v>1926</v>
      </c>
      <c r="K179" s="4" t="s">
        <v>1934</v>
      </c>
    </row>
    <row r="180" spans="1:11" ht="31" customHeight="1">
      <c r="A180" s="4" t="s">
        <v>472</v>
      </c>
      <c r="B180" s="4" t="s">
        <v>237</v>
      </c>
      <c r="C180" s="4" t="s">
        <v>73</v>
      </c>
      <c r="D180" s="5"/>
      <c r="E180" s="4" t="s">
        <v>130</v>
      </c>
      <c r="F180" s="4" t="s">
        <v>1744</v>
      </c>
      <c r="G180" s="4" t="s">
        <v>464</v>
      </c>
      <c r="H180" s="4" t="s">
        <v>1930</v>
      </c>
      <c r="I180" s="4" t="s">
        <v>1935</v>
      </c>
      <c r="J180" s="4" t="s">
        <v>1926</v>
      </c>
      <c r="K180" s="4" t="s">
        <v>1934</v>
      </c>
    </row>
    <row r="181" spans="1:11" ht="31" customHeight="1">
      <c r="A181" s="4" t="s">
        <v>472</v>
      </c>
      <c r="B181" s="4" t="s">
        <v>237</v>
      </c>
      <c r="C181" s="4" t="s">
        <v>84</v>
      </c>
      <c r="D181" s="5"/>
      <c r="E181" s="4" t="s">
        <v>277</v>
      </c>
      <c r="F181" s="4" t="s">
        <v>1928</v>
      </c>
      <c r="G181" s="4" t="s">
        <v>464</v>
      </c>
      <c r="H181" s="4" t="s">
        <v>1930</v>
      </c>
      <c r="I181" s="4" t="s">
        <v>1935</v>
      </c>
      <c r="J181" s="4" t="s">
        <v>1929</v>
      </c>
      <c r="K181" s="4" t="s">
        <v>1934</v>
      </c>
    </row>
    <row r="182" spans="1:11" ht="31" customHeight="1">
      <c r="A182" s="4" t="s">
        <v>463</v>
      </c>
      <c r="B182" s="4" t="s">
        <v>237</v>
      </c>
      <c r="C182" s="4" t="s">
        <v>63</v>
      </c>
      <c r="D182" s="5"/>
      <c r="E182" s="6">
        <v>2418</v>
      </c>
      <c r="F182" s="4" t="s">
        <v>1744</v>
      </c>
      <c r="G182" s="4" t="s">
        <v>464</v>
      </c>
      <c r="H182" s="4" t="s">
        <v>1930</v>
      </c>
      <c r="I182" s="4" t="s">
        <v>1936</v>
      </c>
      <c r="J182" s="4" t="s">
        <v>1926</v>
      </c>
      <c r="K182" s="4" t="s">
        <v>1934</v>
      </c>
    </row>
    <row r="183" spans="1:11" ht="31" customHeight="1">
      <c r="A183" s="4" t="s">
        <v>463</v>
      </c>
      <c r="B183" s="4" t="s">
        <v>237</v>
      </c>
      <c r="C183" s="4" t="s">
        <v>65</v>
      </c>
      <c r="D183" s="5"/>
      <c r="E183" s="6">
        <v>180.1</v>
      </c>
      <c r="F183" s="4" t="s">
        <v>1744</v>
      </c>
      <c r="G183" s="4" t="s">
        <v>464</v>
      </c>
      <c r="H183" s="4" t="s">
        <v>1930</v>
      </c>
      <c r="I183" s="4" t="s">
        <v>1936</v>
      </c>
      <c r="J183" s="4" t="s">
        <v>1926</v>
      </c>
      <c r="K183" s="4" t="s">
        <v>1934</v>
      </c>
    </row>
    <row r="184" spans="1:11" ht="31" customHeight="1">
      <c r="A184" s="4" t="s">
        <v>463</v>
      </c>
      <c r="B184" s="4" t="s">
        <v>237</v>
      </c>
      <c r="C184" s="4" t="s">
        <v>73</v>
      </c>
      <c r="D184" s="5"/>
      <c r="E184" s="4" t="s">
        <v>130</v>
      </c>
      <c r="F184" s="4" t="s">
        <v>1744</v>
      </c>
      <c r="G184" s="4" t="s">
        <v>464</v>
      </c>
      <c r="H184" s="4" t="s">
        <v>1930</v>
      </c>
      <c r="I184" s="4" t="s">
        <v>1936</v>
      </c>
      <c r="J184" s="4" t="s">
        <v>1926</v>
      </c>
      <c r="K184" s="4" t="s">
        <v>1934</v>
      </c>
    </row>
    <row r="185" spans="1:11" ht="31" customHeight="1">
      <c r="A185" s="4" t="s">
        <v>463</v>
      </c>
      <c r="B185" s="4" t="s">
        <v>237</v>
      </c>
      <c r="C185" s="4" t="s">
        <v>84</v>
      </c>
      <c r="D185" s="5"/>
      <c r="E185" s="4" t="s">
        <v>277</v>
      </c>
      <c r="F185" s="4" t="s">
        <v>1928</v>
      </c>
      <c r="G185" s="4" t="s">
        <v>464</v>
      </c>
      <c r="H185" s="4" t="s">
        <v>1930</v>
      </c>
      <c r="I185" s="4" t="s">
        <v>1936</v>
      </c>
      <c r="J185" s="4" t="s">
        <v>1929</v>
      </c>
      <c r="K185" s="4" t="s">
        <v>1934</v>
      </c>
    </row>
    <row r="186" spans="1:11" ht="31" customHeight="1">
      <c r="A186" s="4" t="s">
        <v>274</v>
      </c>
      <c r="B186" s="4" t="s">
        <v>237</v>
      </c>
      <c r="C186" s="4" t="s">
        <v>67</v>
      </c>
      <c r="D186" s="5"/>
      <c r="E186" s="6">
        <v>4527</v>
      </c>
      <c r="F186" s="4" t="s">
        <v>1744</v>
      </c>
      <c r="G186" s="4" t="s">
        <v>464</v>
      </c>
      <c r="H186" s="4" t="s">
        <v>1930</v>
      </c>
      <c r="I186" s="4" t="s">
        <v>1937</v>
      </c>
      <c r="J186" s="4" t="s">
        <v>1938</v>
      </c>
      <c r="K186" s="4" t="s">
        <v>1934</v>
      </c>
    </row>
    <row r="187" spans="1:11" ht="31" customHeight="1">
      <c r="A187" s="4" t="s">
        <v>274</v>
      </c>
      <c r="B187" s="4" t="s">
        <v>237</v>
      </c>
      <c r="C187" s="4" t="s">
        <v>64</v>
      </c>
      <c r="D187" s="5"/>
      <c r="E187" s="6">
        <v>22261</v>
      </c>
      <c r="F187" s="4" t="s">
        <v>1744</v>
      </c>
      <c r="G187" s="4" t="s">
        <v>464</v>
      </c>
      <c r="H187" s="4" t="s">
        <v>1930</v>
      </c>
      <c r="I187" s="4" t="s">
        <v>1937</v>
      </c>
      <c r="J187" s="4" t="s">
        <v>1938</v>
      </c>
      <c r="K187" s="4" t="s">
        <v>1934</v>
      </c>
    </row>
    <row r="188" spans="1:11" ht="31" customHeight="1">
      <c r="A188" s="4" t="s">
        <v>274</v>
      </c>
      <c r="B188" s="4" t="s">
        <v>237</v>
      </c>
      <c r="C188" s="4" t="s">
        <v>73</v>
      </c>
      <c r="D188" s="5"/>
      <c r="E188" s="4" t="s">
        <v>113</v>
      </c>
      <c r="F188" s="4" t="s">
        <v>1744</v>
      </c>
      <c r="G188" s="4" t="s">
        <v>464</v>
      </c>
      <c r="H188" s="4" t="s">
        <v>1930</v>
      </c>
      <c r="I188" s="4" t="s">
        <v>1937</v>
      </c>
      <c r="J188" s="4" t="s">
        <v>1938</v>
      </c>
      <c r="K188" s="4" t="s">
        <v>1934</v>
      </c>
    </row>
    <row r="189" spans="1:11" ht="31" customHeight="1">
      <c r="A189" s="4" t="s">
        <v>274</v>
      </c>
      <c r="B189" s="4" t="s">
        <v>237</v>
      </c>
      <c r="C189" s="4" t="s">
        <v>101</v>
      </c>
      <c r="D189" s="5"/>
      <c r="E189" s="6">
        <v>89730</v>
      </c>
      <c r="F189" s="4" t="s">
        <v>1739</v>
      </c>
      <c r="G189" s="4" t="s">
        <v>464</v>
      </c>
      <c r="H189" s="4" t="s">
        <v>1930</v>
      </c>
      <c r="I189" s="4" t="s">
        <v>1937</v>
      </c>
      <c r="J189" s="4" t="s">
        <v>1938</v>
      </c>
      <c r="K189" s="4" t="s">
        <v>1934</v>
      </c>
    </row>
    <row r="190" spans="1:11" ht="31" customHeight="1">
      <c r="A190" s="4" t="s">
        <v>274</v>
      </c>
      <c r="B190" s="4" t="s">
        <v>237</v>
      </c>
      <c r="C190" s="4" t="s">
        <v>96</v>
      </c>
      <c r="D190" s="5"/>
      <c r="E190" s="6">
        <v>13264</v>
      </c>
      <c r="F190" s="4" t="s">
        <v>1739</v>
      </c>
      <c r="G190" s="4" t="s">
        <v>464</v>
      </c>
      <c r="H190" s="4" t="s">
        <v>1930</v>
      </c>
      <c r="I190" s="4" t="s">
        <v>1937</v>
      </c>
      <c r="J190" s="4" t="s">
        <v>1938</v>
      </c>
      <c r="K190" s="4" t="s">
        <v>1934</v>
      </c>
    </row>
    <row r="191" spans="1:11" ht="31" customHeight="1">
      <c r="A191" s="4" t="s">
        <v>274</v>
      </c>
      <c r="B191" s="4" t="s">
        <v>237</v>
      </c>
      <c r="C191" s="4" t="s">
        <v>493</v>
      </c>
      <c r="D191" s="5"/>
      <c r="E191" s="6">
        <v>6.76</v>
      </c>
      <c r="F191" s="4" t="s">
        <v>1796</v>
      </c>
      <c r="G191" s="4" t="s">
        <v>464</v>
      </c>
      <c r="H191" s="4" t="s">
        <v>1930</v>
      </c>
      <c r="I191" s="4" t="s">
        <v>1937</v>
      </c>
      <c r="J191" s="4" t="s">
        <v>1938</v>
      </c>
      <c r="K191" s="4" t="s">
        <v>1934</v>
      </c>
    </row>
    <row r="192" spans="1:11" ht="31" customHeight="1">
      <c r="A192" s="4" t="s">
        <v>274</v>
      </c>
      <c r="B192" s="4" t="s">
        <v>237</v>
      </c>
      <c r="C192" s="4" t="s">
        <v>84</v>
      </c>
      <c r="D192" s="5"/>
      <c r="E192" s="4" t="s">
        <v>277</v>
      </c>
      <c r="F192" s="4" t="s">
        <v>1928</v>
      </c>
      <c r="G192" s="4" t="s">
        <v>464</v>
      </c>
      <c r="H192" s="4" t="s">
        <v>1930</v>
      </c>
      <c r="I192" s="4" t="s">
        <v>1937</v>
      </c>
      <c r="J192" s="4" t="s">
        <v>1929</v>
      </c>
      <c r="K192" s="4" t="s">
        <v>1934</v>
      </c>
    </row>
    <row r="193" spans="1:11" ht="31" customHeight="1">
      <c r="A193" s="4" t="s">
        <v>268</v>
      </c>
      <c r="B193" s="4" t="s">
        <v>237</v>
      </c>
      <c r="C193" s="4" t="s">
        <v>100</v>
      </c>
      <c r="D193" s="5"/>
      <c r="E193" s="6">
        <v>82.3</v>
      </c>
      <c r="F193" s="4" t="s">
        <v>1739</v>
      </c>
      <c r="G193" s="4" t="s">
        <v>464</v>
      </c>
      <c r="H193" s="4" t="s">
        <v>1930</v>
      </c>
      <c r="I193" s="4" t="s">
        <v>1939</v>
      </c>
      <c r="J193" s="4" t="s">
        <v>1938</v>
      </c>
      <c r="K193" s="4" t="s">
        <v>1940</v>
      </c>
    </row>
    <row r="194" spans="1:11" ht="31" customHeight="1">
      <c r="A194" s="4" t="s">
        <v>268</v>
      </c>
      <c r="B194" s="4" t="s">
        <v>237</v>
      </c>
      <c r="C194" s="4" t="s">
        <v>73</v>
      </c>
      <c r="D194" s="5"/>
      <c r="E194" s="4" t="s">
        <v>113</v>
      </c>
      <c r="F194" s="4" t="s">
        <v>1744</v>
      </c>
      <c r="G194" s="4" t="s">
        <v>464</v>
      </c>
      <c r="H194" s="4" t="s">
        <v>1930</v>
      </c>
      <c r="I194" s="4" t="s">
        <v>1939</v>
      </c>
      <c r="J194" s="4" t="s">
        <v>1938</v>
      </c>
      <c r="K194" s="4" t="s">
        <v>1940</v>
      </c>
    </row>
    <row r="195" spans="1:11" ht="31" customHeight="1">
      <c r="A195" s="4" t="s">
        <v>268</v>
      </c>
      <c r="B195" s="4" t="s">
        <v>237</v>
      </c>
      <c r="C195" s="4" t="s">
        <v>103</v>
      </c>
      <c r="D195" s="5"/>
      <c r="E195" s="6">
        <v>0.099</v>
      </c>
      <c r="F195" s="4" t="s">
        <v>1739</v>
      </c>
      <c r="G195" s="4" t="s">
        <v>464</v>
      </c>
      <c r="H195" s="4" t="s">
        <v>1930</v>
      </c>
      <c r="I195" s="4" t="s">
        <v>1939</v>
      </c>
      <c r="J195" s="4" t="s">
        <v>1938</v>
      </c>
      <c r="K195" s="4" t="s">
        <v>1940</v>
      </c>
    </row>
    <row r="196" spans="1:11" ht="31" customHeight="1">
      <c r="A196" s="4" t="s">
        <v>268</v>
      </c>
      <c r="B196" s="4" t="s">
        <v>237</v>
      </c>
      <c r="C196" s="4" t="s">
        <v>84</v>
      </c>
      <c r="D196" s="5"/>
      <c r="E196" s="4" t="s">
        <v>271</v>
      </c>
      <c r="F196" s="4" t="s">
        <v>1928</v>
      </c>
      <c r="G196" s="4" t="s">
        <v>464</v>
      </c>
      <c r="H196" s="4" t="s">
        <v>1930</v>
      </c>
      <c r="I196" s="4" t="s">
        <v>1939</v>
      </c>
      <c r="J196" s="4" t="s">
        <v>1929</v>
      </c>
      <c r="K196" s="4" t="s">
        <v>1940</v>
      </c>
    </row>
    <row r="197" spans="1:11" ht="31" customHeight="1">
      <c r="A197" s="4" t="s">
        <v>463</v>
      </c>
      <c r="B197" s="4" t="s">
        <v>237</v>
      </c>
      <c r="C197" s="4" t="s">
        <v>495</v>
      </c>
      <c r="D197" s="5"/>
      <c r="E197" s="4" t="s">
        <v>532</v>
      </c>
      <c r="F197" s="4" t="s">
        <v>1796</v>
      </c>
      <c r="G197" s="4" t="s">
        <v>464</v>
      </c>
      <c r="H197" s="4" t="s">
        <v>1930</v>
      </c>
      <c r="I197" s="4" t="s">
        <v>1941</v>
      </c>
      <c r="J197" s="4" t="s">
        <v>1942</v>
      </c>
      <c r="K197" s="4" t="s">
        <v>1943</v>
      </c>
    </row>
    <row r="198" spans="1:11" ht="31" customHeight="1">
      <c r="A198" s="4" t="s">
        <v>463</v>
      </c>
      <c r="B198" s="4" t="s">
        <v>237</v>
      </c>
      <c r="C198" s="4" t="s">
        <v>72</v>
      </c>
      <c r="D198" s="5"/>
      <c r="E198" s="4" t="s">
        <v>464</v>
      </c>
      <c r="F198" s="4" t="s">
        <v>1744</v>
      </c>
      <c r="G198" s="4" t="s">
        <v>464</v>
      </c>
      <c r="H198" s="4" t="s">
        <v>1944</v>
      </c>
      <c r="I198" s="4" t="s">
        <v>1945</v>
      </c>
      <c r="J198" s="4" t="s">
        <v>1946</v>
      </c>
      <c r="K198" s="4" t="s">
        <v>1947</v>
      </c>
    </row>
    <row r="199" spans="1:11" ht="31" customHeight="1">
      <c r="A199" s="4" t="s">
        <v>463</v>
      </c>
      <c r="B199" s="4" t="s">
        <v>237</v>
      </c>
      <c r="C199" s="4" t="s">
        <v>74</v>
      </c>
      <c r="D199" s="5"/>
      <c r="E199" s="4" t="s">
        <v>465</v>
      </c>
      <c r="F199" s="4" t="s">
        <v>1744</v>
      </c>
      <c r="G199" s="4" t="s">
        <v>464</v>
      </c>
      <c r="H199" s="4" t="s">
        <v>1948</v>
      </c>
      <c r="I199" s="4" t="s">
        <v>1949</v>
      </c>
      <c r="J199" s="4" t="s">
        <v>1950</v>
      </c>
      <c r="K199" s="4" t="s">
        <v>1951</v>
      </c>
    </row>
    <row r="200" spans="1:11" ht="31" customHeight="1">
      <c r="A200" s="4" t="s">
        <v>469</v>
      </c>
      <c r="B200" s="4" t="s">
        <v>237</v>
      </c>
      <c r="C200" s="4" t="s">
        <v>72</v>
      </c>
      <c r="D200" s="5"/>
      <c r="E200" s="4" t="s">
        <v>464</v>
      </c>
      <c r="F200" s="4" t="s">
        <v>1744</v>
      </c>
      <c r="G200" s="4" t="s">
        <v>464</v>
      </c>
      <c r="H200" s="4" t="s">
        <v>1944</v>
      </c>
      <c r="I200" s="4" t="s">
        <v>1945</v>
      </c>
      <c r="J200" s="4" t="s">
        <v>1946</v>
      </c>
      <c r="K200" s="4" t="s">
        <v>1947</v>
      </c>
    </row>
    <row r="201" spans="1:11" ht="31" customHeight="1">
      <c r="A201" s="4" t="s">
        <v>469</v>
      </c>
      <c r="B201" s="4" t="s">
        <v>237</v>
      </c>
      <c r="C201" s="4" t="s">
        <v>74</v>
      </c>
      <c r="D201" s="5"/>
      <c r="E201" s="4" t="s">
        <v>465</v>
      </c>
      <c r="F201" s="4" t="s">
        <v>1744</v>
      </c>
      <c r="G201" s="4" t="s">
        <v>464</v>
      </c>
      <c r="H201" s="4" t="s">
        <v>1948</v>
      </c>
      <c r="I201" s="4" t="s">
        <v>1949</v>
      </c>
      <c r="J201" s="4" t="s">
        <v>1950</v>
      </c>
      <c r="K201" s="4" t="s">
        <v>1951</v>
      </c>
    </row>
    <row r="202" spans="1:11" ht="31" customHeight="1">
      <c r="A202" s="4" t="s">
        <v>472</v>
      </c>
      <c r="B202" s="4" t="s">
        <v>237</v>
      </c>
      <c r="C202" s="4" t="s">
        <v>72</v>
      </c>
      <c r="D202" s="5"/>
      <c r="E202" s="4" t="s">
        <v>464</v>
      </c>
      <c r="F202" s="4" t="s">
        <v>1744</v>
      </c>
      <c r="G202" s="4" t="s">
        <v>464</v>
      </c>
      <c r="H202" s="4" t="s">
        <v>1944</v>
      </c>
      <c r="I202" s="4" t="s">
        <v>1945</v>
      </c>
      <c r="J202" s="4" t="s">
        <v>1946</v>
      </c>
      <c r="K202" s="4" t="s">
        <v>1947</v>
      </c>
    </row>
    <row r="203" spans="1:11" ht="31" customHeight="1">
      <c r="A203" s="4" t="s">
        <v>472</v>
      </c>
      <c r="B203" s="4" t="s">
        <v>237</v>
      </c>
      <c r="C203" s="4" t="s">
        <v>74</v>
      </c>
      <c r="D203" s="5"/>
      <c r="E203" s="4" t="s">
        <v>465</v>
      </c>
      <c r="F203" s="4" t="s">
        <v>1744</v>
      </c>
      <c r="G203" s="4" t="s">
        <v>464</v>
      </c>
      <c r="H203" s="4" t="s">
        <v>1948</v>
      </c>
      <c r="I203" s="4" t="s">
        <v>1949</v>
      </c>
      <c r="J203" s="4" t="s">
        <v>1950</v>
      </c>
      <c r="K203" s="4" t="s">
        <v>1951</v>
      </c>
    </row>
    <row r="204" spans="1:11" ht="31" customHeight="1">
      <c r="A204" s="4" t="s">
        <v>310</v>
      </c>
      <c r="B204" s="4" t="s">
        <v>311</v>
      </c>
      <c r="C204" s="4" t="s">
        <v>72</v>
      </c>
      <c r="D204" s="4" t="s">
        <v>1085</v>
      </c>
      <c r="E204" s="4" t="s">
        <v>1952</v>
      </c>
      <c r="F204" s="4" t="s">
        <v>1953</v>
      </c>
      <c r="G204" s="4" t="s">
        <v>319</v>
      </c>
      <c r="H204" s="4" t="s">
        <v>1954</v>
      </c>
      <c r="I204" s="4" t="s">
        <v>1955</v>
      </c>
      <c r="J204" s="4" t="s">
        <v>1956</v>
      </c>
      <c r="K204" s="4" t="s">
        <v>1957</v>
      </c>
    </row>
    <row r="205" spans="1:11" ht="31" customHeight="1">
      <c r="A205" s="4" t="s">
        <v>310</v>
      </c>
      <c r="B205" s="4" t="s">
        <v>311</v>
      </c>
      <c r="C205" s="4" t="s">
        <v>74</v>
      </c>
      <c r="D205" s="5"/>
      <c r="E205" s="4" t="s">
        <v>313</v>
      </c>
      <c r="F205" s="4" t="s">
        <v>1744</v>
      </c>
      <c r="G205" s="4" t="s">
        <v>319</v>
      </c>
      <c r="H205" s="4" t="s">
        <v>1954</v>
      </c>
      <c r="I205" s="4" t="s">
        <v>1958</v>
      </c>
      <c r="J205" s="4" t="s">
        <v>1959</v>
      </c>
      <c r="K205" s="4" t="s">
        <v>1960</v>
      </c>
    </row>
    <row r="206" spans="1:11" ht="31" customHeight="1">
      <c r="A206" s="4" t="s">
        <v>310</v>
      </c>
      <c r="B206" s="4" t="s">
        <v>311</v>
      </c>
      <c r="C206" s="4" t="s">
        <v>88</v>
      </c>
      <c r="D206" s="5"/>
      <c r="E206" s="4" t="s">
        <v>318</v>
      </c>
      <c r="F206" s="4" t="s">
        <v>1928</v>
      </c>
      <c r="G206" s="4" t="s">
        <v>319</v>
      </c>
      <c r="H206" s="4" t="s">
        <v>1954</v>
      </c>
      <c r="I206" s="4" t="s">
        <v>1961</v>
      </c>
      <c r="J206" s="4" t="s">
        <v>1962</v>
      </c>
      <c r="K206" s="4" t="s">
        <v>1963</v>
      </c>
    </row>
    <row r="207" spans="1:11" ht="31" customHeight="1">
      <c r="A207" s="4" t="s">
        <v>321</v>
      </c>
      <c r="B207" s="4" t="s">
        <v>311</v>
      </c>
      <c r="C207" s="4" t="s">
        <v>72</v>
      </c>
      <c r="D207" s="4" t="s">
        <v>1085</v>
      </c>
      <c r="E207" s="4" t="s">
        <v>1952</v>
      </c>
      <c r="F207" s="4" t="s">
        <v>1953</v>
      </c>
      <c r="G207" s="4" t="s">
        <v>319</v>
      </c>
      <c r="H207" s="4" t="s">
        <v>1954</v>
      </c>
      <c r="I207" s="4" t="s">
        <v>1955</v>
      </c>
      <c r="J207" s="4" t="s">
        <v>1956</v>
      </c>
      <c r="K207" s="4" t="s">
        <v>1957</v>
      </c>
    </row>
    <row r="208" spans="1:11" ht="31" customHeight="1">
      <c r="A208" s="4" t="s">
        <v>321</v>
      </c>
      <c r="B208" s="4" t="s">
        <v>311</v>
      </c>
      <c r="C208" s="4" t="s">
        <v>74</v>
      </c>
      <c r="D208" s="5"/>
      <c r="E208" s="4" t="s">
        <v>313</v>
      </c>
      <c r="F208" s="4" t="s">
        <v>1744</v>
      </c>
      <c r="G208" s="4" t="s">
        <v>319</v>
      </c>
      <c r="H208" s="4" t="s">
        <v>1954</v>
      </c>
      <c r="I208" s="4" t="s">
        <v>1958</v>
      </c>
      <c r="J208" s="4" t="s">
        <v>1959</v>
      </c>
      <c r="K208" s="4" t="s">
        <v>1960</v>
      </c>
    </row>
    <row r="209" spans="1:11" ht="31" customHeight="1">
      <c r="A209" s="4" t="s">
        <v>321</v>
      </c>
      <c r="B209" s="4" t="s">
        <v>311</v>
      </c>
      <c r="C209" s="4" t="s">
        <v>88</v>
      </c>
      <c r="D209" s="5"/>
      <c r="E209" s="4" t="s">
        <v>318</v>
      </c>
      <c r="F209" s="4" t="s">
        <v>1928</v>
      </c>
      <c r="G209" s="4" t="s">
        <v>319</v>
      </c>
      <c r="H209" s="4" t="s">
        <v>1954</v>
      </c>
      <c r="I209" s="4" t="s">
        <v>1961</v>
      </c>
      <c r="J209" s="4" t="s">
        <v>1962</v>
      </c>
      <c r="K209" s="4" t="s">
        <v>1963</v>
      </c>
    </row>
    <row r="210" spans="1:11" ht="31" customHeight="1">
      <c r="A210" s="4" t="s">
        <v>323</v>
      </c>
      <c r="B210" s="4" t="s">
        <v>311</v>
      </c>
      <c r="C210" s="4" t="s">
        <v>72</v>
      </c>
      <c r="D210" s="4" t="s">
        <v>1085</v>
      </c>
      <c r="E210" s="4" t="s">
        <v>1952</v>
      </c>
      <c r="F210" s="4" t="s">
        <v>1953</v>
      </c>
      <c r="G210" s="4" t="s">
        <v>319</v>
      </c>
      <c r="H210" s="4" t="s">
        <v>1954</v>
      </c>
      <c r="I210" s="4" t="s">
        <v>1955</v>
      </c>
      <c r="J210" s="4" t="s">
        <v>1956</v>
      </c>
      <c r="K210" s="4" t="s">
        <v>1957</v>
      </c>
    </row>
    <row r="211" spans="1:11" ht="31" customHeight="1">
      <c r="A211" s="4" t="s">
        <v>323</v>
      </c>
      <c r="B211" s="4" t="s">
        <v>311</v>
      </c>
      <c r="C211" s="4" t="s">
        <v>74</v>
      </c>
      <c r="D211" s="5"/>
      <c r="E211" s="4" t="s">
        <v>313</v>
      </c>
      <c r="F211" s="4" t="s">
        <v>1744</v>
      </c>
      <c r="G211" s="4" t="s">
        <v>319</v>
      </c>
      <c r="H211" s="4" t="s">
        <v>1954</v>
      </c>
      <c r="I211" s="4" t="s">
        <v>1958</v>
      </c>
      <c r="J211" s="4" t="s">
        <v>1959</v>
      </c>
      <c r="K211" s="4" t="s">
        <v>1960</v>
      </c>
    </row>
    <row r="212" spans="1:11" ht="31" customHeight="1">
      <c r="A212" s="4" t="s">
        <v>323</v>
      </c>
      <c r="B212" s="4" t="s">
        <v>311</v>
      </c>
      <c r="C212" s="4" t="s">
        <v>88</v>
      </c>
      <c r="D212" s="5"/>
      <c r="E212" s="4" t="s">
        <v>318</v>
      </c>
      <c r="F212" s="4" t="s">
        <v>1928</v>
      </c>
      <c r="G212" s="4" t="s">
        <v>319</v>
      </c>
      <c r="H212" s="4" t="s">
        <v>1954</v>
      </c>
      <c r="I212" s="4" t="s">
        <v>1961</v>
      </c>
      <c r="J212" s="4" t="s">
        <v>1962</v>
      </c>
      <c r="K212" s="4" t="s">
        <v>1963</v>
      </c>
    </row>
    <row r="213" spans="1:11" ht="31" customHeight="1">
      <c r="A213" s="4" t="s">
        <v>325</v>
      </c>
      <c r="B213" s="4" t="s">
        <v>311</v>
      </c>
      <c r="C213" s="4" t="s">
        <v>72</v>
      </c>
      <c r="D213" s="4" t="s">
        <v>1085</v>
      </c>
      <c r="E213" s="4" t="s">
        <v>1952</v>
      </c>
      <c r="F213" s="4" t="s">
        <v>1953</v>
      </c>
      <c r="G213" s="4" t="s">
        <v>319</v>
      </c>
      <c r="H213" s="4" t="s">
        <v>1954</v>
      </c>
      <c r="I213" s="4" t="s">
        <v>1955</v>
      </c>
      <c r="J213" s="4" t="s">
        <v>1956</v>
      </c>
      <c r="K213" s="4" t="s">
        <v>1957</v>
      </c>
    </row>
    <row r="214" spans="1:11" ht="31" customHeight="1">
      <c r="A214" s="4" t="s">
        <v>325</v>
      </c>
      <c r="B214" s="4" t="s">
        <v>311</v>
      </c>
      <c r="C214" s="4" t="s">
        <v>74</v>
      </c>
      <c r="D214" s="5"/>
      <c r="E214" s="4" t="s">
        <v>313</v>
      </c>
      <c r="F214" s="4" t="s">
        <v>1744</v>
      </c>
      <c r="G214" s="4" t="s">
        <v>319</v>
      </c>
      <c r="H214" s="4" t="s">
        <v>1954</v>
      </c>
      <c r="I214" s="4" t="s">
        <v>1958</v>
      </c>
      <c r="J214" s="4" t="s">
        <v>1959</v>
      </c>
      <c r="K214" s="4" t="s">
        <v>1960</v>
      </c>
    </row>
    <row r="215" spans="1:11" ht="31" customHeight="1">
      <c r="A215" s="4" t="s">
        <v>325</v>
      </c>
      <c r="B215" s="4" t="s">
        <v>311</v>
      </c>
      <c r="C215" s="4" t="s">
        <v>88</v>
      </c>
      <c r="D215" s="5"/>
      <c r="E215" s="4" t="s">
        <v>318</v>
      </c>
      <c r="F215" s="4" t="s">
        <v>1928</v>
      </c>
      <c r="G215" s="4" t="s">
        <v>319</v>
      </c>
      <c r="H215" s="4" t="s">
        <v>1954</v>
      </c>
      <c r="I215" s="4" t="s">
        <v>1961</v>
      </c>
      <c r="J215" s="4" t="s">
        <v>1962</v>
      </c>
      <c r="K215" s="4" t="s">
        <v>1963</v>
      </c>
    </row>
    <row r="216" spans="1:11" ht="31" customHeight="1">
      <c r="A216" s="4" t="s">
        <v>327</v>
      </c>
      <c r="B216" s="4" t="s">
        <v>311</v>
      </c>
      <c r="C216" s="4" t="s">
        <v>72</v>
      </c>
      <c r="D216" s="4" t="s">
        <v>1085</v>
      </c>
      <c r="E216" s="4" t="s">
        <v>1952</v>
      </c>
      <c r="F216" s="4" t="s">
        <v>1953</v>
      </c>
      <c r="G216" s="4" t="s">
        <v>319</v>
      </c>
      <c r="H216" s="4" t="s">
        <v>1954</v>
      </c>
      <c r="I216" s="4" t="s">
        <v>1955</v>
      </c>
      <c r="J216" s="4" t="s">
        <v>1956</v>
      </c>
      <c r="K216" s="4" t="s">
        <v>1957</v>
      </c>
    </row>
    <row r="217" spans="1:11" ht="31" customHeight="1">
      <c r="A217" s="4" t="s">
        <v>327</v>
      </c>
      <c r="B217" s="4" t="s">
        <v>311</v>
      </c>
      <c r="C217" s="4" t="s">
        <v>74</v>
      </c>
      <c r="D217" s="5"/>
      <c r="E217" s="4" t="s">
        <v>313</v>
      </c>
      <c r="F217" s="4" t="s">
        <v>1744</v>
      </c>
      <c r="G217" s="4" t="s">
        <v>319</v>
      </c>
      <c r="H217" s="4" t="s">
        <v>1954</v>
      </c>
      <c r="I217" s="4" t="s">
        <v>1958</v>
      </c>
      <c r="J217" s="4" t="s">
        <v>1959</v>
      </c>
      <c r="K217" s="4" t="s">
        <v>1960</v>
      </c>
    </row>
    <row r="218" spans="1:11" ht="31" customHeight="1">
      <c r="A218" s="4" t="s">
        <v>327</v>
      </c>
      <c r="B218" s="4" t="s">
        <v>311</v>
      </c>
      <c r="C218" s="4" t="s">
        <v>88</v>
      </c>
      <c r="D218" s="5"/>
      <c r="E218" s="4" t="s">
        <v>318</v>
      </c>
      <c r="F218" s="4" t="s">
        <v>1928</v>
      </c>
      <c r="G218" s="4" t="s">
        <v>319</v>
      </c>
      <c r="H218" s="4" t="s">
        <v>1954</v>
      </c>
      <c r="I218" s="4" t="s">
        <v>1961</v>
      </c>
      <c r="J218" s="4" t="s">
        <v>1962</v>
      </c>
      <c r="K218" s="4" t="s">
        <v>1963</v>
      </c>
    </row>
    <row r="219" spans="1:11" ht="31" customHeight="1">
      <c r="A219" s="4" t="s">
        <v>329</v>
      </c>
      <c r="B219" s="4" t="s">
        <v>311</v>
      </c>
      <c r="C219" s="4" t="s">
        <v>72</v>
      </c>
      <c r="D219" s="4" t="s">
        <v>1085</v>
      </c>
      <c r="E219" s="4" t="s">
        <v>1952</v>
      </c>
      <c r="F219" s="4" t="s">
        <v>1953</v>
      </c>
      <c r="G219" s="4" t="s">
        <v>319</v>
      </c>
      <c r="H219" s="4" t="s">
        <v>1954</v>
      </c>
      <c r="I219" s="4" t="s">
        <v>1955</v>
      </c>
      <c r="J219" s="4" t="s">
        <v>1956</v>
      </c>
      <c r="K219" s="4" t="s">
        <v>1957</v>
      </c>
    </row>
    <row r="220" spans="1:11" ht="31" customHeight="1">
      <c r="A220" s="4" t="s">
        <v>329</v>
      </c>
      <c r="B220" s="4" t="s">
        <v>311</v>
      </c>
      <c r="C220" s="4" t="s">
        <v>74</v>
      </c>
      <c r="D220" s="5"/>
      <c r="E220" s="4" t="s">
        <v>313</v>
      </c>
      <c r="F220" s="4" t="s">
        <v>1744</v>
      </c>
      <c r="G220" s="4" t="s">
        <v>319</v>
      </c>
      <c r="H220" s="4" t="s">
        <v>1954</v>
      </c>
      <c r="I220" s="4" t="s">
        <v>1958</v>
      </c>
      <c r="J220" s="4" t="s">
        <v>1959</v>
      </c>
      <c r="K220" s="4" t="s">
        <v>1960</v>
      </c>
    </row>
    <row r="221" spans="1:11" ht="31" customHeight="1">
      <c r="A221" s="4" t="s">
        <v>329</v>
      </c>
      <c r="B221" s="4" t="s">
        <v>311</v>
      </c>
      <c r="C221" s="4" t="s">
        <v>88</v>
      </c>
      <c r="D221" s="5"/>
      <c r="E221" s="4" t="s">
        <v>318</v>
      </c>
      <c r="F221" s="4" t="s">
        <v>1928</v>
      </c>
      <c r="G221" s="4" t="s">
        <v>319</v>
      </c>
      <c r="H221" s="4" t="s">
        <v>1954</v>
      </c>
      <c r="I221" s="4" t="s">
        <v>1961</v>
      </c>
      <c r="J221" s="4" t="s">
        <v>1962</v>
      </c>
      <c r="K221" s="4" t="s">
        <v>1963</v>
      </c>
    </row>
    <row r="222" spans="1:11" ht="31" customHeight="1">
      <c r="A222" s="4" t="s">
        <v>331</v>
      </c>
      <c r="B222" s="4" t="s">
        <v>311</v>
      </c>
      <c r="C222" s="4" t="s">
        <v>72</v>
      </c>
      <c r="D222" s="4" t="s">
        <v>1085</v>
      </c>
      <c r="E222" s="4" t="s">
        <v>1952</v>
      </c>
      <c r="F222" s="4" t="s">
        <v>1953</v>
      </c>
      <c r="G222" s="4" t="s">
        <v>319</v>
      </c>
      <c r="H222" s="4" t="s">
        <v>1954</v>
      </c>
      <c r="I222" s="4" t="s">
        <v>1955</v>
      </c>
      <c r="J222" s="4" t="s">
        <v>1956</v>
      </c>
      <c r="K222" s="4" t="s">
        <v>1957</v>
      </c>
    </row>
    <row r="223" spans="1:11" ht="31" customHeight="1">
      <c r="A223" s="4" t="s">
        <v>331</v>
      </c>
      <c r="B223" s="4" t="s">
        <v>311</v>
      </c>
      <c r="C223" s="4" t="s">
        <v>74</v>
      </c>
      <c r="D223" s="5"/>
      <c r="E223" s="4" t="s">
        <v>313</v>
      </c>
      <c r="F223" s="4" t="s">
        <v>1744</v>
      </c>
      <c r="G223" s="4" t="s">
        <v>319</v>
      </c>
      <c r="H223" s="4" t="s">
        <v>1954</v>
      </c>
      <c r="I223" s="4" t="s">
        <v>1958</v>
      </c>
      <c r="J223" s="4" t="s">
        <v>1959</v>
      </c>
      <c r="K223" s="4" t="s">
        <v>1960</v>
      </c>
    </row>
    <row r="224" spans="1:11" ht="31" customHeight="1">
      <c r="A224" s="4" t="s">
        <v>331</v>
      </c>
      <c r="B224" s="4" t="s">
        <v>311</v>
      </c>
      <c r="C224" s="4" t="s">
        <v>88</v>
      </c>
      <c r="D224" s="5"/>
      <c r="E224" s="4" t="s">
        <v>318</v>
      </c>
      <c r="F224" s="4" t="s">
        <v>1928</v>
      </c>
      <c r="G224" s="4" t="s">
        <v>319</v>
      </c>
      <c r="H224" s="4" t="s">
        <v>1954</v>
      </c>
      <c r="I224" s="4" t="s">
        <v>1961</v>
      </c>
      <c r="J224" s="4" t="s">
        <v>1962</v>
      </c>
      <c r="K224" s="4" t="s">
        <v>1963</v>
      </c>
    </row>
    <row r="225" spans="1:11" ht="31" customHeight="1">
      <c r="A225" s="4" t="s">
        <v>333</v>
      </c>
      <c r="B225" s="4" t="s">
        <v>311</v>
      </c>
      <c r="C225" s="4" t="s">
        <v>72</v>
      </c>
      <c r="D225" s="4" t="s">
        <v>1085</v>
      </c>
      <c r="E225" s="4" t="s">
        <v>1952</v>
      </c>
      <c r="F225" s="4" t="s">
        <v>1953</v>
      </c>
      <c r="G225" s="4" t="s">
        <v>319</v>
      </c>
      <c r="H225" s="4" t="s">
        <v>1954</v>
      </c>
      <c r="I225" s="4" t="s">
        <v>1955</v>
      </c>
      <c r="J225" s="4" t="s">
        <v>1956</v>
      </c>
      <c r="K225" s="4" t="s">
        <v>1957</v>
      </c>
    </row>
    <row r="226" spans="1:11" ht="31" customHeight="1">
      <c r="A226" s="4" t="s">
        <v>333</v>
      </c>
      <c r="B226" s="4" t="s">
        <v>311</v>
      </c>
      <c r="C226" s="4" t="s">
        <v>74</v>
      </c>
      <c r="D226" s="5"/>
      <c r="E226" s="4" t="s">
        <v>313</v>
      </c>
      <c r="F226" s="4" t="s">
        <v>1744</v>
      </c>
      <c r="G226" s="4" t="s">
        <v>319</v>
      </c>
      <c r="H226" s="4" t="s">
        <v>1954</v>
      </c>
      <c r="I226" s="4" t="s">
        <v>1958</v>
      </c>
      <c r="J226" s="4" t="s">
        <v>1959</v>
      </c>
      <c r="K226" s="4" t="s">
        <v>1960</v>
      </c>
    </row>
    <row r="227" spans="1:11" ht="31" customHeight="1">
      <c r="A227" s="4" t="s">
        <v>333</v>
      </c>
      <c r="B227" s="4" t="s">
        <v>311</v>
      </c>
      <c r="C227" s="4" t="s">
        <v>88</v>
      </c>
      <c r="D227" s="5"/>
      <c r="E227" s="4" t="s">
        <v>318</v>
      </c>
      <c r="F227" s="4" t="s">
        <v>1928</v>
      </c>
      <c r="G227" s="4" t="s">
        <v>319</v>
      </c>
      <c r="H227" s="4" t="s">
        <v>1954</v>
      </c>
      <c r="I227" s="4" t="s">
        <v>1961</v>
      </c>
      <c r="J227" s="4" t="s">
        <v>1962</v>
      </c>
      <c r="K227" s="4" t="s">
        <v>1963</v>
      </c>
    </row>
    <row r="228" spans="1:11" ht="31" customHeight="1">
      <c r="A228" s="4" t="s">
        <v>335</v>
      </c>
      <c r="B228" s="4" t="s">
        <v>311</v>
      </c>
      <c r="C228" s="4" t="s">
        <v>72</v>
      </c>
      <c r="D228" s="4" t="s">
        <v>1085</v>
      </c>
      <c r="E228" s="4" t="s">
        <v>1952</v>
      </c>
      <c r="F228" s="4" t="s">
        <v>1953</v>
      </c>
      <c r="G228" s="4" t="s">
        <v>319</v>
      </c>
      <c r="H228" s="4" t="s">
        <v>1954</v>
      </c>
      <c r="I228" s="4" t="s">
        <v>1955</v>
      </c>
      <c r="J228" s="4" t="s">
        <v>1956</v>
      </c>
      <c r="K228" s="4" t="s">
        <v>1957</v>
      </c>
    </row>
    <row r="229" spans="1:11" ht="31" customHeight="1">
      <c r="A229" s="4" t="s">
        <v>335</v>
      </c>
      <c r="B229" s="4" t="s">
        <v>311</v>
      </c>
      <c r="C229" s="4" t="s">
        <v>74</v>
      </c>
      <c r="D229" s="5"/>
      <c r="E229" s="4" t="s">
        <v>313</v>
      </c>
      <c r="F229" s="4" t="s">
        <v>1744</v>
      </c>
      <c r="G229" s="4" t="s">
        <v>319</v>
      </c>
      <c r="H229" s="4" t="s">
        <v>1954</v>
      </c>
      <c r="I229" s="4" t="s">
        <v>1958</v>
      </c>
      <c r="J229" s="4" t="s">
        <v>1959</v>
      </c>
      <c r="K229" s="4" t="s">
        <v>1960</v>
      </c>
    </row>
    <row r="230" spans="1:11" ht="31" customHeight="1">
      <c r="A230" s="4" t="s">
        <v>335</v>
      </c>
      <c r="B230" s="4" t="s">
        <v>311</v>
      </c>
      <c r="C230" s="4" t="s">
        <v>88</v>
      </c>
      <c r="D230" s="5"/>
      <c r="E230" s="4" t="s">
        <v>318</v>
      </c>
      <c r="F230" s="4" t="s">
        <v>1928</v>
      </c>
      <c r="G230" s="4" t="s">
        <v>319</v>
      </c>
      <c r="H230" s="4" t="s">
        <v>1954</v>
      </c>
      <c r="I230" s="4" t="s">
        <v>1961</v>
      </c>
      <c r="J230" s="4" t="s">
        <v>1962</v>
      </c>
      <c r="K230" s="4" t="s">
        <v>1963</v>
      </c>
    </row>
    <row r="231" spans="1:11" ht="31" customHeight="1">
      <c r="A231" s="4" t="s">
        <v>337</v>
      </c>
      <c r="B231" s="4" t="s">
        <v>311</v>
      </c>
      <c r="C231" s="4" t="s">
        <v>72</v>
      </c>
      <c r="D231" s="4" t="s">
        <v>1085</v>
      </c>
      <c r="E231" s="4" t="s">
        <v>1952</v>
      </c>
      <c r="F231" s="4" t="s">
        <v>1953</v>
      </c>
      <c r="G231" s="4" t="s">
        <v>319</v>
      </c>
      <c r="H231" s="4" t="s">
        <v>1954</v>
      </c>
      <c r="I231" s="4" t="s">
        <v>1955</v>
      </c>
      <c r="J231" s="4" t="s">
        <v>1956</v>
      </c>
      <c r="K231" s="4" t="s">
        <v>1957</v>
      </c>
    </row>
    <row r="232" spans="1:11" ht="31" customHeight="1">
      <c r="A232" s="4" t="s">
        <v>337</v>
      </c>
      <c r="B232" s="4" t="s">
        <v>311</v>
      </c>
      <c r="C232" s="4" t="s">
        <v>74</v>
      </c>
      <c r="D232" s="5"/>
      <c r="E232" s="4" t="s">
        <v>313</v>
      </c>
      <c r="F232" s="4" t="s">
        <v>1744</v>
      </c>
      <c r="G232" s="4" t="s">
        <v>319</v>
      </c>
      <c r="H232" s="4" t="s">
        <v>1954</v>
      </c>
      <c r="I232" s="4" t="s">
        <v>1958</v>
      </c>
      <c r="J232" s="4" t="s">
        <v>1959</v>
      </c>
      <c r="K232" s="4" t="s">
        <v>1960</v>
      </c>
    </row>
    <row r="233" spans="1:11" ht="31" customHeight="1">
      <c r="A233" s="4" t="s">
        <v>337</v>
      </c>
      <c r="B233" s="4" t="s">
        <v>311</v>
      </c>
      <c r="C233" s="4" t="s">
        <v>88</v>
      </c>
      <c r="D233" s="5"/>
      <c r="E233" s="4" t="s">
        <v>318</v>
      </c>
      <c r="F233" s="4" t="s">
        <v>1928</v>
      </c>
      <c r="G233" s="4" t="s">
        <v>319</v>
      </c>
      <c r="H233" s="4" t="s">
        <v>1954</v>
      </c>
      <c r="I233" s="4" t="s">
        <v>1961</v>
      </c>
      <c r="J233" s="4" t="s">
        <v>1962</v>
      </c>
      <c r="K233" s="4" t="s">
        <v>1963</v>
      </c>
    </row>
    <row r="234" spans="1:11" ht="31" customHeight="1">
      <c r="A234" s="4" t="s">
        <v>339</v>
      </c>
      <c r="B234" s="4" t="s">
        <v>311</v>
      </c>
      <c r="C234" s="4" t="s">
        <v>72</v>
      </c>
      <c r="D234" s="4" t="s">
        <v>1085</v>
      </c>
      <c r="E234" s="4" t="s">
        <v>1952</v>
      </c>
      <c r="F234" s="4" t="s">
        <v>1953</v>
      </c>
      <c r="G234" s="4" t="s">
        <v>319</v>
      </c>
      <c r="H234" s="4" t="s">
        <v>1954</v>
      </c>
      <c r="I234" s="4" t="s">
        <v>1955</v>
      </c>
      <c r="J234" s="4" t="s">
        <v>1956</v>
      </c>
      <c r="K234" s="4" t="s">
        <v>1957</v>
      </c>
    </row>
    <row r="235" spans="1:11" ht="31" customHeight="1">
      <c r="A235" s="4" t="s">
        <v>339</v>
      </c>
      <c r="B235" s="4" t="s">
        <v>311</v>
      </c>
      <c r="C235" s="4" t="s">
        <v>74</v>
      </c>
      <c r="D235" s="5"/>
      <c r="E235" s="4" t="s">
        <v>313</v>
      </c>
      <c r="F235" s="4" t="s">
        <v>1744</v>
      </c>
      <c r="G235" s="4" t="s">
        <v>319</v>
      </c>
      <c r="H235" s="4" t="s">
        <v>1954</v>
      </c>
      <c r="I235" s="4" t="s">
        <v>1958</v>
      </c>
      <c r="J235" s="4" t="s">
        <v>1959</v>
      </c>
      <c r="K235" s="4" t="s">
        <v>1960</v>
      </c>
    </row>
    <row r="236" spans="1:11" ht="31" customHeight="1">
      <c r="A236" s="4" t="s">
        <v>339</v>
      </c>
      <c r="B236" s="4" t="s">
        <v>311</v>
      </c>
      <c r="C236" s="4" t="s">
        <v>88</v>
      </c>
      <c r="D236" s="5"/>
      <c r="E236" s="4" t="s">
        <v>318</v>
      </c>
      <c r="F236" s="4" t="s">
        <v>1928</v>
      </c>
      <c r="G236" s="4" t="s">
        <v>319</v>
      </c>
      <c r="H236" s="4" t="s">
        <v>1954</v>
      </c>
      <c r="I236" s="4" t="s">
        <v>1961</v>
      </c>
      <c r="J236" s="4" t="s">
        <v>1962</v>
      </c>
      <c r="K236" s="4" t="s">
        <v>1963</v>
      </c>
    </row>
    <row r="237" spans="1:11" ht="31" customHeight="1">
      <c r="A237" s="4" t="s">
        <v>341</v>
      </c>
      <c r="B237" s="4" t="s">
        <v>311</v>
      </c>
      <c r="C237" s="4" t="s">
        <v>72</v>
      </c>
      <c r="D237" s="4" t="s">
        <v>1085</v>
      </c>
      <c r="E237" s="4" t="s">
        <v>1952</v>
      </c>
      <c r="F237" s="4" t="s">
        <v>1953</v>
      </c>
      <c r="G237" s="4" t="s">
        <v>319</v>
      </c>
      <c r="H237" s="4" t="s">
        <v>1954</v>
      </c>
      <c r="I237" s="4" t="s">
        <v>1955</v>
      </c>
      <c r="J237" s="4" t="s">
        <v>1956</v>
      </c>
      <c r="K237" s="4" t="s">
        <v>1957</v>
      </c>
    </row>
    <row r="238" spans="1:11" ht="31" customHeight="1">
      <c r="A238" s="4" t="s">
        <v>341</v>
      </c>
      <c r="B238" s="4" t="s">
        <v>311</v>
      </c>
      <c r="C238" s="4" t="s">
        <v>74</v>
      </c>
      <c r="D238" s="5"/>
      <c r="E238" s="4" t="s">
        <v>313</v>
      </c>
      <c r="F238" s="4" t="s">
        <v>1744</v>
      </c>
      <c r="G238" s="4" t="s">
        <v>319</v>
      </c>
      <c r="H238" s="4" t="s">
        <v>1954</v>
      </c>
      <c r="I238" s="4" t="s">
        <v>1958</v>
      </c>
      <c r="J238" s="4" t="s">
        <v>1959</v>
      </c>
      <c r="K238" s="4" t="s">
        <v>1960</v>
      </c>
    </row>
    <row r="239" spans="1:11" ht="31" customHeight="1">
      <c r="A239" s="4" t="s">
        <v>341</v>
      </c>
      <c r="B239" s="4" t="s">
        <v>311</v>
      </c>
      <c r="C239" s="4" t="s">
        <v>88</v>
      </c>
      <c r="D239" s="5"/>
      <c r="E239" s="4" t="s">
        <v>318</v>
      </c>
      <c r="F239" s="4" t="s">
        <v>1928</v>
      </c>
      <c r="G239" s="4" t="s">
        <v>319</v>
      </c>
      <c r="H239" s="4" t="s">
        <v>1954</v>
      </c>
      <c r="I239" s="4" t="s">
        <v>1961</v>
      </c>
      <c r="J239" s="4" t="s">
        <v>1962</v>
      </c>
      <c r="K239" s="4" t="s">
        <v>1963</v>
      </c>
    </row>
    <row r="240" spans="1:11" ht="31" customHeight="1">
      <c r="A240" s="4" t="s">
        <v>343</v>
      </c>
      <c r="B240" s="4" t="s">
        <v>311</v>
      </c>
      <c r="C240" s="4" t="s">
        <v>72</v>
      </c>
      <c r="D240" s="4" t="s">
        <v>1085</v>
      </c>
      <c r="E240" s="4" t="s">
        <v>1952</v>
      </c>
      <c r="F240" s="4" t="s">
        <v>1953</v>
      </c>
      <c r="G240" s="4" t="s">
        <v>319</v>
      </c>
      <c r="H240" s="4" t="s">
        <v>1954</v>
      </c>
      <c r="I240" s="4" t="s">
        <v>1955</v>
      </c>
      <c r="J240" s="4" t="s">
        <v>1956</v>
      </c>
      <c r="K240" s="4" t="s">
        <v>1957</v>
      </c>
    </row>
    <row r="241" spans="1:11" ht="31" customHeight="1">
      <c r="A241" s="4" t="s">
        <v>343</v>
      </c>
      <c r="B241" s="4" t="s">
        <v>311</v>
      </c>
      <c r="C241" s="4" t="s">
        <v>74</v>
      </c>
      <c r="D241" s="5"/>
      <c r="E241" s="4" t="s">
        <v>313</v>
      </c>
      <c r="F241" s="4" t="s">
        <v>1744</v>
      </c>
      <c r="G241" s="4" t="s">
        <v>319</v>
      </c>
      <c r="H241" s="4" t="s">
        <v>1954</v>
      </c>
      <c r="I241" s="4" t="s">
        <v>1958</v>
      </c>
      <c r="J241" s="4" t="s">
        <v>1959</v>
      </c>
      <c r="K241" s="4" t="s">
        <v>1960</v>
      </c>
    </row>
    <row r="242" spans="1:11" ht="31" customHeight="1">
      <c r="A242" s="4" t="s">
        <v>343</v>
      </c>
      <c r="B242" s="4" t="s">
        <v>311</v>
      </c>
      <c r="C242" s="4" t="s">
        <v>88</v>
      </c>
      <c r="D242" s="5"/>
      <c r="E242" s="4" t="s">
        <v>318</v>
      </c>
      <c r="F242" s="4" t="s">
        <v>1928</v>
      </c>
      <c r="G242" s="4" t="s">
        <v>319</v>
      </c>
      <c r="H242" s="4" t="s">
        <v>1954</v>
      </c>
      <c r="I242" s="4" t="s">
        <v>1961</v>
      </c>
      <c r="J242" s="4" t="s">
        <v>1962</v>
      </c>
      <c r="K242" s="4" t="s">
        <v>1963</v>
      </c>
    </row>
    <row r="243" spans="1:11" ht="31" customHeight="1">
      <c r="A243" s="4" t="s">
        <v>384</v>
      </c>
      <c r="B243" s="4" t="s">
        <v>385</v>
      </c>
      <c r="C243" s="4" t="s">
        <v>73</v>
      </c>
      <c r="D243" s="5"/>
      <c r="E243" s="4" t="s">
        <v>113</v>
      </c>
      <c r="F243" s="4" t="s">
        <v>1744</v>
      </c>
      <c r="G243" s="4" t="s">
        <v>393</v>
      </c>
      <c r="H243" s="4" t="s">
        <v>1964</v>
      </c>
      <c r="I243" s="4" t="s">
        <v>1965</v>
      </c>
      <c r="J243" s="4" t="s">
        <v>1966</v>
      </c>
      <c r="K243" s="4" t="s">
        <v>1967</v>
      </c>
    </row>
    <row r="244" spans="1:11" ht="31" customHeight="1">
      <c r="A244" s="4" t="s">
        <v>384</v>
      </c>
      <c r="B244" s="4" t="s">
        <v>385</v>
      </c>
      <c r="C244" s="4" t="s">
        <v>72</v>
      </c>
      <c r="D244" s="4" t="s">
        <v>1087</v>
      </c>
      <c r="E244" s="4" t="s">
        <v>1968</v>
      </c>
      <c r="F244" s="4" t="s">
        <v>1953</v>
      </c>
      <c r="G244" s="4" t="s">
        <v>393</v>
      </c>
      <c r="H244" s="4" t="s">
        <v>1964</v>
      </c>
      <c r="I244" s="4" t="s">
        <v>1969</v>
      </c>
      <c r="J244" s="4" t="s">
        <v>1970</v>
      </c>
      <c r="K244" s="4" t="s">
        <v>1971</v>
      </c>
    </row>
    <row r="245" spans="1:11" ht="31" customHeight="1">
      <c r="A245" s="4" t="s">
        <v>384</v>
      </c>
      <c r="B245" s="4" t="s">
        <v>385</v>
      </c>
      <c r="C245" s="4" t="s">
        <v>74</v>
      </c>
      <c r="D245" s="5"/>
      <c r="E245" s="4" t="s">
        <v>387</v>
      </c>
      <c r="F245" s="4" t="s">
        <v>1744</v>
      </c>
      <c r="G245" s="4" t="s">
        <v>393</v>
      </c>
      <c r="H245" s="4" t="s">
        <v>1964</v>
      </c>
      <c r="I245" s="4" t="s">
        <v>1972</v>
      </c>
      <c r="J245" s="4" t="s">
        <v>1973</v>
      </c>
      <c r="K245" s="4" t="s">
        <v>1974</v>
      </c>
    </row>
    <row r="246" spans="1:11" ht="31" customHeight="1">
      <c r="A246" s="4" t="s">
        <v>384</v>
      </c>
      <c r="B246" s="4" t="s">
        <v>385</v>
      </c>
      <c r="C246" s="4" t="s">
        <v>84</v>
      </c>
      <c r="D246" s="5"/>
      <c r="E246" s="4" t="s">
        <v>391</v>
      </c>
      <c r="F246" s="4" t="s">
        <v>1928</v>
      </c>
      <c r="G246" s="4" t="s">
        <v>393</v>
      </c>
      <c r="H246" s="4" t="s">
        <v>1964</v>
      </c>
      <c r="I246" s="4" t="s">
        <v>1975</v>
      </c>
      <c r="J246" s="4" t="s">
        <v>113</v>
      </c>
      <c r="K246" s="4" t="s">
        <v>1976</v>
      </c>
    </row>
    <row r="247" spans="1:11" ht="31" customHeight="1">
      <c r="A247" s="4" t="s">
        <v>384</v>
      </c>
      <c r="B247" s="4" t="s">
        <v>385</v>
      </c>
      <c r="C247" s="4" t="s">
        <v>88</v>
      </c>
      <c r="D247" s="5"/>
      <c r="E247" s="4" t="s">
        <v>392</v>
      </c>
      <c r="F247" s="4" t="s">
        <v>1928</v>
      </c>
      <c r="G247" s="4" t="s">
        <v>393</v>
      </c>
      <c r="H247" s="4" t="s">
        <v>1964</v>
      </c>
      <c r="I247" s="4" t="s">
        <v>1977</v>
      </c>
      <c r="J247" s="4" t="s">
        <v>113</v>
      </c>
      <c r="K247" s="4" t="s">
        <v>1978</v>
      </c>
    </row>
    <row r="248" spans="1:11" ht="31" customHeight="1">
      <c r="A248" s="4" t="s">
        <v>395</v>
      </c>
      <c r="B248" s="4" t="s">
        <v>385</v>
      </c>
      <c r="C248" s="4" t="s">
        <v>73</v>
      </c>
      <c r="D248" s="5"/>
      <c r="E248" s="4" t="s">
        <v>113</v>
      </c>
      <c r="F248" s="4" t="s">
        <v>1744</v>
      </c>
      <c r="G248" s="4" t="s">
        <v>393</v>
      </c>
      <c r="H248" s="4" t="s">
        <v>1964</v>
      </c>
      <c r="I248" s="4" t="s">
        <v>1965</v>
      </c>
      <c r="J248" s="4" t="s">
        <v>1966</v>
      </c>
      <c r="K248" s="4" t="s">
        <v>1967</v>
      </c>
    </row>
    <row r="249" spans="1:11" ht="31" customHeight="1">
      <c r="A249" s="4" t="s">
        <v>395</v>
      </c>
      <c r="B249" s="4" t="s">
        <v>385</v>
      </c>
      <c r="C249" s="4" t="s">
        <v>72</v>
      </c>
      <c r="D249" s="4" t="s">
        <v>1087</v>
      </c>
      <c r="E249" s="4" t="s">
        <v>1968</v>
      </c>
      <c r="F249" s="4" t="s">
        <v>1953</v>
      </c>
      <c r="G249" s="4" t="s">
        <v>393</v>
      </c>
      <c r="H249" s="4" t="s">
        <v>1964</v>
      </c>
      <c r="I249" s="4" t="s">
        <v>1969</v>
      </c>
      <c r="J249" s="4" t="s">
        <v>1970</v>
      </c>
      <c r="K249" s="4" t="s">
        <v>1971</v>
      </c>
    </row>
    <row r="250" spans="1:11" ht="31" customHeight="1">
      <c r="A250" s="4" t="s">
        <v>395</v>
      </c>
      <c r="B250" s="4" t="s">
        <v>385</v>
      </c>
      <c r="C250" s="4" t="s">
        <v>74</v>
      </c>
      <c r="D250" s="5"/>
      <c r="E250" s="4" t="s">
        <v>387</v>
      </c>
      <c r="F250" s="4" t="s">
        <v>1744</v>
      </c>
      <c r="G250" s="4" t="s">
        <v>393</v>
      </c>
      <c r="H250" s="4" t="s">
        <v>1964</v>
      </c>
      <c r="I250" s="4" t="s">
        <v>1972</v>
      </c>
      <c r="J250" s="4" t="s">
        <v>1973</v>
      </c>
      <c r="K250" s="4" t="s">
        <v>1974</v>
      </c>
    </row>
    <row r="251" spans="1:11" ht="31" customHeight="1">
      <c r="A251" s="4" t="s">
        <v>395</v>
      </c>
      <c r="B251" s="4" t="s">
        <v>385</v>
      </c>
      <c r="C251" s="4" t="s">
        <v>84</v>
      </c>
      <c r="D251" s="5"/>
      <c r="E251" s="4" t="s">
        <v>391</v>
      </c>
      <c r="F251" s="4" t="s">
        <v>1928</v>
      </c>
      <c r="G251" s="4" t="s">
        <v>393</v>
      </c>
      <c r="H251" s="4" t="s">
        <v>1964</v>
      </c>
      <c r="I251" s="4" t="s">
        <v>1975</v>
      </c>
      <c r="J251" s="4" t="s">
        <v>113</v>
      </c>
      <c r="K251" s="4" t="s">
        <v>1976</v>
      </c>
    </row>
    <row r="252" spans="1:11" ht="31" customHeight="1">
      <c r="A252" s="4" t="s">
        <v>395</v>
      </c>
      <c r="B252" s="4" t="s">
        <v>385</v>
      </c>
      <c r="C252" s="4" t="s">
        <v>88</v>
      </c>
      <c r="D252" s="5"/>
      <c r="E252" s="4" t="s">
        <v>392</v>
      </c>
      <c r="F252" s="4" t="s">
        <v>1928</v>
      </c>
      <c r="G252" s="4" t="s">
        <v>393</v>
      </c>
      <c r="H252" s="4" t="s">
        <v>1964</v>
      </c>
      <c r="I252" s="4" t="s">
        <v>1977</v>
      </c>
      <c r="J252" s="4" t="s">
        <v>113</v>
      </c>
      <c r="K252" s="4" t="s">
        <v>1978</v>
      </c>
    </row>
    <row r="253" spans="1:11" ht="31" customHeight="1">
      <c r="A253" s="4" t="s">
        <v>397</v>
      </c>
      <c r="B253" s="4" t="s">
        <v>385</v>
      </c>
      <c r="C253" s="4" t="s">
        <v>73</v>
      </c>
      <c r="D253" s="5"/>
      <c r="E253" s="4" t="s">
        <v>113</v>
      </c>
      <c r="F253" s="4" t="s">
        <v>1744</v>
      </c>
      <c r="G253" s="4" t="s">
        <v>393</v>
      </c>
      <c r="H253" s="4" t="s">
        <v>1964</v>
      </c>
      <c r="I253" s="4" t="s">
        <v>1965</v>
      </c>
      <c r="J253" s="4" t="s">
        <v>1966</v>
      </c>
      <c r="K253" s="4" t="s">
        <v>1967</v>
      </c>
    </row>
    <row r="254" spans="1:11" ht="31" customHeight="1">
      <c r="A254" s="4" t="s">
        <v>397</v>
      </c>
      <c r="B254" s="4" t="s">
        <v>385</v>
      </c>
      <c r="C254" s="4" t="s">
        <v>72</v>
      </c>
      <c r="D254" s="4" t="s">
        <v>1087</v>
      </c>
      <c r="E254" s="4" t="s">
        <v>1968</v>
      </c>
      <c r="F254" s="4" t="s">
        <v>1953</v>
      </c>
      <c r="G254" s="4" t="s">
        <v>393</v>
      </c>
      <c r="H254" s="4" t="s">
        <v>1964</v>
      </c>
      <c r="I254" s="4" t="s">
        <v>1969</v>
      </c>
      <c r="J254" s="4" t="s">
        <v>1970</v>
      </c>
      <c r="K254" s="4" t="s">
        <v>1971</v>
      </c>
    </row>
    <row r="255" spans="1:11" ht="31" customHeight="1">
      <c r="A255" s="4" t="s">
        <v>397</v>
      </c>
      <c r="B255" s="4" t="s">
        <v>385</v>
      </c>
      <c r="C255" s="4" t="s">
        <v>74</v>
      </c>
      <c r="D255" s="5"/>
      <c r="E255" s="4" t="s">
        <v>387</v>
      </c>
      <c r="F255" s="4" t="s">
        <v>1744</v>
      </c>
      <c r="G255" s="4" t="s">
        <v>393</v>
      </c>
      <c r="H255" s="4" t="s">
        <v>1964</v>
      </c>
      <c r="I255" s="4" t="s">
        <v>1972</v>
      </c>
      <c r="J255" s="4" t="s">
        <v>1973</v>
      </c>
      <c r="K255" s="4" t="s">
        <v>1974</v>
      </c>
    </row>
    <row r="256" spans="1:11" ht="31" customHeight="1">
      <c r="A256" s="4" t="s">
        <v>397</v>
      </c>
      <c r="B256" s="4" t="s">
        <v>385</v>
      </c>
      <c r="C256" s="4" t="s">
        <v>84</v>
      </c>
      <c r="D256" s="5"/>
      <c r="E256" s="4" t="s">
        <v>391</v>
      </c>
      <c r="F256" s="4" t="s">
        <v>1928</v>
      </c>
      <c r="G256" s="4" t="s">
        <v>393</v>
      </c>
      <c r="H256" s="4" t="s">
        <v>1964</v>
      </c>
      <c r="I256" s="4" t="s">
        <v>1975</v>
      </c>
      <c r="J256" s="4" t="s">
        <v>113</v>
      </c>
      <c r="K256" s="4" t="s">
        <v>1976</v>
      </c>
    </row>
    <row r="257" spans="1:11" ht="31" customHeight="1">
      <c r="A257" s="4" t="s">
        <v>397</v>
      </c>
      <c r="B257" s="4" t="s">
        <v>385</v>
      </c>
      <c r="C257" s="4" t="s">
        <v>88</v>
      </c>
      <c r="D257" s="5"/>
      <c r="E257" s="4" t="s">
        <v>392</v>
      </c>
      <c r="F257" s="4" t="s">
        <v>1928</v>
      </c>
      <c r="G257" s="4" t="s">
        <v>393</v>
      </c>
      <c r="H257" s="4" t="s">
        <v>1964</v>
      </c>
      <c r="I257" s="4" t="s">
        <v>1977</v>
      </c>
      <c r="J257" s="4" t="s">
        <v>113</v>
      </c>
      <c r="K257" s="4" t="s">
        <v>1978</v>
      </c>
    </row>
    <row r="258" spans="1:11" ht="31" customHeight="1">
      <c r="A258" s="4" t="s">
        <v>399</v>
      </c>
      <c r="B258" s="4" t="s">
        <v>385</v>
      </c>
      <c r="C258" s="4" t="s">
        <v>73</v>
      </c>
      <c r="D258" s="5"/>
      <c r="E258" s="4" t="s">
        <v>113</v>
      </c>
      <c r="F258" s="4" t="s">
        <v>1744</v>
      </c>
      <c r="G258" s="4" t="s">
        <v>393</v>
      </c>
      <c r="H258" s="4" t="s">
        <v>1964</v>
      </c>
      <c r="I258" s="4" t="s">
        <v>1965</v>
      </c>
      <c r="J258" s="4" t="s">
        <v>1966</v>
      </c>
      <c r="K258" s="4" t="s">
        <v>1967</v>
      </c>
    </row>
    <row r="259" spans="1:11" ht="31" customHeight="1">
      <c r="A259" s="4" t="s">
        <v>399</v>
      </c>
      <c r="B259" s="4" t="s">
        <v>385</v>
      </c>
      <c r="C259" s="4" t="s">
        <v>72</v>
      </c>
      <c r="D259" s="4" t="s">
        <v>1087</v>
      </c>
      <c r="E259" s="4" t="s">
        <v>1968</v>
      </c>
      <c r="F259" s="4" t="s">
        <v>1953</v>
      </c>
      <c r="G259" s="4" t="s">
        <v>393</v>
      </c>
      <c r="H259" s="4" t="s">
        <v>1964</v>
      </c>
      <c r="I259" s="4" t="s">
        <v>1969</v>
      </c>
      <c r="J259" s="4" t="s">
        <v>1970</v>
      </c>
      <c r="K259" s="4" t="s">
        <v>1971</v>
      </c>
    </row>
    <row r="260" spans="1:11" ht="31" customHeight="1">
      <c r="A260" s="4" t="s">
        <v>399</v>
      </c>
      <c r="B260" s="4" t="s">
        <v>385</v>
      </c>
      <c r="C260" s="4" t="s">
        <v>74</v>
      </c>
      <c r="D260" s="5"/>
      <c r="E260" s="4" t="s">
        <v>387</v>
      </c>
      <c r="F260" s="4" t="s">
        <v>1744</v>
      </c>
      <c r="G260" s="4" t="s">
        <v>393</v>
      </c>
      <c r="H260" s="4" t="s">
        <v>1964</v>
      </c>
      <c r="I260" s="4" t="s">
        <v>1972</v>
      </c>
      <c r="J260" s="4" t="s">
        <v>1973</v>
      </c>
      <c r="K260" s="4" t="s">
        <v>1974</v>
      </c>
    </row>
    <row r="261" spans="1:11" ht="31" customHeight="1">
      <c r="A261" s="4" t="s">
        <v>399</v>
      </c>
      <c r="B261" s="4" t="s">
        <v>385</v>
      </c>
      <c r="C261" s="4" t="s">
        <v>84</v>
      </c>
      <c r="D261" s="5"/>
      <c r="E261" s="4" t="s">
        <v>401</v>
      </c>
      <c r="F261" s="4" t="s">
        <v>1928</v>
      </c>
      <c r="G261" s="4" t="s">
        <v>393</v>
      </c>
      <c r="H261" s="4" t="s">
        <v>1964</v>
      </c>
      <c r="I261" s="4" t="s">
        <v>1975</v>
      </c>
      <c r="J261" s="4" t="s">
        <v>113</v>
      </c>
      <c r="K261" s="4" t="s">
        <v>1976</v>
      </c>
    </row>
    <row r="262" spans="1:11" ht="31" customHeight="1">
      <c r="A262" s="4" t="s">
        <v>399</v>
      </c>
      <c r="B262" s="4" t="s">
        <v>385</v>
      </c>
      <c r="C262" s="4" t="s">
        <v>88</v>
      </c>
      <c r="D262" s="5"/>
      <c r="E262" s="4" t="s">
        <v>402</v>
      </c>
      <c r="F262" s="4" t="s">
        <v>1928</v>
      </c>
      <c r="G262" s="4" t="s">
        <v>393</v>
      </c>
      <c r="H262" s="4" t="s">
        <v>1964</v>
      </c>
      <c r="I262" s="4" t="s">
        <v>1977</v>
      </c>
      <c r="J262" s="4" t="s">
        <v>113</v>
      </c>
      <c r="K262" s="4" t="s">
        <v>1978</v>
      </c>
    </row>
    <row r="263" spans="1:11" ht="31" customHeight="1">
      <c r="A263" s="4" t="s">
        <v>404</v>
      </c>
      <c r="B263" s="4" t="s">
        <v>385</v>
      </c>
      <c r="C263" s="4" t="s">
        <v>73</v>
      </c>
      <c r="D263" s="5"/>
      <c r="E263" s="4" t="s">
        <v>113</v>
      </c>
      <c r="F263" s="4" t="s">
        <v>1744</v>
      </c>
      <c r="G263" s="4" t="s">
        <v>393</v>
      </c>
      <c r="H263" s="4" t="s">
        <v>1964</v>
      </c>
      <c r="I263" s="4" t="s">
        <v>1965</v>
      </c>
      <c r="J263" s="4" t="s">
        <v>1966</v>
      </c>
      <c r="K263" s="4" t="s">
        <v>1967</v>
      </c>
    </row>
    <row r="264" spans="1:11" ht="31" customHeight="1">
      <c r="A264" s="4" t="s">
        <v>404</v>
      </c>
      <c r="B264" s="4" t="s">
        <v>385</v>
      </c>
      <c r="C264" s="4" t="s">
        <v>72</v>
      </c>
      <c r="D264" s="4" t="s">
        <v>1087</v>
      </c>
      <c r="E264" s="4" t="s">
        <v>1968</v>
      </c>
      <c r="F264" s="4" t="s">
        <v>1953</v>
      </c>
      <c r="G264" s="4" t="s">
        <v>393</v>
      </c>
      <c r="H264" s="4" t="s">
        <v>1964</v>
      </c>
      <c r="I264" s="4" t="s">
        <v>1969</v>
      </c>
      <c r="J264" s="4" t="s">
        <v>1970</v>
      </c>
      <c r="K264" s="4" t="s">
        <v>1971</v>
      </c>
    </row>
    <row r="265" spans="1:11" ht="31" customHeight="1">
      <c r="A265" s="4" t="s">
        <v>404</v>
      </c>
      <c r="B265" s="4" t="s">
        <v>385</v>
      </c>
      <c r="C265" s="4" t="s">
        <v>74</v>
      </c>
      <c r="D265" s="5"/>
      <c r="E265" s="4" t="s">
        <v>387</v>
      </c>
      <c r="F265" s="4" t="s">
        <v>1744</v>
      </c>
      <c r="G265" s="4" t="s">
        <v>393</v>
      </c>
      <c r="H265" s="4" t="s">
        <v>1964</v>
      </c>
      <c r="I265" s="4" t="s">
        <v>1972</v>
      </c>
      <c r="J265" s="4" t="s">
        <v>1973</v>
      </c>
      <c r="K265" s="4" t="s">
        <v>1974</v>
      </c>
    </row>
    <row r="266" spans="1:11" ht="31" customHeight="1">
      <c r="A266" s="4" t="s">
        <v>404</v>
      </c>
      <c r="B266" s="4" t="s">
        <v>385</v>
      </c>
      <c r="C266" s="4" t="s">
        <v>84</v>
      </c>
      <c r="D266" s="5"/>
      <c r="E266" s="4" t="s">
        <v>391</v>
      </c>
      <c r="F266" s="4" t="s">
        <v>1928</v>
      </c>
      <c r="G266" s="4" t="s">
        <v>393</v>
      </c>
      <c r="H266" s="4" t="s">
        <v>1964</v>
      </c>
      <c r="I266" s="4" t="s">
        <v>1975</v>
      </c>
      <c r="J266" s="4" t="s">
        <v>113</v>
      </c>
      <c r="K266" s="4" t="s">
        <v>1976</v>
      </c>
    </row>
    <row r="267" spans="1:11" ht="31" customHeight="1">
      <c r="A267" s="4" t="s">
        <v>404</v>
      </c>
      <c r="B267" s="4" t="s">
        <v>385</v>
      </c>
      <c r="C267" s="4" t="s">
        <v>88</v>
      </c>
      <c r="D267" s="5"/>
      <c r="E267" s="4" t="s">
        <v>406</v>
      </c>
      <c r="F267" s="4" t="s">
        <v>1928</v>
      </c>
      <c r="G267" s="4" t="s">
        <v>393</v>
      </c>
      <c r="H267" s="4" t="s">
        <v>1964</v>
      </c>
      <c r="I267" s="4" t="s">
        <v>1977</v>
      </c>
      <c r="J267" s="4" t="s">
        <v>113</v>
      </c>
      <c r="K267" s="4" t="s">
        <v>1978</v>
      </c>
    </row>
    <row r="268" spans="1:11" ht="31" customHeight="1">
      <c r="A268" s="4" t="s">
        <v>407</v>
      </c>
      <c r="B268" s="4" t="s">
        <v>385</v>
      </c>
      <c r="C268" s="4" t="s">
        <v>73</v>
      </c>
      <c r="D268" s="5"/>
      <c r="E268" s="4" t="s">
        <v>113</v>
      </c>
      <c r="F268" s="4" t="s">
        <v>1744</v>
      </c>
      <c r="G268" s="4" t="s">
        <v>393</v>
      </c>
      <c r="H268" s="4" t="s">
        <v>1964</v>
      </c>
      <c r="I268" s="4" t="s">
        <v>1965</v>
      </c>
      <c r="J268" s="4" t="s">
        <v>1966</v>
      </c>
      <c r="K268" s="4" t="s">
        <v>1967</v>
      </c>
    </row>
    <row r="269" spans="1:11" ht="31" customHeight="1">
      <c r="A269" s="4" t="s">
        <v>407</v>
      </c>
      <c r="B269" s="4" t="s">
        <v>385</v>
      </c>
      <c r="C269" s="4" t="s">
        <v>72</v>
      </c>
      <c r="D269" s="4" t="s">
        <v>1087</v>
      </c>
      <c r="E269" s="4" t="s">
        <v>1968</v>
      </c>
      <c r="F269" s="4" t="s">
        <v>1953</v>
      </c>
      <c r="G269" s="4" t="s">
        <v>393</v>
      </c>
      <c r="H269" s="4" t="s">
        <v>1964</v>
      </c>
      <c r="I269" s="4" t="s">
        <v>1969</v>
      </c>
      <c r="J269" s="4" t="s">
        <v>1970</v>
      </c>
      <c r="K269" s="4" t="s">
        <v>1971</v>
      </c>
    </row>
    <row r="270" spans="1:11" ht="31" customHeight="1">
      <c r="A270" s="4" t="s">
        <v>407</v>
      </c>
      <c r="B270" s="4" t="s">
        <v>385</v>
      </c>
      <c r="C270" s="4" t="s">
        <v>74</v>
      </c>
      <c r="D270" s="5"/>
      <c r="E270" s="4" t="s">
        <v>387</v>
      </c>
      <c r="F270" s="4" t="s">
        <v>1744</v>
      </c>
      <c r="G270" s="4" t="s">
        <v>393</v>
      </c>
      <c r="H270" s="4" t="s">
        <v>1964</v>
      </c>
      <c r="I270" s="4" t="s">
        <v>1972</v>
      </c>
      <c r="J270" s="4" t="s">
        <v>1973</v>
      </c>
      <c r="K270" s="4" t="s">
        <v>1974</v>
      </c>
    </row>
    <row r="271" spans="1:11" ht="31" customHeight="1">
      <c r="A271" s="4" t="s">
        <v>407</v>
      </c>
      <c r="B271" s="4" t="s">
        <v>385</v>
      </c>
      <c r="C271" s="4" t="s">
        <v>84</v>
      </c>
      <c r="D271" s="5"/>
      <c r="E271" s="4" t="s">
        <v>409</v>
      </c>
      <c r="F271" s="4" t="s">
        <v>1928</v>
      </c>
      <c r="G271" s="4" t="s">
        <v>393</v>
      </c>
      <c r="H271" s="4" t="s">
        <v>1964</v>
      </c>
      <c r="I271" s="4" t="s">
        <v>1975</v>
      </c>
      <c r="J271" s="4" t="s">
        <v>113</v>
      </c>
      <c r="K271" s="4" t="s">
        <v>1976</v>
      </c>
    </row>
    <row r="272" spans="1:11" ht="31" customHeight="1">
      <c r="A272" s="4" t="s">
        <v>407</v>
      </c>
      <c r="B272" s="4" t="s">
        <v>385</v>
      </c>
      <c r="C272" s="4" t="s">
        <v>88</v>
      </c>
      <c r="D272" s="5"/>
      <c r="E272" s="4" t="s">
        <v>410</v>
      </c>
      <c r="F272" s="4" t="s">
        <v>1928</v>
      </c>
      <c r="G272" s="4" t="s">
        <v>393</v>
      </c>
      <c r="H272" s="4" t="s">
        <v>1964</v>
      </c>
      <c r="I272" s="4" t="s">
        <v>1977</v>
      </c>
      <c r="J272" s="4" t="s">
        <v>113</v>
      </c>
      <c r="K272" s="4" t="s">
        <v>1978</v>
      </c>
    </row>
    <row r="273" spans="1:11" ht="31" customHeight="1">
      <c r="A273" s="4" t="s">
        <v>412</v>
      </c>
      <c r="B273" s="4" t="s">
        <v>385</v>
      </c>
      <c r="C273" s="4" t="s">
        <v>73</v>
      </c>
      <c r="D273" s="5"/>
      <c r="E273" s="4" t="s">
        <v>113</v>
      </c>
      <c r="F273" s="4" t="s">
        <v>1744</v>
      </c>
      <c r="G273" s="4" t="s">
        <v>393</v>
      </c>
      <c r="H273" s="4" t="s">
        <v>1964</v>
      </c>
      <c r="I273" s="4" t="s">
        <v>1965</v>
      </c>
      <c r="J273" s="4" t="s">
        <v>1966</v>
      </c>
      <c r="K273" s="4" t="s">
        <v>1967</v>
      </c>
    </row>
    <row r="274" spans="1:11" ht="31" customHeight="1">
      <c r="A274" s="4" t="s">
        <v>412</v>
      </c>
      <c r="B274" s="4" t="s">
        <v>385</v>
      </c>
      <c r="C274" s="4" t="s">
        <v>72</v>
      </c>
      <c r="D274" s="4" t="s">
        <v>1087</v>
      </c>
      <c r="E274" s="4" t="s">
        <v>1968</v>
      </c>
      <c r="F274" s="4" t="s">
        <v>1953</v>
      </c>
      <c r="G274" s="4" t="s">
        <v>393</v>
      </c>
      <c r="H274" s="4" t="s">
        <v>1964</v>
      </c>
      <c r="I274" s="4" t="s">
        <v>1969</v>
      </c>
      <c r="J274" s="4" t="s">
        <v>1970</v>
      </c>
      <c r="K274" s="4" t="s">
        <v>1971</v>
      </c>
    </row>
    <row r="275" spans="1:11" ht="31" customHeight="1">
      <c r="A275" s="4" t="s">
        <v>412</v>
      </c>
      <c r="B275" s="4" t="s">
        <v>385</v>
      </c>
      <c r="C275" s="4" t="s">
        <v>74</v>
      </c>
      <c r="D275" s="5"/>
      <c r="E275" s="4" t="s">
        <v>387</v>
      </c>
      <c r="F275" s="4" t="s">
        <v>1744</v>
      </c>
      <c r="G275" s="4" t="s">
        <v>393</v>
      </c>
      <c r="H275" s="4" t="s">
        <v>1964</v>
      </c>
      <c r="I275" s="4" t="s">
        <v>1972</v>
      </c>
      <c r="J275" s="4" t="s">
        <v>1973</v>
      </c>
      <c r="K275" s="4" t="s">
        <v>1974</v>
      </c>
    </row>
    <row r="276" spans="1:11" ht="31" customHeight="1">
      <c r="A276" s="4" t="s">
        <v>412</v>
      </c>
      <c r="B276" s="4" t="s">
        <v>385</v>
      </c>
      <c r="C276" s="4" t="s">
        <v>84</v>
      </c>
      <c r="D276" s="5"/>
      <c r="E276" s="4" t="s">
        <v>414</v>
      </c>
      <c r="F276" s="4" t="s">
        <v>1928</v>
      </c>
      <c r="G276" s="4" t="s">
        <v>393</v>
      </c>
      <c r="H276" s="4" t="s">
        <v>1964</v>
      </c>
      <c r="I276" s="4" t="s">
        <v>1975</v>
      </c>
      <c r="J276" s="4" t="s">
        <v>113</v>
      </c>
      <c r="K276" s="4" t="s">
        <v>1976</v>
      </c>
    </row>
    <row r="277" spans="1:11" ht="31" customHeight="1">
      <c r="A277" s="4" t="s">
        <v>412</v>
      </c>
      <c r="B277" s="4" t="s">
        <v>385</v>
      </c>
      <c r="C277" s="4" t="s">
        <v>88</v>
      </c>
      <c r="D277" s="5"/>
      <c r="E277" s="4" t="s">
        <v>415</v>
      </c>
      <c r="F277" s="4" t="s">
        <v>1928</v>
      </c>
      <c r="G277" s="4" t="s">
        <v>393</v>
      </c>
      <c r="H277" s="4" t="s">
        <v>1964</v>
      </c>
      <c r="I277" s="4" t="s">
        <v>1977</v>
      </c>
      <c r="J277" s="4" t="s">
        <v>113</v>
      </c>
      <c r="K277" s="4" t="s">
        <v>1978</v>
      </c>
    </row>
    <row r="278" spans="1:11" ht="31" customHeight="1">
      <c r="A278" s="4" t="s">
        <v>417</v>
      </c>
      <c r="B278" s="4" t="s">
        <v>385</v>
      </c>
      <c r="C278" s="4" t="s">
        <v>73</v>
      </c>
      <c r="D278" s="5"/>
      <c r="E278" s="4" t="s">
        <v>113</v>
      </c>
      <c r="F278" s="4" t="s">
        <v>1744</v>
      </c>
      <c r="G278" s="4" t="s">
        <v>393</v>
      </c>
      <c r="H278" s="4" t="s">
        <v>1964</v>
      </c>
      <c r="I278" s="4" t="s">
        <v>1965</v>
      </c>
      <c r="J278" s="4" t="s">
        <v>1966</v>
      </c>
      <c r="K278" s="4" t="s">
        <v>1967</v>
      </c>
    </row>
    <row r="279" spans="1:11" ht="31" customHeight="1">
      <c r="A279" s="4" t="s">
        <v>417</v>
      </c>
      <c r="B279" s="4" t="s">
        <v>385</v>
      </c>
      <c r="C279" s="4" t="s">
        <v>72</v>
      </c>
      <c r="D279" s="4" t="s">
        <v>1087</v>
      </c>
      <c r="E279" s="4" t="s">
        <v>1968</v>
      </c>
      <c r="F279" s="4" t="s">
        <v>1953</v>
      </c>
      <c r="G279" s="4" t="s">
        <v>393</v>
      </c>
      <c r="H279" s="4" t="s">
        <v>1964</v>
      </c>
      <c r="I279" s="4" t="s">
        <v>1969</v>
      </c>
      <c r="J279" s="4" t="s">
        <v>1970</v>
      </c>
      <c r="K279" s="4" t="s">
        <v>1971</v>
      </c>
    </row>
    <row r="280" spans="1:11" ht="31" customHeight="1">
      <c r="A280" s="4" t="s">
        <v>417</v>
      </c>
      <c r="B280" s="4" t="s">
        <v>385</v>
      </c>
      <c r="C280" s="4" t="s">
        <v>74</v>
      </c>
      <c r="D280" s="5"/>
      <c r="E280" s="4" t="s">
        <v>387</v>
      </c>
      <c r="F280" s="4" t="s">
        <v>1744</v>
      </c>
      <c r="G280" s="4" t="s">
        <v>393</v>
      </c>
      <c r="H280" s="4" t="s">
        <v>1964</v>
      </c>
      <c r="I280" s="4" t="s">
        <v>1972</v>
      </c>
      <c r="J280" s="4" t="s">
        <v>1973</v>
      </c>
      <c r="K280" s="4" t="s">
        <v>1974</v>
      </c>
    </row>
    <row r="281" spans="1:11" ht="31" customHeight="1">
      <c r="A281" s="4" t="s">
        <v>417</v>
      </c>
      <c r="B281" s="4" t="s">
        <v>385</v>
      </c>
      <c r="C281" s="4" t="s">
        <v>84</v>
      </c>
      <c r="D281" s="5"/>
      <c r="E281" s="4" t="s">
        <v>391</v>
      </c>
      <c r="F281" s="4" t="s">
        <v>1928</v>
      </c>
      <c r="G281" s="4" t="s">
        <v>393</v>
      </c>
      <c r="H281" s="4" t="s">
        <v>1964</v>
      </c>
      <c r="I281" s="4" t="s">
        <v>1975</v>
      </c>
      <c r="J281" s="4" t="s">
        <v>113</v>
      </c>
      <c r="K281" s="4" t="s">
        <v>1976</v>
      </c>
    </row>
    <row r="282" spans="1:11" ht="31" customHeight="1">
      <c r="A282" s="4" t="s">
        <v>417</v>
      </c>
      <c r="B282" s="4" t="s">
        <v>385</v>
      </c>
      <c r="C282" s="4" t="s">
        <v>88</v>
      </c>
      <c r="D282" s="5"/>
      <c r="E282" s="4" t="s">
        <v>392</v>
      </c>
      <c r="F282" s="4" t="s">
        <v>1928</v>
      </c>
      <c r="G282" s="4" t="s">
        <v>393</v>
      </c>
      <c r="H282" s="4" t="s">
        <v>1964</v>
      </c>
      <c r="I282" s="4" t="s">
        <v>1977</v>
      </c>
      <c r="J282" s="4" t="s">
        <v>113</v>
      </c>
      <c r="K282" s="4" t="s">
        <v>1978</v>
      </c>
    </row>
    <row r="283" spans="1:11" ht="31" customHeight="1">
      <c r="A283" s="4" t="s">
        <v>419</v>
      </c>
      <c r="B283" s="4" t="s">
        <v>385</v>
      </c>
      <c r="C283" s="4" t="s">
        <v>73</v>
      </c>
      <c r="D283" s="5"/>
      <c r="E283" s="4" t="s">
        <v>113</v>
      </c>
      <c r="F283" s="4" t="s">
        <v>1744</v>
      </c>
      <c r="G283" s="4" t="s">
        <v>393</v>
      </c>
      <c r="H283" s="4" t="s">
        <v>1964</v>
      </c>
      <c r="I283" s="4" t="s">
        <v>1965</v>
      </c>
      <c r="J283" s="4" t="s">
        <v>1966</v>
      </c>
      <c r="K283" s="4" t="s">
        <v>1967</v>
      </c>
    </row>
    <row r="284" spans="1:11" ht="31" customHeight="1">
      <c r="A284" s="4" t="s">
        <v>419</v>
      </c>
      <c r="B284" s="4" t="s">
        <v>385</v>
      </c>
      <c r="C284" s="4" t="s">
        <v>72</v>
      </c>
      <c r="D284" s="4" t="s">
        <v>1087</v>
      </c>
      <c r="E284" s="4" t="s">
        <v>1968</v>
      </c>
      <c r="F284" s="4" t="s">
        <v>1953</v>
      </c>
      <c r="G284" s="4" t="s">
        <v>393</v>
      </c>
      <c r="H284" s="4" t="s">
        <v>1964</v>
      </c>
      <c r="I284" s="4" t="s">
        <v>1969</v>
      </c>
      <c r="J284" s="4" t="s">
        <v>1970</v>
      </c>
      <c r="K284" s="4" t="s">
        <v>1971</v>
      </c>
    </row>
    <row r="285" spans="1:11" ht="31" customHeight="1">
      <c r="A285" s="4" t="s">
        <v>419</v>
      </c>
      <c r="B285" s="4" t="s">
        <v>385</v>
      </c>
      <c r="C285" s="4" t="s">
        <v>74</v>
      </c>
      <c r="D285" s="5"/>
      <c r="E285" s="4" t="s">
        <v>387</v>
      </c>
      <c r="F285" s="4" t="s">
        <v>1744</v>
      </c>
      <c r="G285" s="4" t="s">
        <v>393</v>
      </c>
      <c r="H285" s="4" t="s">
        <v>1964</v>
      </c>
      <c r="I285" s="4" t="s">
        <v>1972</v>
      </c>
      <c r="J285" s="4" t="s">
        <v>1973</v>
      </c>
      <c r="K285" s="4" t="s">
        <v>1974</v>
      </c>
    </row>
    <row r="286" spans="1:11" ht="31" customHeight="1">
      <c r="A286" s="4" t="s">
        <v>419</v>
      </c>
      <c r="B286" s="4" t="s">
        <v>385</v>
      </c>
      <c r="C286" s="4" t="s">
        <v>84</v>
      </c>
      <c r="D286" s="5"/>
      <c r="E286" s="4" t="s">
        <v>391</v>
      </c>
      <c r="F286" s="4" t="s">
        <v>1928</v>
      </c>
      <c r="G286" s="4" t="s">
        <v>393</v>
      </c>
      <c r="H286" s="4" t="s">
        <v>1964</v>
      </c>
      <c r="I286" s="4" t="s">
        <v>1975</v>
      </c>
      <c r="J286" s="4" t="s">
        <v>113</v>
      </c>
      <c r="K286" s="4" t="s">
        <v>1976</v>
      </c>
    </row>
    <row r="287" spans="1:11" ht="31" customHeight="1">
      <c r="A287" s="4" t="s">
        <v>419</v>
      </c>
      <c r="B287" s="4" t="s">
        <v>385</v>
      </c>
      <c r="C287" s="4" t="s">
        <v>88</v>
      </c>
      <c r="D287" s="5"/>
      <c r="E287" s="4" t="s">
        <v>392</v>
      </c>
      <c r="F287" s="4" t="s">
        <v>1928</v>
      </c>
      <c r="G287" s="4" t="s">
        <v>393</v>
      </c>
      <c r="H287" s="4" t="s">
        <v>1964</v>
      </c>
      <c r="I287" s="4" t="s">
        <v>1977</v>
      </c>
      <c r="J287" s="4" t="s">
        <v>113</v>
      </c>
      <c r="K287" s="4" t="s">
        <v>1978</v>
      </c>
    </row>
    <row r="288" spans="1:11" ht="31" customHeight="1">
      <c r="A288" s="4" t="s">
        <v>421</v>
      </c>
      <c r="B288" s="4" t="s">
        <v>385</v>
      </c>
      <c r="C288" s="4" t="s">
        <v>73</v>
      </c>
      <c r="D288" s="5"/>
      <c r="E288" s="4" t="s">
        <v>113</v>
      </c>
      <c r="F288" s="4" t="s">
        <v>1744</v>
      </c>
      <c r="G288" s="4" t="s">
        <v>393</v>
      </c>
      <c r="H288" s="4" t="s">
        <v>1964</v>
      </c>
      <c r="I288" s="4" t="s">
        <v>1965</v>
      </c>
      <c r="J288" s="4" t="s">
        <v>1966</v>
      </c>
      <c r="K288" s="4" t="s">
        <v>1967</v>
      </c>
    </row>
    <row r="289" spans="1:11" ht="31" customHeight="1">
      <c r="A289" s="4" t="s">
        <v>421</v>
      </c>
      <c r="B289" s="4" t="s">
        <v>385</v>
      </c>
      <c r="C289" s="4" t="s">
        <v>72</v>
      </c>
      <c r="D289" s="4" t="s">
        <v>1087</v>
      </c>
      <c r="E289" s="4" t="s">
        <v>1968</v>
      </c>
      <c r="F289" s="4" t="s">
        <v>1953</v>
      </c>
      <c r="G289" s="4" t="s">
        <v>393</v>
      </c>
      <c r="H289" s="4" t="s">
        <v>1964</v>
      </c>
      <c r="I289" s="4" t="s">
        <v>1969</v>
      </c>
      <c r="J289" s="4" t="s">
        <v>1970</v>
      </c>
      <c r="K289" s="4" t="s">
        <v>1971</v>
      </c>
    </row>
    <row r="290" spans="1:11" ht="31" customHeight="1">
      <c r="A290" s="4" t="s">
        <v>421</v>
      </c>
      <c r="B290" s="4" t="s">
        <v>385</v>
      </c>
      <c r="C290" s="4" t="s">
        <v>74</v>
      </c>
      <c r="D290" s="5"/>
      <c r="E290" s="4" t="s">
        <v>387</v>
      </c>
      <c r="F290" s="4" t="s">
        <v>1744</v>
      </c>
      <c r="G290" s="4" t="s">
        <v>393</v>
      </c>
      <c r="H290" s="4" t="s">
        <v>1964</v>
      </c>
      <c r="I290" s="4" t="s">
        <v>1972</v>
      </c>
      <c r="J290" s="4" t="s">
        <v>1973</v>
      </c>
      <c r="K290" s="4" t="s">
        <v>1974</v>
      </c>
    </row>
    <row r="291" spans="1:11" ht="31" customHeight="1">
      <c r="A291" s="4" t="s">
        <v>421</v>
      </c>
      <c r="B291" s="4" t="s">
        <v>385</v>
      </c>
      <c r="C291" s="4" t="s">
        <v>84</v>
      </c>
      <c r="D291" s="5"/>
      <c r="E291" s="4" t="s">
        <v>391</v>
      </c>
      <c r="F291" s="4" t="s">
        <v>1928</v>
      </c>
      <c r="G291" s="4" t="s">
        <v>393</v>
      </c>
      <c r="H291" s="4" t="s">
        <v>1964</v>
      </c>
      <c r="I291" s="4" t="s">
        <v>1975</v>
      </c>
      <c r="J291" s="4" t="s">
        <v>113</v>
      </c>
      <c r="K291" s="4" t="s">
        <v>1976</v>
      </c>
    </row>
    <row r="292" spans="1:11" ht="31" customHeight="1">
      <c r="A292" s="4" t="s">
        <v>421</v>
      </c>
      <c r="B292" s="4" t="s">
        <v>385</v>
      </c>
      <c r="C292" s="4" t="s">
        <v>88</v>
      </c>
      <c r="D292" s="5"/>
      <c r="E292" s="4" t="s">
        <v>392</v>
      </c>
      <c r="F292" s="4" t="s">
        <v>1928</v>
      </c>
      <c r="G292" s="4" t="s">
        <v>393</v>
      </c>
      <c r="H292" s="4" t="s">
        <v>1964</v>
      </c>
      <c r="I292" s="4" t="s">
        <v>1977</v>
      </c>
      <c r="J292" s="4" t="s">
        <v>113</v>
      </c>
      <c r="K292" s="4" t="s">
        <v>1978</v>
      </c>
    </row>
    <row r="293" spans="1:11" ht="31" customHeight="1">
      <c r="A293" s="4" t="s">
        <v>190</v>
      </c>
      <c r="B293" s="4" t="s">
        <v>191</v>
      </c>
      <c r="C293" s="4" t="s">
        <v>74</v>
      </c>
      <c r="D293" s="4" t="s">
        <v>1084</v>
      </c>
      <c r="E293" s="4" t="s">
        <v>1979</v>
      </c>
      <c r="F293" s="4" t="s">
        <v>1953</v>
      </c>
      <c r="G293" s="4" t="s">
        <v>1478</v>
      </c>
      <c r="H293" s="4" t="s">
        <v>1979</v>
      </c>
      <c r="I293" s="4" t="s">
        <v>1980</v>
      </c>
      <c r="J293" s="4" t="s">
        <v>1981</v>
      </c>
      <c r="K293" s="4"/>
    </row>
    <row r="294" spans="1:11" ht="31" customHeight="1">
      <c r="A294" s="4" t="s">
        <v>190</v>
      </c>
      <c r="B294" s="4" t="s">
        <v>191</v>
      </c>
      <c r="C294" s="4" t="s">
        <v>105</v>
      </c>
      <c r="D294" s="5"/>
      <c r="E294" s="4" t="s">
        <v>199</v>
      </c>
      <c r="F294" s="4" t="s">
        <v>1739</v>
      </c>
      <c r="G294" s="4" t="s">
        <v>1478</v>
      </c>
      <c r="H294" s="4" t="s">
        <v>1982</v>
      </c>
      <c r="I294" s="4" t="s">
        <v>1983</v>
      </c>
      <c r="J294" s="4" t="s">
        <v>1984</v>
      </c>
      <c r="K294" s="4"/>
    </row>
    <row r="295" spans="1:11" ht="31" customHeight="1">
      <c r="A295" s="4" t="s">
        <v>202</v>
      </c>
      <c r="B295" s="4" t="s">
        <v>191</v>
      </c>
      <c r="C295" s="4" t="s">
        <v>74</v>
      </c>
      <c r="D295" s="4" t="s">
        <v>1084</v>
      </c>
      <c r="E295" s="4" t="s">
        <v>1985</v>
      </c>
      <c r="F295" s="4" t="s">
        <v>1953</v>
      </c>
      <c r="G295" s="4" t="s">
        <v>1478</v>
      </c>
      <c r="H295" s="4" t="s">
        <v>1985</v>
      </c>
      <c r="I295" s="4" t="s">
        <v>1980</v>
      </c>
      <c r="J295" s="4" t="s">
        <v>1981</v>
      </c>
      <c r="K295" s="4"/>
    </row>
    <row r="296" spans="1:11" ht="31" customHeight="1">
      <c r="A296" s="4" t="s">
        <v>202</v>
      </c>
      <c r="B296" s="4" t="s">
        <v>191</v>
      </c>
      <c r="C296" s="4" t="s">
        <v>105</v>
      </c>
      <c r="D296" s="5"/>
      <c r="E296" s="4" t="s">
        <v>199</v>
      </c>
      <c r="F296" s="4" t="s">
        <v>1739</v>
      </c>
      <c r="G296" s="4" t="s">
        <v>1478</v>
      </c>
      <c r="H296" s="4" t="s">
        <v>1982</v>
      </c>
      <c r="I296" s="4" t="s">
        <v>1983</v>
      </c>
      <c r="J296" s="4" t="s">
        <v>1984</v>
      </c>
      <c r="K296" s="4"/>
    </row>
    <row r="297" spans="1:11" ht="31" customHeight="1">
      <c r="A297" s="4" t="s">
        <v>208</v>
      </c>
      <c r="B297" s="4" t="s">
        <v>191</v>
      </c>
      <c r="C297" s="4" t="s">
        <v>74</v>
      </c>
      <c r="D297" s="4" t="s">
        <v>1084</v>
      </c>
      <c r="E297" s="4" t="s">
        <v>1979</v>
      </c>
      <c r="F297" s="4" t="s">
        <v>1953</v>
      </c>
      <c r="G297" s="4" t="s">
        <v>1478</v>
      </c>
      <c r="H297" s="4" t="s">
        <v>1979</v>
      </c>
      <c r="I297" s="4" t="s">
        <v>1980</v>
      </c>
      <c r="J297" s="4" t="s">
        <v>1981</v>
      </c>
      <c r="K297" s="4"/>
    </row>
    <row r="298" spans="1:11" ht="31" customHeight="1">
      <c r="A298" s="4" t="s">
        <v>208</v>
      </c>
      <c r="B298" s="4" t="s">
        <v>191</v>
      </c>
      <c r="C298" s="4" t="s">
        <v>105</v>
      </c>
      <c r="D298" s="5"/>
      <c r="E298" s="4" t="s">
        <v>199</v>
      </c>
      <c r="F298" s="4" t="s">
        <v>1739</v>
      </c>
      <c r="G298" s="4" t="s">
        <v>1478</v>
      </c>
      <c r="H298" s="4" t="s">
        <v>1982</v>
      </c>
      <c r="I298" s="4" t="s">
        <v>1983</v>
      </c>
      <c r="J298" s="4" t="s">
        <v>1984</v>
      </c>
      <c r="K298" s="4"/>
    </row>
    <row r="299" spans="1:11" ht="31" customHeight="1">
      <c r="A299" s="4" t="s">
        <v>212</v>
      </c>
      <c r="B299" s="4" t="s">
        <v>191</v>
      </c>
      <c r="C299" s="4" t="s">
        <v>74</v>
      </c>
      <c r="D299" s="4" t="s">
        <v>1084</v>
      </c>
      <c r="E299" s="4" t="s">
        <v>1985</v>
      </c>
      <c r="F299" s="4" t="s">
        <v>1953</v>
      </c>
      <c r="G299" s="4" t="s">
        <v>1478</v>
      </c>
      <c r="H299" s="4" t="s">
        <v>1985</v>
      </c>
      <c r="I299" s="4" t="s">
        <v>1980</v>
      </c>
      <c r="J299" s="4" t="s">
        <v>1981</v>
      </c>
      <c r="K299" s="4"/>
    </row>
    <row r="300" spans="1:11" ht="31" customHeight="1">
      <c r="A300" s="4" t="s">
        <v>212</v>
      </c>
      <c r="B300" s="4" t="s">
        <v>191</v>
      </c>
      <c r="C300" s="4" t="s">
        <v>105</v>
      </c>
      <c r="D300" s="5"/>
      <c r="E300" s="4" t="s">
        <v>199</v>
      </c>
      <c r="F300" s="4" t="s">
        <v>1739</v>
      </c>
      <c r="G300" s="4" t="s">
        <v>1478</v>
      </c>
      <c r="H300" s="4" t="s">
        <v>1982</v>
      </c>
      <c r="I300" s="4" t="s">
        <v>1983</v>
      </c>
      <c r="J300" s="4" t="s">
        <v>1984</v>
      </c>
      <c r="K300" s="4"/>
    </row>
    <row r="301" spans="1:11" ht="31" customHeight="1">
      <c r="A301" s="4" t="s">
        <v>217</v>
      </c>
      <c r="B301" s="4" t="s">
        <v>191</v>
      </c>
      <c r="C301" s="4" t="s">
        <v>74</v>
      </c>
      <c r="D301" s="4" t="s">
        <v>1084</v>
      </c>
      <c r="E301" s="4" t="s">
        <v>1979</v>
      </c>
      <c r="F301" s="4" t="s">
        <v>1953</v>
      </c>
      <c r="G301" s="4" t="s">
        <v>1478</v>
      </c>
      <c r="H301" s="4" t="s">
        <v>1979</v>
      </c>
      <c r="I301" s="4" t="s">
        <v>1980</v>
      </c>
      <c r="J301" s="4" t="s">
        <v>1981</v>
      </c>
      <c r="K301" s="4"/>
    </row>
    <row r="302" spans="1:11" ht="31" customHeight="1">
      <c r="A302" s="4" t="s">
        <v>217</v>
      </c>
      <c r="B302" s="4" t="s">
        <v>191</v>
      </c>
      <c r="C302" s="4" t="s">
        <v>105</v>
      </c>
      <c r="D302" s="5"/>
      <c r="E302" s="4" t="s">
        <v>220</v>
      </c>
      <c r="F302" s="4" t="s">
        <v>1739</v>
      </c>
      <c r="G302" s="4" t="s">
        <v>1478</v>
      </c>
      <c r="H302" s="4" t="s">
        <v>1982</v>
      </c>
      <c r="I302" s="4" t="s">
        <v>1983</v>
      </c>
      <c r="J302" s="4" t="s">
        <v>1984</v>
      </c>
      <c r="K302" s="4"/>
    </row>
    <row r="303" spans="1:11" ht="31" customHeight="1">
      <c r="A303" s="4" t="s">
        <v>222</v>
      </c>
      <c r="B303" s="4" t="s">
        <v>191</v>
      </c>
      <c r="C303" s="4" t="s">
        <v>74</v>
      </c>
      <c r="D303" s="4" t="s">
        <v>1084</v>
      </c>
      <c r="E303" s="4" t="s">
        <v>1979</v>
      </c>
      <c r="F303" s="4" t="s">
        <v>1953</v>
      </c>
      <c r="G303" s="4" t="s">
        <v>1478</v>
      </c>
      <c r="H303" s="4" t="s">
        <v>1979</v>
      </c>
      <c r="I303" s="4" t="s">
        <v>1980</v>
      </c>
      <c r="J303" s="4" t="s">
        <v>1981</v>
      </c>
      <c r="K303" s="4"/>
    </row>
    <row r="304" spans="1:11" ht="31" customHeight="1">
      <c r="A304" s="4" t="s">
        <v>222</v>
      </c>
      <c r="B304" s="4" t="s">
        <v>191</v>
      </c>
      <c r="C304" s="4" t="s">
        <v>105</v>
      </c>
      <c r="D304" s="5"/>
      <c r="E304" s="4" t="s">
        <v>220</v>
      </c>
      <c r="F304" s="4" t="s">
        <v>1739</v>
      </c>
      <c r="G304" s="4" t="s">
        <v>1478</v>
      </c>
      <c r="H304" s="4" t="s">
        <v>1982</v>
      </c>
      <c r="I304" s="4" t="s">
        <v>1983</v>
      </c>
      <c r="J304" s="4" t="s">
        <v>1984</v>
      </c>
      <c r="K304" s="4"/>
    </row>
    <row r="305" spans="1:11" ht="31" customHeight="1">
      <c r="A305" s="4" t="s">
        <v>225</v>
      </c>
      <c r="B305" s="4" t="s">
        <v>191</v>
      </c>
      <c r="C305" s="4" t="s">
        <v>74</v>
      </c>
      <c r="D305" s="4" t="s">
        <v>1084</v>
      </c>
      <c r="E305" s="4" t="s">
        <v>1979</v>
      </c>
      <c r="F305" s="4" t="s">
        <v>1953</v>
      </c>
      <c r="G305" s="4" t="s">
        <v>1478</v>
      </c>
      <c r="H305" s="4" t="s">
        <v>1979</v>
      </c>
      <c r="I305" s="4" t="s">
        <v>1980</v>
      </c>
      <c r="J305" s="4" t="s">
        <v>1981</v>
      </c>
      <c r="K305" s="4"/>
    </row>
    <row r="306" spans="1:11" ht="31" customHeight="1">
      <c r="A306" s="4" t="s">
        <v>225</v>
      </c>
      <c r="B306" s="4" t="s">
        <v>191</v>
      </c>
      <c r="C306" s="4" t="s">
        <v>105</v>
      </c>
      <c r="D306" s="5"/>
      <c r="E306" s="4" t="s">
        <v>220</v>
      </c>
      <c r="F306" s="4" t="s">
        <v>1739</v>
      </c>
      <c r="G306" s="4" t="s">
        <v>1478</v>
      </c>
      <c r="H306" s="4" t="s">
        <v>1982</v>
      </c>
      <c r="I306" s="4" t="s">
        <v>1983</v>
      </c>
      <c r="J306" s="4" t="s">
        <v>1984</v>
      </c>
      <c r="K306" s="4"/>
    </row>
    <row r="307" spans="1:11" ht="31" customHeight="1">
      <c r="A307" s="4" t="s">
        <v>229</v>
      </c>
      <c r="B307" s="4" t="s">
        <v>191</v>
      </c>
      <c r="C307" s="4" t="s">
        <v>74</v>
      </c>
      <c r="D307" s="4" t="s">
        <v>1084</v>
      </c>
      <c r="E307" s="4" t="s">
        <v>1979</v>
      </c>
      <c r="F307" s="4" t="s">
        <v>1953</v>
      </c>
      <c r="G307" s="4" t="s">
        <v>1478</v>
      </c>
      <c r="H307" s="4" t="s">
        <v>1979</v>
      </c>
      <c r="I307" s="4" t="s">
        <v>1980</v>
      </c>
      <c r="J307" s="4" t="s">
        <v>1981</v>
      </c>
      <c r="K307" s="4"/>
    </row>
    <row r="308" spans="1:11" ht="31" customHeight="1">
      <c r="A308" s="4" t="s">
        <v>229</v>
      </c>
      <c r="B308" s="4" t="s">
        <v>191</v>
      </c>
      <c r="C308" s="4" t="s">
        <v>105</v>
      </c>
      <c r="D308" s="5"/>
      <c r="E308" s="4" t="s">
        <v>220</v>
      </c>
      <c r="F308" s="4" t="s">
        <v>1739</v>
      </c>
      <c r="G308" s="4" t="s">
        <v>1478</v>
      </c>
      <c r="H308" s="4" t="s">
        <v>1982</v>
      </c>
      <c r="I308" s="4" t="s">
        <v>1983</v>
      </c>
      <c r="J308" s="4" t="s">
        <v>1984</v>
      </c>
      <c r="K308" s="4"/>
    </row>
    <row r="309" spans="1:11" ht="31" customHeight="1">
      <c r="A309" s="4" t="s">
        <v>231</v>
      </c>
      <c r="B309" s="4" t="s">
        <v>191</v>
      </c>
      <c r="C309" s="4" t="s">
        <v>74</v>
      </c>
      <c r="D309" s="4" t="s">
        <v>1084</v>
      </c>
      <c r="E309" s="4" t="s">
        <v>1979</v>
      </c>
      <c r="F309" s="4" t="s">
        <v>1953</v>
      </c>
      <c r="G309" s="4" t="s">
        <v>1478</v>
      </c>
      <c r="H309" s="4" t="s">
        <v>1979</v>
      </c>
      <c r="I309" s="4" t="s">
        <v>1980</v>
      </c>
      <c r="J309" s="4" t="s">
        <v>1981</v>
      </c>
      <c r="K309" s="4"/>
    </row>
    <row r="310" spans="1:11" ht="31" customHeight="1">
      <c r="A310" s="4" t="s">
        <v>231</v>
      </c>
      <c r="B310" s="4" t="s">
        <v>191</v>
      </c>
      <c r="C310" s="4" t="s">
        <v>105</v>
      </c>
      <c r="D310" s="5"/>
      <c r="E310" s="4" t="s">
        <v>220</v>
      </c>
      <c r="F310" s="4" t="s">
        <v>1739</v>
      </c>
      <c r="G310" s="4" t="s">
        <v>1478</v>
      </c>
      <c r="H310" s="4" t="s">
        <v>1982</v>
      </c>
      <c r="I310" s="4" t="s">
        <v>1983</v>
      </c>
      <c r="J310" s="4" t="s">
        <v>1984</v>
      </c>
      <c r="K310" s="4"/>
    </row>
    <row r="311" spans="1:11" ht="31" customHeight="1">
      <c r="A311" s="4" t="s">
        <v>233</v>
      </c>
      <c r="B311" s="4" t="s">
        <v>191</v>
      </c>
      <c r="C311" s="4" t="s">
        <v>74</v>
      </c>
      <c r="D311" s="4" t="s">
        <v>1084</v>
      </c>
      <c r="E311" s="4" t="s">
        <v>1985</v>
      </c>
      <c r="F311" s="4" t="s">
        <v>1953</v>
      </c>
      <c r="G311" s="4" t="s">
        <v>1478</v>
      </c>
      <c r="H311" s="4" t="s">
        <v>1985</v>
      </c>
      <c r="I311" s="4" t="s">
        <v>1980</v>
      </c>
      <c r="J311" s="4" t="s">
        <v>1981</v>
      </c>
      <c r="K311" s="4"/>
    </row>
    <row r="312" spans="1:11" ht="31" customHeight="1">
      <c r="A312" s="4" t="s">
        <v>233</v>
      </c>
      <c r="B312" s="4" t="s">
        <v>191</v>
      </c>
      <c r="C312" s="4" t="s">
        <v>105</v>
      </c>
      <c r="D312" s="5"/>
      <c r="E312" s="4" t="s">
        <v>220</v>
      </c>
      <c r="F312" s="4" t="s">
        <v>1739</v>
      </c>
      <c r="G312" s="4" t="s">
        <v>1478</v>
      </c>
      <c r="H312" s="4" t="s">
        <v>1982</v>
      </c>
      <c r="I312" s="4" t="s">
        <v>1983</v>
      </c>
      <c r="J312" s="4" t="s">
        <v>1984</v>
      </c>
      <c r="K312" s="4"/>
    </row>
    <row r="313" spans="1:11" ht="31" customHeight="1">
      <c r="A313" s="4" t="s">
        <v>212</v>
      </c>
      <c r="B313" s="4" t="s">
        <v>191</v>
      </c>
      <c r="C313" s="4" t="s">
        <v>38</v>
      </c>
      <c r="D313" s="5"/>
      <c r="E313" s="4" t="s">
        <v>213</v>
      </c>
      <c r="F313" s="4" t="s">
        <v>1744</v>
      </c>
      <c r="G313" s="4" t="s">
        <v>1478</v>
      </c>
      <c r="H313" s="4" t="s">
        <v>1986</v>
      </c>
      <c r="I313" s="4" t="s">
        <v>1987</v>
      </c>
      <c r="J313" s="4" t="s">
        <v>1988</v>
      </c>
      <c r="K313" s="4" t="s">
        <v>1989</v>
      </c>
    </row>
    <row r="314" spans="1:11" ht="31" customHeight="1">
      <c r="A314" s="4" t="s">
        <v>423</v>
      </c>
      <c r="B314" s="4" t="s">
        <v>424</v>
      </c>
      <c r="C314" s="4" t="s">
        <v>74</v>
      </c>
      <c r="D314" s="4" t="s">
        <v>1084</v>
      </c>
      <c r="E314" s="4" t="s">
        <v>1990</v>
      </c>
      <c r="F314" s="4" t="s">
        <v>1953</v>
      </c>
      <c r="G314" s="4" t="s">
        <v>1474</v>
      </c>
      <c r="H314" s="4" t="s">
        <v>1991</v>
      </c>
      <c r="I314" s="4" t="s">
        <v>1992</v>
      </c>
      <c r="J314" s="4" t="s">
        <v>1993</v>
      </c>
      <c r="K314" s="4" t="s">
        <v>1994</v>
      </c>
    </row>
    <row r="315" spans="1:11" ht="31" customHeight="1">
      <c r="A315" s="4" t="s">
        <v>423</v>
      </c>
      <c r="B315" s="4" t="s">
        <v>424</v>
      </c>
      <c r="C315" s="4" t="s">
        <v>89</v>
      </c>
      <c r="D315" s="5"/>
      <c r="E315" s="4" t="s">
        <v>432</v>
      </c>
      <c r="F315" s="4" t="s">
        <v>1739</v>
      </c>
      <c r="G315" s="4" t="s">
        <v>1474</v>
      </c>
      <c r="H315" s="4" t="s">
        <v>1995</v>
      </c>
      <c r="I315" s="4" t="s">
        <v>432</v>
      </c>
      <c r="J315" s="4" t="s">
        <v>1996</v>
      </c>
      <c r="K315" s="4" t="s">
        <v>1997</v>
      </c>
    </row>
    <row r="316" spans="1:11" ht="31" customHeight="1">
      <c r="A316" s="4" t="s">
        <v>435</v>
      </c>
      <c r="B316" s="4" t="s">
        <v>424</v>
      </c>
      <c r="C316" s="4" t="s">
        <v>74</v>
      </c>
      <c r="D316" s="4" t="s">
        <v>1084</v>
      </c>
      <c r="E316" s="4" t="s">
        <v>1990</v>
      </c>
      <c r="F316" s="4" t="s">
        <v>1953</v>
      </c>
      <c r="G316" s="4" t="s">
        <v>1474</v>
      </c>
      <c r="H316" s="4" t="s">
        <v>1991</v>
      </c>
      <c r="I316" s="4" t="s">
        <v>1998</v>
      </c>
      <c r="J316" s="4" t="s">
        <v>1993</v>
      </c>
      <c r="K316" s="4" t="s">
        <v>1994</v>
      </c>
    </row>
    <row r="317" spans="1:11" ht="31" customHeight="1">
      <c r="A317" s="4" t="s">
        <v>435</v>
      </c>
      <c r="B317" s="4" t="s">
        <v>424</v>
      </c>
      <c r="C317" s="4" t="s">
        <v>89</v>
      </c>
      <c r="D317" s="5"/>
      <c r="E317" s="4" t="s">
        <v>432</v>
      </c>
      <c r="F317" s="4" t="s">
        <v>1739</v>
      </c>
      <c r="G317" s="4" t="s">
        <v>1474</v>
      </c>
      <c r="H317" s="4" t="s">
        <v>1995</v>
      </c>
      <c r="I317" s="4" t="s">
        <v>432</v>
      </c>
      <c r="J317" s="4" t="s">
        <v>1996</v>
      </c>
      <c r="K317" s="4" t="s">
        <v>1997</v>
      </c>
    </row>
    <row r="318" spans="1:11" ht="31" customHeight="1">
      <c r="A318" s="4" t="s">
        <v>440</v>
      </c>
      <c r="B318" s="4" t="s">
        <v>424</v>
      </c>
      <c r="C318" s="4" t="s">
        <v>74</v>
      </c>
      <c r="D318" s="4" t="s">
        <v>1084</v>
      </c>
      <c r="E318" s="4" t="s">
        <v>1990</v>
      </c>
      <c r="F318" s="4" t="s">
        <v>1953</v>
      </c>
      <c r="G318" s="4" t="s">
        <v>1474</v>
      </c>
      <c r="H318" s="4" t="s">
        <v>1991</v>
      </c>
      <c r="I318" s="4" t="s">
        <v>1999</v>
      </c>
      <c r="J318" s="4" t="s">
        <v>1993</v>
      </c>
      <c r="K318" s="4" t="s">
        <v>1994</v>
      </c>
    </row>
    <row r="319" spans="1:11" ht="31" customHeight="1">
      <c r="A319" s="4" t="s">
        <v>440</v>
      </c>
      <c r="B319" s="4" t="s">
        <v>424</v>
      </c>
      <c r="C319" s="4" t="s">
        <v>89</v>
      </c>
      <c r="D319" s="5"/>
      <c r="E319" s="4" t="s">
        <v>432</v>
      </c>
      <c r="F319" s="4" t="s">
        <v>1739</v>
      </c>
      <c r="G319" s="4" t="s">
        <v>1474</v>
      </c>
      <c r="H319" s="4" t="s">
        <v>1995</v>
      </c>
      <c r="I319" s="4" t="s">
        <v>432</v>
      </c>
      <c r="J319" s="4" t="s">
        <v>1996</v>
      </c>
      <c r="K319" s="4" t="s">
        <v>1997</v>
      </c>
    </row>
    <row r="320" spans="1:11" ht="31" customHeight="1">
      <c r="A320" s="4" t="s">
        <v>446</v>
      </c>
      <c r="B320" s="4" t="s">
        <v>424</v>
      </c>
      <c r="C320" s="4" t="s">
        <v>74</v>
      </c>
      <c r="D320" s="4" t="s">
        <v>1084</v>
      </c>
      <c r="E320" s="4" t="s">
        <v>1990</v>
      </c>
      <c r="F320" s="4" t="s">
        <v>1953</v>
      </c>
      <c r="G320" s="4" t="s">
        <v>1474</v>
      </c>
      <c r="H320" s="4" t="s">
        <v>1991</v>
      </c>
      <c r="I320" s="4" t="s">
        <v>2000</v>
      </c>
      <c r="J320" s="4" t="s">
        <v>1993</v>
      </c>
      <c r="K320" s="4" t="s">
        <v>1994</v>
      </c>
    </row>
    <row r="321" spans="1:11" ht="31" customHeight="1">
      <c r="A321" s="4" t="s">
        <v>446</v>
      </c>
      <c r="B321" s="4" t="s">
        <v>424</v>
      </c>
      <c r="C321" s="4" t="s">
        <v>89</v>
      </c>
      <c r="D321" s="5"/>
      <c r="E321" s="4" t="s">
        <v>449</v>
      </c>
      <c r="F321" s="4" t="s">
        <v>1739</v>
      </c>
      <c r="G321" s="4" t="s">
        <v>1474</v>
      </c>
      <c r="H321" s="4" t="s">
        <v>1995</v>
      </c>
      <c r="I321" s="4" t="s">
        <v>449</v>
      </c>
      <c r="J321" s="4" t="s">
        <v>1996</v>
      </c>
      <c r="K321" s="4" t="s">
        <v>1997</v>
      </c>
    </row>
    <row r="322" spans="1:11" ht="31" customHeight="1">
      <c r="A322" s="4" t="s">
        <v>451</v>
      </c>
      <c r="B322" s="4" t="s">
        <v>424</v>
      </c>
      <c r="C322" s="4" t="s">
        <v>74</v>
      </c>
      <c r="D322" s="4" t="s">
        <v>1084</v>
      </c>
      <c r="E322" s="4" t="s">
        <v>1990</v>
      </c>
      <c r="F322" s="4" t="s">
        <v>1953</v>
      </c>
      <c r="G322" s="4" t="s">
        <v>1474</v>
      </c>
      <c r="H322" s="4" t="s">
        <v>1991</v>
      </c>
      <c r="I322" s="4" t="s">
        <v>2001</v>
      </c>
      <c r="J322" s="4" t="s">
        <v>1993</v>
      </c>
      <c r="K322" s="4" t="s">
        <v>1994</v>
      </c>
    </row>
    <row r="323" spans="1:11" ht="31" customHeight="1">
      <c r="A323" s="4" t="s">
        <v>451</v>
      </c>
      <c r="B323" s="4" t="s">
        <v>424</v>
      </c>
      <c r="C323" s="4" t="s">
        <v>89</v>
      </c>
      <c r="D323" s="5"/>
      <c r="E323" s="4" t="s">
        <v>432</v>
      </c>
      <c r="F323" s="4" t="s">
        <v>1739</v>
      </c>
      <c r="G323" s="4" t="s">
        <v>1474</v>
      </c>
      <c r="H323" s="4" t="s">
        <v>1995</v>
      </c>
      <c r="I323" s="4" t="s">
        <v>432</v>
      </c>
      <c r="J323" s="4" t="s">
        <v>1996</v>
      </c>
      <c r="K323" s="4" t="s">
        <v>1997</v>
      </c>
    </row>
    <row r="324" spans="1:11" ht="31" customHeight="1">
      <c r="A324" s="4" t="s">
        <v>455</v>
      </c>
      <c r="B324" s="4" t="s">
        <v>424</v>
      </c>
      <c r="C324" s="4" t="s">
        <v>74</v>
      </c>
      <c r="D324" s="4" t="s">
        <v>1084</v>
      </c>
      <c r="E324" s="4" t="s">
        <v>1990</v>
      </c>
      <c r="F324" s="4" t="s">
        <v>1953</v>
      </c>
      <c r="G324" s="4" t="s">
        <v>1474</v>
      </c>
      <c r="H324" s="4" t="s">
        <v>1991</v>
      </c>
      <c r="I324" s="4" t="s">
        <v>2002</v>
      </c>
      <c r="J324" s="4" t="s">
        <v>1993</v>
      </c>
      <c r="K324" s="4" t="s">
        <v>1994</v>
      </c>
    </row>
    <row r="325" spans="1:11" ht="31" customHeight="1">
      <c r="A325" s="4" t="s">
        <v>455</v>
      </c>
      <c r="B325" s="4" t="s">
        <v>424</v>
      </c>
      <c r="C325" s="4" t="s">
        <v>89</v>
      </c>
      <c r="D325" s="5"/>
      <c r="E325" s="4" t="s">
        <v>457</v>
      </c>
      <c r="F325" s="4" t="s">
        <v>1739</v>
      </c>
      <c r="G325" s="4" t="s">
        <v>1474</v>
      </c>
      <c r="H325" s="4" t="s">
        <v>1995</v>
      </c>
      <c r="I325" s="4" t="s">
        <v>457</v>
      </c>
      <c r="J325" s="4" t="s">
        <v>1996</v>
      </c>
      <c r="K325" s="4" t="s">
        <v>1997</v>
      </c>
    </row>
    <row r="326" spans="1:11" ht="31" customHeight="1">
      <c r="A326" s="4" t="s">
        <v>459</v>
      </c>
      <c r="B326" s="4" t="s">
        <v>424</v>
      </c>
      <c r="C326" s="4" t="s">
        <v>74</v>
      </c>
      <c r="D326" s="4" t="s">
        <v>1084</v>
      </c>
      <c r="E326" s="4" t="s">
        <v>1990</v>
      </c>
      <c r="F326" s="4" t="s">
        <v>1953</v>
      </c>
      <c r="G326" s="4" t="s">
        <v>1474</v>
      </c>
      <c r="H326" s="4" t="s">
        <v>1991</v>
      </c>
      <c r="I326" s="4" t="s">
        <v>2003</v>
      </c>
      <c r="J326" s="4" t="s">
        <v>1993</v>
      </c>
      <c r="K326" s="4" t="s">
        <v>1994</v>
      </c>
    </row>
    <row r="327" spans="1:11" ht="31" customHeight="1">
      <c r="A327" s="4" t="s">
        <v>459</v>
      </c>
      <c r="B327" s="4" t="s">
        <v>424</v>
      </c>
      <c r="C327" s="4" t="s">
        <v>89</v>
      </c>
      <c r="D327" s="5"/>
      <c r="E327" s="4" t="s">
        <v>432</v>
      </c>
      <c r="F327" s="4" t="s">
        <v>1739</v>
      </c>
      <c r="G327" s="4" t="s">
        <v>1474</v>
      </c>
      <c r="H327" s="4" t="s">
        <v>1995</v>
      </c>
      <c r="I327" s="4" t="s">
        <v>432</v>
      </c>
      <c r="J327" s="4" t="s">
        <v>1996</v>
      </c>
      <c r="K327" s="4" t="s">
        <v>1997</v>
      </c>
    </row>
    <row r="328" spans="1:11" ht="31" customHeight="1">
      <c r="A328" s="4" t="s">
        <v>282</v>
      </c>
      <c r="B328" s="4" t="s">
        <v>424</v>
      </c>
      <c r="C328" s="4" t="s">
        <v>74</v>
      </c>
      <c r="D328" s="4" t="s">
        <v>430</v>
      </c>
      <c r="E328" s="4" t="s">
        <v>1990</v>
      </c>
      <c r="F328" s="4" t="s">
        <v>1953</v>
      </c>
      <c r="G328" s="4" t="s">
        <v>1474</v>
      </c>
      <c r="H328" s="4" t="s">
        <v>1991</v>
      </c>
      <c r="I328" s="4" t="s">
        <v>2004</v>
      </c>
      <c r="J328" s="4" t="s">
        <v>1993</v>
      </c>
      <c r="K328" s="4" t="s">
        <v>1994</v>
      </c>
    </row>
    <row r="329" spans="1:11" ht="31" customHeight="1">
      <c r="A329" s="4" t="s">
        <v>282</v>
      </c>
      <c r="B329" s="4" t="s">
        <v>424</v>
      </c>
      <c r="C329" s="4" t="s">
        <v>89</v>
      </c>
      <c r="D329" s="5"/>
      <c r="E329" s="4" t="s">
        <v>477</v>
      </c>
      <c r="F329" s="4" t="s">
        <v>1739</v>
      </c>
      <c r="G329" s="4" t="s">
        <v>1474</v>
      </c>
      <c r="H329" s="4" t="s">
        <v>1995</v>
      </c>
      <c r="I329" s="4" t="s">
        <v>477</v>
      </c>
      <c r="J329" s="4" t="s">
        <v>1996</v>
      </c>
      <c r="K329" s="4" t="s">
        <v>1997</v>
      </c>
    </row>
  </sheetData>
  <autoFilter ref="A1:K329"/>
  <pageMargins left="0.7" right="0.7" top="0.75" bottom="0.75" header="0.3" footer="0.3"/>
  <pageSetup fitToHeight="0" orientation="landscape"/>
</worksheet>
</file>

<file path=xl/worksheets/sheet9.xml><?xml version="1.0" encoding="utf-8"?>
<worksheet xmlns="http://schemas.openxmlformats.org/spreadsheetml/2006/main" xmlns:r="http://schemas.openxmlformats.org/officeDocument/2006/relationships">
  <sheetPr>
    <tabColor rgb="FF237C89"/>
    <pageSetUpPr fitToPage="1"/>
  </sheetPr>
  <dimension ref="A1:H21"/>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3.7109375" customWidth="1"/>
    <col min="2" max="2" width="20.7109375" customWidth="1"/>
    <col min="3" max="3" width="38.7109375" customWidth="1"/>
    <col min="4" max="4" width="65.7109375" customWidth="1"/>
    <col min="5" max="5" width="80.7109375" customWidth="1"/>
    <col min="6" max="6" width="65.7109375" customWidth="1"/>
    <col min="7" max="7" width="60.7109375" customWidth="1"/>
    <col min="8" max="8" width="110.7109375" customWidth="1"/>
  </cols>
  <sheetData>
    <row r="1" spans="1:8" ht="42" customHeight="1">
      <c r="A1" s="2" t="s">
        <v>1094</v>
      </c>
      <c r="B1" s="2" t="s">
        <v>34</v>
      </c>
      <c r="C1" s="2" t="s">
        <v>1225</v>
      </c>
      <c r="D1" s="2" t="s">
        <v>2005</v>
      </c>
      <c r="E1" s="2" t="s">
        <v>2006</v>
      </c>
      <c r="F1" s="2" t="s">
        <v>1346</v>
      </c>
      <c r="G1" s="2" t="s">
        <v>1443</v>
      </c>
      <c r="H1" s="2" t="s">
        <v>1736</v>
      </c>
    </row>
    <row r="2" spans="1:8" ht="31" customHeight="1">
      <c r="A2" s="4" t="s">
        <v>129</v>
      </c>
      <c r="B2" s="4" t="s">
        <v>110</v>
      </c>
      <c r="C2" s="4" t="s">
        <v>55</v>
      </c>
      <c r="D2" s="4" t="s">
        <v>130</v>
      </c>
      <c r="E2" s="4" t="s">
        <v>2007</v>
      </c>
      <c r="F2" s="4" t="s">
        <v>1526</v>
      </c>
      <c r="G2" s="4" t="s">
        <v>2008</v>
      </c>
      <c r="H2" s="4" t="s">
        <v>2009</v>
      </c>
    </row>
    <row r="3" spans="1:8" ht="31" customHeight="1">
      <c r="A3" s="4" t="s">
        <v>138</v>
      </c>
      <c r="B3" s="4" t="s">
        <v>110</v>
      </c>
      <c r="C3" s="4" t="s">
        <v>55</v>
      </c>
      <c r="D3" s="4" t="s">
        <v>130</v>
      </c>
      <c r="E3" s="4" t="s">
        <v>2007</v>
      </c>
      <c r="F3" s="4" t="s">
        <v>1526</v>
      </c>
      <c r="G3" s="4" t="s">
        <v>2008</v>
      </c>
      <c r="H3" s="4" t="s">
        <v>2009</v>
      </c>
    </row>
    <row r="4" spans="1:8" ht="31" customHeight="1">
      <c r="A4" s="4" t="s">
        <v>153</v>
      </c>
      <c r="B4" s="4" t="s">
        <v>110</v>
      </c>
      <c r="C4" s="4" t="s">
        <v>55</v>
      </c>
      <c r="D4" s="4" t="s">
        <v>130</v>
      </c>
      <c r="E4" s="4" t="s">
        <v>2007</v>
      </c>
      <c r="F4" s="4" t="s">
        <v>1526</v>
      </c>
      <c r="G4" s="4" t="s">
        <v>2008</v>
      </c>
      <c r="H4" s="4" t="s">
        <v>2009</v>
      </c>
    </row>
    <row r="5" spans="1:8" ht="31" customHeight="1">
      <c r="A5" s="4" t="s">
        <v>143</v>
      </c>
      <c r="B5" s="4" t="s">
        <v>110</v>
      </c>
      <c r="C5" s="4" t="s">
        <v>72</v>
      </c>
      <c r="D5" s="4" t="s">
        <v>145</v>
      </c>
      <c r="E5" s="4" t="s">
        <v>2010</v>
      </c>
      <c r="F5" s="4" t="s">
        <v>1539</v>
      </c>
      <c r="G5" s="4" t="s">
        <v>2011</v>
      </c>
      <c r="H5" s="4" t="s">
        <v>1120</v>
      </c>
    </row>
    <row r="6" spans="1:8" ht="31" customHeight="1">
      <c r="A6" s="4" t="s">
        <v>360</v>
      </c>
      <c r="B6" s="4" t="s">
        <v>346</v>
      </c>
      <c r="C6" s="4" t="s">
        <v>60</v>
      </c>
      <c r="D6" s="6">
        <v>0.0118207492011987</v>
      </c>
      <c r="E6" s="6">
        <v>0.0108</v>
      </c>
      <c r="F6" s="4" t="s">
        <v>1490</v>
      </c>
      <c r="G6" s="4" t="s">
        <v>2012</v>
      </c>
      <c r="H6" s="4" t="s">
        <v>2013</v>
      </c>
    </row>
    <row r="7" spans="1:8" ht="31" customHeight="1">
      <c r="A7" s="4" t="s">
        <v>252</v>
      </c>
      <c r="B7" s="4" t="s">
        <v>237</v>
      </c>
      <c r="C7" s="4" t="s">
        <v>50</v>
      </c>
      <c r="D7" s="6">
        <v>21</v>
      </c>
      <c r="E7" s="4" t="s">
        <v>2014</v>
      </c>
      <c r="F7" s="4" t="s">
        <v>464</v>
      </c>
      <c r="G7" s="4" t="s">
        <v>2015</v>
      </c>
      <c r="H7" s="4" t="s">
        <v>2016</v>
      </c>
    </row>
    <row r="8" spans="1:8" ht="31" customHeight="1">
      <c r="A8" s="4" t="s">
        <v>263</v>
      </c>
      <c r="B8" s="4" t="s">
        <v>237</v>
      </c>
      <c r="C8" s="4" t="s">
        <v>50</v>
      </c>
      <c r="D8" s="6">
        <v>16</v>
      </c>
      <c r="E8" s="4" t="s">
        <v>2017</v>
      </c>
      <c r="F8" s="4" t="s">
        <v>464</v>
      </c>
      <c r="G8" s="4" t="s">
        <v>2015</v>
      </c>
      <c r="H8" s="4" t="s">
        <v>2018</v>
      </c>
    </row>
    <row r="9" spans="1:8" ht="31" customHeight="1">
      <c r="A9" s="4" t="s">
        <v>268</v>
      </c>
      <c r="B9" s="4" t="s">
        <v>237</v>
      </c>
      <c r="C9" s="4" t="s">
        <v>50</v>
      </c>
      <c r="D9" s="6">
        <v>16</v>
      </c>
      <c r="E9" s="6">
        <v>12</v>
      </c>
      <c r="F9" s="4" t="s">
        <v>464</v>
      </c>
      <c r="G9" s="4" t="s">
        <v>2015</v>
      </c>
      <c r="H9" s="4" t="s">
        <v>2019</v>
      </c>
    </row>
    <row r="10" spans="1:8" ht="31" customHeight="1">
      <c r="A10" s="4" t="s">
        <v>274</v>
      </c>
      <c r="B10" s="4" t="s">
        <v>237</v>
      </c>
      <c r="C10" s="4" t="s">
        <v>50</v>
      </c>
      <c r="D10" s="6">
        <v>17</v>
      </c>
      <c r="E10" s="4" t="s">
        <v>2020</v>
      </c>
      <c r="F10" s="4" t="s">
        <v>464</v>
      </c>
      <c r="G10" s="4" t="s">
        <v>2015</v>
      </c>
      <c r="H10" s="4" t="s">
        <v>2021</v>
      </c>
    </row>
    <row r="11" spans="1:8" ht="31" customHeight="1">
      <c r="A11" s="4" t="s">
        <v>282</v>
      </c>
      <c r="B11" s="4" t="s">
        <v>237</v>
      </c>
      <c r="C11" s="4" t="s">
        <v>50</v>
      </c>
      <c r="D11" s="6">
        <v>19</v>
      </c>
      <c r="E11" s="4" t="s">
        <v>2014</v>
      </c>
      <c r="F11" s="4" t="s">
        <v>464</v>
      </c>
      <c r="G11" s="4" t="s">
        <v>2015</v>
      </c>
      <c r="H11" s="4" t="s">
        <v>2016</v>
      </c>
    </row>
    <row r="12" spans="1:8" ht="31" customHeight="1">
      <c r="A12" s="4" t="s">
        <v>300</v>
      </c>
      <c r="B12" s="4" t="s">
        <v>237</v>
      </c>
      <c r="C12" s="4" t="s">
        <v>2022</v>
      </c>
      <c r="D12" s="4" t="s">
        <v>2023</v>
      </c>
      <c r="E12" s="4" t="s">
        <v>2024</v>
      </c>
      <c r="F12" s="4" t="s">
        <v>464</v>
      </c>
      <c r="G12" s="4" t="s">
        <v>2025</v>
      </c>
      <c r="H12" s="4" t="s">
        <v>2026</v>
      </c>
    </row>
    <row r="13" spans="1:8" ht="31" customHeight="1">
      <c r="A13" s="4" t="s">
        <v>304</v>
      </c>
      <c r="B13" s="4" t="s">
        <v>237</v>
      </c>
      <c r="C13" s="4" t="s">
        <v>2022</v>
      </c>
      <c r="D13" s="4" t="s">
        <v>2023</v>
      </c>
      <c r="E13" s="4" t="s">
        <v>2024</v>
      </c>
      <c r="F13" s="4" t="s">
        <v>464</v>
      </c>
      <c r="G13" s="4" t="s">
        <v>2025</v>
      </c>
      <c r="H13" s="4" t="s">
        <v>2026</v>
      </c>
    </row>
    <row r="14" spans="1:8" ht="31" customHeight="1">
      <c r="A14" s="4" t="s">
        <v>306</v>
      </c>
      <c r="B14" s="4" t="s">
        <v>237</v>
      </c>
      <c r="C14" s="4" t="s">
        <v>2022</v>
      </c>
      <c r="D14" s="4" t="s">
        <v>2023</v>
      </c>
      <c r="E14" s="4" t="s">
        <v>2024</v>
      </c>
      <c r="F14" s="4" t="s">
        <v>464</v>
      </c>
      <c r="G14" s="4" t="s">
        <v>2025</v>
      </c>
      <c r="H14" s="4" t="s">
        <v>2026</v>
      </c>
    </row>
    <row r="15" spans="1:8" ht="31" customHeight="1">
      <c r="A15" s="4" t="s">
        <v>298</v>
      </c>
      <c r="B15" s="4" t="s">
        <v>237</v>
      </c>
      <c r="C15" s="4" t="s">
        <v>52</v>
      </c>
      <c r="D15" s="6">
        <v>2</v>
      </c>
      <c r="E15" s="6">
        <v>0</v>
      </c>
      <c r="F15" s="4" t="s">
        <v>464</v>
      </c>
      <c r="G15" s="4" t="s">
        <v>2027</v>
      </c>
      <c r="H15" s="4" t="s">
        <v>2028</v>
      </c>
    </row>
    <row r="16" spans="1:8" ht="31" customHeight="1">
      <c r="A16" s="4" t="s">
        <v>236</v>
      </c>
      <c r="B16" s="4" t="s">
        <v>237</v>
      </c>
      <c r="C16" s="4" t="s">
        <v>55</v>
      </c>
      <c r="D16" s="4" t="s">
        <v>130</v>
      </c>
      <c r="E16" s="4" t="s">
        <v>2029</v>
      </c>
      <c r="F16" s="4" t="s">
        <v>2030</v>
      </c>
      <c r="G16" s="4" t="s">
        <v>2031</v>
      </c>
      <c r="H16" s="4" t="s">
        <v>2032</v>
      </c>
    </row>
    <row r="17" spans="1:8" ht="31" customHeight="1">
      <c r="A17" s="4" t="s">
        <v>306</v>
      </c>
      <c r="B17" s="4" t="s">
        <v>237</v>
      </c>
      <c r="C17" s="4" t="s">
        <v>55</v>
      </c>
      <c r="D17" s="4" t="s">
        <v>130</v>
      </c>
      <c r="E17" s="4" t="s">
        <v>2029</v>
      </c>
      <c r="F17" s="4" t="s">
        <v>2030</v>
      </c>
      <c r="G17" s="4" t="s">
        <v>2031</v>
      </c>
      <c r="H17" s="4" t="s">
        <v>2032</v>
      </c>
    </row>
    <row r="18" spans="1:8" ht="31" customHeight="1">
      <c r="A18" s="4" t="s">
        <v>212</v>
      </c>
      <c r="B18" s="4" t="s">
        <v>191</v>
      </c>
      <c r="C18" s="4" t="s">
        <v>2033</v>
      </c>
      <c r="D18" s="4" t="s">
        <v>2034</v>
      </c>
      <c r="E18" s="4" t="s">
        <v>2035</v>
      </c>
      <c r="F18" s="4" t="s">
        <v>1478</v>
      </c>
      <c r="G18" s="4" t="s">
        <v>2036</v>
      </c>
      <c r="H18" s="4" t="s">
        <v>2037</v>
      </c>
    </row>
    <row r="19" spans="1:8" ht="31" customHeight="1">
      <c r="A19" s="4" t="s">
        <v>2038</v>
      </c>
      <c r="B19" s="4" t="s">
        <v>191</v>
      </c>
      <c r="C19" s="4" t="s">
        <v>2039</v>
      </c>
      <c r="D19" s="4" t="s">
        <v>2040</v>
      </c>
      <c r="E19" s="4" t="s">
        <v>2041</v>
      </c>
      <c r="F19" s="4" t="s">
        <v>2042</v>
      </c>
      <c r="G19" s="4" t="s">
        <v>2043</v>
      </c>
      <c r="H19" s="4" t="s">
        <v>2044</v>
      </c>
    </row>
    <row r="20" spans="1:8" ht="31" customHeight="1">
      <c r="A20" s="4" t="s">
        <v>446</v>
      </c>
      <c r="B20" s="4" t="s">
        <v>424</v>
      </c>
      <c r="C20" s="4" t="s">
        <v>75</v>
      </c>
      <c r="D20" s="5"/>
      <c r="E20" s="4" t="s">
        <v>2045</v>
      </c>
      <c r="F20" s="4" t="s">
        <v>1474</v>
      </c>
      <c r="G20" s="4" t="s">
        <v>2046</v>
      </c>
      <c r="H20" s="4" t="s">
        <v>2047</v>
      </c>
    </row>
    <row r="21" spans="1:8" ht="31" customHeight="1">
      <c r="A21" s="4" t="s">
        <v>455</v>
      </c>
      <c r="B21" s="4" t="s">
        <v>424</v>
      </c>
      <c r="C21" s="4" t="s">
        <v>75</v>
      </c>
      <c r="D21" s="5"/>
      <c r="E21" s="4" t="s">
        <v>2048</v>
      </c>
      <c r="F21" s="4" t="s">
        <v>1474</v>
      </c>
      <c r="G21" s="4" t="s">
        <v>2046</v>
      </c>
      <c r="H21" s="4" t="s">
        <v>2049</v>
      </c>
    </row>
  </sheetData>
  <autoFilter ref="A1:H21"/>
  <pageMargins left="0.7" right="0.7" top="0.75" bottom="0.75" header="0.3" footer="0.3"/>
  <pageSetup fitToHeight="0" orientation="landscape"/>
</worksheet>
</file>

<file path=xl/worksheets/sheet10.xml><?xml version="1.0" encoding="utf-8"?>
<worksheet xmlns="http://schemas.openxmlformats.org/spreadsheetml/2006/main" xmlns:r="http://schemas.openxmlformats.org/officeDocument/2006/relationships">
  <sheetPr>
    <tabColor rgb="FF237C89"/>
    <pageSetUpPr fitToPage="1"/>
  </sheetPr>
  <dimension ref="A1:C6"/>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5.7109375" customWidth="1"/>
    <col min="2" max="2" width="20.7109375" customWidth="1"/>
    <col min="3" max="3" width="85.7109375" customWidth="1"/>
  </cols>
  <sheetData>
    <row r="1" spans="1:3" ht="42" customHeight="1">
      <c r="A1" s="2" t="s">
        <v>533</v>
      </c>
      <c r="B1" s="2" t="s">
        <v>534</v>
      </c>
      <c r="C1" s="2" t="s">
        <v>535</v>
      </c>
    </row>
    <row r="2" spans="1:3" ht="31" customHeight="1">
      <c r="A2" s="4" t="s">
        <v>536</v>
      </c>
      <c r="B2" s="6">
        <v>0.2</v>
      </c>
      <c r="C2" s="4" t="s">
        <v>537</v>
      </c>
    </row>
    <row r="3" spans="1:3" ht="31" customHeight="1">
      <c r="A3" s="4" t="s">
        <v>538</v>
      </c>
      <c r="B3" s="4" t="s">
        <v>504</v>
      </c>
      <c r="C3" s="4" t="s">
        <v>539</v>
      </c>
    </row>
    <row r="4" spans="1:3" ht="31" customHeight="1">
      <c r="A4" s="4" t="s">
        <v>540</v>
      </c>
      <c r="B4" s="4" t="s">
        <v>541</v>
      </c>
      <c r="C4" s="4" t="s">
        <v>542</v>
      </c>
    </row>
    <row r="5" spans="1:3" ht="31" customHeight="1">
      <c r="A5" s="4" t="s">
        <v>543</v>
      </c>
      <c r="B5" s="4" t="s">
        <v>544</v>
      </c>
      <c r="C5" s="4" t="s">
        <v>545</v>
      </c>
    </row>
    <row r="6" spans="1:3" ht="31" customHeight="1">
      <c r="A6" s="4" t="s">
        <v>546</v>
      </c>
      <c r="B6" s="4" t="s">
        <v>547</v>
      </c>
      <c r="C6" s="4" t="s">
        <v>548</v>
      </c>
    </row>
  </sheetData>
  <autoFilter ref="A1:C6"/>
  <pageMargins left="0.7" right="0.7" top="0.75" bottom="0.75" header="0.3" footer="0.3"/>
  <pageSetup fitToHeight="0" orientation="landscape"/>
</worksheet>
</file>

<file path=xl/worksheets/sheet11.xml><?xml version="1.0" encoding="utf-8"?>
<worksheet xmlns="http://schemas.openxmlformats.org/spreadsheetml/2006/main" xmlns:r="http://schemas.openxmlformats.org/officeDocument/2006/relationships">
  <sheetPr>
    <tabColor rgb="FF237C89"/>
    <pageSetUpPr fitToPage="1"/>
  </sheetPr>
  <dimension ref="A1:L831"/>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6" width="20.7109375" customWidth="1"/>
    <col min="7" max="7" width="48.7109375" customWidth="1"/>
    <col min="8" max="8" width="40.7109375" customWidth="1"/>
    <col min="9" max="9" width="20.7109375" customWidth="1"/>
    <col min="10" max="10" width="100.7109375" customWidth="1"/>
    <col min="11" max="11" width="20.7109375" customWidth="1"/>
    <col min="12" max="12" width="50.7109375" customWidth="1"/>
  </cols>
  <sheetData>
    <row r="1" spans="1:12" ht="42" customHeight="1">
      <c r="A1" s="2" t="s">
        <v>33</v>
      </c>
      <c r="B1" s="2" t="s">
        <v>34</v>
      </c>
      <c r="C1" s="2" t="s">
        <v>549</v>
      </c>
      <c r="D1" s="2" t="s">
        <v>550</v>
      </c>
      <c r="E1" s="2" t="s">
        <v>551</v>
      </c>
      <c r="F1" s="2" t="s">
        <v>73</v>
      </c>
      <c r="G1" s="2" t="s">
        <v>72</v>
      </c>
      <c r="H1" s="2" t="s">
        <v>74</v>
      </c>
      <c r="I1" s="2" t="s">
        <v>75</v>
      </c>
      <c r="J1" s="2" t="s">
        <v>552</v>
      </c>
      <c r="K1" s="2" t="s">
        <v>553</v>
      </c>
      <c r="L1" s="2" t="s">
        <v>554</v>
      </c>
    </row>
    <row r="2" spans="1:12" ht="31" customHeight="1">
      <c r="A2" s="4" t="s">
        <v>109</v>
      </c>
      <c r="B2" s="4" t="s">
        <v>110</v>
      </c>
      <c r="C2" s="4" t="s">
        <v>40</v>
      </c>
      <c r="D2" s="6">
        <v>3</v>
      </c>
      <c r="E2" s="4" t="s">
        <v>555</v>
      </c>
      <c r="F2" s="5"/>
      <c r="G2" s="4" t="s">
        <v>116</v>
      </c>
      <c r="H2" s="4" t="s">
        <v>556</v>
      </c>
      <c r="I2" s="5"/>
      <c r="J2" s="4" t="s">
        <v>557</v>
      </c>
      <c r="K2" s="5"/>
      <c r="L2" s="4" t="s">
        <v>558</v>
      </c>
    </row>
    <row r="3" spans="1:12" ht="31" customHeight="1">
      <c r="A3" s="4" t="s">
        <v>109</v>
      </c>
      <c r="B3" s="4" t="s">
        <v>110</v>
      </c>
      <c r="C3" s="4" t="s">
        <v>41</v>
      </c>
      <c r="D3" s="6">
        <v>2</v>
      </c>
      <c r="E3" s="4" t="s">
        <v>555</v>
      </c>
      <c r="F3" s="5"/>
      <c r="G3" s="4" t="s">
        <v>116</v>
      </c>
      <c r="H3" s="4" t="s">
        <v>559</v>
      </c>
      <c r="I3" s="5"/>
      <c r="J3" s="4" t="s">
        <v>560</v>
      </c>
      <c r="K3" s="5"/>
      <c r="L3" s="4" t="s">
        <v>558</v>
      </c>
    </row>
    <row r="4" spans="1:12" ht="31" customHeight="1">
      <c r="A4" s="4" t="s">
        <v>109</v>
      </c>
      <c r="B4" s="4" t="s">
        <v>110</v>
      </c>
      <c r="C4" s="4" t="s">
        <v>42</v>
      </c>
      <c r="D4" s="6">
        <v>1</v>
      </c>
      <c r="E4" s="4" t="s">
        <v>555</v>
      </c>
      <c r="F4" s="5"/>
      <c r="G4" s="4" t="s">
        <v>116</v>
      </c>
      <c r="H4" s="4" t="s">
        <v>561</v>
      </c>
      <c r="I4" s="5"/>
      <c r="J4" s="4" t="s">
        <v>562</v>
      </c>
      <c r="K4" s="5"/>
      <c r="L4" s="4" t="s">
        <v>558</v>
      </c>
    </row>
    <row r="5" spans="1:12" ht="31" customHeight="1">
      <c r="A5" s="4" t="s">
        <v>109</v>
      </c>
      <c r="B5" s="4" t="s">
        <v>110</v>
      </c>
      <c r="C5" s="4" t="s">
        <v>43</v>
      </c>
      <c r="D5" s="6">
        <v>2</v>
      </c>
      <c r="E5" s="4" t="s">
        <v>555</v>
      </c>
      <c r="F5" s="5"/>
      <c r="G5" s="4" t="s">
        <v>116</v>
      </c>
      <c r="H5" s="4" t="s">
        <v>563</v>
      </c>
      <c r="I5" s="5"/>
      <c r="J5" s="4" t="s">
        <v>564</v>
      </c>
      <c r="K5" s="5"/>
      <c r="L5" s="4" t="s">
        <v>558</v>
      </c>
    </row>
    <row r="6" spans="1:12" ht="31" customHeight="1">
      <c r="A6" s="4" t="s">
        <v>109</v>
      </c>
      <c r="B6" s="4" t="s">
        <v>110</v>
      </c>
      <c r="C6" s="4" t="s">
        <v>44</v>
      </c>
      <c r="D6" s="6">
        <v>2</v>
      </c>
      <c r="E6" s="4" t="s">
        <v>555</v>
      </c>
      <c r="F6" s="5"/>
      <c r="G6" s="4" t="s">
        <v>116</v>
      </c>
      <c r="H6" s="4" t="s">
        <v>565</v>
      </c>
      <c r="I6" s="5"/>
      <c r="J6" s="4" t="s">
        <v>566</v>
      </c>
      <c r="K6" s="5"/>
      <c r="L6" s="4" t="s">
        <v>558</v>
      </c>
    </row>
    <row r="7" spans="1:12" ht="31" customHeight="1">
      <c r="A7" s="4" t="s">
        <v>109</v>
      </c>
      <c r="B7" s="4" t="s">
        <v>110</v>
      </c>
      <c r="C7" s="4" t="s">
        <v>45</v>
      </c>
      <c r="D7" s="6">
        <v>1</v>
      </c>
      <c r="E7" s="4" t="s">
        <v>555</v>
      </c>
      <c r="F7" s="5"/>
      <c r="G7" s="4" t="s">
        <v>116</v>
      </c>
      <c r="H7" s="4" t="s">
        <v>567</v>
      </c>
      <c r="I7" s="5"/>
      <c r="J7" s="4" t="s">
        <v>568</v>
      </c>
      <c r="K7" s="5"/>
      <c r="L7" s="4" t="s">
        <v>558</v>
      </c>
    </row>
    <row r="8" spans="1:12" ht="31" customHeight="1">
      <c r="A8" s="4" t="s">
        <v>109</v>
      </c>
      <c r="B8" s="4" t="s">
        <v>110</v>
      </c>
      <c r="C8" s="4" t="s">
        <v>46</v>
      </c>
      <c r="D8" s="6">
        <v>0</v>
      </c>
      <c r="E8" s="4" t="s">
        <v>555</v>
      </c>
      <c r="F8" s="5"/>
      <c r="G8" s="4" t="s">
        <v>116</v>
      </c>
      <c r="H8" s="4" t="s">
        <v>569</v>
      </c>
      <c r="I8" s="5"/>
      <c r="J8" s="4" t="s">
        <v>570</v>
      </c>
      <c r="K8" s="5"/>
      <c r="L8" s="4" t="s">
        <v>558</v>
      </c>
    </row>
    <row r="9" spans="1:12" ht="31" customHeight="1">
      <c r="A9" s="4" t="s">
        <v>109</v>
      </c>
      <c r="B9" s="4" t="s">
        <v>110</v>
      </c>
      <c r="C9" s="4" t="s">
        <v>47</v>
      </c>
      <c r="D9" s="6">
        <v>1</v>
      </c>
      <c r="E9" s="4" t="s">
        <v>555</v>
      </c>
      <c r="F9" s="5"/>
      <c r="G9" s="4" t="s">
        <v>116</v>
      </c>
      <c r="H9" s="4" t="s">
        <v>571</v>
      </c>
      <c r="I9" s="5"/>
      <c r="J9" s="4" t="s">
        <v>572</v>
      </c>
      <c r="K9" s="5"/>
      <c r="L9" s="4" t="s">
        <v>558</v>
      </c>
    </row>
    <row r="10" spans="1:12" ht="31" customHeight="1">
      <c r="A10" s="4" t="s">
        <v>109</v>
      </c>
      <c r="B10" s="4" t="s">
        <v>110</v>
      </c>
      <c r="C10" s="4" t="s">
        <v>48</v>
      </c>
      <c r="D10" s="6">
        <v>3</v>
      </c>
      <c r="E10" s="4" t="s">
        <v>555</v>
      </c>
      <c r="F10" s="5"/>
      <c r="G10" s="4" t="s">
        <v>116</v>
      </c>
      <c r="H10" s="4" t="s">
        <v>573</v>
      </c>
      <c r="I10" s="5"/>
      <c r="J10" s="4" t="s">
        <v>574</v>
      </c>
      <c r="K10" s="5"/>
      <c r="L10" s="4" t="s">
        <v>558</v>
      </c>
    </row>
    <row r="11" spans="1:12" ht="31" customHeight="1">
      <c r="A11" s="4" t="s">
        <v>109</v>
      </c>
      <c r="B11" s="4" t="s">
        <v>110</v>
      </c>
      <c r="C11" s="4" t="s">
        <v>49</v>
      </c>
      <c r="D11" s="6">
        <v>3</v>
      </c>
      <c r="E11" s="4" t="s">
        <v>555</v>
      </c>
      <c r="F11" s="5"/>
      <c r="G11" s="4" t="s">
        <v>116</v>
      </c>
      <c r="H11" s="4" t="s">
        <v>575</v>
      </c>
      <c r="I11" s="5"/>
      <c r="J11" s="4" t="s">
        <v>576</v>
      </c>
      <c r="K11" s="5"/>
      <c r="L11" s="4" t="s">
        <v>558</v>
      </c>
    </row>
    <row r="12" spans="1:12" ht="31" customHeight="1">
      <c r="A12" s="4" t="s">
        <v>129</v>
      </c>
      <c r="B12" s="4" t="s">
        <v>110</v>
      </c>
      <c r="C12" s="4" t="s">
        <v>40</v>
      </c>
      <c r="D12" s="6">
        <v>2</v>
      </c>
      <c r="E12" s="4" t="s">
        <v>577</v>
      </c>
      <c r="F12" s="5"/>
      <c r="G12" s="4" t="s">
        <v>131</v>
      </c>
      <c r="H12" s="4" t="s">
        <v>578</v>
      </c>
      <c r="I12" s="5"/>
      <c r="J12" s="4" t="s">
        <v>579</v>
      </c>
      <c r="K12" s="5"/>
      <c r="L12" s="4" t="s">
        <v>558</v>
      </c>
    </row>
    <row r="13" spans="1:12" ht="31" customHeight="1">
      <c r="A13" s="4" t="s">
        <v>129</v>
      </c>
      <c r="B13" s="4" t="s">
        <v>110</v>
      </c>
      <c r="C13" s="4" t="s">
        <v>41</v>
      </c>
      <c r="D13" s="6">
        <v>2</v>
      </c>
      <c r="E13" s="4" t="s">
        <v>577</v>
      </c>
      <c r="F13" s="5"/>
      <c r="G13" s="4" t="s">
        <v>131</v>
      </c>
      <c r="H13" s="4" t="s">
        <v>580</v>
      </c>
      <c r="I13" s="5"/>
      <c r="J13" s="4" t="s">
        <v>581</v>
      </c>
      <c r="K13" s="5"/>
      <c r="L13" s="4" t="s">
        <v>558</v>
      </c>
    </row>
    <row r="14" spans="1:12" ht="31" customHeight="1">
      <c r="A14" s="4" t="s">
        <v>129</v>
      </c>
      <c r="B14" s="4" t="s">
        <v>110</v>
      </c>
      <c r="C14" s="4" t="s">
        <v>42</v>
      </c>
      <c r="D14" s="6">
        <v>3</v>
      </c>
      <c r="E14" s="4" t="s">
        <v>577</v>
      </c>
      <c r="F14" s="5"/>
      <c r="G14" s="4" t="s">
        <v>131</v>
      </c>
      <c r="H14" s="4" t="s">
        <v>582</v>
      </c>
      <c r="I14" s="5"/>
      <c r="J14" s="4" t="s">
        <v>583</v>
      </c>
      <c r="K14" s="5"/>
      <c r="L14" s="4" t="s">
        <v>558</v>
      </c>
    </row>
    <row r="15" spans="1:12" ht="31" customHeight="1">
      <c r="A15" s="4" t="s">
        <v>129</v>
      </c>
      <c r="B15" s="4" t="s">
        <v>110</v>
      </c>
      <c r="C15" s="4" t="s">
        <v>43</v>
      </c>
      <c r="D15" s="6">
        <v>2</v>
      </c>
      <c r="E15" s="4" t="s">
        <v>577</v>
      </c>
      <c r="F15" s="5"/>
      <c r="G15" s="4" t="s">
        <v>131</v>
      </c>
      <c r="H15" s="4" t="s">
        <v>584</v>
      </c>
      <c r="I15" s="5"/>
      <c r="J15" s="4" t="s">
        <v>585</v>
      </c>
      <c r="K15" s="5"/>
      <c r="L15" s="4" t="s">
        <v>558</v>
      </c>
    </row>
    <row r="16" spans="1:12" ht="31" customHeight="1">
      <c r="A16" s="4" t="s">
        <v>129</v>
      </c>
      <c r="B16" s="4" t="s">
        <v>110</v>
      </c>
      <c r="C16" s="4" t="s">
        <v>44</v>
      </c>
      <c r="D16" s="6">
        <v>1</v>
      </c>
      <c r="E16" s="4" t="s">
        <v>577</v>
      </c>
      <c r="F16" s="5"/>
      <c r="G16" s="4" t="s">
        <v>131</v>
      </c>
      <c r="H16" s="4" t="s">
        <v>586</v>
      </c>
      <c r="I16" s="5"/>
      <c r="J16" s="4" t="s">
        <v>587</v>
      </c>
      <c r="K16" s="5"/>
      <c r="L16" s="4" t="s">
        <v>558</v>
      </c>
    </row>
    <row r="17" spans="1:12" ht="31" customHeight="1">
      <c r="A17" s="4" t="s">
        <v>129</v>
      </c>
      <c r="B17" s="4" t="s">
        <v>110</v>
      </c>
      <c r="C17" s="4" t="s">
        <v>45</v>
      </c>
      <c r="D17" s="6">
        <v>1</v>
      </c>
      <c r="E17" s="4" t="s">
        <v>577</v>
      </c>
      <c r="F17" s="5"/>
      <c r="G17" s="4" t="s">
        <v>131</v>
      </c>
      <c r="H17" s="4" t="s">
        <v>588</v>
      </c>
      <c r="I17" s="5"/>
      <c r="J17" s="4" t="s">
        <v>589</v>
      </c>
      <c r="K17" s="5"/>
      <c r="L17" s="4" t="s">
        <v>558</v>
      </c>
    </row>
    <row r="18" spans="1:12" ht="31" customHeight="1">
      <c r="A18" s="4" t="s">
        <v>129</v>
      </c>
      <c r="B18" s="4" t="s">
        <v>110</v>
      </c>
      <c r="C18" s="4" t="s">
        <v>46</v>
      </c>
      <c r="D18" s="6">
        <v>0</v>
      </c>
      <c r="E18" s="4" t="s">
        <v>577</v>
      </c>
      <c r="F18" s="5"/>
      <c r="G18" s="4" t="s">
        <v>131</v>
      </c>
      <c r="H18" s="4" t="s">
        <v>590</v>
      </c>
      <c r="I18" s="5"/>
      <c r="J18" s="4" t="s">
        <v>591</v>
      </c>
      <c r="K18" s="5"/>
      <c r="L18" s="4" t="s">
        <v>558</v>
      </c>
    </row>
    <row r="19" spans="1:12" ht="31" customHeight="1">
      <c r="A19" s="4" t="s">
        <v>129</v>
      </c>
      <c r="B19" s="4" t="s">
        <v>110</v>
      </c>
      <c r="C19" s="4" t="s">
        <v>47</v>
      </c>
      <c r="D19" s="6">
        <v>1</v>
      </c>
      <c r="E19" s="4" t="s">
        <v>577</v>
      </c>
      <c r="F19" s="5"/>
      <c r="G19" s="4" t="s">
        <v>131</v>
      </c>
      <c r="H19" s="4" t="s">
        <v>592</v>
      </c>
      <c r="I19" s="5"/>
      <c r="J19" s="4" t="s">
        <v>593</v>
      </c>
      <c r="K19" s="5"/>
      <c r="L19" s="4" t="s">
        <v>558</v>
      </c>
    </row>
    <row r="20" spans="1:12" ht="31" customHeight="1">
      <c r="A20" s="4" t="s">
        <v>129</v>
      </c>
      <c r="B20" s="4" t="s">
        <v>110</v>
      </c>
      <c r="C20" s="4" t="s">
        <v>48</v>
      </c>
      <c r="D20" s="6">
        <v>3</v>
      </c>
      <c r="E20" s="4" t="s">
        <v>577</v>
      </c>
      <c r="F20" s="5"/>
      <c r="G20" s="4" t="s">
        <v>131</v>
      </c>
      <c r="H20" s="4" t="s">
        <v>594</v>
      </c>
      <c r="I20" s="5"/>
      <c r="J20" s="4" t="s">
        <v>595</v>
      </c>
      <c r="K20" s="5"/>
      <c r="L20" s="4" t="s">
        <v>558</v>
      </c>
    </row>
    <row r="21" spans="1:12" ht="31" customHeight="1">
      <c r="A21" s="4" t="s">
        <v>129</v>
      </c>
      <c r="B21" s="4" t="s">
        <v>110</v>
      </c>
      <c r="C21" s="4" t="s">
        <v>49</v>
      </c>
      <c r="D21" s="6">
        <v>1</v>
      </c>
      <c r="E21" s="4" t="s">
        <v>577</v>
      </c>
      <c r="F21" s="5"/>
      <c r="G21" s="4" t="s">
        <v>131</v>
      </c>
      <c r="H21" s="4" t="s">
        <v>596</v>
      </c>
      <c r="I21" s="5"/>
      <c r="J21" s="4" t="s">
        <v>597</v>
      </c>
      <c r="K21" s="5"/>
      <c r="L21" s="4" t="s">
        <v>558</v>
      </c>
    </row>
    <row r="22" spans="1:12" ht="31" customHeight="1">
      <c r="A22" s="4" t="s">
        <v>133</v>
      </c>
      <c r="B22" s="4" t="s">
        <v>110</v>
      </c>
      <c r="C22" s="4" t="s">
        <v>40</v>
      </c>
      <c r="D22" s="6">
        <v>2</v>
      </c>
      <c r="E22" s="4" t="s">
        <v>555</v>
      </c>
      <c r="F22" s="5"/>
      <c r="G22" s="4" t="s">
        <v>131</v>
      </c>
      <c r="H22" s="4" t="s">
        <v>598</v>
      </c>
      <c r="I22" s="5"/>
      <c r="J22" s="4" t="s">
        <v>599</v>
      </c>
      <c r="K22" s="5"/>
      <c r="L22" s="4" t="s">
        <v>558</v>
      </c>
    </row>
    <row r="23" spans="1:12" ht="31" customHeight="1">
      <c r="A23" s="4" t="s">
        <v>133</v>
      </c>
      <c r="B23" s="4" t="s">
        <v>110</v>
      </c>
      <c r="C23" s="4" t="s">
        <v>41</v>
      </c>
      <c r="D23" s="6">
        <v>2</v>
      </c>
      <c r="E23" s="4" t="s">
        <v>555</v>
      </c>
      <c r="F23" s="5"/>
      <c r="G23" s="4" t="s">
        <v>131</v>
      </c>
      <c r="H23" s="4" t="s">
        <v>600</v>
      </c>
      <c r="I23" s="5"/>
      <c r="J23" s="4" t="s">
        <v>601</v>
      </c>
      <c r="K23" s="5"/>
      <c r="L23" s="4" t="s">
        <v>558</v>
      </c>
    </row>
    <row r="24" spans="1:12" ht="31" customHeight="1">
      <c r="A24" s="4" t="s">
        <v>133</v>
      </c>
      <c r="B24" s="4" t="s">
        <v>110</v>
      </c>
      <c r="C24" s="4" t="s">
        <v>42</v>
      </c>
      <c r="D24" s="6">
        <v>2</v>
      </c>
      <c r="E24" s="4" t="s">
        <v>555</v>
      </c>
      <c r="F24" s="5"/>
      <c r="G24" s="4" t="s">
        <v>131</v>
      </c>
      <c r="H24" s="4" t="s">
        <v>602</v>
      </c>
      <c r="I24" s="5"/>
      <c r="J24" s="4" t="s">
        <v>603</v>
      </c>
      <c r="K24" s="5"/>
      <c r="L24" s="4" t="s">
        <v>558</v>
      </c>
    </row>
    <row r="25" spans="1:12" ht="31" customHeight="1">
      <c r="A25" s="4" t="s">
        <v>133</v>
      </c>
      <c r="B25" s="4" t="s">
        <v>110</v>
      </c>
      <c r="C25" s="4" t="s">
        <v>43</v>
      </c>
      <c r="D25" s="6">
        <v>2</v>
      </c>
      <c r="E25" s="4" t="s">
        <v>555</v>
      </c>
      <c r="F25" s="5"/>
      <c r="G25" s="4" t="s">
        <v>131</v>
      </c>
      <c r="H25" s="4" t="s">
        <v>604</v>
      </c>
      <c r="I25" s="5"/>
      <c r="J25" s="4" t="s">
        <v>605</v>
      </c>
      <c r="K25" s="5"/>
      <c r="L25" s="4" t="s">
        <v>558</v>
      </c>
    </row>
    <row r="26" spans="1:12" ht="31" customHeight="1">
      <c r="A26" s="4" t="s">
        <v>133</v>
      </c>
      <c r="B26" s="4" t="s">
        <v>110</v>
      </c>
      <c r="C26" s="4" t="s">
        <v>44</v>
      </c>
      <c r="D26" s="6">
        <v>1</v>
      </c>
      <c r="E26" s="4" t="s">
        <v>555</v>
      </c>
      <c r="F26" s="5"/>
      <c r="G26" s="4" t="s">
        <v>131</v>
      </c>
      <c r="H26" s="4" t="s">
        <v>606</v>
      </c>
      <c r="I26" s="5"/>
      <c r="J26" s="4" t="s">
        <v>607</v>
      </c>
      <c r="K26" s="5"/>
      <c r="L26" s="4" t="s">
        <v>558</v>
      </c>
    </row>
    <row r="27" spans="1:12" ht="31" customHeight="1">
      <c r="A27" s="4" t="s">
        <v>133</v>
      </c>
      <c r="B27" s="4" t="s">
        <v>110</v>
      </c>
      <c r="C27" s="4" t="s">
        <v>45</v>
      </c>
      <c r="D27" s="6">
        <v>0</v>
      </c>
      <c r="E27" s="4" t="s">
        <v>555</v>
      </c>
      <c r="F27" s="5"/>
      <c r="G27" s="4" t="s">
        <v>131</v>
      </c>
      <c r="H27" s="4" t="s">
        <v>569</v>
      </c>
      <c r="I27" s="5"/>
      <c r="J27" s="4" t="s">
        <v>608</v>
      </c>
      <c r="K27" s="5"/>
      <c r="L27" s="4" t="s">
        <v>558</v>
      </c>
    </row>
    <row r="28" spans="1:12" ht="31" customHeight="1">
      <c r="A28" s="4" t="s">
        <v>133</v>
      </c>
      <c r="B28" s="4" t="s">
        <v>110</v>
      </c>
      <c r="C28" s="4" t="s">
        <v>46</v>
      </c>
      <c r="D28" s="6">
        <v>0</v>
      </c>
      <c r="E28" s="4" t="s">
        <v>555</v>
      </c>
      <c r="F28" s="5"/>
      <c r="G28" s="4" t="s">
        <v>131</v>
      </c>
      <c r="H28" s="4" t="s">
        <v>569</v>
      </c>
      <c r="I28" s="5"/>
      <c r="J28" s="4" t="s">
        <v>609</v>
      </c>
      <c r="K28" s="5"/>
      <c r="L28" s="4" t="s">
        <v>558</v>
      </c>
    </row>
    <row r="29" spans="1:12" ht="31" customHeight="1">
      <c r="A29" s="4" t="s">
        <v>133</v>
      </c>
      <c r="B29" s="4" t="s">
        <v>110</v>
      </c>
      <c r="C29" s="4" t="s">
        <v>47</v>
      </c>
      <c r="D29" s="6">
        <v>1</v>
      </c>
      <c r="E29" s="4" t="s">
        <v>555</v>
      </c>
      <c r="F29" s="5"/>
      <c r="G29" s="4" t="s">
        <v>131</v>
      </c>
      <c r="H29" s="4" t="s">
        <v>610</v>
      </c>
      <c r="I29" s="5"/>
      <c r="J29" s="4" t="s">
        <v>611</v>
      </c>
      <c r="K29" s="5"/>
      <c r="L29" s="4" t="s">
        <v>558</v>
      </c>
    </row>
    <row r="30" spans="1:12" ht="31" customHeight="1">
      <c r="A30" s="4" t="s">
        <v>133</v>
      </c>
      <c r="B30" s="4" t="s">
        <v>110</v>
      </c>
      <c r="C30" s="4" t="s">
        <v>48</v>
      </c>
      <c r="D30" s="6">
        <v>3</v>
      </c>
      <c r="E30" s="4" t="s">
        <v>555</v>
      </c>
      <c r="F30" s="5"/>
      <c r="G30" s="4" t="s">
        <v>131</v>
      </c>
      <c r="H30" s="4" t="s">
        <v>612</v>
      </c>
      <c r="I30" s="5"/>
      <c r="J30" s="4" t="s">
        <v>613</v>
      </c>
      <c r="K30" s="5"/>
      <c r="L30" s="4" t="s">
        <v>558</v>
      </c>
    </row>
    <row r="31" spans="1:12" ht="31" customHeight="1">
      <c r="A31" s="4" t="s">
        <v>133</v>
      </c>
      <c r="B31" s="4" t="s">
        <v>110</v>
      </c>
      <c r="C31" s="4" t="s">
        <v>49</v>
      </c>
      <c r="D31" s="6">
        <v>3</v>
      </c>
      <c r="E31" s="4" t="s">
        <v>555</v>
      </c>
      <c r="F31" s="5"/>
      <c r="G31" s="4" t="s">
        <v>131</v>
      </c>
      <c r="H31" s="4" t="s">
        <v>614</v>
      </c>
      <c r="I31" s="5"/>
      <c r="J31" s="4" t="s">
        <v>615</v>
      </c>
      <c r="K31" s="5"/>
      <c r="L31" s="4" t="s">
        <v>558</v>
      </c>
    </row>
    <row r="32" spans="1:12" ht="31" customHeight="1">
      <c r="A32" s="4" t="s">
        <v>138</v>
      </c>
      <c r="B32" s="4" t="s">
        <v>110</v>
      </c>
      <c r="C32" s="4" t="s">
        <v>40</v>
      </c>
      <c r="D32" s="6">
        <v>2</v>
      </c>
      <c r="E32" s="4" t="s">
        <v>577</v>
      </c>
      <c r="F32" s="5"/>
      <c r="G32" s="4" t="s">
        <v>139</v>
      </c>
      <c r="H32" s="4" t="s">
        <v>616</v>
      </c>
      <c r="I32" s="5"/>
      <c r="J32" s="4" t="s">
        <v>617</v>
      </c>
      <c r="K32" s="5"/>
      <c r="L32" s="4" t="s">
        <v>558</v>
      </c>
    </row>
    <row r="33" spans="1:12" ht="31" customHeight="1">
      <c r="A33" s="4" t="s">
        <v>138</v>
      </c>
      <c r="B33" s="4" t="s">
        <v>110</v>
      </c>
      <c r="C33" s="4" t="s">
        <v>41</v>
      </c>
      <c r="D33" s="6">
        <v>2</v>
      </c>
      <c r="E33" s="4" t="s">
        <v>577</v>
      </c>
      <c r="F33" s="5"/>
      <c r="G33" s="4" t="s">
        <v>139</v>
      </c>
      <c r="H33" s="4" t="s">
        <v>618</v>
      </c>
      <c r="I33" s="5"/>
      <c r="J33" s="4" t="s">
        <v>619</v>
      </c>
      <c r="K33" s="5"/>
      <c r="L33" s="4" t="s">
        <v>558</v>
      </c>
    </row>
    <row r="34" spans="1:12" ht="31" customHeight="1">
      <c r="A34" s="4" t="s">
        <v>138</v>
      </c>
      <c r="B34" s="4" t="s">
        <v>110</v>
      </c>
      <c r="C34" s="4" t="s">
        <v>42</v>
      </c>
      <c r="D34" s="6">
        <v>3</v>
      </c>
      <c r="E34" s="4" t="s">
        <v>577</v>
      </c>
      <c r="F34" s="5"/>
      <c r="G34" s="4" t="s">
        <v>139</v>
      </c>
      <c r="H34" s="4" t="s">
        <v>620</v>
      </c>
      <c r="I34" s="5"/>
      <c r="J34" s="4" t="s">
        <v>621</v>
      </c>
      <c r="K34" s="5"/>
      <c r="L34" s="4" t="s">
        <v>558</v>
      </c>
    </row>
    <row r="35" spans="1:12" ht="31" customHeight="1">
      <c r="A35" s="4" t="s">
        <v>138</v>
      </c>
      <c r="B35" s="4" t="s">
        <v>110</v>
      </c>
      <c r="C35" s="4" t="s">
        <v>43</v>
      </c>
      <c r="D35" s="6">
        <v>3</v>
      </c>
      <c r="E35" s="4" t="s">
        <v>577</v>
      </c>
      <c r="F35" s="5"/>
      <c r="G35" s="4" t="s">
        <v>139</v>
      </c>
      <c r="H35" s="4" t="s">
        <v>622</v>
      </c>
      <c r="I35" s="5"/>
      <c r="J35" s="4" t="s">
        <v>623</v>
      </c>
      <c r="K35" s="5"/>
      <c r="L35" s="4" t="s">
        <v>558</v>
      </c>
    </row>
    <row r="36" spans="1:12" ht="31" customHeight="1">
      <c r="A36" s="4" t="s">
        <v>138</v>
      </c>
      <c r="B36" s="4" t="s">
        <v>110</v>
      </c>
      <c r="C36" s="4" t="s">
        <v>44</v>
      </c>
      <c r="D36" s="6">
        <v>1</v>
      </c>
      <c r="E36" s="4" t="s">
        <v>577</v>
      </c>
      <c r="F36" s="5"/>
      <c r="G36" s="4" t="s">
        <v>139</v>
      </c>
      <c r="H36" s="4" t="s">
        <v>624</v>
      </c>
      <c r="I36" s="5"/>
      <c r="J36" s="4" t="s">
        <v>625</v>
      </c>
      <c r="K36" s="5"/>
      <c r="L36" s="4" t="s">
        <v>558</v>
      </c>
    </row>
    <row r="37" spans="1:12" ht="31" customHeight="1">
      <c r="A37" s="4" t="s">
        <v>138</v>
      </c>
      <c r="B37" s="4" t="s">
        <v>110</v>
      </c>
      <c r="C37" s="4" t="s">
        <v>45</v>
      </c>
      <c r="D37" s="6">
        <v>2</v>
      </c>
      <c r="E37" s="4" t="s">
        <v>577</v>
      </c>
      <c r="F37" s="5"/>
      <c r="G37" s="4" t="s">
        <v>139</v>
      </c>
      <c r="H37" s="4" t="s">
        <v>626</v>
      </c>
      <c r="I37" s="5"/>
      <c r="J37" s="4" t="s">
        <v>627</v>
      </c>
      <c r="K37" s="5"/>
      <c r="L37" s="4" t="s">
        <v>558</v>
      </c>
    </row>
    <row r="38" spans="1:12" ht="31" customHeight="1">
      <c r="A38" s="4" t="s">
        <v>138</v>
      </c>
      <c r="B38" s="4" t="s">
        <v>110</v>
      </c>
      <c r="C38" s="4" t="s">
        <v>46</v>
      </c>
      <c r="D38" s="6">
        <v>0</v>
      </c>
      <c r="E38" s="4" t="s">
        <v>577</v>
      </c>
      <c r="F38" s="5"/>
      <c r="G38" s="4" t="s">
        <v>139</v>
      </c>
      <c r="H38" s="4" t="s">
        <v>590</v>
      </c>
      <c r="I38" s="5"/>
      <c r="J38" s="4" t="s">
        <v>628</v>
      </c>
      <c r="K38" s="5"/>
      <c r="L38" s="4" t="s">
        <v>558</v>
      </c>
    </row>
    <row r="39" spans="1:12" ht="31" customHeight="1">
      <c r="A39" s="4" t="s">
        <v>138</v>
      </c>
      <c r="B39" s="4" t="s">
        <v>110</v>
      </c>
      <c r="C39" s="4" t="s">
        <v>47</v>
      </c>
      <c r="D39" s="6">
        <v>2</v>
      </c>
      <c r="E39" s="4" t="s">
        <v>577</v>
      </c>
      <c r="F39" s="5"/>
      <c r="G39" s="4" t="s">
        <v>139</v>
      </c>
      <c r="H39" s="4" t="s">
        <v>629</v>
      </c>
      <c r="I39" s="5"/>
      <c r="J39" s="4" t="s">
        <v>630</v>
      </c>
      <c r="K39" s="5"/>
      <c r="L39" s="4" t="s">
        <v>558</v>
      </c>
    </row>
    <row r="40" spans="1:12" ht="31" customHeight="1">
      <c r="A40" s="4" t="s">
        <v>138</v>
      </c>
      <c r="B40" s="4" t="s">
        <v>110</v>
      </c>
      <c r="C40" s="4" t="s">
        <v>48</v>
      </c>
      <c r="D40" s="6">
        <v>3</v>
      </c>
      <c r="E40" s="4" t="s">
        <v>577</v>
      </c>
      <c r="F40" s="5"/>
      <c r="G40" s="4" t="s">
        <v>139</v>
      </c>
      <c r="H40" s="4" t="s">
        <v>631</v>
      </c>
      <c r="I40" s="5"/>
      <c r="J40" s="4" t="s">
        <v>632</v>
      </c>
      <c r="K40" s="5"/>
      <c r="L40" s="4" t="s">
        <v>558</v>
      </c>
    </row>
    <row r="41" spans="1:12" ht="31" customHeight="1">
      <c r="A41" s="4" t="s">
        <v>138</v>
      </c>
      <c r="B41" s="4" t="s">
        <v>110</v>
      </c>
      <c r="C41" s="4" t="s">
        <v>49</v>
      </c>
      <c r="D41" s="6">
        <v>1</v>
      </c>
      <c r="E41" s="4" t="s">
        <v>577</v>
      </c>
      <c r="F41" s="5"/>
      <c r="G41" s="4" t="s">
        <v>139</v>
      </c>
      <c r="H41" s="4" t="s">
        <v>633</v>
      </c>
      <c r="I41" s="5"/>
      <c r="J41" s="4" t="s">
        <v>634</v>
      </c>
      <c r="K41" s="5"/>
      <c r="L41" s="4" t="s">
        <v>558</v>
      </c>
    </row>
    <row r="42" spans="1:12" ht="31" customHeight="1">
      <c r="A42" s="4" t="s">
        <v>141</v>
      </c>
      <c r="B42" s="4" t="s">
        <v>110</v>
      </c>
      <c r="C42" s="4" t="s">
        <v>40</v>
      </c>
      <c r="D42" s="6">
        <v>3</v>
      </c>
      <c r="E42" s="4" t="s">
        <v>555</v>
      </c>
      <c r="F42" s="5"/>
      <c r="G42" s="4" t="s">
        <v>131</v>
      </c>
      <c r="H42" s="4" t="s">
        <v>635</v>
      </c>
      <c r="I42" s="5"/>
      <c r="J42" s="4" t="s">
        <v>636</v>
      </c>
      <c r="K42" s="5"/>
      <c r="L42" s="4" t="s">
        <v>558</v>
      </c>
    </row>
    <row r="43" spans="1:12" ht="31" customHeight="1">
      <c r="A43" s="4" t="s">
        <v>141</v>
      </c>
      <c r="B43" s="4" t="s">
        <v>110</v>
      </c>
      <c r="C43" s="4" t="s">
        <v>41</v>
      </c>
      <c r="D43" s="6">
        <v>2</v>
      </c>
      <c r="E43" s="4" t="s">
        <v>555</v>
      </c>
      <c r="F43" s="5"/>
      <c r="G43" s="4" t="s">
        <v>131</v>
      </c>
      <c r="H43" s="4" t="s">
        <v>637</v>
      </c>
      <c r="I43" s="5"/>
      <c r="J43" s="4" t="s">
        <v>638</v>
      </c>
      <c r="K43" s="5"/>
      <c r="L43" s="4" t="s">
        <v>558</v>
      </c>
    </row>
    <row r="44" spans="1:12" ht="31" customHeight="1">
      <c r="A44" s="4" t="s">
        <v>141</v>
      </c>
      <c r="B44" s="4" t="s">
        <v>110</v>
      </c>
      <c r="C44" s="4" t="s">
        <v>42</v>
      </c>
      <c r="D44" s="6">
        <v>2</v>
      </c>
      <c r="E44" s="4" t="s">
        <v>555</v>
      </c>
      <c r="F44" s="5"/>
      <c r="G44" s="4" t="s">
        <v>131</v>
      </c>
      <c r="H44" s="4" t="s">
        <v>639</v>
      </c>
      <c r="I44" s="5"/>
      <c r="J44" s="4" t="s">
        <v>640</v>
      </c>
      <c r="K44" s="5"/>
      <c r="L44" s="4" t="s">
        <v>558</v>
      </c>
    </row>
    <row r="45" spans="1:12" ht="31" customHeight="1">
      <c r="A45" s="4" t="s">
        <v>141</v>
      </c>
      <c r="B45" s="4" t="s">
        <v>110</v>
      </c>
      <c r="C45" s="4" t="s">
        <v>43</v>
      </c>
      <c r="D45" s="6">
        <v>2</v>
      </c>
      <c r="E45" s="4" t="s">
        <v>555</v>
      </c>
      <c r="F45" s="5"/>
      <c r="G45" s="4" t="s">
        <v>131</v>
      </c>
      <c r="H45" s="4" t="s">
        <v>641</v>
      </c>
      <c r="I45" s="5"/>
      <c r="J45" s="4" t="s">
        <v>642</v>
      </c>
      <c r="K45" s="5"/>
      <c r="L45" s="4" t="s">
        <v>558</v>
      </c>
    </row>
    <row r="46" spans="1:12" ht="31" customHeight="1">
      <c r="A46" s="4" t="s">
        <v>141</v>
      </c>
      <c r="B46" s="4" t="s">
        <v>110</v>
      </c>
      <c r="C46" s="4" t="s">
        <v>44</v>
      </c>
      <c r="D46" s="6">
        <v>2</v>
      </c>
      <c r="E46" s="4" t="s">
        <v>555</v>
      </c>
      <c r="F46" s="5"/>
      <c r="G46" s="4" t="s">
        <v>131</v>
      </c>
      <c r="H46" s="4" t="s">
        <v>643</v>
      </c>
      <c r="I46" s="5"/>
      <c r="J46" s="4" t="s">
        <v>644</v>
      </c>
      <c r="K46" s="5"/>
      <c r="L46" s="4" t="s">
        <v>558</v>
      </c>
    </row>
    <row r="47" spans="1:12" ht="31" customHeight="1">
      <c r="A47" s="4" t="s">
        <v>141</v>
      </c>
      <c r="B47" s="4" t="s">
        <v>110</v>
      </c>
      <c r="C47" s="4" t="s">
        <v>45</v>
      </c>
      <c r="D47" s="6">
        <v>0</v>
      </c>
      <c r="E47" s="4" t="s">
        <v>555</v>
      </c>
      <c r="F47" s="5"/>
      <c r="G47" s="4" t="s">
        <v>131</v>
      </c>
      <c r="H47" s="4" t="s">
        <v>569</v>
      </c>
      <c r="I47" s="5"/>
      <c r="J47" s="4" t="s">
        <v>645</v>
      </c>
      <c r="K47" s="5"/>
      <c r="L47" s="4" t="s">
        <v>558</v>
      </c>
    </row>
    <row r="48" spans="1:12" ht="31" customHeight="1">
      <c r="A48" s="4" t="s">
        <v>141</v>
      </c>
      <c r="B48" s="4" t="s">
        <v>110</v>
      </c>
      <c r="C48" s="4" t="s">
        <v>46</v>
      </c>
      <c r="D48" s="6">
        <v>0</v>
      </c>
      <c r="E48" s="4" t="s">
        <v>555</v>
      </c>
      <c r="F48" s="5"/>
      <c r="G48" s="4" t="s">
        <v>131</v>
      </c>
      <c r="H48" s="4" t="s">
        <v>569</v>
      </c>
      <c r="I48" s="5"/>
      <c r="J48" s="4" t="s">
        <v>646</v>
      </c>
      <c r="K48" s="5"/>
      <c r="L48" s="4" t="s">
        <v>558</v>
      </c>
    </row>
    <row r="49" spans="1:12" ht="31" customHeight="1">
      <c r="A49" s="4" t="s">
        <v>141</v>
      </c>
      <c r="B49" s="4" t="s">
        <v>110</v>
      </c>
      <c r="C49" s="4" t="s">
        <v>47</v>
      </c>
      <c r="D49" s="6">
        <v>1</v>
      </c>
      <c r="E49" s="4" t="s">
        <v>555</v>
      </c>
      <c r="F49" s="5"/>
      <c r="G49" s="4" t="s">
        <v>131</v>
      </c>
      <c r="H49" s="4" t="s">
        <v>647</v>
      </c>
      <c r="I49" s="5"/>
      <c r="J49" s="4" t="s">
        <v>648</v>
      </c>
      <c r="K49" s="5"/>
      <c r="L49" s="4" t="s">
        <v>558</v>
      </c>
    </row>
    <row r="50" spans="1:12" ht="31" customHeight="1">
      <c r="A50" s="4" t="s">
        <v>141</v>
      </c>
      <c r="B50" s="4" t="s">
        <v>110</v>
      </c>
      <c r="C50" s="4" t="s">
        <v>48</v>
      </c>
      <c r="D50" s="6">
        <v>3</v>
      </c>
      <c r="E50" s="4" t="s">
        <v>555</v>
      </c>
      <c r="F50" s="5"/>
      <c r="G50" s="4" t="s">
        <v>131</v>
      </c>
      <c r="H50" s="4" t="s">
        <v>649</v>
      </c>
      <c r="I50" s="5"/>
      <c r="J50" s="4" t="s">
        <v>650</v>
      </c>
      <c r="K50" s="5"/>
      <c r="L50" s="4" t="s">
        <v>558</v>
      </c>
    </row>
    <row r="51" spans="1:12" ht="31" customHeight="1">
      <c r="A51" s="4" t="s">
        <v>141</v>
      </c>
      <c r="B51" s="4" t="s">
        <v>110</v>
      </c>
      <c r="C51" s="4" t="s">
        <v>49</v>
      </c>
      <c r="D51" s="6">
        <v>2</v>
      </c>
      <c r="E51" s="4" t="s">
        <v>555</v>
      </c>
      <c r="F51" s="5"/>
      <c r="G51" s="4" t="s">
        <v>131</v>
      </c>
      <c r="H51" s="4" t="s">
        <v>651</v>
      </c>
      <c r="I51" s="5"/>
      <c r="J51" s="4" t="s">
        <v>652</v>
      </c>
      <c r="K51" s="5"/>
      <c r="L51" s="4" t="s">
        <v>558</v>
      </c>
    </row>
    <row r="52" spans="1:12" ht="31" customHeight="1">
      <c r="A52" s="4" t="s">
        <v>143</v>
      </c>
      <c r="B52" s="4" t="s">
        <v>110</v>
      </c>
      <c r="C52" s="4" t="s">
        <v>40</v>
      </c>
      <c r="D52" s="6">
        <v>3</v>
      </c>
      <c r="E52" s="4" t="s">
        <v>577</v>
      </c>
      <c r="F52" s="5"/>
      <c r="G52" s="4" t="s">
        <v>653</v>
      </c>
      <c r="H52" s="4" t="s">
        <v>654</v>
      </c>
      <c r="I52" s="5"/>
      <c r="J52" s="4" t="s">
        <v>655</v>
      </c>
      <c r="K52" s="5"/>
      <c r="L52" s="4" t="s">
        <v>558</v>
      </c>
    </row>
    <row r="53" spans="1:12" ht="31" customHeight="1">
      <c r="A53" s="4" t="s">
        <v>143</v>
      </c>
      <c r="B53" s="4" t="s">
        <v>110</v>
      </c>
      <c r="C53" s="4" t="s">
        <v>41</v>
      </c>
      <c r="D53" s="6">
        <v>2</v>
      </c>
      <c r="E53" s="4" t="s">
        <v>577</v>
      </c>
      <c r="F53" s="5"/>
      <c r="G53" s="4" t="s">
        <v>145</v>
      </c>
      <c r="H53" s="4" t="s">
        <v>656</v>
      </c>
      <c r="I53" s="5"/>
      <c r="J53" s="4" t="s">
        <v>657</v>
      </c>
      <c r="K53" s="5"/>
      <c r="L53" s="4" t="s">
        <v>558</v>
      </c>
    </row>
    <row r="54" spans="1:12" ht="31" customHeight="1">
      <c r="A54" s="4" t="s">
        <v>143</v>
      </c>
      <c r="B54" s="4" t="s">
        <v>110</v>
      </c>
      <c r="C54" s="4" t="s">
        <v>42</v>
      </c>
      <c r="D54" s="6">
        <v>1</v>
      </c>
      <c r="E54" s="4" t="s">
        <v>577</v>
      </c>
      <c r="F54" s="5"/>
      <c r="G54" s="4" t="s">
        <v>653</v>
      </c>
      <c r="H54" s="4" t="s">
        <v>658</v>
      </c>
      <c r="I54" s="5"/>
      <c r="J54" s="4" t="s">
        <v>659</v>
      </c>
      <c r="K54" s="5"/>
      <c r="L54" s="4" t="s">
        <v>558</v>
      </c>
    </row>
    <row r="55" spans="1:12" ht="31" customHeight="1">
      <c r="A55" s="4" t="s">
        <v>143</v>
      </c>
      <c r="B55" s="4" t="s">
        <v>110</v>
      </c>
      <c r="C55" s="4" t="s">
        <v>43</v>
      </c>
      <c r="D55" s="6">
        <v>1</v>
      </c>
      <c r="E55" s="4" t="s">
        <v>577</v>
      </c>
      <c r="F55" s="5"/>
      <c r="G55" s="4" t="s">
        <v>145</v>
      </c>
      <c r="H55" s="4" t="s">
        <v>660</v>
      </c>
      <c r="I55" s="5"/>
      <c r="J55" s="4" t="s">
        <v>661</v>
      </c>
      <c r="K55" s="5"/>
      <c r="L55" s="4" t="s">
        <v>558</v>
      </c>
    </row>
    <row r="56" spans="1:12" ht="31" customHeight="1">
      <c r="A56" s="4" t="s">
        <v>143</v>
      </c>
      <c r="B56" s="4" t="s">
        <v>110</v>
      </c>
      <c r="C56" s="4" t="s">
        <v>44</v>
      </c>
      <c r="D56" s="6">
        <v>1</v>
      </c>
      <c r="E56" s="4" t="s">
        <v>577</v>
      </c>
      <c r="F56" s="5"/>
      <c r="G56" s="4" t="s">
        <v>653</v>
      </c>
      <c r="H56" s="4" t="s">
        <v>662</v>
      </c>
      <c r="I56" s="5"/>
      <c r="J56" s="4" t="s">
        <v>663</v>
      </c>
      <c r="K56" s="5"/>
      <c r="L56" s="4" t="s">
        <v>558</v>
      </c>
    </row>
    <row r="57" spans="1:12" ht="31" customHeight="1">
      <c r="A57" s="4" t="s">
        <v>143</v>
      </c>
      <c r="B57" s="4" t="s">
        <v>110</v>
      </c>
      <c r="C57" s="4" t="s">
        <v>45</v>
      </c>
      <c r="D57" s="6">
        <v>1</v>
      </c>
      <c r="E57" s="4" t="s">
        <v>577</v>
      </c>
      <c r="F57" s="5"/>
      <c r="G57" s="4" t="s">
        <v>653</v>
      </c>
      <c r="H57" s="4" t="s">
        <v>664</v>
      </c>
      <c r="I57" s="5"/>
      <c r="J57" s="4" t="s">
        <v>665</v>
      </c>
      <c r="K57" s="5"/>
      <c r="L57" s="4" t="s">
        <v>558</v>
      </c>
    </row>
    <row r="58" spans="1:12" ht="31" customHeight="1">
      <c r="A58" s="4" t="s">
        <v>143</v>
      </c>
      <c r="B58" s="4" t="s">
        <v>110</v>
      </c>
      <c r="C58" s="4" t="s">
        <v>46</v>
      </c>
      <c r="D58" s="6">
        <v>0</v>
      </c>
      <c r="E58" s="4" t="s">
        <v>577</v>
      </c>
      <c r="F58" s="5"/>
      <c r="G58" s="4" t="s">
        <v>653</v>
      </c>
      <c r="H58" s="4" t="s">
        <v>590</v>
      </c>
      <c r="I58" s="5"/>
      <c r="J58" s="4" t="s">
        <v>666</v>
      </c>
      <c r="K58" s="5"/>
      <c r="L58" s="4" t="s">
        <v>558</v>
      </c>
    </row>
    <row r="59" spans="1:12" ht="31" customHeight="1">
      <c r="A59" s="4" t="s">
        <v>143</v>
      </c>
      <c r="B59" s="4" t="s">
        <v>110</v>
      </c>
      <c r="C59" s="4" t="s">
        <v>47</v>
      </c>
      <c r="D59" s="6">
        <v>1</v>
      </c>
      <c r="E59" s="4" t="s">
        <v>577</v>
      </c>
      <c r="F59" s="5"/>
      <c r="G59" s="4" t="s">
        <v>653</v>
      </c>
      <c r="H59" s="4" t="s">
        <v>664</v>
      </c>
      <c r="I59" s="5"/>
      <c r="J59" s="4" t="s">
        <v>667</v>
      </c>
      <c r="K59" s="5"/>
      <c r="L59" s="4" t="s">
        <v>558</v>
      </c>
    </row>
    <row r="60" spans="1:12" ht="31" customHeight="1">
      <c r="A60" s="4" t="s">
        <v>143</v>
      </c>
      <c r="B60" s="4" t="s">
        <v>110</v>
      </c>
      <c r="C60" s="4" t="s">
        <v>48</v>
      </c>
      <c r="D60" s="6">
        <v>3</v>
      </c>
      <c r="E60" s="4" t="s">
        <v>577</v>
      </c>
      <c r="F60" s="5"/>
      <c r="G60" s="4" t="s">
        <v>653</v>
      </c>
      <c r="H60" s="4" t="s">
        <v>668</v>
      </c>
      <c r="I60" s="5"/>
      <c r="J60" s="4" t="s">
        <v>669</v>
      </c>
      <c r="K60" s="5"/>
      <c r="L60" s="4" t="s">
        <v>558</v>
      </c>
    </row>
    <row r="61" spans="1:12" ht="31" customHeight="1">
      <c r="A61" s="4" t="s">
        <v>143</v>
      </c>
      <c r="B61" s="4" t="s">
        <v>110</v>
      </c>
      <c r="C61" s="4" t="s">
        <v>49</v>
      </c>
      <c r="D61" s="6">
        <v>1</v>
      </c>
      <c r="E61" s="4" t="s">
        <v>577</v>
      </c>
      <c r="F61" s="5"/>
      <c r="G61" s="4" t="s">
        <v>653</v>
      </c>
      <c r="H61" s="4" t="s">
        <v>670</v>
      </c>
      <c r="I61" s="5"/>
      <c r="J61" s="4" t="s">
        <v>671</v>
      </c>
      <c r="K61" s="5"/>
      <c r="L61" s="4" t="s">
        <v>558</v>
      </c>
    </row>
    <row r="62" spans="1:12" ht="31" customHeight="1">
      <c r="A62" s="4" t="s">
        <v>148</v>
      </c>
      <c r="B62" s="4" t="s">
        <v>110</v>
      </c>
      <c r="C62" s="4" t="s">
        <v>40</v>
      </c>
      <c r="D62" s="6">
        <v>2</v>
      </c>
      <c r="E62" s="4" t="s">
        <v>577</v>
      </c>
      <c r="F62" s="5"/>
      <c r="G62" s="4" t="s">
        <v>149</v>
      </c>
      <c r="H62" s="4" t="s">
        <v>672</v>
      </c>
      <c r="I62" s="5"/>
      <c r="J62" s="4" t="s">
        <v>673</v>
      </c>
      <c r="K62" s="5"/>
      <c r="L62" s="4" t="s">
        <v>558</v>
      </c>
    </row>
    <row r="63" spans="1:12" ht="31" customHeight="1">
      <c r="A63" s="4" t="s">
        <v>148</v>
      </c>
      <c r="B63" s="4" t="s">
        <v>110</v>
      </c>
      <c r="C63" s="4" t="s">
        <v>41</v>
      </c>
      <c r="D63" s="6">
        <v>1</v>
      </c>
      <c r="E63" s="4" t="s">
        <v>577</v>
      </c>
      <c r="F63" s="5"/>
      <c r="G63" s="4" t="s">
        <v>149</v>
      </c>
      <c r="H63" s="4" t="s">
        <v>674</v>
      </c>
      <c r="I63" s="5"/>
      <c r="J63" s="4" t="s">
        <v>675</v>
      </c>
      <c r="K63" s="5"/>
      <c r="L63" s="4" t="s">
        <v>558</v>
      </c>
    </row>
    <row r="64" spans="1:12" ht="31" customHeight="1">
      <c r="A64" s="4" t="s">
        <v>148</v>
      </c>
      <c r="B64" s="4" t="s">
        <v>110</v>
      </c>
      <c r="C64" s="4" t="s">
        <v>42</v>
      </c>
      <c r="D64" s="6">
        <v>0</v>
      </c>
      <c r="E64" s="4" t="s">
        <v>577</v>
      </c>
      <c r="F64" s="5"/>
      <c r="G64" s="4" t="s">
        <v>149</v>
      </c>
      <c r="H64" s="4" t="s">
        <v>590</v>
      </c>
      <c r="I64" s="5"/>
      <c r="J64" s="4" t="s">
        <v>676</v>
      </c>
      <c r="K64" s="5"/>
      <c r="L64" s="4" t="s">
        <v>558</v>
      </c>
    </row>
    <row r="65" spans="1:12" ht="31" customHeight="1">
      <c r="A65" s="4" t="s">
        <v>148</v>
      </c>
      <c r="B65" s="4" t="s">
        <v>110</v>
      </c>
      <c r="C65" s="4" t="s">
        <v>43</v>
      </c>
      <c r="D65" s="6">
        <v>0</v>
      </c>
      <c r="E65" s="4" t="s">
        <v>577</v>
      </c>
      <c r="F65" s="5"/>
      <c r="G65" s="4" t="s">
        <v>149</v>
      </c>
      <c r="H65" s="4" t="s">
        <v>677</v>
      </c>
      <c r="I65" s="5"/>
      <c r="J65" s="4" t="s">
        <v>678</v>
      </c>
      <c r="K65" s="5"/>
      <c r="L65" s="4" t="s">
        <v>558</v>
      </c>
    </row>
    <row r="66" spans="1:12" ht="31" customHeight="1">
      <c r="A66" s="4" t="s">
        <v>148</v>
      </c>
      <c r="B66" s="4" t="s">
        <v>110</v>
      </c>
      <c r="C66" s="4" t="s">
        <v>44</v>
      </c>
      <c r="D66" s="6">
        <v>0</v>
      </c>
      <c r="E66" s="4" t="s">
        <v>577</v>
      </c>
      <c r="F66" s="5"/>
      <c r="G66" s="4" t="s">
        <v>149</v>
      </c>
      <c r="H66" s="4" t="s">
        <v>679</v>
      </c>
      <c r="I66" s="5"/>
      <c r="J66" s="4" t="s">
        <v>680</v>
      </c>
      <c r="K66" s="5"/>
      <c r="L66" s="4" t="s">
        <v>558</v>
      </c>
    </row>
    <row r="67" spans="1:12" ht="31" customHeight="1">
      <c r="A67" s="4" t="s">
        <v>148</v>
      </c>
      <c r="B67" s="4" t="s">
        <v>110</v>
      </c>
      <c r="C67" s="4" t="s">
        <v>45</v>
      </c>
      <c r="D67" s="6">
        <v>1</v>
      </c>
      <c r="E67" s="4" t="s">
        <v>577</v>
      </c>
      <c r="F67" s="5"/>
      <c r="G67" s="4" t="s">
        <v>149</v>
      </c>
      <c r="H67" s="4" t="s">
        <v>681</v>
      </c>
      <c r="I67" s="5"/>
      <c r="J67" s="4" t="s">
        <v>682</v>
      </c>
      <c r="K67" s="5"/>
      <c r="L67" s="4" t="s">
        <v>558</v>
      </c>
    </row>
    <row r="68" spans="1:12" ht="31" customHeight="1">
      <c r="A68" s="4" t="s">
        <v>148</v>
      </c>
      <c r="B68" s="4" t="s">
        <v>110</v>
      </c>
      <c r="C68" s="4" t="s">
        <v>46</v>
      </c>
      <c r="D68" s="6">
        <v>0</v>
      </c>
      <c r="E68" s="4" t="s">
        <v>577</v>
      </c>
      <c r="F68" s="5"/>
      <c r="G68" s="4" t="s">
        <v>149</v>
      </c>
      <c r="H68" s="4" t="s">
        <v>590</v>
      </c>
      <c r="I68" s="5"/>
      <c r="J68" s="4" t="s">
        <v>666</v>
      </c>
      <c r="K68" s="5"/>
      <c r="L68" s="4" t="s">
        <v>558</v>
      </c>
    </row>
    <row r="69" spans="1:12" ht="31" customHeight="1">
      <c r="A69" s="4" t="s">
        <v>148</v>
      </c>
      <c r="B69" s="4" t="s">
        <v>110</v>
      </c>
      <c r="C69" s="4" t="s">
        <v>47</v>
      </c>
      <c r="D69" s="6">
        <v>1</v>
      </c>
      <c r="E69" s="4" t="s">
        <v>577</v>
      </c>
      <c r="F69" s="5"/>
      <c r="G69" s="4" t="s">
        <v>149</v>
      </c>
      <c r="H69" s="4" t="s">
        <v>681</v>
      </c>
      <c r="I69" s="5"/>
      <c r="J69" s="4" t="s">
        <v>683</v>
      </c>
      <c r="K69" s="5"/>
      <c r="L69" s="4" t="s">
        <v>558</v>
      </c>
    </row>
    <row r="70" spans="1:12" ht="31" customHeight="1">
      <c r="A70" s="4" t="s">
        <v>148</v>
      </c>
      <c r="B70" s="4" t="s">
        <v>110</v>
      </c>
      <c r="C70" s="4" t="s">
        <v>48</v>
      </c>
      <c r="D70" s="6">
        <v>0</v>
      </c>
      <c r="E70" s="4" t="s">
        <v>577</v>
      </c>
      <c r="F70" s="5"/>
      <c r="G70" s="4" t="s">
        <v>149</v>
      </c>
      <c r="H70" s="4" t="s">
        <v>684</v>
      </c>
      <c r="I70" s="5"/>
      <c r="J70" s="4" t="s">
        <v>685</v>
      </c>
      <c r="K70" s="5"/>
      <c r="L70" s="4" t="s">
        <v>558</v>
      </c>
    </row>
    <row r="71" spans="1:12" ht="31" customHeight="1">
      <c r="A71" s="4" t="s">
        <v>148</v>
      </c>
      <c r="B71" s="4" t="s">
        <v>110</v>
      </c>
      <c r="C71" s="4" t="s">
        <v>49</v>
      </c>
      <c r="D71" s="6">
        <v>1</v>
      </c>
      <c r="E71" s="4" t="s">
        <v>577</v>
      </c>
      <c r="F71" s="5"/>
      <c r="G71" s="4" t="s">
        <v>149</v>
      </c>
      <c r="H71" s="4" t="s">
        <v>686</v>
      </c>
      <c r="I71" s="5"/>
      <c r="J71" s="4" t="s">
        <v>687</v>
      </c>
      <c r="K71" s="5"/>
      <c r="L71" s="4" t="s">
        <v>558</v>
      </c>
    </row>
    <row r="72" spans="1:12" ht="31" customHeight="1">
      <c r="A72" s="4" t="s">
        <v>151</v>
      </c>
      <c r="B72" s="4" t="s">
        <v>110</v>
      </c>
      <c r="C72" s="4" t="s">
        <v>40</v>
      </c>
      <c r="D72" s="6">
        <v>3</v>
      </c>
      <c r="E72" s="4" t="s">
        <v>555</v>
      </c>
      <c r="F72" s="5"/>
      <c r="G72" s="4" t="s">
        <v>116</v>
      </c>
      <c r="H72" s="4" t="s">
        <v>688</v>
      </c>
      <c r="I72" s="5"/>
      <c r="J72" s="4" t="s">
        <v>689</v>
      </c>
      <c r="K72" s="5"/>
      <c r="L72" s="4" t="s">
        <v>558</v>
      </c>
    </row>
    <row r="73" spans="1:12" ht="31" customHeight="1">
      <c r="A73" s="4" t="s">
        <v>151</v>
      </c>
      <c r="B73" s="4" t="s">
        <v>110</v>
      </c>
      <c r="C73" s="4" t="s">
        <v>41</v>
      </c>
      <c r="D73" s="6">
        <v>0</v>
      </c>
      <c r="E73" s="4" t="s">
        <v>555</v>
      </c>
      <c r="F73" s="5"/>
      <c r="G73" s="4" t="s">
        <v>116</v>
      </c>
      <c r="H73" s="4" t="s">
        <v>688</v>
      </c>
      <c r="I73" s="5"/>
      <c r="J73" s="4" t="s">
        <v>690</v>
      </c>
      <c r="K73" s="5"/>
      <c r="L73" s="4" t="s">
        <v>558</v>
      </c>
    </row>
    <row r="74" spans="1:12" ht="31" customHeight="1">
      <c r="A74" s="4" t="s">
        <v>151</v>
      </c>
      <c r="B74" s="4" t="s">
        <v>110</v>
      </c>
      <c r="C74" s="4" t="s">
        <v>42</v>
      </c>
      <c r="D74" s="6">
        <v>0</v>
      </c>
      <c r="E74" s="4" t="s">
        <v>555</v>
      </c>
      <c r="F74" s="5"/>
      <c r="G74" s="4" t="s">
        <v>116</v>
      </c>
      <c r="H74" s="4" t="s">
        <v>691</v>
      </c>
      <c r="I74" s="5"/>
      <c r="J74" s="4" t="s">
        <v>692</v>
      </c>
      <c r="K74" s="5"/>
      <c r="L74" s="4" t="s">
        <v>558</v>
      </c>
    </row>
    <row r="75" spans="1:12" ht="31" customHeight="1">
      <c r="A75" s="4" t="s">
        <v>151</v>
      </c>
      <c r="B75" s="4" t="s">
        <v>110</v>
      </c>
      <c r="C75" s="4" t="s">
        <v>43</v>
      </c>
      <c r="D75" s="6">
        <v>2</v>
      </c>
      <c r="E75" s="4" t="s">
        <v>555</v>
      </c>
      <c r="F75" s="5"/>
      <c r="G75" s="4" t="s">
        <v>116</v>
      </c>
      <c r="H75" s="4" t="s">
        <v>693</v>
      </c>
      <c r="I75" s="5"/>
      <c r="J75" s="4" t="s">
        <v>694</v>
      </c>
      <c r="K75" s="5"/>
      <c r="L75" s="4" t="s">
        <v>558</v>
      </c>
    </row>
    <row r="76" spans="1:12" ht="31" customHeight="1">
      <c r="A76" s="4" t="s">
        <v>151</v>
      </c>
      <c r="B76" s="4" t="s">
        <v>110</v>
      </c>
      <c r="C76" s="4" t="s">
        <v>44</v>
      </c>
      <c r="D76" s="6">
        <v>2</v>
      </c>
      <c r="E76" s="4" t="s">
        <v>555</v>
      </c>
      <c r="F76" s="5"/>
      <c r="G76" s="4" t="s">
        <v>116</v>
      </c>
      <c r="H76" s="4" t="s">
        <v>695</v>
      </c>
      <c r="I76" s="5"/>
      <c r="J76" s="4" t="s">
        <v>696</v>
      </c>
      <c r="K76" s="5"/>
      <c r="L76" s="4" t="s">
        <v>558</v>
      </c>
    </row>
    <row r="77" spans="1:12" ht="31" customHeight="1">
      <c r="A77" s="4" t="s">
        <v>151</v>
      </c>
      <c r="B77" s="4" t="s">
        <v>110</v>
      </c>
      <c r="C77" s="4" t="s">
        <v>45</v>
      </c>
      <c r="D77" s="6">
        <v>2</v>
      </c>
      <c r="E77" s="4" t="s">
        <v>555</v>
      </c>
      <c r="F77" s="5"/>
      <c r="G77" s="4" t="s">
        <v>116</v>
      </c>
      <c r="H77" s="4" t="s">
        <v>693</v>
      </c>
      <c r="I77" s="5"/>
      <c r="J77" s="4" t="s">
        <v>697</v>
      </c>
      <c r="K77" s="5"/>
      <c r="L77" s="4" t="s">
        <v>558</v>
      </c>
    </row>
    <row r="78" spans="1:12" ht="31" customHeight="1">
      <c r="A78" s="4" t="s">
        <v>151</v>
      </c>
      <c r="B78" s="4" t="s">
        <v>110</v>
      </c>
      <c r="C78" s="4" t="s">
        <v>46</v>
      </c>
      <c r="D78" s="6">
        <v>0</v>
      </c>
      <c r="E78" s="4" t="s">
        <v>555</v>
      </c>
      <c r="F78" s="5"/>
      <c r="G78" s="4" t="s">
        <v>116</v>
      </c>
      <c r="H78" s="4" t="s">
        <v>569</v>
      </c>
      <c r="I78" s="5"/>
      <c r="J78" s="4" t="s">
        <v>698</v>
      </c>
      <c r="K78" s="5"/>
      <c r="L78" s="4" t="s">
        <v>558</v>
      </c>
    </row>
    <row r="79" spans="1:12" ht="31" customHeight="1">
      <c r="A79" s="4" t="s">
        <v>151</v>
      </c>
      <c r="B79" s="4" t="s">
        <v>110</v>
      </c>
      <c r="C79" s="4" t="s">
        <v>47</v>
      </c>
      <c r="D79" s="6">
        <v>1</v>
      </c>
      <c r="E79" s="4" t="s">
        <v>555</v>
      </c>
      <c r="F79" s="5"/>
      <c r="G79" s="4" t="s">
        <v>116</v>
      </c>
      <c r="H79" s="4" t="s">
        <v>691</v>
      </c>
      <c r="I79" s="5"/>
      <c r="J79" s="4" t="s">
        <v>699</v>
      </c>
      <c r="K79" s="5"/>
      <c r="L79" s="4" t="s">
        <v>558</v>
      </c>
    </row>
    <row r="80" spans="1:12" ht="31" customHeight="1">
      <c r="A80" s="4" t="s">
        <v>151</v>
      </c>
      <c r="B80" s="4" t="s">
        <v>110</v>
      </c>
      <c r="C80" s="4" t="s">
        <v>48</v>
      </c>
      <c r="D80" s="6">
        <v>1</v>
      </c>
      <c r="E80" s="4" t="s">
        <v>555</v>
      </c>
      <c r="F80" s="5"/>
      <c r="G80" s="4" t="s">
        <v>116</v>
      </c>
      <c r="H80" s="4" t="s">
        <v>700</v>
      </c>
      <c r="I80" s="5"/>
      <c r="J80" s="4" t="s">
        <v>701</v>
      </c>
      <c r="K80" s="5"/>
      <c r="L80" s="4" t="s">
        <v>558</v>
      </c>
    </row>
    <row r="81" spans="1:12" ht="31" customHeight="1">
      <c r="A81" s="4" t="s">
        <v>151</v>
      </c>
      <c r="B81" s="4" t="s">
        <v>110</v>
      </c>
      <c r="C81" s="4" t="s">
        <v>49</v>
      </c>
      <c r="D81" s="6">
        <v>2</v>
      </c>
      <c r="E81" s="4" t="s">
        <v>555</v>
      </c>
      <c r="F81" s="5"/>
      <c r="G81" s="4" t="s">
        <v>116</v>
      </c>
      <c r="H81" s="4" t="s">
        <v>702</v>
      </c>
      <c r="I81" s="5"/>
      <c r="J81" s="4" t="s">
        <v>703</v>
      </c>
      <c r="K81" s="5"/>
      <c r="L81" s="4" t="s">
        <v>558</v>
      </c>
    </row>
    <row r="82" spans="1:12" ht="31" customHeight="1">
      <c r="A82" s="4" t="s">
        <v>153</v>
      </c>
      <c r="B82" s="4" t="s">
        <v>110</v>
      </c>
      <c r="C82" s="4" t="s">
        <v>40</v>
      </c>
      <c r="D82" s="6">
        <v>2</v>
      </c>
      <c r="E82" s="4" t="s">
        <v>577</v>
      </c>
      <c r="F82" s="5"/>
      <c r="G82" s="4" t="s">
        <v>116</v>
      </c>
      <c r="H82" s="4" t="s">
        <v>704</v>
      </c>
      <c r="I82" s="5"/>
      <c r="J82" s="4" t="s">
        <v>705</v>
      </c>
      <c r="K82" s="5"/>
      <c r="L82" s="4" t="s">
        <v>558</v>
      </c>
    </row>
    <row r="83" spans="1:12" ht="31" customHeight="1">
      <c r="A83" s="4" t="s">
        <v>153</v>
      </c>
      <c r="B83" s="4" t="s">
        <v>110</v>
      </c>
      <c r="C83" s="4" t="s">
        <v>41</v>
      </c>
      <c r="D83" s="6">
        <v>0</v>
      </c>
      <c r="E83" s="4" t="s">
        <v>577</v>
      </c>
      <c r="F83" s="5"/>
      <c r="G83" s="4" t="s">
        <v>116</v>
      </c>
      <c r="H83" s="4" t="s">
        <v>706</v>
      </c>
      <c r="I83" s="5"/>
      <c r="J83" s="4" t="s">
        <v>707</v>
      </c>
      <c r="K83" s="5"/>
      <c r="L83" s="4" t="s">
        <v>558</v>
      </c>
    </row>
    <row r="84" spans="1:12" ht="31" customHeight="1">
      <c r="A84" s="4" t="s">
        <v>153</v>
      </c>
      <c r="B84" s="4" t="s">
        <v>110</v>
      </c>
      <c r="C84" s="4" t="s">
        <v>42</v>
      </c>
      <c r="D84" s="6">
        <v>0</v>
      </c>
      <c r="E84" s="4" t="s">
        <v>577</v>
      </c>
      <c r="F84" s="5"/>
      <c r="G84" s="4" t="s">
        <v>116</v>
      </c>
      <c r="H84" s="4" t="s">
        <v>590</v>
      </c>
      <c r="I84" s="5"/>
      <c r="J84" s="4" t="s">
        <v>708</v>
      </c>
      <c r="K84" s="5"/>
      <c r="L84" s="4" t="s">
        <v>558</v>
      </c>
    </row>
    <row r="85" spans="1:12" ht="31" customHeight="1">
      <c r="A85" s="4" t="s">
        <v>153</v>
      </c>
      <c r="B85" s="4" t="s">
        <v>110</v>
      </c>
      <c r="C85" s="4" t="s">
        <v>43</v>
      </c>
      <c r="D85" s="6">
        <v>0</v>
      </c>
      <c r="E85" s="4" t="s">
        <v>577</v>
      </c>
      <c r="F85" s="5"/>
      <c r="G85" s="4" t="s">
        <v>116</v>
      </c>
      <c r="H85" s="4" t="s">
        <v>590</v>
      </c>
      <c r="I85" s="5"/>
      <c r="J85" s="4" t="s">
        <v>709</v>
      </c>
      <c r="K85" s="5"/>
      <c r="L85" s="4" t="s">
        <v>558</v>
      </c>
    </row>
    <row r="86" spans="1:12" ht="31" customHeight="1">
      <c r="A86" s="4" t="s">
        <v>153</v>
      </c>
      <c r="B86" s="4" t="s">
        <v>110</v>
      </c>
      <c r="C86" s="4" t="s">
        <v>44</v>
      </c>
      <c r="D86" s="6">
        <v>0</v>
      </c>
      <c r="E86" s="4" t="s">
        <v>577</v>
      </c>
      <c r="F86" s="5"/>
      <c r="G86" s="4" t="s">
        <v>116</v>
      </c>
      <c r="H86" s="4" t="s">
        <v>679</v>
      </c>
      <c r="I86" s="5"/>
      <c r="J86" s="4" t="s">
        <v>710</v>
      </c>
      <c r="K86" s="5"/>
      <c r="L86" s="4" t="s">
        <v>558</v>
      </c>
    </row>
    <row r="87" spans="1:12" ht="31" customHeight="1">
      <c r="A87" s="4" t="s">
        <v>153</v>
      </c>
      <c r="B87" s="4" t="s">
        <v>110</v>
      </c>
      <c r="C87" s="4" t="s">
        <v>45</v>
      </c>
      <c r="D87" s="6">
        <v>2</v>
      </c>
      <c r="E87" s="4" t="s">
        <v>577</v>
      </c>
      <c r="F87" s="5"/>
      <c r="G87" s="4" t="s">
        <v>116</v>
      </c>
      <c r="H87" s="4" t="s">
        <v>711</v>
      </c>
      <c r="I87" s="5"/>
      <c r="J87" s="4" t="s">
        <v>712</v>
      </c>
      <c r="K87" s="5"/>
      <c r="L87" s="4" t="s">
        <v>558</v>
      </c>
    </row>
    <row r="88" spans="1:12" ht="31" customHeight="1">
      <c r="A88" s="4" t="s">
        <v>153</v>
      </c>
      <c r="B88" s="4" t="s">
        <v>110</v>
      </c>
      <c r="C88" s="4" t="s">
        <v>46</v>
      </c>
      <c r="D88" s="6">
        <v>0</v>
      </c>
      <c r="E88" s="4" t="s">
        <v>577</v>
      </c>
      <c r="F88" s="5"/>
      <c r="G88" s="4" t="s">
        <v>116</v>
      </c>
      <c r="H88" s="4" t="s">
        <v>590</v>
      </c>
      <c r="I88" s="5"/>
      <c r="J88" s="4" t="s">
        <v>666</v>
      </c>
      <c r="K88" s="5"/>
      <c r="L88" s="4" t="s">
        <v>558</v>
      </c>
    </row>
    <row r="89" spans="1:12" ht="31" customHeight="1">
      <c r="A89" s="4" t="s">
        <v>153</v>
      </c>
      <c r="B89" s="4" t="s">
        <v>110</v>
      </c>
      <c r="C89" s="4" t="s">
        <v>47</v>
      </c>
      <c r="D89" s="6">
        <v>0</v>
      </c>
      <c r="E89" s="4" t="s">
        <v>577</v>
      </c>
      <c r="F89" s="5"/>
      <c r="G89" s="4" t="s">
        <v>116</v>
      </c>
      <c r="H89" s="4" t="s">
        <v>590</v>
      </c>
      <c r="I89" s="5"/>
      <c r="J89" s="4" t="s">
        <v>713</v>
      </c>
      <c r="K89" s="5"/>
      <c r="L89" s="4" t="s">
        <v>558</v>
      </c>
    </row>
    <row r="90" spans="1:12" ht="31" customHeight="1">
      <c r="A90" s="4" t="s">
        <v>153</v>
      </c>
      <c r="B90" s="4" t="s">
        <v>110</v>
      </c>
      <c r="C90" s="4" t="s">
        <v>48</v>
      </c>
      <c r="D90" s="6">
        <v>0</v>
      </c>
      <c r="E90" s="4" t="s">
        <v>577</v>
      </c>
      <c r="F90" s="5"/>
      <c r="G90" s="4" t="s">
        <v>116</v>
      </c>
      <c r="H90" s="4" t="s">
        <v>714</v>
      </c>
      <c r="I90" s="5"/>
      <c r="J90" s="4" t="s">
        <v>715</v>
      </c>
      <c r="K90" s="5"/>
      <c r="L90" s="4" t="s">
        <v>558</v>
      </c>
    </row>
    <row r="91" spans="1:12" ht="31" customHeight="1">
      <c r="A91" s="4" t="s">
        <v>153</v>
      </c>
      <c r="B91" s="4" t="s">
        <v>110</v>
      </c>
      <c r="C91" s="4" t="s">
        <v>49</v>
      </c>
      <c r="D91" s="6">
        <v>1</v>
      </c>
      <c r="E91" s="4" t="s">
        <v>577</v>
      </c>
      <c r="F91" s="5"/>
      <c r="G91" s="4" t="s">
        <v>116</v>
      </c>
      <c r="H91" s="4" t="s">
        <v>716</v>
      </c>
      <c r="I91" s="5"/>
      <c r="J91" s="4" t="s">
        <v>717</v>
      </c>
      <c r="K91" s="5"/>
      <c r="L91" s="4" t="s">
        <v>558</v>
      </c>
    </row>
    <row r="92" spans="1:12" ht="31" customHeight="1">
      <c r="A92" s="4" t="s">
        <v>156</v>
      </c>
      <c r="B92" s="4" t="s">
        <v>157</v>
      </c>
      <c r="C92" s="4" t="s">
        <v>40</v>
      </c>
      <c r="D92" s="6">
        <v>3</v>
      </c>
      <c r="E92" s="5"/>
      <c r="F92" s="5"/>
      <c r="G92" s="4" t="s">
        <v>718</v>
      </c>
      <c r="H92" s="4" t="s">
        <v>719</v>
      </c>
      <c r="I92" s="5"/>
      <c r="J92" s="4" t="s">
        <v>720</v>
      </c>
      <c r="K92" s="5"/>
      <c r="L92" s="4" t="s">
        <v>558</v>
      </c>
    </row>
    <row r="93" spans="1:12" ht="31" customHeight="1">
      <c r="A93" s="4" t="s">
        <v>156</v>
      </c>
      <c r="B93" s="4" t="s">
        <v>157</v>
      </c>
      <c r="C93" s="4" t="s">
        <v>41</v>
      </c>
      <c r="D93" s="6">
        <v>3</v>
      </c>
      <c r="E93" s="5"/>
      <c r="F93" s="5"/>
      <c r="G93" s="4" t="s">
        <v>718</v>
      </c>
      <c r="H93" s="4" t="s">
        <v>721</v>
      </c>
      <c r="I93" s="5"/>
      <c r="J93" s="4" t="s">
        <v>722</v>
      </c>
      <c r="K93" s="5"/>
      <c r="L93" s="4" t="s">
        <v>558</v>
      </c>
    </row>
    <row r="94" spans="1:12" ht="31" customHeight="1">
      <c r="A94" s="4" t="s">
        <v>156</v>
      </c>
      <c r="B94" s="4" t="s">
        <v>157</v>
      </c>
      <c r="C94" s="4" t="s">
        <v>42</v>
      </c>
      <c r="D94" s="6">
        <v>3</v>
      </c>
      <c r="E94" s="5"/>
      <c r="F94" s="5"/>
      <c r="G94" s="4" t="s">
        <v>718</v>
      </c>
      <c r="H94" s="4" t="s">
        <v>723</v>
      </c>
      <c r="I94" s="5"/>
      <c r="J94" s="4" t="s">
        <v>724</v>
      </c>
      <c r="K94" s="5"/>
      <c r="L94" s="4" t="s">
        <v>558</v>
      </c>
    </row>
    <row r="95" spans="1:12" ht="31" customHeight="1">
      <c r="A95" s="4" t="s">
        <v>156</v>
      </c>
      <c r="B95" s="4" t="s">
        <v>157</v>
      </c>
      <c r="C95" s="4" t="s">
        <v>43</v>
      </c>
      <c r="D95" s="6">
        <v>3</v>
      </c>
      <c r="E95" s="5"/>
      <c r="F95" s="5"/>
      <c r="G95" s="4" t="s">
        <v>718</v>
      </c>
      <c r="H95" s="4" t="s">
        <v>725</v>
      </c>
      <c r="I95" s="5"/>
      <c r="J95" s="4" t="s">
        <v>726</v>
      </c>
      <c r="K95" s="5"/>
      <c r="L95" s="4" t="s">
        <v>558</v>
      </c>
    </row>
    <row r="96" spans="1:12" ht="31" customHeight="1">
      <c r="A96" s="4" t="s">
        <v>156</v>
      </c>
      <c r="B96" s="4" t="s">
        <v>157</v>
      </c>
      <c r="C96" s="4" t="s">
        <v>44</v>
      </c>
      <c r="D96" s="6">
        <v>2</v>
      </c>
      <c r="E96" s="5"/>
      <c r="F96" s="5"/>
      <c r="G96" s="4" t="s">
        <v>718</v>
      </c>
      <c r="H96" s="4" t="s">
        <v>727</v>
      </c>
      <c r="I96" s="5"/>
      <c r="J96" s="4" t="s">
        <v>728</v>
      </c>
      <c r="K96" s="5"/>
      <c r="L96" s="4" t="s">
        <v>558</v>
      </c>
    </row>
    <row r="97" spans="1:12" ht="31" customHeight="1">
      <c r="A97" s="4" t="s">
        <v>156</v>
      </c>
      <c r="B97" s="4" t="s">
        <v>157</v>
      </c>
      <c r="C97" s="4" t="s">
        <v>45</v>
      </c>
      <c r="D97" s="6">
        <v>2</v>
      </c>
      <c r="E97" s="5"/>
      <c r="F97" s="5"/>
      <c r="G97" s="4" t="s">
        <v>718</v>
      </c>
      <c r="H97" s="4" t="s">
        <v>729</v>
      </c>
      <c r="I97" s="5"/>
      <c r="J97" s="4" t="s">
        <v>730</v>
      </c>
      <c r="K97" s="5"/>
      <c r="L97" s="4" t="s">
        <v>558</v>
      </c>
    </row>
    <row r="98" spans="1:12" ht="31" customHeight="1">
      <c r="A98" s="4" t="s">
        <v>156</v>
      </c>
      <c r="B98" s="4" t="s">
        <v>157</v>
      </c>
      <c r="C98" s="4" t="s">
        <v>46</v>
      </c>
      <c r="D98" s="6">
        <v>0</v>
      </c>
      <c r="E98" s="5"/>
      <c r="F98" s="5"/>
      <c r="G98" s="4" t="s">
        <v>731</v>
      </c>
      <c r="H98" s="4" t="s">
        <v>732</v>
      </c>
      <c r="I98" s="5"/>
      <c r="J98" s="4" t="s">
        <v>733</v>
      </c>
      <c r="K98" s="5"/>
      <c r="L98" s="4" t="s">
        <v>558</v>
      </c>
    </row>
    <row r="99" spans="1:12" ht="31" customHeight="1">
      <c r="A99" s="4" t="s">
        <v>156</v>
      </c>
      <c r="B99" s="4" t="s">
        <v>157</v>
      </c>
      <c r="C99" s="4" t="s">
        <v>47</v>
      </c>
      <c r="D99" s="6">
        <v>2</v>
      </c>
      <c r="E99" s="5"/>
      <c r="F99" s="5"/>
      <c r="G99" s="4" t="s">
        <v>718</v>
      </c>
      <c r="H99" s="4" t="s">
        <v>734</v>
      </c>
      <c r="I99" s="5"/>
      <c r="J99" s="4" t="s">
        <v>735</v>
      </c>
      <c r="K99" s="5"/>
      <c r="L99" s="4" t="s">
        <v>558</v>
      </c>
    </row>
    <row r="100" spans="1:12" ht="31" customHeight="1">
      <c r="A100" s="4" t="s">
        <v>156</v>
      </c>
      <c r="B100" s="4" t="s">
        <v>157</v>
      </c>
      <c r="C100" s="4" t="s">
        <v>48</v>
      </c>
      <c r="D100" s="6">
        <v>3</v>
      </c>
      <c r="E100" s="5"/>
      <c r="F100" s="5"/>
      <c r="G100" s="4" t="s">
        <v>718</v>
      </c>
      <c r="H100" s="4" t="s">
        <v>736</v>
      </c>
      <c r="I100" s="5"/>
      <c r="J100" s="4" t="s">
        <v>737</v>
      </c>
      <c r="K100" s="5"/>
      <c r="L100" s="4" t="s">
        <v>558</v>
      </c>
    </row>
    <row r="101" spans="1:12" ht="31" customHeight="1">
      <c r="A101" s="4" t="s">
        <v>156</v>
      </c>
      <c r="B101" s="4" t="s">
        <v>157</v>
      </c>
      <c r="C101" s="4" t="s">
        <v>49</v>
      </c>
      <c r="D101" s="6">
        <v>2</v>
      </c>
      <c r="E101" s="5"/>
      <c r="F101" s="5"/>
      <c r="G101" s="4" t="s">
        <v>718</v>
      </c>
      <c r="H101" s="4" t="s">
        <v>738</v>
      </c>
      <c r="I101" s="5"/>
      <c r="J101" s="4" t="s">
        <v>739</v>
      </c>
      <c r="K101" s="5"/>
      <c r="L101" s="4" t="s">
        <v>558</v>
      </c>
    </row>
    <row r="102" spans="1:12" ht="31" customHeight="1">
      <c r="A102" s="4" t="s">
        <v>168</v>
      </c>
      <c r="B102" s="4" t="s">
        <v>157</v>
      </c>
      <c r="C102" s="4" t="s">
        <v>40</v>
      </c>
      <c r="D102" s="6">
        <v>3</v>
      </c>
      <c r="E102" s="5"/>
      <c r="F102" s="5"/>
      <c r="G102" s="4" t="s">
        <v>740</v>
      </c>
      <c r="H102" s="4" t="s">
        <v>741</v>
      </c>
      <c r="I102" s="5"/>
      <c r="J102" s="4" t="s">
        <v>742</v>
      </c>
      <c r="K102" s="5"/>
      <c r="L102" s="4" t="s">
        <v>558</v>
      </c>
    </row>
    <row r="103" spans="1:12" ht="31" customHeight="1">
      <c r="A103" s="4" t="s">
        <v>168</v>
      </c>
      <c r="B103" s="4" t="s">
        <v>157</v>
      </c>
      <c r="C103" s="4" t="s">
        <v>41</v>
      </c>
      <c r="D103" s="6">
        <v>3</v>
      </c>
      <c r="E103" s="5"/>
      <c r="F103" s="5"/>
      <c r="G103" s="4" t="s">
        <v>740</v>
      </c>
      <c r="H103" s="4" t="s">
        <v>743</v>
      </c>
      <c r="I103" s="5"/>
      <c r="J103" s="4" t="s">
        <v>744</v>
      </c>
      <c r="K103" s="5"/>
      <c r="L103" s="4" t="s">
        <v>558</v>
      </c>
    </row>
    <row r="104" spans="1:12" ht="31" customHeight="1">
      <c r="A104" s="4" t="s">
        <v>168</v>
      </c>
      <c r="B104" s="4" t="s">
        <v>157</v>
      </c>
      <c r="C104" s="4" t="s">
        <v>42</v>
      </c>
      <c r="D104" s="6">
        <v>3</v>
      </c>
      <c r="E104" s="5"/>
      <c r="F104" s="5"/>
      <c r="G104" s="4" t="s">
        <v>740</v>
      </c>
      <c r="H104" s="4" t="s">
        <v>745</v>
      </c>
      <c r="I104" s="5"/>
      <c r="J104" s="4" t="s">
        <v>746</v>
      </c>
      <c r="K104" s="5"/>
      <c r="L104" s="4" t="s">
        <v>558</v>
      </c>
    </row>
    <row r="105" spans="1:12" ht="31" customHeight="1">
      <c r="A105" s="4" t="s">
        <v>168</v>
      </c>
      <c r="B105" s="4" t="s">
        <v>157</v>
      </c>
      <c r="C105" s="4" t="s">
        <v>43</v>
      </c>
      <c r="D105" s="6">
        <v>3</v>
      </c>
      <c r="E105" s="5"/>
      <c r="F105" s="5"/>
      <c r="G105" s="4" t="s">
        <v>740</v>
      </c>
      <c r="H105" s="4" t="s">
        <v>747</v>
      </c>
      <c r="I105" s="5"/>
      <c r="J105" s="4" t="s">
        <v>748</v>
      </c>
      <c r="K105" s="5"/>
      <c r="L105" s="4" t="s">
        <v>558</v>
      </c>
    </row>
    <row r="106" spans="1:12" ht="31" customHeight="1">
      <c r="A106" s="4" t="s">
        <v>168</v>
      </c>
      <c r="B106" s="4" t="s">
        <v>157</v>
      </c>
      <c r="C106" s="4" t="s">
        <v>44</v>
      </c>
      <c r="D106" s="6">
        <v>2</v>
      </c>
      <c r="E106" s="5"/>
      <c r="F106" s="5"/>
      <c r="G106" s="4" t="s">
        <v>740</v>
      </c>
      <c r="H106" s="4" t="s">
        <v>749</v>
      </c>
      <c r="I106" s="5"/>
      <c r="J106" s="4" t="s">
        <v>750</v>
      </c>
      <c r="K106" s="5"/>
      <c r="L106" s="4" t="s">
        <v>558</v>
      </c>
    </row>
    <row r="107" spans="1:12" ht="31" customHeight="1">
      <c r="A107" s="4" t="s">
        <v>168</v>
      </c>
      <c r="B107" s="4" t="s">
        <v>157</v>
      </c>
      <c r="C107" s="4" t="s">
        <v>45</v>
      </c>
      <c r="D107" s="6">
        <v>2</v>
      </c>
      <c r="E107" s="5"/>
      <c r="F107" s="5"/>
      <c r="G107" s="4" t="s">
        <v>740</v>
      </c>
      <c r="H107" s="4" t="s">
        <v>749</v>
      </c>
      <c r="I107" s="5"/>
      <c r="J107" s="4" t="s">
        <v>751</v>
      </c>
      <c r="K107" s="5"/>
      <c r="L107" s="4" t="s">
        <v>558</v>
      </c>
    </row>
    <row r="108" spans="1:12" ht="31" customHeight="1">
      <c r="A108" s="4" t="s">
        <v>168</v>
      </c>
      <c r="B108" s="4" t="s">
        <v>157</v>
      </c>
      <c r="C108" s="4" t="s">
        <v>46</v>
      </c>
      <c r="D108" s="6">
        <v>0</v>
      </c>
      <c r="E108" s="5"/>
      <c r="F108" s="5"/>
      <c r="G108" s="4" t="s">
        <v>752</v>
      </c>
      <c r="H108" s="4" t="s">
        <v>732</v>
      </c>
      <c r="I108" s="5"/>
      <c r="J108" s="4" t="s">
        <v>733</v>
      </c>
      <c r="K108" s="5"/>
      <c r="L108" s="4" t="s">
        <v>558</v>
      </c>
    </row>
    <row r="109" spans="1:12" ht="31" customHeight="1">
      <c r="A109" s="4" t="s">
        <v>168</v>
      </c>
      <c r="B109" s="4" t="s">
        <v>157</v>
      </c>
      <c r="C109" s="4" t="s">
        <v>47</v>
      </c>
      <c r="D109" s="6">
        <v>1</v>
      </c>
      <c r="E109" s="5"/>
      <c r="F109" s="5"/>
      <c r="G109" s="4" t="s">
        <v>740</v>
      </c>
      <c r="H109" s="4" t="s">
        <v>753</v>
      </c>
      <c r="I109" s="5"/>
      <c r="J109" s="4" t="s">
        <v>754</v>
      </c>
      <c r="K109" s="5"/>
      <c r="L109" s="4" t="s">
        <v>558</v>
      </c>
    </row>
    <row r="110" spans="1:12" ht="31" customHeight="1">
      <c r="A110" s="4" t="s">
        <v>168</v>
      </c>
      <c r="B110" s="4" t="s">
        <v>157</v>
      </c>
      <c r="C110" s="4" t="s">
        <v>48</v>
      </c>
      <c r="D110" s="6">
        <v>3</v>
      </c>
      <c r="E110" s="5"/>
      <c r="F110" s="5"/>
      <c r="G110" s="4" t="s">
        <v>740</v>
      </c>
      <c r="H110" s="4" t="s">
        <v>755</v>
      </c>
      <c r="I110" s="5"/>
      <c r="J110" s="4" t="s">
        <v>756</v>
      </c>
      <c r="K110" s="5"/>
      <c r="L110" s="4" t="s">
        <v>558</v>
      </c>
    </row>
    <row r="111" spans="1:12" ht="31" customHeight="1">
      <c r="A111" s="4" t="s">
        <v>168</v>
      </c>
      <c r="B111" s="4" t="s">
        <v>157</v>
      </c>
      <c r="C111" s="4" t="s">
        <v>49</v>
      </c>
      <c r="D111" s="6">
        <v>2</v>
      </c>
      <c r="E111" s="5"/>
      <c r="F111" s="5"/>
      <c r="G111" s="4" t="s">
        <v>740</v>
      </c>
      <c r="H111" s="4" t="s">
        <v>757</v>
      </c>
      <c r="I111" s="5"/>
      <c r="J111" s="4" t="s">
        <v>758</v>
      </c>
      <c r="K111" s="5"/>
      <c r="L111" s="4" t="s">
        <v>558</v>
      </c>
    </row>
    <row r="112" spans="1:12" ht="31" customHeight="1">
      <c r="A112" s="4" t="s">
        <v>172</v>
      </c>
      <c r="B112" s="4" t="s">
        <v>157</v>
      </c>
      <c r="C112" s="4" t="s">
        <v>40</v>
      </c>
      <c r="D112" s="6">
        <v>3</v>
      </c>
      <c r="E112" s="5"/>
      <c r="F112" s="5"/>
      <c r="G112" s="4" t="s">
        <v>174</v>
      </c>
      <c r="H112" s="4" t="s">
        <v>759</v>
      </c>
      <c r="I112" s="5"/>
      <c r="J112" s="4" t="s">
        <v>760</v>
      </c>
      <c r="K112" s="5"/>
      <c r="L112" s="4" t="s">
        <v>558</v>
      </c>
    </row>
    <row r="113" spans="1:12" ht="31" customHeight="1">
      <c r="A113" s="4" t="s">
        <v>172</v>
      </c>
      <c r="B113" s="4" t="s">
        <v>157</v>
      </c>
      <c r="C113" s="4" t="s">
        <v>41</v>
      </c>
      <c r="D113" s="6">
        <v>2</v>
      </c>
      <c r="E113" s="5"/>
      <c r="F113" s="5"/>
      <c r="G113" s="4" t="s">
        <v>174</v>
      </c>
      <c r="H113" s="4" t="s">
        <v>761</v>
      </c>
      <c r="I113" s="5"/>
      <c r="J113" s="4" t="s">
        <v>762</v>
      </c>
      <c r="K113" s="5"/>
      <c r="L113" s="4" t="s">
        <v>558</v>
      </c>
    </row>
    <row r="114" spans="1:12" ht="31" customHeight="1">
      <c r="A114" s="4" t="s">
        <v>172</v>
      </c>
      <c r="B114" s="4" t="s">
        <v>157</v>
      </c>
      <c r="C114" s="4" t="s">
        <v>42</v>
      </c>
      <c r="D114" s="6">
        <v>3</v>
      </c>
      <c r="E114" s="5"/>
      <c r="F114" s="5"/>
      <c r="G114" s="4" t="s">
        <v>174</v>
      </c>
      <c r="H114" s="4" t="s">
        <v>763</v>
      </c>
      <c r="I114" s="5"/>
      <c r="J114" s="4" t="s">
        <v>764</v>
      </c>
      <c r="K114" s="5"/>
      <c r="L114" s="4" t="s">
        <v>558</v>
      </c>
    </row>
    <row r="115" spans="1:12" ht="31" customHeight="1">
      <c r="A115" s="4" t="s">
        <v>172</v>
      </c>
      <c r="B115" s="4" t="s">
        <v>157</v>
      </c>
      <c r="C115" s="4" t="s">
        <v>43</v>
      </c>
      <c r="D115" s="6">
        <v>3</v>
      </c>
      <c r="E115" s="5"/>
      <c r="F115" s="5"/>
      <c r="G115" s="4" t="s">
        <v>174</v>
      </c>
      <c r="H115" s="4" t="s">
        <v>765</v>
      </c>
      <c r="I115" s="5"/>
      <c r="J115" s="4" t="s">
        <v>766</v>
      </c>
      <c r="K115" s="5"/>
      <c r="L115" s="4" t="s">
        <v>558</v>
      </c>
    </row>
    <row r="116" spans="1:12" ht="31" customHeight="1">
      <c r="A116" s="4" t="s">
        <v>172</v>
      </c>
      <c r="B116" s="4" t="s">
        <v>157</v>
      </c>
      <c r="C116" s="4" t="s">
        <v>44</v>
      </c>
      <c r="D116" s="6">
        <v>2</v>
      </c>
      <c r="E116" s="5"/>
      <c r="F116" s="5"/>
      <c r="G116" s="4" t="s">
        <v>174</v>
      </c>
      <c r="H116" s="4" t="s">
        <v>767</v>
      </c>
      <c r="I116" s="5"/>
      <c r="J116" s="4" t="s">
        <v>768</v>
      </c>
      <c r="K116" s="5"/>
      <c r="L116" s="4" t="s">
        <v>558</v>
      </c>
    </row>
    <row r="117" spans="1:12" ht="31" customHeight="1">
      <c r="A117" s="4" t="s">
        <v>172</v>
      </c>
      <c r="B117" s="4" t="s">
        <v>157</v>
      </c>
      <c r="C117" s="4" t="s">
        <v>45</v>
      </c>
      <c r="D117" s="6">
        <v>2</v>
      </c>
      <c r="E117" s="5"/>
      <c r="F117" s="5"/>
      <c r="G117" s="4" t="s">
        <v>174</v>
      </c>
      <c r="H117" s="4" t="s">
        <v>769</v>
      </c>
      <c r="I117" s="5"/>
      <c r="J117" s="4" t="s">
        <v>770</v>
      </c>
      <c r="K117" s="5"/>
      <c r="L117" s="4" t="s">
        <v>558</v>
      </c>
    </row>
    <row r="118" spans="1:12" ht="31" customHeight="1">
      <c r="A118" s="4" t="s">
        <v>172</v>
      </c>
      <c r="B118" s="4" t="s">
        <v>157</v>
      </c>
      <c r="C118" s="4" t="s">
        <v>46</v>
      </c>
      <c r="D118" s="6">
        <v>3</v>
      </c>
      <c r="E118" s="5"/>
      <c r="F118" s="5"/>
      <c r="G118" s="4" t="s">
        <v>174</v>
      </c>
      <c r="H118" s="4" t="s">
        <v>771</v>
      </c>
      <c r="I118" s="5"/>
      <c r="J118" s="4" t="s">
        <v>772</v>
      </c>
      <c r="K118" s="5"/>
      <c r="L118" s="4" t="s">
        <v>558</v>
      </c>
    </row>
    <row r="119" spans="1:12" ht="31" customHeight="1">
      <c r="A119" s="4" t="s">
        <v>172</v>
      </c>
      <c r="B119" s="4" t="s">
        <v>157</v>
      </c>
      <c r="C119" s="4" t="s">
        <v>47</v>
      </c>
      <c r="D119" s="6">
        <v>3</v>
      </c>
      <c r="E119" s="5"/>
      <c r="F119" s="5"/>
      <c r="G119" s="4" t="s">
        <v>174</v>
      </c>
      <c r="H119" s="4" t="s">
        <v>773</v>
      </c>
      <c r="I119" s="5"/>
      <c r="J119" s="4" t="s">
        <v>774</v>
      </c>
      <c r="K119" s="5"/>
      <c r="L119" s="4" t="s">
        <v>558</v>
      </c>
    </row>
    <row r="120" spans="1:12" ht="31" customHeight="1">
      <c r="A120" s="4" t="s">
        <v>172</v>
      </c>
      <c r="B120" s="4" t="s">
        <v>157</v>
      </c>
      <c r="C120" s="4" t="s">
        <v>48</v>
      </c>
      <c r="D120" s="6">
        <v>2</v>
      </c>
      <c r="E120" s="5"/>
      <c r="F120" s="5"/>
      <c r="G120" s="4" t="s">
        <v>174</v>
      </c>
      <c r="H120" s="4" t="s">
        <v>775</v>
      </c>
      <c r="I120" s="5"/>
      <c r="J120" s="4" t="s">
        <v>776</v>
      </c>
      <c r="K120" s="5"/>
      <c r="L120" s="4" t="s">
        <v>558</v>
      </c>
    </row>
    <row r="121" spans="1:12" ht="31" customHeight="1">
      <c r="A121" s="4" t="s">
        <v>172</v>
      </c>
      <c r="B121" s="4" t="s">
        <v>157</v>
      </c>
      <c r="C121" s="4" t="s">
        <v>49</v>
      </c>
      <c r="D121" s="6">
        <v>2</v>
      </c>
      <c r="E121" s="5"/>
      <c r="F121" s="5"/>
      <c r="G121" s="4" t="s">
        <v>174</v>
      </c>
      <c r="H121" s="4" t="s">
        <v>777</v>
      </c>
      <c r="I121" s="5"/>
      <c r="J121" s="4" t="s">
        <v>778</v>
      </c>
      <c r="K121" s="5"/>
      <c r="L121" s="4" t="s">
        <v>558</v>
      </c>
    </row>
    <row r="122" spans="1:12" ht="31" customHeight="1">
      <c r="A122" s="4" t="s">
        <v>177</v>
      </c>
      <c r="B122" s="4" t="s">
        <v>157</v>
      </c>
      <c r="C122" s="4" t="s">
        <v>40</v>
      </c>
      <c r="D122" s="6">
        <v>3</v>
      </c>
      <c r="E122" s="5"/>
      <c r="F122" s="5"/>
      <c r="G122" s="4" t="s">
        <v>178</v>
      </c>
      <c r="H122" s="4" t="s">
        <v>779</v>
      </c>
      <c r="I122" s="5"/>
      <c r="J122" s="4" t="s">
        <v>780</v>
      </c>
      <c r="K122" s="5"/>
      <c r="L122" s="4" t="s">
        <v>558</v>
      </c>
    </row>
    <row r="123" spans="1:12" ht="31" customHeight="1">
      <c r="A123" s="4" t="s">
        <v>177</v>
      </c>
      <c r="B123" s="4" t="s">
        <v>157</v>
      </c>
      <c r="C123" s="4" t="s">
        <v>41</v>
      </c>
      <c r="D123" s="6">
        <v>3</v>
      </c>
      <c r="E123" s="5"/>
      <c r="F123" s="5"/>
      <c r="G123" s="4" t="s">
        <v>178</v>
      </c>
      <c r="H123" s="4" t="s">
        <v>781</v>
      </c>
      <c r="I123" s="5"/>
      <c r="J123" s="4" t="s">
        <v>782</v>
      </c>
      <c r="K123" s="5"/>
      <c r="L123" s="4" t="s">
        <v>558</v>
      </c>
    </row>
    <row r="124" spans="1:12" ht="31" customHeight="1">
      <c r="A124" s="4" t="s">
        <v>177</v>
      </c>
      <c r="B124" s="4" t="s">
        <v>157</v>
      </c>
      <c r="C124" s="4" t="s">
        <v>42</v>
      </c>
      <c r="D124" s="6">
        <v>3</v>
      </c>
      <c r="E124" s="5"/>
      <c r="F124" s="5"/>
      <c r="G124" s="4" t="s">
        <v>178</v>
      </c>
      <c r="H124" s="4" t="s">
        <v>783</v>
      </c>
      <c r="I124" s="5"/>
      <c r="J124" s="4" t="s">
        <v>784</v>
      </c>
      <c r="K124" s="5"/>
      <c r="L124" s="4" t="s">
        <v>558</v>
      </c>
    </row>
    <row r="125" spans="1:12" ht="31" customHeight="1">
      <c r="A125" s="4" t="s">
        <v>177</v>
      </c>
      <c r="B125" s="4" t="s">
        <v>157</v>
      </c>
      <c r="C125" s="4" t="s">
        <v>43</v>
      </c>
      <c r="D125" s="6">
        <v>3</v>
      </c>
      <c r="E125" s="5"/>
      <c r="F125" s="5"/>
      <c r="G125" s="4" t="s">
        <v>178</v>
      </c>
      <c r="H125" s="4" t="s">
        <v>785</v>
      </c>
      <c r="I125" s="5"/>
      <c r="J125" s="4" t="s">
        <v>786</v>
      </c>
      <c r="K125" s="5"/>
      <c r="L125" s="4" t="s">
        <v>558</v>
      </c>
    </row>
    <row r="126" spans="1:12" ht="31" customHeight="1">
      <c r="A126" s="4" t="s">
        <v>177</v>
      </c>
      <c r="B126" s="4" t="s">
        <v>157</v>
      </c>
      <c r="C126" s="4" t="s">
        <v>44</v>
      </c>
      <c r="D126" s="6">
        <v>3</v>
      </c>
      <c r="E126" s="5"/>
      <c r="F126" s="5"/>
      <c r="G126" s="4" t="s">
        <v>178</v>
      </c>
      <c r="H126" s="4" t="s">
        <v>787</v>
      </c>
      <c r="I126" s="5"/>
      <c r="J126" s="4" t="s">
        <v>788</v>
      </c>
      <c r="K126" s="5"/>
      <c r="L126" s="4" t="s">
        <v>558</v>
      </c>
    </row>
    <row r="127" spans="1:12" ht="31" customHeight="1">
      <c r="A127" s="4" t="s">
        <v>177</v>
      </c>
      <c r="B127" s="4" t="s">
        <v>157</v>
      </c>
      <c r="C127" s="4" t="s">
        <v>45</v>
      </c>
      <c r="D127" s="6">
        <v>3</v>
      </c>
      <c r="E127" s="5"/>
      <c r="F127" s="5"/>
      <c r="G127" s="4" t="s">
        <v>178</v>
      </c>
      <c r="H127" s="4" t="s">
        <v>789</v>
      </c>
      <c r="I127" s="5"/>
      <c r="J127" s="4" t="s">
        <v>790</v>
      </c>
      <c r="K127" s="5"/>
      <c r="L127" s="4" t="s">
        <v>558</v>
      </c>
    </row>
    <row r="128" spans="1:12" ht="31" customHeight="1">
      <c r="A128" s="4" t="s">
        <v>177</v>
      </c>
      <c r="B128" s="4" t="s">
        <v>157</v>
      </c>
      <c r="C128" s="4" t="s">
        <v>46</v>
      </c>
      <c r="D128" s="6">
        <v>3</v>
      </c>
      <c r="E128" s="5"/>
      <c r="F128" s="5"/>
      <c r="G128" s="4" t="s">
        <v>178</v>
      </c>
      <c r="H128" s="4" t="s">
        <v>791</v>
      </c>
      <c r="I128" s="5"/>
      <c r="J128" s="4" t="s">
        <v>792</v>
      </c>
      <c r="K128" s="5"/>
      <c r="L128" s="4" t="s">
        <v>558</v>
      </c>
    </row>
    <row r="129" spans="1:12" ht="31" customHeight="1">
      <c r="A129" s="4" t="s">
        <v>177</v>
      </c>
      <c r="B129" s="4" t="s">
        <v>157</v>
      </c>
      <c r="C129" s="4" t="s">
        <v>47</v>
      </c>
      <c r="D129" s="6">
        <v>3</v>
      </c>
      <c r="E129" s="5"/>
      <c r="F129" s="5"/>
      <c r="G129" s="4" t="s">
        <v>178</v>
      </c>
      <c r="H129" s="4" t="s">
        <v>793</v>
      </c>
      <c r="I129" s="5"/>
      <c r="J129" s="4" t="s">
        <v>794</v>
      </c>
      <c r="K129" s="5"/>
      <c r="L129" s="4" t="s">
        <v>558</v>
      </c>
    </row>
    <row r="130" spans="1:12" ht="31" customHeight="1">
      <c r="A130" s="4" t="s">
        <v>177</v>
      </c>
      <c r="B130" s="4" t="s">
        <v>157</v>
      </c>
      <c r="C130" s="4" t="s">
        <v>48</v>
      </c>
      <c r="D130" s="6">
        <v>3</v>
      </c>
      <c r="E130" s="5"/>
      <c r="F130" s="5"/>
      <c r="G130" s="4" t="s">
        <v>178</v>
      </c>
      <c r="H130" s="4" t="s">
        <v>779</v>
      </c>
      <c r="I130" s="5"/>
      <c r="J130" s="4" t="s">
        <v>795</v>
      </c>
      <c r="K130" s="5"/>
      <c r="L130" s="4" t="s">
        <v>558</v>
      </c>
    </row>
    <row r="131" spans="1:12" ht="31" customHeight="1">
      <c r="A131" s="4" t="s">
        <v>177</v>
      </c>
      <c r="B131" s="4" t="s">
        <v>157</v>
      </c>
      <c r="C131" s="4" t="s">
        <v>49</v>
      </c>
      <c r="D131" s="6">
        <v>2</v>
      </c>
      <c r="E131" s="5"/>
      <c r="F131" s="5"/>
      <c r="G131" s="4" t="s">
        <v>178</v>
      </c>
      <c r="H131" s="4" t="s">
        <v>796</v>
      </c>
      <c r="I131" s="5"/>
      <c r="J131" s="4" t="s">
        <v>797</v>
      </c>
      <c r="K131" s="5"/>
      <c r="L131" s="4" t="s">
        <v>558</v>
      </c>
    </row>
    <row r="132" spans="1:12" ht="31" customHeight="1">
      <c r="A132" s="4" t="s">
        <v>181</v>
      </c>
      <c r="B132" s="4" t="s">
        <v>157</v>
      </c>
      <c r="C132" s="4" t="s">
        <v>40</v>
      </c>
      <c r="D132" s="6">
        <v>3</v>
      </c>
      <c r="E132" s="5"/>
      <c r="F132" s="5"/>
      <c r="G132" s="4" t="s">
        <v>182</v>
      </c>
      <c r="H132" s="4" t="s">
        <v>798</v>
      </c>
      <c r="I132" s="5"/>
      <c r="J132" s="4" t="s">
        <v>799</v>
      </c>
      <c r="K132" s="5"/>
      <c r="L132" s="4" t="s">
        <v>558</v>
      </c>
    </row>
    <row r="133" spans="1:12" ht="31" customHeight="1">
      <c r="A133" s="4" t="s">
        <v>181</v>
      </c>
      <c r="B133" s="4" t="s">
        <v>157</v>
      </c>
      <c r="C133" s="4" t="s">
        <v>41</v>
      </c>
      <c r="D133" s="6">
        <v>3</v>
      </c>
      <c r="E133" s="5"/>
      <c r="F133" s="5"/>
      <c r="G133" s="4" t="s">
        <v>182</v>
      </c>
      <c r="H133" s="4" t="s">
        <v>800</v>
      </c>
      <c r="I133" s="5"/>
      <c r="J133" s="4" t="s">
        <v>801</v>
      </c>
      <c r="K133" s="5"/>
      <c r="L133" s="4" t="s">
        <v>558</v>
      </c>
    </row>
    <row r="134" spans="1:12" ht="31" customHeight="1">
      <c r="A134" s="4" t="s">
        <v>181</v>
      </c>
      <c r="B134" s="4" t="s">
        <v>157</v>
      </c>
      <c r="C134" s="4" t="s">
        <v>42</v>
      </c>
      <c r="D134" s="6">
        <v>3</v>
      </c>
      <c r="E134" s="5"/>
      <c r="F134" s="5"/>
      <c r="G134" s="4" t="s">
        <v>182</v>
      </c>
      <c r="H134" s="4" t="s">
        <v>802</v>
      </c>
      <c r="I134" s="5"/>
      <c r="J134" s="4" t="s">
        <v>803</v>
      </c>
      <c r="K134" s="5"/>
      <c r="L134" s="4" t="s">
        <v>558</v>
      </c>
    </row>
    <row r="135" spans="1:12" ht="31" customHeight="1">
      <c r="A135" s="4" t="s">
        <v>181</v>
      </c>
      <c r="B135" s="4" t="s">
        <v>157</v>
      </c>
      <c r="C135" s="4" t="s">
        <v>43</v>
      </c>
      <c r="D135" s="6">
        <v>3</v>
      </c>
      <c r="E135" s="5"/>
      <c r="F135" s="5"/>
      <c r="G135" s="4" t="s">
        <v>182</v>
      </c>
      <c r="H135" s="4" t="s">
        <v>804</v>
      </c>
      <c r="I135" s="5"/>
      <c r="J135" s="4" t="s">
        <v>805</v>
      </c>
      <c r="K135" s="5"/>
      <c r="L135" s="4" t="s">
        <v>558</v>
      </c>
    </row>
    <row r="136" spans="1:12" ht="31" customHeight="1">
      <c r="A136" s="4" t="s">
        <v>181</v>
      </c>
      <c r="B136" s="4" t="s">
        <v>157</v>
      </c>
      <c r="C136" s="4" t="s">
        <v>44</v>
      </c>
      <c r="D136" s="6">
        <v>2</v>
      </c>
      <c r="E136" s="5"/>
      <c r="F136" s="5"/>
      <c r="G136" s="4" t="s">
        <v>182</v>
      </c>
      <c r="H136" s="4" t="s">
        <v>806</v>
      </c>
      <c r="I136" s="5"/>
      <c r="J136" s="4" t="s">
        <v>807</v>
      </c>
      <c r="K136" s="5"/>
      <c r="L136" s="4" t="s">
        <v>558</v>
      </c>
    </row>
    <row r="137" spans="1:12" ht="31" customHeight="1">
      <c r="A137" s="4" t="s">
        <v>181</v>
      </c>
      <c r="B137" s="4" t="s">
        <v>157</v>
      </c>
      <c r="C137" s="4" t="s">
        <v>45</v>
      </c>
      <c r="D137" s="6">
        <v>2</v>
      </c>
      <c r="E137" s="5"/>
      <c r="F137" s="5"/>
      <c r="G137" s="4" t="s">
        <v>182</v>
      </c>
      <c r="H137" s="4" t="s">
        <v>808</v>
      </c>
      <c r="I137" s="5"/>
      <c r="J137" s="4" t="s">
        <v>809</v>
      </c>
      <c r="K137" s="5"/>
      <c r="L137" s="4" t="s">
        <v>558</v>
      </c>
    </row>
    <row r="138" spans="1:12" ht="31" customHeight="1">
      <c r="A138" s="4" t="s">
        <v>181</v>
      </c>
      <c r="B138" s="4" t="s">
        <v>157</v>
      </c>
      <c r="C138" s="4" t="s">
        <v>46</v>
      </c>
      <c r="D138" s="6">
        <v>3</v>
      </c>
      <c r="E138" s="5"/>
      <c r="F138" s="5"/>
      <c r="G138" s="4" t="s">
        <v>182</v>
      </c>
      <c r="H138" s="4" t="s">
        <v>810</v>
      </c>
      <c r="I138" s="5"/>
      <c r="J138" s="4" t="s">
        <v>811</v>
      </c>
      <c r="K138" s="5"/>
      <c r="L138" s="4" t="s">
        <v>558</v>
      </c>
    </row>
    <row r="139" spans="1:12" ht="31" customHeight="1">
      <c r="A139" s="4" t="s">
        <v>181</v>
      </c>
      <c r="B139" s="4" t="s">
        <v>157</v>
      </c>
      <c r="C139" s="4" t="s">
        <v>47</v>
      </c>
      <c r="D139" s="6">
        <v>3</v>
      </c>
      <c r="E139" s="5"/>
      <c r="F139" s="5"/>
      <c r="G139" s="4" t="s">
        <v>182</v>
      </c>
      <c r="H139" s="4" t="s">
        <v>812</v>
      </c>
      <c r="I139" s="5"/>
      <c r="J139" s="4" t="s">
        <v>813</v>
      </c>
      <c r="K139" s="5"/>
      <c r="L139" s="4" t="s">
        <v>558</v>
      </c>
    </row>
    <row r="140" spans="1:12" ht="31" customHeight="1">
      <c r="A140" s="4" t="s">
        <v>181</v>
      </c>
      <c r="B140" s="4" t="s">
        <v>157</v>
      </c>
      <c r="C140" s="4" t="s">
        <v>48</v>
      </c>
      <c r="D140" s="6">
        <v>3</v>
      </c>
      <c r="E140" s="5"/>
      <c r="F140" s="5"/>
      <c r="G140" s="4" t="s">
        <v>182</v>
      </c>
      <c r="H140" s="4" t="s">
        <v>814</v>
      </c>
      <c r="I140" s="5"/>
      <c r="J140" s="4" t="s">
        <v>815</v>
      </c>
      <c r="K140" s="5"/>
      <c r="L140" s="4" t="s">
        <v>558</v>
      </c>
    </row>
    <row r="141" spans="1:12" ht="31" customHeight="1">
      <c r="A141" s="4" t="s">
        <v>181</v>
      </c>
      <c r="B141" s="4" t="s">
        <v>157</v>
      </c>
      <c r="C141" s="4" t="s">
        <v>49</v>
      </c>
      <c r="D141" s="6">
        <v>2</v>
      </c>
      <c r="E141" s="5"/>
      <c r="F141" s="5"/>
      <c r="G141" s="4" t="s">
        <v>182</v>
      </c>
      <c r="H141" s="4" t="s">
        <v>816</v>
      </c>
      <c r="I141" s="5"/>
      <c r="J141" s="4" t="s">
        <v>817</v>
      </c>
      <c r="K141" s="5"/>
      <c r="L141" s="4" t="s">
        <v>558</v>
      </c>
    </row>
    <row r="142" spans="1:12" ht="31" customHeight="1">
      <c r="A142" s="4" t="s">
        <v>184</v>
      </c>
      <c r="B142" s="4" t="s">
        <v>157</v>
      </c>
      <c r="C142" s="4" t="s">
        <v>40</v>
      </c>
      <c r="D142" s="6">
        <v>3</v>
      </c>
      <c r="E142" s="5"/>
      <c r="F142" s="5"/>
      <c r="G142" s="4" t="s">
        <v>818</v>
      </c>
      <c r="H142" s="4" t="s">
        <v>819</v>
      </c>
      <c r="I142" s="5"/>
      <c r="J142" s="4" t="s">
        <v>820</v>
      </c>
      <c r="K142" s="5"/>
      <c r="L142" s="4" t="s">
        <v>558</v>
      </c>
    </row>
    <row r="143" spans="1:12" ht="31" customHeight="1">
      <c r="A143" s="4" t="s">
        <v>184</v>
      </c>
      <c r="B143" s="4" t="s">
        <v>157</v>
      </c>
      <c r="C143" s="4" t="s">
        <v>41</v>
      </c>
      <c r="D143" s="6">
        <v>1</v>
      </c>
      <c r="E143" s="5"/>
      <c r="F143" s="5"/>
      <c r="G143" s="4" t="s">
        <v>818</v>
      </c>
      <c r="H143" s="4" t="s">
        <v>821</v>
      </c>
      <c r="I143" s="5"/>
      <c r="J143" s="4" t="s">
        <v>822</v>
      </c>
      <c r="K143" s="5"/>
      <c r="L143" s="4" t="s">
        <v>558</v>
      </c>
    </row>
    <row r="144" spans="1:12" ht="31" customHeight="1">
      <c r="A144" s="4" t="s">
        <v>184</v>
      </c>
      <c r="B144" s="4" t="s">
        <v>157</v>
      </c>
      <c r="C144" s="4" t="s">
        <v>42</v>
      </c>
      <c r="D144" s="6">
        <v>3</v>
      </c>
      <c r="E144" s="5"/>
      <c r="F144" s="5"/>
      <c r="G144" s="4" t="s">
        <v>818</v>
      </c>
      <c r="H144" s="4" t="s">
        <v>823</v>
      </c>
      <c r="I144" s="5"/>
      <c r="J144" s="4" t="s">
        <v>824</v>
      </c>
      <c r="K144" s="5"/>
      <c r="L144" s="4" t="s">
        <v>558</v>
      </c>
    </row>
    <row r="145" spans="1:12" ht="31" customHeight="1">
      <c r="A145" s="4" t="s">
        <v>184</v>
      </c>
      <c r="B145" s="4" t="s">
        <v>157</v>
      </c>
      <c r="C145" s="4" t="s">
        <v>43</v>
      </c>
      <c r="D145" s="6">
        <v>3</v>
      </c>
      <c r="E145" s="5"/>
      <c r="F145" s="5"/>
      <c r="G145" s="4" t="s">
        <v>818</v>
      </c>
      <c r="H145" s="4" t="s">
        <v>825</v>
      </c>
      <c r="I145" s="5"/>
      <c r="J145" s="4" t="s">
        <v>826</v>
      </c>
      <c r="K145" s="5"/>
      <c r="L145" s="4" t="s">
        <v>558</v>
      </c>
    </row>
    <row r="146" spans="1:12" ht="31" customHeight="1">
      <c r="A146" s="4" t="s">
        <v>184</v>
      </c>
      <c r="B146" s="4" t="s">
        <v>157</v>
      </c>
      <c r="C146" s="4" t="s">
        <v>44</v>
      </c>
      <c r="D146" s="6">
        <v>1</v>
      </c>
      <c r="E146" s="5"/>
      <c r="F146" s="5"/>
      <c r="G146" s="4" t="s">
        <v>818</v>
      </c>
      <c r="H146" s="4" t="s">
        <v>827</v>
      </c>
      <c r="I146" s="5"/>
      <c r="J146" s="4" t="s">
        <v>828</v>
      </c>
      <c r="K146" s="5"/>
      <c r="L146" s="4" t="s">
        <v>558</v>
      </c>
    </row>
    <row r="147" spans="1:12" ht="31" customHeight="1">
      <c r="A147" s="4" t="s">
        <v>184</v>
      </c>
      <c r="B147" s="4" t="s">
        <v>157</v>
      </c>
      <c r="C147" s="4" t="s">
        <v>45</v>
      </c>
      <c r="D147" s="6">
        <v>2</v>
      </c>
      <c r="E147" s="5"/>
      <c r="F147" s="5"/>
      <c r="G147" s="4" t="s">
        <v>818</v>
      </c>
      <c r="H147" s="4" t="s">
        <v>829</v>
      </c>
      <c r="I147" s="5"/>
      <c r="J147" s="4" t="s">
        <v>830</v>
      </c>
      <c r="K147" s="5"/>
      <c r="L147" s="4" t="s">
        <v>558</v>
      </c>
    </row>
    <row r="148" spans="1:12" ht="31" customHeight="1">
      <c r="A148" s="4" t="s">
        <v>184</v>
      </c>
      <c r="B148" s="4" t="s">
        <v>157</v>
      </c>
      <c r="C148" s="4" t="s">
        <v>46</v>
      </c>
      <c r="D148" s="6">
        <v>0</v>
      </c>
      <c r="E148" s="5"/>
      <c r="F148" s="5"/>
      <c r="G148" s="4" t="s">
        <v>831</v>
      </c>
      <c r="H148" s="4" t="s">
        <v>732</v>
      </c>
      <c r="I148" s="5"/>
      <c r="J148" s="4" t="s">
        <v>733</v>
      </c>
      <c r="K148" s="5"/>
      <c r="L148" s="4" t="s">
        <v>558</v>
      </c>
    </row>
    <row r="149" spans="1:12" ht="31" customHeight="1">
      <c r="A149" s="4" t="s">
        <v>184</v>
      </c>
      <c r="B149" s="4" t="s">
        <v>157</v>
      </c>
      <c r="C149" s="4" t="s">
        <v>47</v>
      </c>
      <c r="D149" s="6">
        <v>3</v>
      </c>
      <c r="E149" s="5"/>
      <c r="F149" s="5"/>
      <c r="G149" s="4" t="s">
        <v>818</v>
      </c>
      <c r="H149" s="4" t="s">
        <v>829</v>
      </c>
      <c r="I149" s="5"/>
      <c r="J149" s="4" t="s">
        <v>832</v>
      </c>
      <c r="K149" s="5"/>
      <c r="L149" s="4" t="s">
        <v>558</v>
      </c>
    </row>
    <row r="150" spans="1:12" ht="31" customHeight="1">
      <c r="A150" s="4" t="s">
        <v>184</v>
      </c>
      <c r="B150" s="4" t="s">
        <v>157</v>
      </c>
      <c r="C150" s="4" t="s">
        <v>48</v>
      </c>
      <c r="D150" s="6">
        <v>3</v>
      </c>
      <c r="E150" s="5"/>
      <c r="F150" s="5"/>
      <c r="G150" s="4" t="s">
        <v>818</v>
      </c>
      <c r="H150" s="4" t="s">
        <v>833</v>
      </c>
      <c r="I150" s="5"/>
      <c r="J150" s="4" t="s">
        <v>834</v>
      </c>
      <c r="K150" s="5"/>
      <c r="L150" s="4" t="s">
        <v>558</v>
      </c>
    </row>
    <row r="151" spans="1:12" ht="31" customHeight="1">
      <c r="A151" s="4" t="s">
        <v>184</v>
      </c>
      <c r="B151" s="4" t="s">
        <v>157</v>
      </c>
      <c r="C151" s="4" t="s">
        <v>49</v>
      </c>
      <c r="D151" s="6">
        <v>2</v>
      </c>
      <c r="E151" s="5"/>
      <c r="F151" s="5"/>
      <c r="G151" s="4" t="s">
        <v>818</v>
      </c>
      <c r="H151" s="4" t="s">
        <v>835</v>
      </c>
      <c r="I151" s="5"/>
      <c r="J151" s="4" t="s">
        <v>836</v>
      </c>
      <c r="K151" s="5"/>
      <c r="L151" s="4" t="s">
        <v>558</v>
      </c>
    </row>
    <row r="152" spans="1:12" ht="31" customHeight="1">
      <c r="A152" s="4" t="s">
        <v>187</v>
      </c>
      <c r="B152" s="4" t="s">
        <v>157</v>
      </c>
      <c r="C152" s="4" t="s">
        <v>40</v>
      </c>
      <c r="D152" s="6">
        <v>3</v>
      </c>
      <c r="E152" s="5"/>
      <c r="F152" s="5"/>
      <c r="G152" s="4" t="s">
        <v>837</v>
      </c>
      <c r="H152" s="4" t="s">
        <v>838</v>
      </c>
      <c r="I152" s="5"/>
      <c r="J152" s="4" t="s">
        <v>839</v>
      </c>
      <c r="K152" s="5"/>
      <c r="L152" s="4" t="s">
        <v>558</v>
      </c>
    </row>
    <row r="153" spans="1:12" ht="31" customHeight="1">
      <c r="A153" s="4" t="s">
        <v>187</v>
      </c>
      <c r="B153" s="4" t="s">
        <v>157</v>
      </c>
      <c r="C153" s="4" t="s">
        <v>41</v>
      </c>
      <c r="D153" s="6">
        <v>2</v>
      </c>
      <c r="E153" s="5"/>
      <c r="F153" s="5"/>
      <c r="G153" s="4" t="s">
        <v>837</v>
      </c>
      <c r="H153" s="4" t="s">
        <v>840</v>
      </c>
      <c r="I153" s="5"/>
      <c r="J153" s="4" t="s">
        <v>841</v>
      </c>
      <c r="K153" s="5"/>
      <c r="L153" s="4" t="s">
        <v>558</v>
      </c>
    </row>
    <row r="154" spans="1:12" ht="31" customHeight="1">
      <c r="A154" s="4" t="s">
        <v>187</v>
      </c>
      <c r="B154" s="4" t="s">
        <v>157</v>
      </c>
      <c r="C154" s="4" t="s">
        <v>42</v>
      </c>
      <c r="D154" s="6">
        <v>3</v>
      </c>
      <c r="E154" s="5"/>
      <c r="F154" s="5"/>
      <c r="G154" s="4" t="s">
        <v>837</v>
      </c>
      <c r="H154" s="4" t="s">
        <v>842</v>
      </c>
      <c r="I154" s="5"/>
      <c r="J154" s="4" t="s">
        <v>843</v>
      </c>
      <c r="K154" s="5"/>
      <c r="L154" s="4" t="s">
        <v>558</v>
      </c>
    </row>
    <row r="155" spans="1:12" ht="31" customHeight="1">
      <c r="A155" s="4" t="s">
        <v>187</v>
      </c>
      <c r="B155" s="4" t="s">
        <v>157</v>
      </c>
      <c r="C155" s="4" t="s">
        <v>43</v>
      </c>
      <c r="D155" s="6">
        <v>3</v>
      </c>
      <c r="E155" s="5"/>
      <c r="F155" s="5"/>
      <c r="G155" s="4" t="s">
        <v>837</v>
      </c>
      <c r="H155" s="4" t="s">
        <v>844</v>
      </c>
      <c r="I155" s="5"/>
      <c r="J155" s="4" t="s">
        <v>845</v>
      </c>
      <c r="K155" s="5"/>
      <c r="L155" s="4" t="s">
        <v>558</v>
      </c>
    </row>
    <row r="156" spans="1:12" ht="31" customHeight="1">
      <c r="A156" s="4" t="s">
        <v>187</v>
      </c>
      <c r="B156" s="4" t="s">
        <v>157</v>
      </c>
      <c r="C156" s="4" t="s">
        <v>44</v>
      </c>
      <c r="D156" s="6">
        <v>1</v>
      </c>
      <c r="E156" s="5"/>
      <c r="F156" s="5"/>
      <c r="G156" s="4" t="s">
        <v>837</v>
      </c>
      <c r="H156" s="4" t="s">
        <v>846</v>
      </c>
      <c r="I156" s="5"/>
      <c r="J156" s="4" t="s">
        <v>847</v>
      </c>
      <c r="K156" s="5"/>
      <c r="L156" s="4" t="s">
        <v>558</v>
      </c>
    </row>
    <row r="157" spans="1:12" ht="31" customHeight="1">
      <c r="A157" s="4" t="s">
        <v>187</v>
      </c>
      <c r="B157" s="4" t="s">
        <v>157</v>
      </c>
      <c r="C157" s="4" t="s">
        <v>45</v>
      </c>
      <c r="D157" s="6">
        <v>2</v>
      </c>
      <c r="E157" s="5"/>
      <c r="F157" s="5"/>
      <c r="G157" s="4" t="s">
        <v>837</v>
      </c>
      <c r="H157" s="4" t="s">
        <v>848</v>
      </c>
      <c r="I157" s="5"/>
      <c r="J157" s="4" t="s">
        <v>849</v>
      </c>
      <c r="K157" s="5"/>
      <c r="L157" s="4" t="s">
        <v>558</v>
      </c>
    </row>
    <row r="158" spans="1:12" ht="31" customHeight="1">
      <c r="A158" s="4" t="s">
        <v>187</v>
      </c>
      <c r="B158" s="4" t="s">
        <v>157</v>
      </c>
      <c r="C158" s="4" t="s">
        <v>46</v>
      </c>
      <c r="D158" s="6">
        <v>0</v>
      </c>
      <c r="E158" s="5"/>
      <c r="F158" s="5"/>
      <c r="G158" s="4" t="s">
        <v>850</v>
      </c>
      <c r="H158" s="4" t="s">
        <v>732</v>
      </c>
      <c r="I158" s="5"/>
      <c r="J158" s="4" t="s">
        <v>733</v>
      </c>
      <c r="K158" s="5"/>
      <c r="L158" s="4" t="s">
        <v>558</v>
      </c>
    </row>
    <row r="159" spans="1:12" ht="31" customHeight="1">
      <c r="A159" s="4" t="s">
        <v>187</v>
      </c>
      <c r="B159" s="4" t="s">
        <v>157</v>
      </c>
      <c r="C159" s="4" t="s">
        <v>47</v>
      </c>
      <c r="D159" s="6">
        <v>2</v>
      </c>
      <c r="E159" s="5"/>
      <c r="F159" s="5"/>
      <c r="G159" s="4" t="s">
        <v>837</v>
      </c>
      <c r="H159" s="4" t="s">
        <v>851</v>
      </c>
      <c r="I159" s="5"/>
      <c r="J159" s="4" t="s">
        <v>852</v>
      </c>
      <c r="K159" s="5"/>
      <c r="L159" s="4" t="s">
        <v>558</v>
      </c>
    </row>
    <row r="160" spans="1:12" ht="31" customHeight="1">
      <c r="A160" s="4" t="s">
        <v>187</v>
      </c>
      <c r="B160" s="4" t="s">
        <v>157</v>
      </c>
      <c r="C160" s="4" t="s">
        <v>48</v>
      </c>
      <c r="D160" s="6">
        <v>3</v>
      </c>
      <c r="E160" s="5"/>
      <c r="F160" s="5"/>
      <c r="G160" s="4" t="s">
        <v>837</v>
      </c>
      <c r="H160" s="4" t="s">
        <v>853</v>
      </c>
      <c r="I160" s="5"/>
      <c r="J160" s="4" t="s">
        <v>854</v>
      </c>
      <c r="K160" s="5"/>
      <c r="L160" s="4" t="s">
        <v>558</v>
      </c>
    </row>
    <row r="161" spans="1:12" ht="31" customHeight="1">
      <c r="A161" s="4" t="s">
        <v>187</v>
      </c>
      <c r="B161" s="4" t="s">
        <v>157</v>
      </c>
      <c r="C161" s="4" t="s">
        <v>49</v>
      </c>
      <c r="D161" s="6">
        <v>2</v>
      </c>
      <c r="E161" s="5"/>
      <c r="F161" s="5"/>
      <c r="G161" s="4" t="s">
        <v>837</v>
      </c>
      <c r="H161" s="4" t="s">
        <v>855</v>
      </c>
      <c r="I161" s="5"/>
      <c r="J161" s="4" t="s">
        <v>856</v>
      </c>
      <c r="K161" s="5"/>
      <c r="L161" s="4" t="s">
        <v>558</v>
      </c>
    </row>
    <row r="162" spans="1:12" ht="31" customHeight="1">
      <c r="A162" s="4" t="s">
        <v>345</v>
      </c>
      <c r="B162" s="4" t="s">
        <v>346</v>
      </c>
      <c r="C162" s="4" t="s">
        <v>40</v>
      </c>
      <c r="D162" s="6">
        <v>0</v>
      </c>
      <c r="E162" s="4" t="s">
        <v>347</v>
      </c>
      <c r="F162" s="4" t="s">
        <v>173</v>
      </c>
      <c r="G162" s="5"/>
      <c r="H162" s="5"/>
      <c r="I162" s="5"/>
      <c r="J162" s="4" t="s">
        <v>857</v>
      </c>
      <c r="K162" s="5"/>
      <c r="L162" s="4" t="s">
        <v>558</v>
      </c>
    </row>
    <row r="163" spans="1:12" ht="31" customHeight="1">
      <c r="A163" s="4" t="s">
        <v>345</v>
      </c>
      <c r="B163" s="4" t="s">
        <v>346</v>
      </c>
      <c r="C163" s="4" t="s">
        <v>41</v>
      </c>
      <c r="D163" s="6">
        <v>0</v>
      </c>
      <c r="E163" s="4" t="s">
        <v>347</v>
      </c>
      <c r="F163" s="4" t="s">
        <v>173</v>
      </c>
      <c r="G163" s="5"/>
      <c r="H163" s="5"/>
      <c r="I163" s="5"/>
      <c r="J163" s="4" t="s">
        <v>858</v>
      </c>
      <c r="K163" s="5"/>
      <c r="L163" s="4" t="s">
        <v>558</v>
      </c>
    </row>
    <row r="164" spans="1:12" ht="31" customHeight="1">
      <c r="A164" s="4" t="s">
        <v>345</v>
      </c>
      <c r="B164" s="4" t="s">
        <v>346</v>
      </c>
      <c r="C164" s="4" t="s">
        <v>42</v>
      </c>
      <c r="D164" s="6">
        <v>0</v>
      </c>
      <c r="E164" s="4" t="s">
        <v>347</v>
      </c>
      <c r="F164" s="4" t="s">
        <v>173</v>
      </c>
      <c r="G164" s="5"/>
      <c r="H164" s="5"/>
      <c r="I164" s="5"/>
      <c r="J164" s="4" t="s">
        <v>859</v>
      </c>
      <c r="K164" s="5"/>
      <c r="L164" s="4" t="s">
        <v>558</v>
      </c>
    </row>
    <row r="165" spans="1:12" ht="31" customHeight="1">
      <c r="A165" s="4" t="s">
        <v>345</v>
      </c>
      <c r="B165" s="4" t="s">
        <v>346</v>
      </c>
      <c r="C165" s="4" t="s">
        <v>43</v>
      </c>
      <c r="D165" s="6">
        <v>1</v>
      </c>
      <c r="E165" s="4" t="s">
        <v>347</v>
      </c>
      <c r="F165" s="4" t="s">
        <v>173</v>
      </c>
      <c r="G165" s="5"/>
      <c r="H165" s="5"/>
      <c r="I165" s="5"/>
      <c r="J165" s="4" t="s">
        <v>860</v>
      </c>
      <c r="K165" s="5"/>
      <c r="L165" s="4" t="s">
        <v>558</v>
      </c>
    </row>
    <row r="166" spans="1:12" ht="31" customHeight="1">
      <c r="A166" s="4" t="s">
        <v>345</v>
      </c>
      <c r="B166" s="4" t="s">
        <v>346</v>
      </c>
      <c r="C166" s="4" t="s">
        <v>44</v>
      </c>
      <c r="D166" s="6">
        <v>2</v>
      </c>
      <c r="E166" s="4" t="s">
        <v>347</v>
      </c>
      <c r="F166" s="4" t="s">
        <v>173</v>
      </c>
      <c r="G166" s="5"/>
      <c r="H166" s="5"/>
      <c r="I166" s="5"/>
      <c r="J166" s="4" t="s">
        <v>861</v>
      </c>
      <c r="K166" s="5"/>
      <c r="L166" s="4" t="s">
        <v>558</v>
      </c>
    </row>
    <row r="167" spans="1:12" ht="31" customHeight="1">
      <c r="A167" s="4" t="s">
        <v>345</v>
      </c>
      <c r="B167" s="4" t="s">
        <v>346</v>
      </c>
      <c r="C167" s="4" t="s">
        <v>45</v>
      </c>
      <c r="D167" s="6">
        <v>0</v>
      </c>
      <c r="E167" s="4" t="s">
        <v>347</v>
      </c>
      <c r="F167" s="4" t="s">
        <v>173</v>
      </c>
      <c r="G167" s="5"/>
      <c r="H167" s="5"/>
      <c r="I167" s="5"/>
      <c r="J167" s="4" t="s">
        <v>862</v>
      </c>
      <c r="K167" s="5"/>
      <c r="L167" s="4" t="s">
        <v>558</v>
      </c>
    </row>
    <row r="168" spans="1:12" ht="31" customHeight="1">
      <c r="A168" s="4" t="s">
        <v>345</v>
      </c>
      <c r="B168" s="4" t="s">
        <v>346</v>
      </c>
      <c r="C168" s="4" t="s">
        <v>46</v>
      </c>
      <c r="D168" s="6">
        <v>0</v>
      </c>
      <c r="E168" s="4" t="s">
        <v>347</v>
      </c>
      <c r="F168" s="4" t="s">
        <v>173</v>
      </c>
      <c r="G168" s="5"/>
      <c r="H168" s="5"/>
      <c r="I168" s="5"/>
      <c r="J168" s="4" t="s">
        <v>863</v>
      </c>
      <c r="K168" s="5"/>
      <c r="L168" s="4" t="s">
        <v>558</v>
      </c>
    </row>
    <row r="169" spans="1:12" ht="31" customHeight="1">
      <c r="A169" s="4" t="s">
        <v>345</v>
      </c>
      <c r="B169" s="4" t="s">
        <v>346</v>
      </c>
      <c r="C169" s="4" t="s">
        <v>47</v>
      </c>
      <c r="D169" s="6">
        <v>0</v>
      </c>
      <c r="E169" s="4" t="s">
        <v>347</v>
      </c>
      <c r="F169" s="4" t="s">
        <v>173</v>
      </c>
      <c r="G169" s="5"/>
      <c r="H169" s="5"/>
      <c r="I169" s="5"/>
      <c r="J169" s="4" t="s">
        <v>864</v>
      </c>
      <c r="K169" s="5"/>
      <c r="L169" s="4" t="s">
        <v>558</v>
      </c>
    </row>
    <row r="170" spans="1:12" ht="31" customHeight="1">
      <c r="A170" s="4" t="s">
        <v>345</v>
      </c>
      <c r="B170" s="4" t="s">
        <v>346</v>
      </c>
      <c r="C170" s="4" t="s">
        <v>48</v>
      </c>
      <c r="D170" s="6">
        <v>1</v>
      </c>
      <c r="E170" s="4" t="s">
        <v>347</v>
      </c>
      <c r="F170" s="4" t="s">
        <v>173</v>
      </c>
      <c r="G170" s="5"/>
      <c r="H170" s="5"/>
      <c r="I170" s="5"/>
      <c r="J170" s="4" t="s">
        <v>865</v>
      </c>
      <c r="K170" s="5"/>
      <c r="L170" s="4" t="s">
        <v>558</v>
      </c>
    </row>
    <row r="171" spans="1:12" ht="31" customHeight="1">
      <c r="A171" s="4" t="s">
        <v>345</v>
      </c>
      <c r="B171" s="4" t="s">
        <v>346</v>
      </c>
      <c r="C171" s="4" t="s">
        <v>49</v>
      </c>
      <c r="D171" s="6">
        <v>2</v>
      </c>
      <c r="E171" s="4" t="s">
        <v>347</v>
      </c>
      <c r="F171" s="4" t="s">
        <v>173</v>
      </c>
      <c r="G171" s="5"/>
      <c r="H171" s="5"/>
      <c r="I171" s="5"/>
      <c r="J171" s="4" t="s">
        <v>866</v>
      </c>
      <c r="K171" s="5"/>
      <c r="L171" s="4" t="s">
        <v>558</v>
      </c>
    </row>
    <row r="172" spans="1:12" ht="31" customHeight="1">
      <c r="A172" s="4" t="s">
        <v>345</v>
      </c>
      <c r="B172" s="4" t="s">
        <v>346</v>
      </c>
      <c r="C172" s="4" t="s">
        <v>40</v>
      </c>
      <c r="D172" s="6">
        <v>1</v>
      </c>
      <c r="E172" s="4" t="s">
        <v>867</v>
      </c>
      <c r="F172" s="4" t="s">
        <v>173</v>
      </c>
      <c r="G172" s="5"/>
      <c r="H172" s="5"/>
      <c r="I172" s="5"/>
      <c r="J172" s="4" t="s">
        <v>868</v>
      </c>
      <c r="K172" s="5"/>
      <c r="L172" s="4" t="s">
        <v>558</v>
      </c>
    </row>
    <row r="173" spans="1:12" ht="31" customHeight="1">
      <c r="A173" s="4" t="s">
        <v>345</v>
      </c>
      <c r="B173" s="4" t="s">
        <v>346</v>
      </c>
      <c r="C173" s="4" t="s">
        <v>41</v>
      </c>
      <c r="D173" s="6">
        <v>1</v>
      </c>
      <c r="E173" s="4" t="s">
        <v>867</v>
      </c>
      <c r="F173" s="4" t="s">
        <v>173</v>
      </c>
      <c r="G173" s="5"/>
      <c r="H173" s="5"/>
      <c r="I173" s="5"/>
      <c r="J173" s="4" t="s">
        <v>869</v>
      </c>
      <c r="K173" s="5"/>
      <c r="L173" s="4" t="s">
        <v>558</v>
      </c>
    </row>
    <row r="174" spans="1:12" ht="31" customHeight="1">
      <c r="A174" s="4" t="s">
        <v>345</v>
      </c>
      <c r="B174" s="4" t="s">
        <v>346</v>
      </c>
      <c r="C174" s="4" t="s">
        <v>42</v>
      </c>
      <c r="D174" s="6">
        <v>0</v>
      </c>
      <c r="E174" s="4" t="s">
        <v>867</v>
      </c>
      <c r="F174" s="4" t="s">
        <v>173</v>
      </c>
      <c r="G174" s="5"/>
      <c r="H174" s="5"/>
      <c r="I174" s="5"/>
      <c r="J174" s="4" t="s">
        <v>870</v>
      </c>
      <c r="K174" s="5"/>
      <c r="L174" s="4" t="s">
        <v>558</v>
      </c>
    </row>
    <row r="175" spans="1:12" ht="31" customHeight="1">
      <c r="A175" s="4" t="s">
        <v>345</v>
      </c>
      <c r="B175" s="4" t="s">
        <v>346</v>
      </c>
      <c r="C175" s="4" t="s">
        <v>43</v>
      </c>
      <c r="D175" s="6">
        <v>1</v>
      </c>
      <c r="E175" s="4" t="s">
        <v>867</v>
      </c>
      <c r="F175" s="4" t="s">
        <v>173</v>
      </c>
      <c r="G175" s="5"/>
      <c r="H175" s="5"/>
      <c r="I175" s="5"/>
      <c r="J175" s="4" t="s">
        <v>871</v>
      </c>
      <c r="K175" s="5"/>
      <c r="L175" s="4" t="s">
        <v>558</v>
      </c>
    </row>
    <row r="176" spans="1:12" ht="31" customHeight="1">
      <c r="A176" s="4" t="s">
        <v>345</v>
      </c>
      <c r="B176" s="4" t="s">
        <v>346</v>
      </c>
      <c r="C176" s="4" t="s">
        <v>44</v>
      </c>
      <c r="D176" s="6">
        <v>2</v>
      </c>
      <c r="E176" s="4" t="s">
        <v>867</v>
      </c>
      <c r="F176" s="4" t="s">
        <v>173</v>
      </c>
      <c r="G176" s="5"/>
      <c r="H176" s="5"/>
      <c r="I176" s="5"/>
      <c r="J176" s="4" t="s">
        <v>872</v>
      </c>
      <c r="K176" s="5"/>
      <c r="L176" s="4" t="s">
        <v>558</v>
      </c>
    </row>
    <row r="177" spans="1:12" ht="31" customHeight="1">
      <c r="A177" s="4" t="s">
        <v>345</v>
      </c>
      <c r="B177" s="4" t="s">
        <v>346</v>
      </c>
      <c r="C177" s="4" t="s">
        <v>45</v>
      </c>
      <c r="D177" s="6">
        <v>0</v>
      </c>
      <c r="E177" s="4" t="s">
        <v>867</v>
      </c>
      <c r="F177" s="4" t="s">
        <v>173</v>
      </c>
      <c r="G177" s="5"/>
      <c r="H177" s="5"/>
      <c r="I177" s="5"/>
      <c r="J177" s="4" t="s">
        <v>873</v>
      </c>
      <c r="K177" s="5"/>
      <c r="L177" s="4" t="s">
        <v>558</v>
      </c>
    </row>
    <row r="178" spans="1:12" ht="31" customHeight="1">
      <c r="A178" s="4" t="s">
        <v>345</v>
      </c>
      <c r="B178" s="4" t="s">
        <v>346</v>
      </c>
      <c r="C178" s="4" t="s">
        <v>46</v>
      </c>
      <c r="D178" s="6">
        <v>0</v>
      </c>
      <c r="E178" s="4" t="s">
        <v>867</v>
      </c>
      <c r="F178" s="4" t="s">
        <v>173</v>
      </c>
      <c r="G178" s="5"/>
      <c r="H178" s="5"/>
      <c r="I178" s="5"/>
      <c r="J178" s="4" t="s">
        <v>874</v>
      </c>
      <c r="K178" s="5"/>
      <c r="L178" s="4" t="s">
        <v>558</v>
      </c>
    </row>
    <row r="179" spans="1:12" ht="31" customHeight="1">
      <c r="A179" s="4" t="s">
        <v>345</v>
      </c>
      <c r="B179" s="4" t="s">
        <v>346</v>
      </c>
      <c r="C179" s="4" t="s">
        <v>47</v>
      </c>
      <c r="D179" s="6">
        <v>0</v>
      </c>
      <c r="E179" s="4" t="s">
        <v>867</v>
      </c>
      <c r="F179" s="4" t="s">
        <v>173</v>
      </c>
      <c r="G179" s="5"/>
      <c r="H179" s="5"/>
      <c r="I179" s="5"/>
      <c r="J179" s="4" t="s">
        <v>875</v>
      </c>
      <c r="K179" s="5"/>
      <c r="L179" s="4" t="s">
        <v>558</v>
      </c>
    </row>
    <row r="180" spans="1:12" ht="31" customHeight="1">
      <c r="A180" s="4" t="s">
        <v>345</v>
      </c>
      <c r="B180" s="4" t="s">
        <v>346</v>
      </c>
      <c r="C180" s="4" t="s">
        <v>48</v>
      </c>
      <c r="D180" s="6">
        <v>1</v>
      </c>
      <c r="E180" s="4" t="s">
        <v>867</v>
      </c>
      <c r="F180" s="4" t="s">
        <v>173</v>
      </c>
      <c r="G180" s="5"/>
      <c r="H180" s="5"/>
      <c r="I180" s="5"/>
      <c r="J180" s="4" t="s">
        <v>876</v>
      </c>
      <c r="K180" s="5"/>
      <c r="L180" s="4" t="s">
        <v>558</v>
      </c>
    </row>
    <row r="181" spans="1:12" ht="31" customHeight="1">
      <c r="A181" s="4" t="s">
        <v>345</v>
      </c>
      <c r="B181" s="4" t="s">
        <v>346</v>
      </c>
      <c r="C181" s="4" t="s">
        <v>49</v>
      </c>
      <c r="D181" s="6">
        <v>2</v>
      </c>
      <c r="E181" s="4" t="s">
        <v>867</v>
      </c>
      <c r="F181" s="4" t="s">
        <v>173</v>
      </c>
      <c r="G181" s="5"/>
      <c r="H181" s="5"/>
      <c r="I181" s="5"/>
      <c r="J181" s="4" t="s">
        <v>877</v>
      </c>
      <c r="K181" s="5"/>
      <c r="L181" s="4" t="s">
        <v>558</v>
      </c>
    </row>
    <row r="182" spans="1:12" ht="31" customHeight="1">
      <c r="A182" s="4" t="s">
        <v>354</v>
      </c>
      <c r="B182" s="4" t="s">
        <v>346</v>
      </c>
      <c r="C182" s="4" t="s">
        <v>40</v>
      </c>
      <c r="D182" s="6">
        <v>3</v>
      </c>
      <c r="E182" s="4" t="s">
        <v>347</v>
      </c>
      <c r="F182" s="4" t="s">
        <v>158</v>
      </c>
      <c r="G182" s="5"/>
      <c r="H182" s="5"/>
      <c r="I182" s="5"/>
      <c r="J182" s="4" t="s">
        <v>878</v>
      </c>
      <c r="K182" s="5"/>
      <c r="L182" s="4" t="s">
        <v>558</v>
      </c>
    </row>
    <row r="183" spans="1:12" ht="31" customHeight="1">
      <c r="A183" s="4" t="s">
        <v>354</v>
      </c>
      <c r="B183" s="4" t="s">
        <v>346</v>
      </c>
      <c r="C183" s="4" t="s">
        <v>41</v>
      </c>
      <c r="D183" s="6">
        <v>1</v>
      </c>
      <c r="E183" s="4" t="s">
        <v>347</v>
      </c>
      <c r="F183" s="4" t="s">
        <v>158</v>
      </c>
      <c r="G183" s="5"/>
      <c r="H183" s="5"/>
      <c r="I183" s="5"/>
      <c r="J183" s="4" t="s">
        <v>879</v>
      </c>
      <c r="K183" s="5"/>
      <c r="L183" s="4" t="s">
        <v>558</v>
      </c>
    </row>
    <row r="184" spans="1:12" ht="31" customHeight="1">
      <c r="A184" s="4" t="s">
        <v>354</v>
      </c>
      <c r="B184" s="4" t="s">
        <v>346</v>
      </c>
      <c r="C184" s="4" t="s">
        <v>42</v>
      </c>
      <c r="D184" s="6">
        <v>2</v>
      </c>
      <c r="E184" s="4" t="s">
        <v>347</v>
      </c>
      <c r="F184" s="4" t="s">
        <v>158</v>
      </c>
      <c r="G184" s="5"/>
      <c r="H184" s="5"/>
      <c r="I184" s="5"/>
      <c r="J184" s="4" t="s">
        <v>880</v>
      </c>
      <c r="K184" s="5"/>
      <c r="L184" s="4" t="s">
        <v>558</v>
      </c>
    </row>
    <row r="185" spans="1:12" ht="31" customHeight="1">
      <c r="A185" s="4" t="s">
        <v>354</v>
      </c>
      <c r="B185" s="4" t="s">
        <v>346</v>
      </c>
      <c r="C185" s="4" t="s">
        <v>43</v>
      </c>
      <c r="D185" s="6">
        <v>2</v>
      </c>
      <c r="E185" s="4" t="s">
        <v>347</v>
      </c>
      <c r="F185" s="4" t="s">
        <v>158</v>
      </c>
      <c r="G185" s="5"/>
      <c r="H185" s="5"/>
      <c r="I185" s="5"/>
      <c r="J185" s="4" t="s">
        <v>881</v>
      </c>
      <c r="K185" s="5"/>
      <c r="L185" s="4" t="s">
        <v>558</v>
      </c>
    </row>
    <row r="186" spans="1:12" ht="31" customHeight="1">
      <c r="A186" s="4" t="s">
        <v>354</v>
      </c>
      <c r="B186" s="4" t="s">
        <v>346</v>
      </c>
      <c r="C186" s="4" t="s">
        <v>44</v>
      </c>
      <c r="D186" s="6">
        <v>2</v>
      </c>
      <c r="E186" s="4" t="s">
        <v>347</v>
      </c>
      <c r="F186" s="4" t="s">
        <v>158</v>
      </c>
      <c r="G186" s="5"/>
      <c r="H186" s="5"/>
      <c r="I186" s="5"/>
      <c r="J186" s="4" t="s">
        <v>882</v>
      </c>
      <c r="K186" s="5"/>
      <c r="L186" s="4" t="s">
        <v>558</v>
      </c>
    </row>
    <row r="187" spans="1:12" ht="31" customHeight="1">
      <c r="A187" s="4" t="s">
        <v>354</v>
      </c>
      <c r="B187" s="4" t="s">
        <v>346</v>
      </c>
      <c r="C187" s="4" t="s">
        <v>45</v>
      </c>
      <c r="D187" s="6">
        <v>1</v>
      </c>
      <c r="E187" s="4" t="s">
        <v>347</v>
      </c>
      <c r="F187" s="4" t="s">
        <v>158</v>
      </c>
      <c r="G187" s="5"/>
      <c r="H187" s="5"/>
      <c r="I187" s="5"/>
      <c r="J187" s="4" t="s">
        <v>883</v>
      </c>
      <c r="K187" s="5"/>
      <c r="L187" s="4" t="s">
        <v>558</v>
      </c>
    </row>
    <row r="188" spans="1:12" ht="31" customHeight="1">
      <c r="A188" s="4" t="s">
        <v>354</v>
      </c>
      <c r="B188" s="4" t="s">
        <v>346</v>
      </c>
      <c r="C188" s="4" t="s">
        <v>46</v>
      </c>
      <c r="D188" s="6">
        <v>0</v>
      </c>
      <c r="E188" s="4" t="s">
        <v>347</v>
      </c>
      <c r="F188" s="4" t="s">
        <v>158</v>
      </c>
      <c r="G188" s="5"/>
      <c r="H188" s="5"/>
      <c r="I188" s="5"/>
      <c r="J188" s="4" t="s">
        <v>863</v>
      </c>
      <c r="K188" s="5"/>
      <c r="L188" s="4" t="s">
        <v>558</v>
      </c>
    </row>
    <row r="189" spans="1:12" ht="31" customHeight="1">
      <c r="A189" s="4" t="s">
        <v>354</v>
      </c>
      <c r="B189" s="4" t="s">
        <v>346</v>
      </c>
      <c r="C189" s="4" t="s">
        <v>47</v>
      </c>
      <c r="D189" s="6">
        <v>1</v>
      </c>
      <c r="E189" s="4" t="s">
        <v>347</v>
      </c>
      <c r="F189" s="4" t="s">
        <v>158</v>
      </c>
      <c r="G189" s="5"/>
      <c r="H189" s="5"/>
      <c r="I189" s="5"/>
      <c r="J189" s="4" t="s">
        <v>884</v>
      </c>
      <c r="K189" s="5"/>
      <c r="L189" s="4" t="s">
        <v>558</v>
      </c>
    </row>
    <row r="190" spans="1:12" ht="31" customHeight="1">
      <c r="A190" s="4" t="s">
        <v>354</v>
      </c>
      <c r="B190" s="4" t="s">
        <v>346</v>
      </c>
      <c r="C190" s="4" t="s">
        <v>48</v>
      </c>
      <c r="D190" s="6">
        <v>3</v>
      </c>
      <c r="E190" s="4" t="s">
        <v>347</v>
      </c>
      <c r="F190" s="4" t="s">
        <v>158</v>
      </c>
      <c r="G190" s="5"/>
      <c r="H190" s="5"/>
      <c r="I190" s="5"/>
      <c r="J190" s="4" t="s">
        <v>885</v>
      </c>
      <c r="K190" s="5"/>
      <c r="L190" s="4" t="s">
        <v>558</v>
      </c>
    </row>
    <row r="191" spans="1:12" ht="31" customHeight="1">
      <c r="A191" s="4" t="s">
        <v>354</v>
      </c>
      <c r="B191" s="4" t="s">
        <v>346</v>
      </c>
      <c r="C191" s="4" t="s">
        <v>49</v>
      </c>
      <c r="D191" s="6">
        <v>2</v>
      </c>
      <c r="E191" s="4" t="s">
        <v>347</v>
      </c>
      <c r="F191" s="4" t="s">
        <v>158</v>
      </c>
      <c r="G191" s="5"/>
      <c r="H191" s="5"/>
      <c r="I191" s="5"/>
      <c r="J191" s="4" t="s">
        <v>886</v>
      </c>
      <c r="K191" s="5"/>
      <c r="L191" s="4" t="s">
        <v>558</v>
      </c>
    </row>
    <row r="192" spans="1:12" ht="31" customHeight="1">
      <c r="A192" s="4" t="s">
        <v>354</v>
      </c>
      <c r="B192" s="4" t="s">
        <v>346</v>
      </c>
      <c r="C192" s="4" t="s">
        <v>40</v>
      </c>
      <c r="D192" s="6">
        <v>3</v>
      </c>
      <c r="E192" s="4" t="s">
        <v>867</v>
      </c>
      <c r="F192" s="4" t="s">
        <v>158</v>
      </c>
      <c r="G192" s="5"/>
      <c r="H192" s="5"/>
      <c r="I192" s="5"/>
      <c r="J192" s="4" t="s">
        <v>887</v>
      </c>
      <c r="K192" s="5"/>
      <c r="L192" s="4" t="s">
        <v>558</v>
      </c>
    </row>
    <row r="193" spans="1:12" ht="31" customHeight="1">
      <c r="A193" s="4" t="s">
        <v>354</v>
      </c>
      <c r="B193" s="4" t="s">
        <v>346</v>
      </c>
      <c r="C193" s="4" t="s">
        <v>41</v>
      </c>
      <c r="D193" s="6">
        <v>1</v>
      </c>
      <c r="E193" s="4" t="s">
        <v>867</v>
      </c>
      <c r="F193" s="4" t="s">
        <v>158</v>
      </c>
      <c r="G193" s="5"/>
      <c r="H193" s="5"/>
      <c r="I193" s="5"/>
      <c r="J193" s="4" t="s">
        <v>888</v>
      </c>
      <c r="K193" s="5"/>
      <c r="L193" s="4" t="s">
        <v>558</v>
      </c>
    </row>
    <row r="194" spans="1:12" ht="31" customHeight="1">
      <c r="A194" s="4" t="s">
        <v>354</v>
      </c>
      <c r="B194" s="4" t="s">
        <v>346</v>
      </c>
      <c r="C194" s="4" t="s">
        <v>42</v>
      </c>
      <c r="D194" s="6">
        <v>2</v>
      </c>
      <c r="E194" s="4" t="s">
        <v>867</v>
      </c>
      <c r="F194" s="4" t="s">
        <v>158</v>
      </c>
      <c r="G194" s="5"/>
      <c r="H194" s="5"/>
      <c r="I194" s="5"/>
      <c r="J194" s="4" t="s">
        <v>889</v>
      </c>
      <c r="K194" s="5"/>
      <c r="L194" s="4" t="s">
        <v>558</v>
      </c>
    </row>
    <row r="195" spans="1:12" ht="31" customHeight="1">
      <c r="A195" s="4" t="s">
        <v>354</v>
      </c>
      <c r="B195" s="4" t="s">
        <v>346</v>
      </c>
      <c r="C195" s="4" t="s">
        <v>43</v>
      </c>
      <c r="D195" s="6">
        <v>2</v>
      </c>
      <c r="E195" s="4" t="s">
        <v>867</v>
      </c>
      <c r="F195" s="4" t="s">
        <v>158</v>
      </c>
      <c r="G195" s="5"/>
      <c r="H195" s="5"/>
      <c r="I195" s="5"/>
      <c r="J195" s="4" t="s">
        <v>890</v>
      </c>
      <c r="K195" s="5"/>
      <c r="L195" s="4" t="s">
        <v>558</v>
      </c>
    </row>
    <row r="196" spans="1:12" ht="31" customHeight="1">
      <c r="A196" s="4" t="s">
        <v>354</v>
      </c>
      <c r="B196" s="4" t="s">
        <v>346</v>
      </c>
      <c r="C196" s="4" t="s">
        <v>44</v>
      </c>
      <c r="D196" s="6">
        <v>2</v>
      </c>
      <c r="E196" s="4" t="s">
        <v>867</v>
      </c>
      <c r="F196" s="4" t="s">
        <v>158</v>
      </c>
      <c r="G196" s="5"/>
      <c r="H196" s="5"/>
      <c r="I196" s="5"/>
      <c r="J196" s="4" t="s">
        <v>891</v>
      </c>
      <c r="K196" s="5"/>
      <c r="L196" s="4" t="s">
        <v>558</v>
      </c>
    </row>
    <row r="197" spans="1:12" ht="31" customHeight="1">
      <c r="A197" s="4" t="s">
        <v>354</v>
      </c>
      <c r="B197" s="4" t="s">
        <v>346</v>
      </c>
      <c r="C197" s="4" t="s">
        <v>45</v>
      </c>
      <c r="D197" s="6">
        <v>1</v>
      </c>
      <c r="E197" s="4" t="s">
        <v>867</v>
      </c>
      <c r="F197" s="4" t="s">
        <v>158</v>
      </c>
      <c r="G197" s="5"/>
      <c r="H197" s="5"/>
      <c r="I197" s="5"/>
      <c r="J197" s="4" t="s">
        <v>892</v>
      </c>
      <c r="K197" s="5"/>
      <c r="L197" s="4" t="s">
        <v>558</v>
      </c>
    </row>
    <row r="198" spans="1:12" ht="31" customHeight="1">
      <c r="A198" s="4" t="s">
        <v>354</v>
      </c>
      <c r="B198" s="4" t="s">
        <v>346</v>
      </c>
      <c r="C198" s="4" t="s">
        <v>46</v>
      </c>
      <c r="D198" s="6">
        <v>0</v>
      </c>
      <c r="E198" s="4" t="s">
        <v>867</v>
      </c>
      <c r="F198" s="4" t="s">
        <v>158</v>
      </c>
      <c r="G198" s="5"/>
      <c r="H198" s="5"/>
      <c r="I198" s="5"/>
      <c r="J198" s="4" t="s">
        <v>893</v>
      </c>
      <c r="K198" s="5"/>
      <c r="L198" s="4" t="s">
        <v>558</v>
      </c>
    </row>
    <row r="199" spans="1:12" ht="31" customHeight="1">
      <c r="A199" s="4" t="s">
        <v>354</v>
      </c>
      <c r="B199" s="4" t="s">
        <v>346</v>
      </c>
      <c r="C199" s="4" t="s">
        <v>47</v>
      </c>
      <c r="D199" s="6">
        <v>0</v>
      </c>
      <c r="E199" s="4" t="s">
        <v>867</v>
      </c>
      <c r="F199" s="4" t="s">
        <v>158</v>
      </c>
      <c r="G199" s="5"/>
      <c r="H199" s="5"/>
      <c r="I199" s="5"/>
      <c r="J199" s="4" t="s">
        <v>894</v>
      </c>
      <c r="K199" s="5"/>
      <c r="L199" s="4" t="s">
        <v>558</v>
      </c>
    </row>
    <row r="200" spans="1:12" ht="31" customHeight="1">
      <c r="A200" s="4" t="s">
        <v>354</v>
      </c>
      <c r="B200" s="4" t="s">
        <v>346</v>
      </c>
      <c r="C200" s="4" t="s">
        <v>48</v>
      </c>
      <c r="D200" s="6">
        <v>3</v>
      </c>
      <c r="E200" s="4" t="s">
        <v>867</v>
      </c>
      <c r="F200" s="4" t="s">
        <v>158</v>
      </c>
      <c r="G200" s="5"/>
      <c r="H200" s="5"/>
      <c r="I200" s="5"/>
      <c r="J200" s="4" t="s">
        <v>895</v>
      </c>
      <c r="K200" s="5"/>
      <c r="L200" s="4" t="s">
        <v>558</v>
      </c>
    </row>
    <row r="201" spans="1:12" ht="31" customHeight="1">
      <c r="A201" s="4" t="s">
        <v>354</v>
      </c>
      <c r="B201" s="4" t="s">
        <v>346</v>
      </c>
      <c r="C201" s="4" t="s">
        <v>49</v>
      </c>
      <c r="D201" s="6">
        <v>2</v>
      </c>
      <c r="E201" s="4" t="s">
        <v>867</v>
      </c>
      <c r="F201" s="4" t="s">
        <v>158</v>
      </c>
      <c r="G201" s="5"/>
      <c r="H201" s="5"/>
      <c r="I201" s="5"/>
      <c r="J201" s="4" t="s">
        <v>896</v>
      </c>
      <c r="K201" s="5"/>
      <c r="L201" s="4" t="s">
        <v>558</v>
      </c>
    </row>
    <row r="202" spans="1:12" ht="31" customHeight="1">
      <c r="A202" s="4" t="s">
        <v>357</v>
      </c>
      <c r="B202" s="4" t="s">
        <v>346</v>
      </c>
      <c r="C202" s="4" t="s">
        <v>40</v>
      </c>
      <c r="D202" s="6">
        <v>3</v>
      </c>
      <c r="E202" s="4" t="s">
        <v>347</v>
      </c>
      <c r="F202" s="4" t="s">
        <v>173</v>
      </c>
      <c r="G202" s="5"/>
      <c r="H202" s="5"/>
      <c r="I202" s="5"/>
      <c r="J202" s="4" t="s">
        <v>897</v>
      </c>
      <c r="K202" s="5"/>
      <c r="L202" s="4" t="s">
        <v>558</v>
      </c>
    </row>
    <row r="203" spans="1:12" ht="31" customHeight="1">
      <c r="A203" s="4" t="s">
        <v>357</v>
      </c>
      <c r="B203" s="4" t="s">
        <v>346</v>
      </c>
      <c r="C203" s="4" t="s">
        <v>41</v>
      </c>
      <c r="D203" s="6">
        <v>0</v>
      </c>
      <c r="E203" s="4" t="s">
        <v>347</v>
      </c>
      <c r="F203" s="4" t="s">
        <v>173</v>
      </c>
      <c r="G203" s="5"/>
      <c r="H203" s="5"/>
      <c r="I203" s="5"/>
      <c r="J203" s="4" t="s">
        <v>898</v>
      </c>
      <c r="K203" s="5"/>
      <c r="L203" s="4" t="s">
        <v>558</v>
      </c>
    </row>
    <row r="204" spans="1:12" ht="31" customHeight="1">
      <c r="A204" s="4" t="s">
        <v>357</v>
      </c>
      <c r="B204" s="4" t="s">
        <v>346</v>
      </c>
      <c r="C204" s="4" t="s">
        <v>42</v>
      </c>
      <c r="D204" s="6">
        <v>0</v>
      </c>
      <c r="E204" s="4" t="s">
        <v>347</v>
      </c>
      <c r="F204" s="4" t="s">
        <v>173</v>
      </c>
      <c r="G204" s="5"/>
      <c r="H204" s="5"/>
      <c r="I204" s="5"/>
      <c r="J204" s="4" t="s">
        <v>899</v>
      </c>
      <c r="K204" s="5"/>
      <c r="L204" s="4" t="s">
        <v>558</v>
      </c>
    </row>
    <row r="205" spans="1:12" ht="31" customHeight="1">
      <c r="A205" s="4" t="s">
        <v>357</v>
      </c>
      <c r="B205" s="4" t="s">
        <v>346</v>
      </c>
      <c r="C205" s="4" t="s">
        <v>43</v>
      </c>
      <c r="D205" s="6">
        <v>2</v>
      </c>
      <c r="E205" s="4" t="s">
        <v>347</v>
      </c>
      <c r="F205" s="4" t="s">
        <v>173</v>
      </c>
      <c r="G205" s="5"/>
      <c r="H205" s="5"/>
      <c r="I205" s="5"/>
      <c r="J205" s="4" t="s">
        <v>900</v>
      </c>
      <c r="K205" s="5"/>
      <c r="L205" s="4" t="s">
        <v>558</v>
      </c>
    </row>
    <row r="206" spans="1:12" ht="31" customHeight="1">
      <c r="A206" s="4" t="s">
        <v>357</v>
      </c>
      <c r="B206" s="4" t="s">
        <v>346</v>
      </c>
      <c r="C206" s="4" t="s">
        <v>44</v>
      </c>
      <c r="D206" s="6">
        <v>2</v>
      </c>
      <c r="E206" s="4" t="s">
        <v>347</v>
      </c>
      <c r="F206" s="4" t="s">
        <v>173</v>
      </c>
      <c r="G206" s="5"/>
      <c r="H206" s="5"/>
      <c r="I206" s="5"/>
      <c r="J206" s="4" t="s">
        <v>901</v>
      </c>
      <c r="K206" s="5"/>
      <c r="L206" s="4" t="s">
        <v>558</v>
      </c>
    </row>
    <row r="207" spans="1:12" ht="31" customHeight="1">
      <c r="A207" s="4" t="s">
        <v>357</v>
      </c>
      <c r="B207" s="4" t="s">
        <v>346</v>
      </c>
      <c r="C207" s="4" t="s">
        <v>45</v>
      </c>
      <c r="D207" s="6">
        <v>0</v>
      </c>
      <c r="E207" s="4" t="s">
        <v>347</v>
      </c>
      <c r="F207" s="4" t="s">
        <v>173</v>
      </c>
      <c r="G207" s="5"/>
      <c r="H207" s="5"/>
      <c r="I207" s="5"/>
      <c r="J207" s="4" t="s">
        <v>902</v>
      </c>
      <c r="K207" s="5"/>
      <c r="L207" s="4" t="s">
        <v>558</v>
      </c>
    </row>
    <row r="208" spans="1:12" ht="31" customHeight="1">
      <c r="A208" s="4" t="s">
        <v>357</v>
      </c>
      <c r="B208" s="4" t="s">
        <v>346</v>
      </c>
      <c r="C208" s="4" t="s">
        <v>46</v>
      </c>
      <c r="D208" s="6">
        <v>0</v>
      </c>
      <c r="E208" s="4" t="s">
        <v>347</v>
      </c>
      <c r="F208" s="4" t="s">
        <v>173</v>
      </c>
      <c r="G208" s="5"/>
      <c r="H208" s="5"/>
      <c r="I208" s="5"/>
      <c r="J208" s="4" t="s">
        <v>863</v>
      </c>
      <c r="K208" s="5"/>
      <c r="L208" s="4" t="s">
        <v>558</v>
      </c>
    </row>
    <row r="209" spans="1:12" ht="31" customHeight="1">
      <c r="A209" s="4" t="s">
        <v>357</v>
      </c>
      <c r="B209" s="4" t="s">
        <v>346</v>
      </c>
      <c r="C209" s="4" t="s">
        <v>47</v>
      </c>
      <c r="D209" s="6">
        <v>1</v>
      </c>
      <c r="E209" s="4" t="s">
        <v>347</v>
      </c>
      <c r="F209" s="4" t="s">
        <v>173</v>
      </c>
      <c r="G209" s="5"/>
      <c r="H209" s="5"/>
      <c r="I209" s="5"/>
      <c r="J209" s="4" t="s">
        <v>903</v>
      </c>
      <c r="K209" s="5"/>
      <c r="L209" s="4" t="s">
        <v>558</v>
      </c>
    </row>
    <row r="210" spans="1:12" ht="31" customHeight="1">
      <c r="A210" s="4" t="s">
        <v>357</v>
      </c>
      <c r="B210" s="4" t="s">
        <v>346</v>
      </c>
      <c r="C210" s="4" t="s">
        <v>48</v>
      </c>
      <c r="D210" s="6">
        <v>1</v>
      </c>
      <c r="E210" s="4" t="s">
        <v>347</v>
      </c>
      <c r="F210" s="4" t="s">
        <v>173</v>
      </c>
      <c r="G210" s="5"/>
      <c r="H210" s="5"/>
      <c r="I210" s="5"/>
      <c r="J210" s="4" t="s">
        <v>904</v>
      </c>
      <c r="K210" s="5"/>
      <c r="L210" s="4" t="s">
        <v>558</v>
      </c>
    </row>
    <row r="211" spans="1:12" ht="31" customHeight="1">
      <c r="A211" s="4" t="s">
        <v>357</v>
      </c>
      <c r="B211" s="4" t="s">
        <v>346</v>
      </c>
      <c r="C211" s="4" t="s">
        <v>49</v>
      </c>
      <c r="D211" s="6">
        <v>2</v>
      </c>
      <c r="E211" s="4" t="s">
        <v>347</v>
      </c>
      <c r="F211" s="4" t="s">
        <v>173</v>
      </c>
      <c r="G211" s="5"/>
      <c r="H211" s="5"/>
      <c r="I211" s="5"/>
      <c r="J211" s="4" t="s">
        <v>905</v>
      </c>
      <c r="K211" s="5"/>
      <c r="L211" s="4" t="s">
        <v>558</v>
      </c>
    </row>
    <row r="212" spans="1:12" ht="31" customHeight="1">
      <c r="A212" s="4" t="s">
        <v>357</v>
      </c>
      <c r="B212" s="4" t="s">
        <v>346</v>
      </c>
      <c r="C212" s="4" t="s">
        <v>40</v>
      </c>
      <c r="D212" s="6">
        <v>3</v>
      </c>
      <c r="E212" s="4" t="s">
        <v>867</v>
      </c>
      <c r="F212" s="4" t="s">
        <v>173</v>
      </c>
      <c r="G212" s="5"/>
      <c r="H212" s="5"/>
      <c r="I212" s="5"/>
      <c r="J212" s="4" t="s">
        <v>906</v>
      </c>
      <c r="K212" s="5"/>
      <c r="L212" s="4" t="s">
        <v>558</v>
      </c>
    </row>
    <row r="213" spans="1:12" ht="31" customHeight="1">
      <c r="A213" s="4" t="s">
        <v>357</v>
      </c>
      <c r="B213" s="4" t="s">
        <v>346</v>
      </c>
      <c r="C213" s="4" t="s">
        <v>41</v>
      </c>
      <c r="D213" s="6">
        <v>0</v>
      </c>
      <c r="E213" s="4" t="s">
        <v>867</v>
      </c>
      <c r="F213" s="4" t="s">
        <v>173</v>
      </c>
      <c r="G213" s="5"/>
      <c r="H213" s="5"/>
      <c r="I213" s="5"/>
      <c r="J213" s="4" t="s">
        <v>907</v>
      </c>
      <c r="K213" s="5"/>
      <c r="L213" s="4" t="s">
        <v>558</v>
      </c>
    </row>
    <row r="214" spans="1:12" ht="31" customHeight="1">
      <c r="A214" s="4" t="s">
        <v>357</v>
      </c>
      <c r="B214" s="4" t="s">
        <v>346</v>
      </c>
      <c r="C214" s="4" t="s">
        <v>42</v>
      </c>
      <c r="D214" s="6">
        <v>1</v>
      </c>
      <c r="E214" s="4" t="s">
        <v>867</v>
      </c>
      <c r="F214" s="4" t="s">
        <v>173</v>
      </c>
      <c r="G214" s="5"/>
      <c r="H214" s="5"/>
      <c r="I214" s="5"/>
      <c r="J214" s="4" t="s">
        <v>908</v>
      </c>
      <c r="K214" s="5"/>
      <c r="L214" s="4" t="s">
        <v>558</v>
      </c>
    </row>
    <row r="215" spans="1:12" ht="31" customHeight="1">
      <c r="A215" s="4" t="s">
        <v>357</v>
      </c>
      <c r="B215" s="4" t="s">
        <v>346</v>
      </c>
      <c r="C215" s="4" t="s">
        <v>43</v>
      </c>
      <c r="D215" s="6">
        <v>2</v>
      </c>
      <c r="E215" s="4" t="s">
        <v>867</v>
      </c>
      <c r="F215" s="4" t="s">
        <v>173</v>
      </c>
      <c r="G215" s="5"/>
      <c r="H215" s="5"/>
      <c r="I215" s="5"/>
      <c r="J215" s="4" t="s">
        <v>909</v>
      </c>
      <c r="K215" s="5"/>
      <c r="L215" s="4" t="s">
        <v>558</v>
      </c>
    </row>
    <row r="216" spans="1:12" ht="31" customHeight="1">
      <c r="A216" s="4" t="s">
        <v>357</v>
      </c>
      <c r="B216" s="4" t="s">
        <v>346</v>
      </c>
      <c r="C216" s="4" t="s">
        <v>44</v>
      </c>
      <c r="D216" s="6">
        <v>2</v>
      </c>
      <c r="E216" s="4" t="s">
        <v>867</v>
      </c>
      <c r="F216" s="4" t="s">
        <v>173</v>
      </c>
      <c r="G216" s="5"/>
      <c r="H216" s="5"/>
      <c r="I216" s="5"/>
      <c r="J216" s="4" t="s">
        <v>910</v>
      </c>
      <c r="K216" s="5"/>
      <c r="L216" s="4" t="s">
        <v>558</v>
      </c>
    </row>
    <row r="217" spans="1:12" ht="31" customHeight="1">
      <c r="A217" s="4" t="s">
        <v>357</v>
      </c>
      <c r="B217" s="4" t="s">
        <v>346</v>
      </c>
      <c r="C217" s="4" t="s">
        <v>45</v>
      </c>
      <c r="D217" s="6">
        <v>1</v>
      </c>
      <c r="E217" s="4" t="s">
        <v>867</v>
      </c>
      <c r="F217" s="4" t="s">
        <v>173</v>
      </c>
      <c r="G217" s="5"/>
      <c r="H217" s="5"/>
      <c r="I217" s="5"/>
      <c r="J217" s="4" t="s">
        <v>911</v>
      </c>
      <c r="K217" s="5"/>
      <c r="L217" s="4" t="s">
        <v>558</v>
      </c>
    </row>
    <row r="218" spans="1:12" ht="31" customHeight="1">
      <c r="A218" s="4" t="s">
        <v>357</v>
      </c>
      <c r="B218" s="4" t="s">
        <v>346</v>
      </c>
      <c r="C218" s="4" t="s">
        <v>46</v>
      </c>
      <c r="D218" s="6">
        <v>0</v>
      </c>
      <c r="E218" s="4" t="s">
        <v>867</v>
      </c>
      <c r="F218" s="4" t="s">
        <v>173</v>
      </c>
      <c r="G218" s="5"/>
      <c r="H218" s="5"/>
      <c r="I218" s="5"/>
      <c r="J218" s="4" t="s">
        <v>912</v>
      </c>
      <c r="K218" s="5"/>
      <c r="L218" s="4" t="s">
        <v>558</v>
      </c>
    </row>
    <row r="219" spans="1:12" ht="31" customHeight="1">
      <c r="A219" s="4" t="s">
        <v>357</v>
      </c>
      <c r="B219" s="4" t="s">
        <v>346</v>
      </c>
      <c r="C219" s="4" t="s">
        <v>47</v>
      </c>
      <c r="D219" s="6">
        <v>1</v>
      </c>
      <c r="E219" s="4" t="s">
        <v>867</v>
      </c>
      <c r="F219" s="4" t="s">
        <v>173</v>
      </c>
      <c r="G219" s="5"/>
      <c r="H219" s="5"/>
      <c r="I219" s="5"/>
      <c r="J219" s="4" t="s">
        <v>913</v>
      </c>
      <c r="K219" s="5"/>
      <c r="L219" s="4" t="s">
        <v>558</v>
      </c>
    </row>
    <row r="220" spans="1:12" ht="31" customHeight="1">
      <c r="A220" s="4" t="s">
        <v>357</v>
      </c>
      <c r="B220" s="4" t="s">
        <v>346</v>
      </c>
      <c r="C220" s="4" t="s">
        <v>48</v>
      </c>
      <c r="D220" s="6">
        <v>1</v>
      </c>
      <c r="E220" s="4" t="s">
        <v>867</v>
      </c>
      <c r="F220" s="4" t="s">
        <v>173</v>
      </c>
      <c r="G220" s="5"/>
      <c r="H220" s="5"/>
      <c r="I220" s="5"/>
      <c r="J220" s="4" t="s">
        <v>914</v>
      </c>
      <c r="K220" s="5"/>
      <c r="L220" s="4" t="s">
        <v>558</v>
      </c>
    </row>
    <row r="221" spans="1:12" ht="31" customHeight="1">
      <c r="A221" s="4" t="s">
        <v>357</v>
      </c>
      <c r="B221" s="4" t="s">
        <v>346</v>
      </c>
      <c r="C221" s="4" t="s">
        <v>49</v>
      </c>
      <c r="D221" s="6">
        <v>3</v>
      </c>
      <c r="E221" s="4" t="s">
        <v>867</v>
      </c>
      <c r="F221" s="4" t="s">
        <v>173</v>
      </c>
      <c r="G221" s="5"/>
      <c r="H221" s="5"/>
      <c r="I221" s="5"/>
      <c r="J221" s="4" t="s">
        <v>915</v>
      </c>
      <c r="K221" s="5"/>
      <c r="L221" s="4" t="s">
        <v>558</v>
      </c>
    </row>
    <row r="222" spans="1:12" ht="31" customHeight="1">
      <c r="A222" s="4" t="s">
        <v>360</v>
      </c>
      <c r="B222" s="4" t="s">
        <v>346</v>
      </c>
      <c r="C222" s="4" t="s">
        <v>40</v>
      </c>
      <c r="D222" s="6">
        <v>3</v>
      </c>
      <c r="E222" s="4" t="s">
        <v>347</v>
      </c>
      <c r="F222" s="4" t="s">
        <v>173</v>
      </c>
      <c r="G222" s="5"/>
      <c r="H222" s="5"/>
      <c r="I222" s="5"/>
      <c r="J222" s="4" t="s">
        <v>916</v>
      </c>
      <c r="K222" s="5"/>
      <c r="L222" s="4" t="s">
        <v>558</v>
      </c>
    </row>
    <row r="223" spans="1:12" ht="31" customHeight="1">
      <c r="A223" s="4" t="s">
        <v>360</v>
      </c>
      <c r="B223" s="4" t="s">
        <v>346</v>
      </c>
      <c r="C223" s="4" t="s">
        <v>41</v>
      </c>
      <c r="D223" s="6">
        <v>0</v>
      </c>
      <c r="E223" s="4" t="s">
        <v>347</v>
      </c>
      <c r="F223" s="4" t="s">
        <v>173</v>
      </c>
      <c r="G223" s="5"/>
      <c r="H223" s="5"/>
      <c r="I223" s="5"/>
      <c r="J223" s="4" t="s">
        <v>917</v>
      </c>
      <c r="K223" s="5"/>
      <c r="L223" s="4" t="s">
        <v>558</v>
      </c>
    </row>
    <row r="224" spans="1:12" ht="31" customHeight="1">
      <c r="A224" s="4" t="s">
        <v>360</v>
      </c>
      <c r="B224" s="4" t="s">
        <v>346</v>
      </c>
      <c r="C224" s="4" t="s">
        <v>42</v>
      </c>
      <c r="D224" s="6">
        <v>0</v>
      </c>
      <c r="E224" s="4" t="s">
        <v>347</v>
      </c>
      <c r="F224" s="4" t="s">
        <v>173</v>
      </c>
      <c r="G224" s="5"/>
      <c r="H224" s="5"/>
      <c r="I224" s="5"/>
      <c r="J224" s="4" t="s">
        <v>918</v>
      </c>
      <c r="K224" s="5"/>
      <c r="L224" s="4" t="s">
        <v>558</v>
      </c>
    </row>
    <row r="225" spans="1:12" ht="31" customHeight="1">
      <c r="A225" s="4" t="s">
        <v>360</v>
      </c>
      <c r="B225" s="4" t="s">
        <v>346</v>
      </c>
      <c r="C225" s="4" t="s">
        <v>43</v>
      </c>
      <c r="D225" s="6">
        <v>2</v>
      </c>
      <c r="E225" s="4" t="s">
        <v>347</v>
      </c>
      <c r="F225" s="4" t="s">
        <v>173</v>
      </c>
      <c r="G225" s="5"/>
      <c r="H225" s="5"/>
      <c r="I225" s="5"/>
      <c r="J225" s="4" t="s">
        <v>919</v>
      </c>
      <c r="K225" s="5"/>
      <c r="L225" s="4" t="s">
        <v>558</v>
      </c>
    </row>
    <row r="226" spans="1:12" ht="31" customHeight="1">
      <c r="A226" s="4" t="s">
        <v>360</v>
      </c>
      <c r="B226" s="4" t="s">
        <v>346</v>
      </c>
      <c r="C226" s="4" t="s">
        <v>44</v>
      </c>
      <c r="D226" s="6">
        <v>1</v>
      </c>
      <c r="E226" s="4" t="s">
        <v>347</v>
      </c>
      <c r="F226" s="4" t="s">
        <v>173</v>
      </c>
      <c r="G226" s="5"/>
      <c r="H226" s="5"/>
      <c r="I226" s="5"/>
      <c r="J226" s="4" t="s">
        <v>920</v>
      </c>
      <c r="K226" s="5"/>
      <c r="L226" s="4" t="s">
        <v>558</v>
      </c>
    </row>
    <row r="227" spans="1:12" ht="31" customHeight="1">
      <c r="A227" s="4" t="s">
        <v>360</v>
      </c>
      <c r="B227" s="4" t="s">
        <v>346</v>
      </c>
      <c r="C227" s="4" t="s">
        <v>45</v>
      </c>
      <c r="D227" s="6">
        <v>0</v>
      </c>
      <c r="E227" s="4" t="s">
        <v>347</v>
      </c>
      <c r="F227" s="4" t="s">
        <v>173</v>
      </c>
      <c r="G227" s="5"/>
      <c r="H227" s="5"/>
      <c r="I227" s="5"/>
      <c r="J227" s="4" t="s">
        <v>921</v>
      </c>
      <c r="K227" s="5"/>
      <c r="L227" s="4" t="s">
        <v>558</v>
      </c>
    </row>
    <row r="228" spans="1:12" ht="31" customHeight="1">
      <c r="A228" s="4" t="s">
        <v>360</v>
      </c>
      <c r="B228" s="4" t="s">
        <v>346</v>
      </c>
      <c r="C228" s="4" t="s">
        <v>46</v>
      </c>
      <c r="D228" s="6">
        <v>0</v>
      </c>
      <c r="E228" s="4" t="s">
        <v>347</v>
      </c>
      <c r="F228" s="4" t="s">
        <v>173</v>
      </c>
      <c r="G228" s="5"/>
      <c r="H228" s="5"/>
      <c r="I228" s="5"/>
      <c r="J228" s="4" t="s">
        <v>863</v>
      </c>
      <c r="K228" s="5"/>
      <c r="L228" s="4" t="s">
        <v>558</v>
      </c>
    </row>
    <row r="229" spans="1:12" ht="31" customHeight="1">
      <c r="A229" s="4" t="s">
        <v>360</v>
      </c>
      <c r="B229" s="4" t="s">
        <v>346</v>
      </c>
      <c r="C229" s="4" t="s">
        <v>47</v>
      </c>
      <c r="D229" s="6">
        <v>0</v>
      </c>
      <c r="E229" s="4" t="s">
        <v>347</v>
      </c>
      <c r="F229" s="4" t="s">
        <v>173</v>
      </c>
      <c r="G229" s="5"/>
      <c r="H229" s="5"/>
      <c r="I229" s="5"/>
      <c r="J229" s="4" t="s">
        <v>922</v>
      </c>
      <c r="K229" s="5"/>
      <c r="L229" s="4" t="s">
        <v>558</v>
      </c>
    </row>
    <row r="230" spans="1:12" ht="31" customHeight="1">
      <c r="A230" s="4" t="s">
        <v>360</v>
      </c>
      <c r="B230" s="4" t="s">
        <v>346</v>
      </c>
      <c r="C230" s="4" t="s">
        <v>48</v>
      </c>
      <c r="D230" s="6">
        <v>1</v>
      </c>
      <c r="E230" s="4" t="s">
        <v>347</v>
      </c>
      <c r="F230" s="4" t="s">
        <v>173</v>
      </c>
      <c r="G230" s="5"/>
      <c r="H230" s="5"/>
      <c r="I230" s="5"/>
      <c r="J230" s="4" t="s">
        <v>923</v>
      </c>
      <c r="K230" s="5"/>
      <c r="L230" s="4" t="s">
        <v>558</v>
      </c>
    </row>
    <row r="231" spans="1:12" ht="31" customHeight="1">
      <c r="A231" s="4" t="s">
        <v>360</v>
      </c>
      <c r="B231" s="4" t="s">
        <v>346</v>
      </c>
      <c r="C231" s="4" t="s">
        <v>49</v>
      </c>
      <c r="D231" s="6">
        <v>1</v>
      </c>
      <c r="E231" s="4" t="s">
        <v>347</v>
      </c>
      <c r="F231" s="4" t="s">
        <v>173</v>
      </c>
      <c r="G231" s="5"/>
      <c r="H231" s="5"/>
      <c r="I231" s="5"/>
      <c r="J231" s="4" t="s">
        <v>924</v>
      </c>
      <c r="K231" s="5"/>
      <c r="L231" s="4" t="s">
        <v>558</v>
      </c>
    </row>
    <row r="232" spans="1:12" ht="31" customHeight="1">
      <c r="A232" s="4" t="s">
        <v>360</v>
      </c>
      <c r="B232" s="4" t="s">
        <v>346</v>
      </c>
      <c r="C232" s="4" t="s">
        <v>40</v>
      </c>
      <c r="D232" s="6">
        <v>3</v>
      </c>
      <c r="E232" s="4" t="s">
        <v>867</v>
      </c>
      <c r="F232" s="4" t="s">
        <v>173</v>
      </c>
      <c r="G232" s="5"/>
      <c r="H232" s="5"/>
      <c r="I232" s="5"/>
      <c r="J232" s="4" t="s">
        <v>925</v>
      </c>
      <c r="K232" s="5"/>
      <c r="L232" s="4" t="s">
        <v>558</v>
      </c>
    </row>
    <row r="233" spans="1:12" ht="31" customHeight="1">
      <c r="A233" s="4" t="s">
        <v>360</v>
      </c>
      <c r="B233" s="4" t="s">
        <v>346</v>
      </c>
      <c r="C233" s="4" t="s">
        <v>41</v>
      </c>
      <c r="D233" s="6">
        <v>0</v>
      </c>
      <c r="E233" s="4" t="s">
        <v>867</v>
      </c>
      <c r="F233" s="4" t="s">
        <v>173</v>
      </c>
      <c r="G233" s="5"/>
      <c r="H233" s="5"/>
      <c r="I233" s="5"/>
      <c r="J233" s="4" t="s">
        <v>926</v>
      </c>
      <c r="K233" s="5"/>
      <c r="L233" s="4" t="s">
        <v>558</v>
      </c>
    </row>
    <row r="234" spans="1:12" ht="31" customHeight="1">
      <c r="A234" s="4" t="s">
        <v>360</v>
      </c>
      <c r="B234" s="4" t="s">
        <v>346</v>
      </c>
      <c r="C234" s="4" t="s">
        <v>42</v>
      </c>
      <c r="D234" s="6">
        <v>1</v>
      </c>
      <c r="E234" s="4" t="s">
        <v>867</v>
      </c>
      <c r="F234" s="4" t="s">
        <v>173</v>
      </c>
      <c r="G234" s="5"/>
      <c r="H234" s="5"/>
      <c r="I234" s="5"/>
      <c r="J234" s="4" t="s">
        <v>927</v>
      </c>
      <c r="K234" s="5"/>
      <c r="L234" s="4" t="s">
        <v>558</v>
      </c>
    </row>
    <row r="235" spans="1:12" ht="31" customHeight="1">
      <c r="A235" s="4" t="s">
        <v>360</v>
      </c>
      <c r="B235" s="4" t="s">
        <v>346</v>
      </c>
      <c r="C235" s="4" t="s">
        <v>43</v>
      </c>
      <c r="D235" s="6">
        <v>2</v>
      </c>
      <c r="E235" s="4" t="s">
        <v>867</v>
      </c>
      <c r="F235" s="4" t="s">
        <v>173</v>
      </c>
      <c r="G235" s="5"/>
      <c r="H235" s="5"/>
      <c r="I235" s="5"/>
      <c r="J235" s="4" t="s">
        <v>928</v>
      </c>
      <c r="K235" s="5"/>
      <c r="L235" s="4" t="s">
        <v>558</v>
      </c>
    </row>
    <row r="236" spans="1:12" ht="31" customHeight="1">
      <c r="A236" s="4" t="s">
        <v>360</v>
      </c>
      <c r="B236" s="4" t="s">
        <v>346</v>
      </c>
      <c r="C236" s="4" t="s">
        <v>44</v>
      </c>
      <c r="D236" s="6">
        <v>1</v>
      </c>
      <c r="E236" s="4" t="s">
        <v>867</v>
      </c>
      <c r="F236" s="4" t="s">
        <v>173</v>
      </c>
      <c r="G236" s="5"/>
      <c r="H236" s="5"/>
      <c r="I236" s="5"/>
      <c r="J236" s="4" t="s">
        <v>929</v>
      </c>
      <c r="K236" s="5"/>
      <c r="L236" s="4" t="s">
        <v>558</v>
      </c>
    </row>
    <row r="237" spans="1:12" ht="31" customHeight="1">
      <c r="A237" s="4" t="s">
        <v>360</v>
      </c>
      <c r="B237" s="4" t="s">
        <v>346</v>
      </c>
      <c r="C237" s="4" t="s">
        <v>45</v>
      </c>
      <c r="D237" s="6">
        <v>0</v>
      </c>
      <c r="E237" s="4" t="s">
        <v>867</v>
      </c>
      <c r="F237" s="4" t="s">
        <v>173</v>
      </c>
      <c r="G237" s="5"/>
      <c r="H237" s="5"/>
      <c r="I237" s="5"/>
      <c r="J237" s="4" t="s">
        <v>930</v>
      </c>
      <c r="K237" s="5"/>
      <c r="L237" s="4" t="s">
        <v>558</v>
      </c>
    </row>
    <row r="238" spans="1:12" ht="31" customHeight="1">
      <c r="A238" s="4" t="s">
        <v>360</v>
      </c>
      <c r="B238" s="4" t="s">
        <v>346</v>
      </c>
      <c r="C238" s="4" t="s">
        <v>46</v>
      </c>
      <c r="D238" s="6">
        <v>0</v>
      </c>
      <c r="E238" s="4" t="s">
        <v>867</v>
      </c>
      <c r="F238" s="4" t="s">
        <v>173</v>
      </c>
      <c r="G238" s="5"/>
      <c r="H238" s="5"/>
      <c r="I238" s="5"/>
      <c r="J238" s="4" t="s">
        <v>931</v>
      </c>
      <c r="K238" s="5"/>
      <c r="L238" s="4" t="s">
        <v>558</v>
      </c>
    </row>
    <row r="239" spans="1:12" ht="31" customHeight="1">
      <c r="A239" s="4" t="s">
        <v>360</v>
      </c>
      <c r="B239" s="4" t="s">
        <v>346</v>
      </c>
      <c r="C239" s="4" t="s">
        <v>47</v>
      </c>
      <c r="D239" s="6">
        <v>0</v>
      </c>
      <c r="E239" s="4" t="s">
        <v>867</v>
      </c>
      <c r="F239" s="4" t="s">
        <v>173</v>
      </c>
      <c r="G239" s="5"/>
      <c r="H239" s="5"/>
      <c r="I239" s="5"/>
      <c r="J239" s="4" t="s">
        <v>932</v>
      </c>
      <c r="K239" s="5"/>
      <c r="L239" s="4" t="s">
        <v>558</v>
      </c>
    </row>
    <row r="240" spans="1:12" ht="31" customHeight="1">
      <c r="A240" s="4" t="s">
        <v>360</v>
      </c>
      <c r="B240" s="4" t="s">
        <v>346</v>
      </c>
      <c r="C240" s="4" t="s">
        <v>48</v>
      </c>
      <c r="D240" s="6">
        <v>0</v>
      </c>
      <c r="E240" s="4" t="s">
        <v>867</v>
      </c>
      <c r="F240" s="4" t="s">
        <v>173</v>
      </c>
      <c r="G240" s="5"/>
      <c r="H240" s="5"/>
      <c r="I240" s="5"/>
      <c r="J240" s="4" t="s">
        <v>933</v>
      </c>
      <c r="K240" s="5"/>
      <c r="L240" s="4" t="s">
        <v>558</v>
      </c>
    </row>
    <row r="241" spans="1:12" ht="31" customHeight="1">
      <c r="A241" s="4" t="s">
        <v>360</v>
      </c>
      <c r="B241" s="4" t="s">
        <v>346</v>
      </c>
      <c r="C241" s="4" t="s">
        <v>49</v>
      </c>
      <c r="D241" s="6">
        <v>2</v>
      </c>
      <c r="E241" s="4" t="s">
        <v>867</v>
      </c>
      <c r="F241" s="4" t="s">
        <v>173</v>
      </c>
      <c r="G241" s="5"/>
      <c r="H241" s="5"/>
      <c r="I241" s="5"/>
      <c r="J241" s="4" t="s">
        <v>934</v>
      </c>
      <c r="K241" s="5"/>
      <c r="L241" s="4" t="s">
        <v>558</v>
      </c>
    </row>
    <row r="242" spans="1:12" ht="31" customHeight="1">
      <c r="A242" s="4" t="s">
        <v>363</v>
      </c>
      <c r="B242" s="4" t="s">
        <v>346</v>
      </c>
      <c r="C242" s="4" t="s">
        <v>40</v>
      </c>
      <c r="D242" s="6">
        <v>3</v>
      </c>
      <c r="E242" s="4" t="s">
        <v>347</v>
      </c>
      <c r="F242" s="4" t="s">
        <v>158</v>
      </c>
      <c r="G242" s="5"/>
      <c r="H242" s="5"/>
      <c r="I242" s="5"/>
      <c r="J242" s="4" t="s">
        <v>935</v>
      </c>
      <c r="K242" s="5"/>
      <c r="L242" s="4" t="s">
        <v>558</v>
      </c>
    </row>
    <row r="243" spans="1:12" ht="31" customHeight="1">
      <c r="A243" s="4" t="s">
        <v>363</v>
      </c>
      <c r="B243" s="4" t="s">
        <v>346</v>
      </c>
      <c r="C243" s="4" t="s">
        <v>41</v>
      </c>
      <c r="D243" s="6">
        <v>3</v>
      </c>
      <c r="E243" s="4" t="s">
        <v>347</v>
      </c>
      <c r="F243" s="4" t="s">
        <v>158</v>
      </c>
      <c r="G243" s="5"/>
      <c r="H243" s="5"/>
      <c r="I243" s="5"/>
      <c r="J243" s="4" t="s">
        <v>936</v>
      </c>
      <c r="K243" s="5"/>
      <c r="L243" s="4" t="s">
        <v>558</v>
      </c>
    </row>
    <row r="244" spans="1:12" ht="31" customHeight="1">
      <c r="A244" s="4" t="s">
        <v>363</v>
      </c>
      <c r="B244" s="4" t="s">
        <v>346</v>
      </c>
      <c r="C244" s="4" t="s">
        <v>42</v>
      </c>
      <c r="D244" s="6">
        <v>3</v>
      </c>
      <c r="E244" s="4" t="s">
        <v>347</v>
      </c>
      <c r="F244" s="4" t="s">
        <v>158</v>
      </c>
      <c r="G244" s="5"/>
      <c r="H244" s="5"/>
      <c r="I244" s="5"/>
      <c r="J244" s="4" t="s">
        <v>937</v>
      </c>
      <c r="K244" s="5"/>
      <c r="L244" s="4" t="s">
        <v>558</v>
      </c>
    </row>
    <row r="245" spans="1:12" ht="31" customHeight="1">
      <c r="A245" s="4" t="s">
        <v>363</v>
      </c>
      <c r="B245" s="4" t="s">
        <v>346</v>
      </c>
      <c r="C245" s="4" t="s">
        <v>43</v>
      </c>
      <c r="D245" s="6">
        <v>2</v>
      </c>
      <c r="E245" s="4" t="s">
        <v>347</v>
      </c>
      <c r="F245" s="4" t="s">
        <v>158</v>
      </c>
      <c r="G245" s="5"/>
      <c r="H245" s="5"/>
      <c r="I245" s="5"/>
      <c r="J245" s="4" t="s">
        <v>938</v>
      </c>
      <c r="K245" s="5"/>
      <c r="L245" s="4" t="s">
        <v>558</v>
      </c>
    </row>
    <row r="246" spans="1:12" ht="31" customHeight="1">
      <c r="A246" s="4" t="s">
        <v>363</v>
      </c>
      <c r="B246" s="4" t="s">
        <v>346</v>
      </c>
      <c r="C246" s="4" t="s">
        <v>44</v>
      </c>
      <c r="D246" s="6">
        <v>1</v>
      </c>
      <c r="E246" s="4" t="s">
        <v>347</v>
      </c>
      <c r="F246" s="4" t="s">
        <v>158</v>
      </c>
      <c r="G246" s="5"/>
      <c r="H246" s="5"/>
      <c r="I246" s="5"/>
      <c r="J246" s="4" t="s">
        <v>939</v>
      </c>
      <c r="K246" s="5"/>
      <c r="L246" s="4" t="s">
        <v>558</v>
      </c>
    </row>
    <row r="247" spans="1:12" ht="31" customHeight="1">
      <c r="A247" s="4" t="s">
        <v>363</v>
      </c>
      <c r="B247" s="4" t="s">
        <v>346</v>
      </c>
      <c r="C247" s="4" t="s">
        <v>45</v>
      </c>
      <c r="D247" s="6">
        <v>1</v>
      </c>
      <c r="E247" s="4" t="s">
        <v>347</v>
      </c>
      <c r="F247" s="4" t="s">
        <v>158</v>
      </c>
      <c r="G247" s="5"/>
      <c r="H247" s="5"/>
      <c r="I247" s="5"/>
      <c r="J247" s="4" t="s">
        <v>940</v>
      </c>
      <c r="K247" s="5"/>
      <c r="L247" s="4" t="s">
        <v>558</v>
      </c>
    </row>
    <row r="248" spans="1:12" ht="31" customHeight="1">
      <c r="A248" s="4" t="s">
        <v>363</v>
      </c>
      <c r="B248" s="4" t="s">
        <v>346</v>
      </c>
      <c r="C248" s="4" t="s">
        <v>46</v>
      </c>
      <c r="D248" s="6">
        <v>0</v>
      </c>
      <c r="E248" s="4" t="s">
        <v>347</v>
      </c>
      <c r="F248" s="4" t="s">
        <v>158</v>
      </c>
      <c r="G248" s="5"/>
      <c r="H248" s="5"/>
      <c r="I248" s="5"/>
      <c r="J248" s="4" t="s">
        <v>941</v>
      </c>
      <c r="K248" s="5"/>
      <c r="L248" s="4" t="s">
        <v>558</v>
      </c>
    </row>
    <row r="249" spans="1:12" ht="31" customHeight="1">
      <c r="A249" s="4" t="s">
        <v>363</v>
      </c>
      <c r="B249" s="4" t="s">
        <v>346</v>
      </c>
      <c r="C249" s="4" t="s">
        <v>47</v>
      </c>
      <c r="D249" s="6">
        <v>2</v>
      </c>
      <c r="E249" s="4" t="s">
        <v>347</v>
      </c>
      <c r="F249" s="4" t="s">
        <v>158</v>
      </c>
      <c r="G249" s="5"/>
      <c r="H249" s="5"/>
      <c r="I249" s="5"/>
      <c r="J249" s="4" t="s">
        <v>942</v>
      </c>
      <c r="K249" s="5"/>
      <c r="L249" s="4" t="s">
        <v>558</v>
      </c>
    </row>
    <row r="250" spans="1:12" ht="31" customHeight="1">
      <c r="A250" s="4" t="s">
        <v>363</v>
      </c>
      <c r="B250" s="4" t="s">
        <v>346</v>
      </c>
      <c r="C250" s="4" t="s">
        <v>48</v>
      </c>
      <c r="D250" s="6">
        <v>3</v>
      </c>
      <c r="E250" s="4" t="s">
        <v>347</v>
      </c>
      <c r="F250" s="4" t="s">
        <v>158</v>
      </c>
      <c r="G250" s="5"/>
      <c r="H250" s="5"/>
      <c r="I250" s="5"/>
      <c r="J250" s="4" t="s">
        <v>943</v>
      </c>
      <c r="K250" s="5"/>
      <c r="L250" s="4" t="s">
        <v>558</v>
      </c>
    </row>
    <row r="251" spans="1:12" ht="31" customHeight="1">
      <c r="A251" s="4" t="s">
        <v>363</v>
      </c>
      <c r="B251" s="4" t="s">
        <v>346</v>
      </c>
      <c r="C251" s="4" t="s">
        <v>49</v>
      </c>
      <c r="D251" s="6">
        <v>3</v>
      </c>
      <c r="E251" s="4" t="s">
        <v>347</v>
      </c>
      <c r="F251" s="4" t="s">
        <v>158</v>
      </c>
      <c r="G251" s="5"/>
      <c r="H251" s="5"/>
      <c r="I251" s="5"/>
      <c r="J251" s="4" t="s">
        <v>944</v>
      </c>
      <c r="K251" s="5"/>
      <c r="L251" s="4" t="s">
        <v>558</v>
      </c>
    </row>
    <row r="252" spans="1:12" ht="31" customHeight="1">
      <c r="A252" s="4" t="s">
        <v>363</v>
      </c>
      <c r="B252" s="4" t="s">
        <v>346</v>
      </c>
      <c r="C252" s="4" t="s">
        <v>40</v>
      </c>
      <c r="D252" s="6">
        <v>3</v>
      </c>
      <c r="E252" s="4" t="s">
        <v>867</v>
      </c>
      <c r="F252" s="4" t="s">
        <v>158</v>
      </c>
      <c r="G252" s="5"/>
      <c r="H252" s="5"/>
      <c r="I252" s="5"/>
      <c r="J252" s="4" t="s">
        <v>945</v>
      </c>
      <c r="K252" s="5"/>
      <c r="L252" s="4" t="s">
        <v>558</v>
      </c>
    </row>
    <row r="253" spans="1:12" ht="31" customHeight="1">
      <c r="A253" s="4" t="s">
        <v>363</v>
      </c>
      <c r="B253" s="4" t="s">
        <v>346</v>
      </c>
      <c r="C253" s="4" t="s">
        <v>41</v>
      </c>
      <c r="D253" s="6">
        <v>3</v>
      </c>
      <c r="E253" s="4" t="s">
        <v>867</v>
      </c>
      <c r="F253" s="4" t="s">
        <v>158</v>
      </c>
      <c r="G253" s="5"/>
      <c r="H253" s="5"/>
      <c r="I253" s="5"/>
      <c r="J253" s="4" t="s">
        <v>946</v>
      </c>
      <c r="K253" s="5"/>
      <c r="L253" s="4" t="s">
        <v>558</v>
      </c>
    </row>
    <row r="254" spans="1:12" ht="31" customHeight="1">
      <c r="A254" s="4" t="s">
        <v>363</v>
      </c>
      <c r="B254" s="4" t="s">
        <v>346</v>
      </c>
      <c r="C254" s="4" t="s">
        <v>42</v>
      </c>
      <c r="D254" s="6">
        <v>3</v>
      </c>
      <c r="E254" s="4" t="s">
        <v>867</v>
      </c>
      <c r="F254" s="4" t="s">
        <v>158</v>
      </c>
      <c r="G254" s="5"/>
      <c r="H254" s="5"/>
      <c r="I254" s="5"/>
      <c r="J254" s="4" t="s">
        <v>947</v>
      </c>
      <c r="K254" s="5"/>
      <c r="L254" s="4" t="s">
        <v>558</v>
      </c>
    </row>
    <row r="255" spans="1:12" ht="31" customHeight="1">
      <c r="A255" s="4" t="s">
        <v>363</v>
      </c>
      <c r="B255" s="4" t="s">
        <v>346</v>
      </c>
      <c r="C255" s="4" t="s">
        <v>43</v>
      </c>
      <c r="D255" s="6">
        <v>3</v>
      </c>
      <c r="E255" s="4" t="s">
        <v>867</v>
      </c>
      <c r="F255" s="4" t="s">
        <v>158</v>
      </c>
      <c r="G255" s="5"/>
      <c r="H255" s="5"/>
      <c r="I255" s="5"/>
      <c r="J255" s="4" t="s">
        <v>948</v>
      </c>
      <c r="K255" s="5"/>
      <c r="L255" s="4" t="s">
        <v>558</v>
      </c>
    </row>
    <row r="256" spans="1:12" ht="31" customHeight="1">
      <c r="A256" s="4" t="s">
        <v>363</v>
      </c>
      <c r="B256" s="4" t="s">
        <v>346</v>
      </c>
      <c r="C256" s="4" t="s">
        <v>44</v>
      </c>
      <c r="D256" s="6">
        <v>2</v>
      </c>
      <c r="E256" s="4" t="s">
        <v>867</v>
      </c>
      <c r="F256" s="4" t="s">
        <v>158</v>
      </c>
      <c r="G256" s="5"/>
      <c r="H256" s="5"/>
      <c r="I256" s="5"/>
      <c r="J256" s="4" t="s">
        <v>949</v>
      </c>
      <c r="K256" s="5"/>
      <c r="L256" s="4" t="s">
        <v>558</v>
      </c>
    </row>
    <row r="257" spans="1:12" ht="31" customHeight="1">
      <c r="A257" s="4" t="s">
        <v>363</v>
      </c>
      <c r="B257" s="4" t="s">
        <v>346</v>
      </c>
      <c r="C257" s="4" t="s">
        <v>45</v>
      </c>
      <c r="D257" s="6">
        <v>1</v>
      </c>
      <c r="E257" s="4" t="s">
        <v>867</v>
      </c>
      <c r="F257" s="4" t="s">
        <v>158</v>
      </c>
      <c r="G257" s="5"/>
      <c r="H257" s="5"/>
      <c r="I257" s="5"/>
      <c r="J257" s="4" t="s">
        <v>950</v>
      </c>
      <c r="K257" s="5"/>
      <c r="L257" s="4" t="s">
        <v>558</v>
      </c>
    </row>
    <row r="258" spans="1:12" ht="31" customHeight="1">
      <c r="A258" s="4" t="s">
        <v>363</v>
      </c>
      <c r="B258" s="4" t="s">
        <v>346</v>
      </c>
      <c r="C258" s="4" t="s">
        <v>46</v>
      </c>
      <c r="D258" s="6">
        <v>0</v>
      </c>
      <c r="E258" s="4" t="s">
        <v>867</v>
      </c>
      <c r="F258" s="4" t="s">
        <v>158</v>
      </c>
      <c r="G258" s="5"/>
      <c r="H258" s="5"/>
      <c r="I258" s="5"/>
      <c r="J258" s="4" t="s">
        <v>951</v>
      </c>
      <c r="K258" s="5"/>
      <c r="L258" s="4" t="s">
        <v>558</v>
      </c>
    </row>
    <row r="259" spans="1:12" ht="31" customHeight="1">
      <c r="A259" s="4" t="s">
        <v>363</v>
      </c>
      <c r="B259" s="4" t="s">
        <v>346</v>
      </c>
      <c r="C259" s="4" t="s">
        <v>47</v>
      </c>
      <c r="D259" s="6">
        <v>3</v>
      </c>
      <c r="E259" s="4" t="s">
        <v>867</v>
      </c>
      <c r="F259" s="4" t="s">
        <v>158</v>
      </c>
      <c r="G259" s="5"/>
      <c r="H259" s="5"/>
      <c r="I259" s="5"/>
      <c r="J259" s="4" t="s">
        <v>952</v>
      </c>
      <c r="K259" s="5"/>
      <c r="L259" s="4" t="s">
        <v>558</v>
      </c>
    </row>
    <row r="260" spans="1:12" ht="31" customHeight="1">
      <c r="A260" s="4" t="s">
        <v>363</v>
      </c>
      <c r="B260" s="4" t="s">
        <v>346</v>
      </c>
      <c r="C260" s="4" t="s">
        <v>48</v>
      </c>
      <c r="D260" s="6">
        <v>3</v>
      </c>
      <c r="E260" s="4" t="s">
        <v>867</v>
      </c>
      <c r="F260" s="4" t="s">
        <v>158</v>
      </c>
      <c r="G260" s="5"/>
      <c r="H260" s="5"/>
      <c r="I260" s="5"/>
      <c r="J260" s="4" t="s">
        <v>953</v>
      </c>
      <c r="K260" s="5"/>
      <c r="L260" s="4" t="s">
        <v>558</v>
      </c>
    </row>
    <row r="261" spans="1:12" ht="31" customHeight="1">
      <c r="A261" s="4" t="s">
        <v>363</v>
      </c>
      <c r="B261" s="4" t="s">
        <v>346</v>
      </c>
      <c r="C261" s="4" t="s">
        <v>49</v>
      </c>
      <c r="D261" s="6">
        <v>3</v>
      </c>
      <c r="E261" s="4" t="s">
        <v>867</v>
      </c>
      <c r="F261" s="4" t="s">
        <v>158</v>
      </c>
      <c r="G261" s="5"/>
      <c r="H261" s="5"/>
      <c r="I261" s="5"/>
      <c r="J261" s="4" t="s">
        <v>954</v>
      </c>
      <c r="K261" s="5"/>
      <c r="L261" s="4" t="s">
        <v>558</v>
      </c>
    </row>
    <row r="262" spans="1:12" ht="31" customHeight="1">
      <c r="A262" s="4" t="s">
        <v>366</v>
      </c>
      <c r="B262" s="4" t="s">
        <v>346</v>
      </c>
      <c r="C262" s="4" t="s">
        <v>40</v>
      </c>
      <c r="D262" s="6">
        <v>3</v>
      </c>
      <c r="E262" s="4" t="s">
        <v>367</v>
      </c>
      <c r="F262" s="4" t="s">
        <v>130</v>
      </c>
      <c r="G262" s="5"/>
      <c r="H262" s="5"/>
      <c r="I262" s="5"/>
      <c r="J262" s="4" t="s">
        <v>955</v>
      </c>
      <c r="K262" s="5"/>
      <c r="L262" s="4" t="s">
        <v>558</v>
      </c>
    </row>
    <row r="263" spans="1:12" ht="31" customHeight="1">
      <c r="A263" s="4" t="s">
        <v>366</v>
      </c>
      <c r="B263" s="4" t="s">
        <v>346</v>
      </c>
      <c r="C263" s="4" t="s">
        <v>41</v>
      </c>
      <c r="D263" s="6">
        <v>1</v>
      </c>
      <c r="E263" s="4" t="s">
        <v>367</v>
      </c>
      <c r="F263" s="4" t="s">
        <v>130</v>
      </c>
      <c r="G263" s="5"/>
      <c r="H263" s="5"/>
      <c r="I263" s="5"/>
      <c r="J263" s="4" t="s">
        <v>956</v>
      </c>
      <c r="K263" s="5"/>
      <c r="L263" s="4" t="s">
        <v>558</v>
      </c>
    </row>
    <row r="264" spans="1:12" ht="31" customHeight="1">
      <c r="A264" s="4" t="s">
        <v>366</v>
      </c>
      <c r="B264" s="4" t="s">
        <v>346</v>
      </c>
      <c r="C264" s="4" t="s">
        <v>42</v>
      </c>
      <c r="D264" s="6">
        <v>1</v>
      </c>
      <c r="E264" s="4" t="s">
        <v>367</v>
      </c>
      <c r="F264" s="4" t="s">
        <v>130</v>
      </c>
      <c r="G264" s="5"/>
      <c r="H264" s="5"/>
      <c r="I264" s="5"/>
      <c r="J264" s="4" t="s">
        <v>957</v>
      </c>
      <c r="K264" s="5"/>
      <c r="L264" s="4" t="s">
        <v>558</v>
      </c>
    </row>
    <row r="265" spans="1:12" ht="31" customHeight="1">
      <c r="A265" s="4" t="s">
        <v>366</v>
      </c>
      <c r="B265" s="4" t="s">
        <v>346</v>
      </c>
      <c r="C265" s="4" t="s">
        <v>43</v>
      </c>
      <c r="D265" s="6">
        <v>2</v>
      </c>
      <c r="E265" s="4" t="s">
        <v>367</v>
      </c>
      <c r="F265" s="4" t="s">
        <v>130</v>
      </c>
      <c r="G265" s="5"/>
      <c r="H265" s="5"/>
      <c r="I265" s="5"/>
      <c r="J265" s="4" t="s">
        <v>958</v>
      </c>
      <c r="K265" s="5"/>
      <c r="L265" s="4" t="s">
        <v>558</v>
      </c>
    </row>
    <row r="266" spans="1:12" ht="31" customHeight="1">
      <c r="A266" s="4" t="s">
        <v>366</v>
      </c>
      <c r="B266" s="4" t="s">
        <v>346</v>
      </c>
      <c r="C266" s="4" t="s">
        <v>44</v>
      </c>
      <c r="D266" s="6">
        <v>2</v>
      </c>
      <c r="E266" s="4" t="s">
        <v>367</v>
      </c>
      <c r="F266" s="4" t="s">
        <v>130</v>
      </c>
      <c r="G266" s="5"/>
      <c r="H266" s="5"/>
      <c r="I266" s="5"/>
      <c r="J266" s="4" t="s">
        <v>959</v>
      </c>
      <c r="K266" s="5"/>
      <c r="L266" s="4" t="s">
        <v>558</v>
      </c>
    </row>
    <row r="267" spans="1:12" ht="31" customHeight="1">
      <c r="A267" s="4" t="s">
        <v>366</v>
      </c>
      <c r="B267" s="4" t="s">
        <v>346</v>
      </c>
      <c r="C267" s="4" t="s">
        <v>45</v>
      </c>
      <c r="D267" s="6">
        <v>0</v>
      </c>
      <c r="E267" s="4" t="s">
        <v>367</v>
      </c>
      <c r="F267" s="4" t="s">
        <v>130</v>
      </c>
      <c r="G267" s="5"/>
      <c r="H267" s="5"/>
      <c r="I267" s="5"/>
      <c r="J267" s="4" t="s">
        <v>960</v>
      </c>
      <c r="K267" s="5"/>
      <c r="L267" s="4" t="s">
        <v>558</v>
      </c>
    </row>
    <row r="268" spans="1:12" ht="31" customHeight="1">
      <c r="A268" s="4" t="s">
        <v>366</v>
      </c>
      <c r="B268" s="4" t="s">
        <v>346</v>
      </c>
      <c r="C268" s="4" t="s">
        <v>46</v>
      </c>
      <c r="D268" s="6">
        <v>0</v>
      </c>
      <c r="E268" s="4" t="s">
        <v>367</v>
      </c>
      <c r="F268" s="4" t="s">
        <v>130</v>
      </c>
      <c r="G268" s="5"/>
      <c r="H268" s="5"/>
      <c r="I268" s="5"/>
      <c r="J268" s="4" t="s">
        <v>961</v>
      </c>
      <c r="K268" s="5"/>
      <c r="L268" s="4" t="s">
        <v>558</v>
      </c>
    </row>
    <row r="269" spans="1:12" ht="31" customHeight="1">
      <c r="A269" s="4" t="s">
        <v>366</v>
      </c>
      <c r="B269" s="4" t="s">
        <v>346</v>
      </c>
      <c r="C269" s="4" t="s">
        <v>47</v>
      </c>
      <c r="D269" s="6">
        <v>2</v>
      </c>
      <c r="E269" s="4" t="s">
        <v>367</v>
      </c>
      <c r="F269" s="4" t="s">
        <v>130</v>
      </c>
      <c r="G269" s="5"/>
      <c r="H269" s="5"/>
      <c r="I269" s="5"/>
      <c r="J269" s="4" t="s">
        <v>962</v>
      </c>
      <c r="K269" s="5"/>
      <c r="L269" s="4" t="s">
        <v>558</v>
      </c>
    </row>
    <row r="270" spans="1:12" ht="31" customHeight="1">
      <c r="A270" s="4" t="s">
        <v>366</v>
      </c>
      <c r="B270" s="4" t="s">
        <v>346</v>
      </c>
      <c r="C270" s="4" t="s">
        <v>48</v>
      </c>
      <c r="D270" s="6">
        <v>3</v>
      </c>
      <c r="E270" s="4" t="s">
        <v>367</v>
      </c>
      <c r="F270" s="4" t="s">
        <v>130</v>
      </c>
      <c r="G270" s="5"/>
      <c r="H270" s="5"/>
      <c r="I270" s="5"/>
      <c r="J270" s="4" t="s">
        <v>963</v>
      </c>
      <c r="K270" s="5"/>
      <c r="L270" s="4" t="s">
        <v>558</v>
      </c>
    </row>
    <row r="271" spans="1:12" ht="31" customHeight="1">
      <c r="A271" s="4" t="s">
        <v>366</v>
      </c>
      <c r="B271" s="4" t="s">
        <v>346</v>
      </c>
      <c r="C271" s="4" t="s">
        <v>49</v>
      </c>
      <c r="D271" s="6">
        <v>2</v>
      </c>
      <c r="E271" s="4" t="s">
        <v>367</v>
      </c>
      <c r="F271" s="4" t="s">
        <v>130</v>
      </c>
      <c r="G271" s="5"/>
      <c r="H271" s="5"/>
      <c r="I271" s="5"/>
      <c r="J271" s="4" t="s">
        <v>964</v>
      </c>
      <c r="K271" s="5"/>
      <c r="L271" s="4" t="s">
        <v>558</v>
      </c>
    </row>
    <row r="272" spans="1:12" ht="31" customHeight="1">
      <c r="A272" s="4" t="s">
        <v>366</v>
      </c>
      <c r="B272" s="4" t="s">
        <v>346</v>
      </c>
      <c r="C272" s="4" t="s">
        <v>40</v>
      </c>
      <c r="D272" s="6">
        <v>3</v>
      </c>
      <c r="E272" s="4" t="s">
        <v>965</v>
      </c>
      <c r="F272" s="4" t="s">
        <v>966</v>
      </c>
      <c r="G272" s="5"/>
      <c r="H272" s="5"/>
      <c r="I272" s="5"/>
      <c r="J272" s="4" t="s">
        <v>967</v>
      </c>
      <c r="K272" s="5"/>
      <c r="L272" s="4" t="s">
        <v>558</v>
      </c>
    </row>
    <row r="273" spans="1:12" ht="31" customHeight="1">
      <c r="A273" s="4" t="s">
        <v>366</v>
      </c>
      <c r="B273" s="4" t="s">
        <v>346</v>
      </c>
      <c r="C273" s="4" t="s">
        <v>41</v>
      </c>
      <c r="D273" s="6">
        <v>1</v>
      </c>
      <c r="E273" s="4" t="s">
        <v>965</v>
      </c>
      <c r="F273" s="4" t="s">
        <v>966</v>
      </c>
      <c r="G273" s="5"/>
      <c r="H273" s="5"/>
      <c r="I273" s="5"/>
      <c r="J273" s="4" t="s">
        <v>968</v>
      </c>
      <c r="K273" s="5"/>
      <c r="L273" s="4" t="s">
        <v>558</v>
      </c>
    </row>
    <row r="274" spans="1:12" ht="31" customHeight="1">
      <c r="A274" s="4" t="s">
        <v>366</v>
      </c>
      <c r="B274" s="4" t="s">
        <v>346</v>
      </c>
      <c r="C274" s="4" t="s">
        <v>42</v>
      </c>
      <c r="D274" s="6">
        <v>2</v>
      </c>
      <c r="E274" s="4" t="s">
        <v>965</v>
      </c>
      <c r="F274" s="4" t="s">
        <v>966</v>
      </c>
      <c r="G274" s="5"/>
      <c r="H274" s="5"/>
      <c r="I274" s="5"/>
      <c r="J274" s="4" t="s">
        <v>969</v>
      </c>
      <c r="K274" s="5"/>
      <c r="L274" s="4" t="s">
        <v>558</v>
      </c>
    </row>
    <row r="275" spans="1:12" ht="31" customHeight="1">
      <c r="A275" s="4" t="s">
        <v>366</v>
      </c>
      <c r="B275" s="4" t="s">
        <v>346</v>
      </c>
      <c r="C275" s="4" t="s">
        <v>43</v>
      </c>
      <c r="D275" s="6">
        <v>2</v>
      </c>
      <c r="E275" s="4" t="s">
        <v>965</v>
      </c>
      <c r="F275" s="4" t="s">
        <v>966</v>
      </c>
      <c r="G275" s="5"/>
      <c r="H275" s="5"/>
      <c r="I275" s="5"/>
      <c r="J275" s="4" t="s">
        <v>970</v>
      </c>
      <c r="K275" s="5"/>
      <c r="L275" s="4" t="s">
        <v>558</v>
      </c>
    </row>
    <row r="276" spans="1:12" ht="31" customHeight="1">
      <c r="A276" s="4" t="s">
        <v>366</v>
      </c>
      <c r="B276" s="4" t="s">
        <v>346</v>
      </c>
      <c r="C276" s="4" t="s">
        <v>44</v>
      </c>
      <c r="D276" s="6">
        <v>2</v>
      </c>
      <c r="E276" s="4" t="s">
        <v>965</v>
      </c>
      <c r="F276" s="4" t="s">
        <v>966</v>
      </c>
      <c r="G276" s="5"/>
      <c r="H276" s="5"/>
      <c r="I276" s="5"/>
      <c r="J276" s="4" t="s">
        <v>971</v>
      </c>
      <c r="K276" s="5"/>
      <c r="L276" s="4" t="s">
        <v>558</v>
      </c>
    </row>
    <row r="277" spans="1:12" ht="31" customHeight="1">
      <c r="A277" s="4" t="s">
        <v>366</v>
      </c>
      <c r="B277" s="4" t="s">
        <v>346</v>
      </c>
      <c r="C277" s="4" t="s">
        <v>45</v>
      </c>
      <c r="D277" s="6">
        <v>1</v>
      </c>
      <c r="E277" s="4" t="s">
        <v>965</v>
      </c>
      <c r="F277" s="4" t="s">
        <v>966</v>
      </c>
      <c r="G277" s="5"/>
      <c r="H277" s="5"/>
      <c r="I277" s="5"/>
      <c r="J277" s="4" t="s">
        <v>972</v>
      </c>
      <c r="K277" s="5"/>
      <c r="L277" s="4" t="s">
        <v>558</v>
      </c>
    </row>
    <row r="278" spans="1:12" ht="31" customHeight="1">
      <c r="A278" s="4" t="s">
        <v>366</v>
      </c>
      <c r="B278" s="4" t="s">
        <v>346</v>
      </c>
      <c r="C278" s="4" t="s">
        <v>46</v>
      </c>
      <c r="D278" s="6">
        <v>0</v>
      </c>
      <c r="E278" s="4" t="s">
        <v>965</v>
      </c>
      <c r="F278" s="4" t="s">
        <v>966</v>
      </c>
      <c r="G278" s="5"/>
      <c r="H278" s="5"/>
      <c r="I278" s="5"/>
      <c r="J278" s="4" t="s">
        <v>973</v>
      </c>
      <c r="K278" s="5"/>
      <c r="L278" s="4" t="s">
        <v>558</v>
      </c>
    </row>
    <row r="279" spans="1:12" ht="31" customHeight="1">
      <c r="A279" s="4" t="s">
        <v>366</v>
      </c>
      <c r="B279" s="4" t="s">
        <v>346</v>
      </c>
      <c r="C279" s="4" t="s">
        <v>47</v>
      </c>
      <c r="D279" s="6">
        <v>2</v>
      </c>
      <c r="E279" s="4" t="s">
        <v>965</v>
      </c>
      <c r="F279" s="4" t="s">
        <v>966</v>
      </c>
      <c r="G279" s="5"/>
      <c r="H279" s="5"/>
      <c r="I279" s="5"/>
      <c r="J279" s="4" t="s">
        <v>974</v>
      </c>
      <c r="K279" s="5"/>
      <c r="L279" s="4" t="s">
        <v>558</v>
      </c>
    </row>
    <row r="280" spans="1:12" ht="31" customHeight="1">
      <c r="A280" s="4" t="s">
        <v>366</v>
      </c>
      <c r="B280" s="4" t="s">
        <v>346</v>
      </c>
      <c r="C280" s="4" t="s">
        <v>48</v>
      </c>
      <c r="D280" s="6">
        <v>3</v>
      </c>
      <c r="E280" s="4" t="s">
        <v>965</v>
      </c>
      <c r="F280" s="4" t="s">
        <v>966</v>
      </c>
      <c r="G280" s="5"/>
      <c r="H280" s="5"/>
      <c r="I280" s="5"/>
      <c r="J280" s="4" t="s">
        <v>975</v>
      </c>
      <c r="K280" s="5"/>
      <c r="L280" s="4" t="s">
        <v>558</v>
      </c>
    </row>
    <row r="281" spans="1:12" ht="31" customHeight="1">
      <c r="A281" s="4" t="s">
        <v>366</v>
      </c>
      <c r="B281" s="4" t="s">
        <v>346</v>
      </c>
      <c r="C281" s="4" t="s">
        <v>49</v>
      </c>
      <c r="D281" s="6">
        <v>2</v>
      </c>
      <c r="E281" s="4" t="s">
        <v>965</v>
      </c>
      <c r="F281" s="4" t="s">
        <v>966</v>
      </c>
      <c r="G281" s="5"/>
      <c r="H281" s="5"/>
      <c r="I281" s="5"/>
      <c r="J281" s="4" t="s">
        <v>976</v>
      </c>
      <c r="K281" s="5"/>
      <c r="L281" s="4" t="s">
        <v>558</v>
      </c>
    </row>
    <row r="282" spans="1:12" ht="31" customHeight="1">
      <c r="A282" s="4" t="s">
        <v>371</v>
      </c>
      <c r="B282" s="4" t="s">
        <v>346</v>
      </c>
      <c r="C282" s="4" t="s">
        <v>40</v>
      </c>
      <c r="D282" s="6">
        <v>3</v>
      </c>
      <c r="E282" s="4" t="s">
        <v>367</v>
      </c>
      <c r="F282" s="4" t="s">
        <v>130</v>
      </c>
      <c r="G282" s="5"/>
      <c r="H282" s="5"/>
      <c r="I282" s="5"/>
      <c r="J282" s="4" t="s">
        <v>977</v>
      </c>
      <c r="K282" s="5"/>
      <c r="L282" s="4" t="s">
        <v>558</v>
      </c>
    </row>
    <row r="283" spans="1:12" ht="31" customHeight="1">
      <c r="A283" s="4" t="s">
        <v>371</v>
      </c>
      <c r="B283" s="4" t="s">
        <v>346</v>
      </c>
      <c r="C283" s="4" t="s">
        <v>41</v>
      </c>
      <c r="D283" s="6">
        <v>3</v>
      </c>
      <c r="E283" s="4" t="s">
        <v>367</v>
      </c>
      <c r="F283" s="4" t="s">
        <v>130</v>
      </c>
      <c r="G283" s="5"/>
      <c r="H283" s="5"/>
      <c r="I283" s="5"/>
      <c r="J283" s="4" t="s">
        <v>978</v>
      </c>
      <c r="K283" s="5"/>
      <c r="L283" s="4" t="s">
        <v>558</v>
      </c>
    </row>
    <row r="284" spans="1:12" ht="31" customHeight="1">
      <c r="A284" s="4" t="s">
        <v>371</v>
      </c>
      <c r="B284" s="4" t="s">
        <v>346</v>
      </c>
      <c r="C284" s="4" t="s">
        <v>42</v>
      </c>
      <c r="D284" s="6">
        <v>3</v>
      </c>
      <c r="E284" s="4" t="s">
        <v>367</v>
      </c>
      <c r="F284" s="4" t="s">
        <v>130</v>
      </c>
      <c r="G284" s="5"/>
      <c r="H284" s="5"/>
      <c r="I284" s="5"/>
      <c r="J284" s="4" t="s">
        <v>979</v>
      </c>
      <c r="K284" s="5"/>
      <c r="L284" s="4" t="s">
        <v>558</v>
      </c>
    </row>
    <row r="285" spans="1:12" ht="31" customHeight="1">
      <c r="A285" s="4" t="s">
        <v>371</v>
      </c>
      <c r="B285" s="4" t="s">
        <v>346</v>
      </c>
      <c r="C285" s="4" t="s">
        <v>43</v>
      </c>
      <c r="D285" s="6">
        <v>3</v>
      </c>
      <c r="E285" s="4" t="s">
        <v>367</v>
      </c>
      <c r="F285" s="4" t="s">
        <v>130</v>
      </c>
      <c r="G285" s="5"/>
      <c r="H285" s="5"/>
      <c r="I285" s="5"/>
      <c r="J285" s="4" t="s">
        <v>980</v>
      </c>
      <c r="K285" s="5"/>
      <c r="L285" s="4" t="s">
        <v>558</v>
      </c>
    </row>
    <row r="286" spans="1:12" ht="31" customHeight="1">
      <c r="A286" s="4" t="s">
        <v>371</v>
      </c>
      <c r="B286" s="4" t="s">
        <v>346</v>
      </c>
      <c r="C286" s="4" t="s">
        <v>44</v>
      </c>
      <c r="D286" s="6">
        <v>2</v>
      </c>
      <c r="E286" s="4" t="s">
        <v>367</v>
      </c>
      <c r="F286" s="4" t="s">
        <v>130</v>
      </c>
      <c r="G286" s="5"/>
      <c r="H286" s="5"/>
      <c r="I286" s="5"/>
      <c r="J286" s="4" t="s">
        <v>981</v>
      </c>
      <c r="K286" s="5"/>
      <c r="L286" s="4" t="s">
        <v>558</v>
      </c>
    </row>
    <row r="287" spans="1:12" ht="31" customHeight="1">
      <c r="A287" s="4" t="s">
        <v>371</v>
      </c>
      <c r="B287" s="4" t="s">
        <v>346</v>
      </c>
      <c r="C287" s="4" t="s">
        <v>45</v>
      </c>
      <c r="D287" s="6">
        <v>2</v>
      </c>
      <c r="E287" s="4" t="s">
        <v>367</v>
      </c>
      <c r="F287" s="4" t="s">
        <v>130</v>
      </c>
      <c r="G287" s="5"/>
      <c r="H287" s="5"/>
      <c r="I287" s="5"/>
      <c r="J287" s="4" t="s">
        <v>982</v>
      </c>
      <c r="K287" s="5"/>
      <c r="L287" s="4" t="s">
        <v>558</v>
      </c>
    </row>
    <row r="288" spans="1:12" ht="31" customHeight="1">
      <c r="A288" s="4" t="s">
        <v>371</v>
      </c>
      <c r="B288" s="4" t="s">
        <v>346</v>
      </c>
      <c r="C288" s="4" t="s">
        <v>46</v>
      </c>
      <c r="D288" s="6">
        <v>1</v>
      </c>
      <c r="E288" s="4" t="s">
        <v>367</v>
      </c>
      <c r="F288" s="4" t="s">
        <v>130</v>
      </c>
      <c r="G288" s="5"/>
      <c r="H288" s="5"/>
      <c r="I288" s="5"/>
      <c r="J288" s="4" t="s">
        <v>983</v>
      </c>
      <c r="K288" s="5"/>
      <c r="L288" s="4" t="s">
        <v>558</v>
      </c>
    </row>
    <row r="289" spans="1:12" ht="31" customHeight="1">
      <c r="A289" s="4" t="s">
        <v>371</v>
      </c>
      <c r="B289" s="4" t="s">
        <v>346</v>
      </c>
      <c r="C289" s="4" t="s">
        <v>47</v>
      </c>
      <c r="D289" s="6">
        <v>2</v>
      </c>
      <c r="E289" s="4" t="s">
        <v>367</v>
      </c>
      <c r="F289" s="4" t="s">
        <v>130</v>
      </c>
      <c r="G289" s="5"/>
      <c r="H289" s="5"/>
      <c r="I289" s="5"/>
      <c r="J289" s="4" t="s">
        <v>984</v>
      </c>
      <c r="K289" s="5"/>
      <c r="L289" s="4" t="s">
        <v>558</v>
      </c>
    </row>
    <row r="290" spans="1:12" ht="31" customHeight="1">
      <c r="A290" s="4" t="s">
        <v>371</v>
      </c>
      <c r="B290" s="4" t="s">
        <v>346</v>
      </c>
      <c r="C290" s="4" t="s">
        <v>48</v>
      </c>
      <c r="D290" s="6">
        <v>3</v>
      </c>
      <c r="E290" s="4" t="s">
        <v>367</v>
      </c>
      <c r="F290" s="4" t="s">
        <v>130</v>
      </c>
      <c r="G290" s="5"/>
      <c r="H290" s="5"/>
      <c r="I290" s="5"/>
      <c r="J290" s="4" t="s">
        <v>985</v>
      </c>
      <c r="K290" s="5"/>
      <c r="L290" s="4" t="s">
        <v>558</v>
      </c>
    </row>
    <row r="291" spans="1:12" ht="31" customHeight="1">
      <c r="A291" s="4" t="s">
        <v>371</v>
      </c>
      <c r="B291" s="4" t="s">
        <v>346</v>
      </c>
      <c r="C291" s="4" t="s">
        <v>49</v>
      </c>
      <c r="D291" s="6">
        <v>2</v>
      </c>
      <c r="E291" s="4" t="s">
        <v>367</v>
      </c>
      <c r="F291" s="4" t="s">
        <v>130</v>
      </c>
      <c r="G291" s="5"/>
      <c r="H291" s="5"/>
      <c r="I291" s="5"/>
      <c r="J291" s="4" t="s">
        <v>986</v>
      </c>
      <c r="K291" s="5"/>
      <c r="L291" s="4" t="s">
        <v>558</v>
      </c>
    </row>
    <row r="292" spans="1:12" ht="31" customHeight="1">
      <c r="A292" s="4" t="s">
        <v>371</v>
      </c>
      <c r="B292" s="4" t="s">
        <v>346</v>
      </c>
      <c r="C292" s="4" t="s">
        <v>40</v>
      </c>
      <c r="D292" s="6">
        <v>3</v>
      </c>
      <c r="E292" s="4" t="s">
        <v>965</v>
      </c>
      <c r="F292" s="4" t="s">
        <v>966</v>
      </c>
      <c r="G292" s="5"/>
      <c r="H292" s="5"/>
      <c r="I292" s="5"/>
      <c r="J292" s="4" t="s">
        <v>987</v>
      </c>
      <c r="K292" s="5"/>
      <c r="L292" s="4" t="s">
        <v>558</v>
      </c>
    </row>
    <row r="293" spans="1:12" ht="31" customHeight="1">
      <c r="A293" s="4" t="s">
        <v>371</v>
      </c>
      <c r="B293" s="4" t="s">
        <v>346</v>
      </c>
      <c r="C293" s="4" t="s">
        <v>41</v>
      </c>
      <c r="D293" s="6">
        <v>3</v>
      </c>
      <c r="E293" s="4" t="s">
        <v>965</v>
      </c>
      <c r="F293" s="4" t="s">
        <v>966</v>
      </c>
      <c r="G293" s="5"/>
      <c r="H293" s="5"/>
      <c r="I293" s="5"/>
      <c r="J293" s="4" t="s">
        <v>988</v>
      </c>
      <c r="K293" s="5"/>
      <c r="L293" s="4" t="s">
        <v>558</v>
      </c>
    </row>
    <row r="294" spans="1:12" ht="31" customHeight="1">
      <c r="A294" s="4" t="s">
        <v>371</v>
      </c>
      <c r="B294" s="4" t="s">
        <v>346</v>
      </c>
      <c r="C294" s="4" t="s">
        <v>42</v>
      </c>
      <c r="D294" s="6">
        <v>3</v>
      </c>
      <c r="E294" s="4" t="s">
        <v>965</v>
      </c>
      <c r="F294" s="4" t="s">
        <v>966</v>
      </c>
      <c r="G294" s="5"/>
      <c r="H294" s="5"/>
      <c r="I294" s="5"/>
      <c r="J294" s="4" t="s">
        <v>989</v>
      </c>
      <c r="K294" s="5"/>
      <c r="L294" s="4" t="s">
        <v>558</v>
      </c>
    </row>
    <row r="295" spans="1:12" ht="31" customHeight="1">
      <c r="A295" s="4" t="s">
        <v>371</v>
      </c>
      <c r="B295" s="4" t="s">
        <v>346</v>
      </c>
      <c r="C295" s="4" t="s">
        <v>43</v>
      </c>
      <c r="D295" s="6">
        <v>2</v>
      </c>
      <c r="E295" s="4" t="s">
        <v>965</v>
      </c>
      <c r="F295" s="4" t="s">
        <v>966</v>
      </c>
      <c r="G295" s="5"/>
      <c r="H295" s="5"/>
      <c r="I295" s="5"/>
      <c r="J295" s="4" t="s">
        <v>990</v>
      </c>
      <c r="K295" s="5"/>
      <c r="L295" s="4" t="s">
        <v>558</v>
      </c>
    </row>
    <row r="296" spans="1:12" ht="31" customHeight="1">
      <c r="A296" s="4" t="s">
        <v>371</v>
      </c>
      <c r="B296" s="4" t="s">
        <v>346</v>
      </c>
      <c r="C296" s="4" t="s">
        <v>44</v>
      </c>
      <c r="D296" s="6">
        <v>2</v>
      </c>
      <c r="E296" s="4" t="s">
        <v>965</v>
      </c>
      <c r="F296" s="4" t="s">
        <v>966</v>
      </c>
      <c r="G296" s="5"/>
      <c r="H296" s="5"/>
      <c r="I296" s="5"/>
      <c r="J296" s="4" t="s">
        <v>991</v>
      </c>
      <c r="K296" s="5"/>
      <c r="L296" s="4" t="s">
        <v>558</v>
      </c>
    </row>
    <row r="297" spans="1:12" ht="31" customHeight="1">
      <c r="A297" s="4" t="s">
        <v>371</v>
      </c>
      <c r="B297" s="4" t="s">
        <v>346</v>
      </c>
      <c r="C297" s="4" t="s">
        <v>45</v>
      </c>
      <c r="D297" s="6">
        <v>1</v>
      </c>
      <c r="E297" s="4" t="s">
        <v>965</v>
      </c>
      <c r="F297" s="4" t="s">
        <v>966</v>
      </c>
      <c r="G297" s="5"/>
      <c r="H297" s="5"/>
      <c r="I297" s="5"/>
      <c r="J297" s="4" t="s">
        <v>992</v>
      </c>
      <c r="K297" s="5"/>
      <c r="L297" s="4" t="s">
        <v>558</v>
      </c>
    </row>
    <row r="298" spans="1:12" ht="31" customHeight="1">
      <c r="A298" s="4" t="s">
        <v>371</v>
      </c>
      <c r="B298" s="4" t="s">
        <v>346</v>
      </c>
      <c r="C298" s="4" t="s">
        <v>46</v>
      </c>
      <c r="D298" s="6">
        <v>0</v>
      </c>
      <c r="E298" s="4" t="s">
        <v>965</v>
      </c>
      <c r="F298" s="4" t="s">
        <v>966</v>
      </c>
      <c r="G298" s="5"/>
      <c r="H298" s="5"/>
      <c r="I298" s="5"/>
      <c r="J298" s="4" t="s">
        <v>993</v>
      </c>
      <c r="K298" s="5"/>
      <c r="L298" s="4" t="s">
        <v>558</v>
      </c>
    </row>
    <row r="299" spans="1:12" ht="31" customHeight="1">
      <c r="A299" s="4" t="s">
        <v>371</v>
      </c>
      <c r="B299" s="4" t="s">
        <v>346</v>
      </c>
      <c r="C299" s="4" t="s">
        <v>47</v>
      </c>
      <c r="D299" s="6">
        <v>3</v>
      </c>
      <c r="E299" s="4" t="s">
        <v>965</v>
      </c>
      <c r="F299" s="4" t="s">
        <v>966</v>
      </c>
      <c r="G299" s="5"/>
      <c r="H299" s="5"/>
      <c r="I299" s="5"/>
      <c r="J299" s="4" t="s">
        <v>994</v>
      </c>
      <c r="K299" s="5"/>
      <c r="L299" s="4" t="s">
        <v>558</v>
      </c>
    </row>
    <row r="300" spans="1:12" ht="31" customHeight="1">
      <c r="A300" s="4" t="s">
        <v>371</v>
      </c>
      <c r="B300" s="4" t="s">
        <v>346</v>
      </c>
      <c r="C300" s="4" t="s">
        <v>48</v>
      </c>
      <c r="D300" s="6">
        <v>3</v>
      </c>
      <c r="E300" s="4" t="s">
        <v>965</v>
      </c>
      <c r="F300" s="4" t="s">
        <v>966</v>
      </c>
      <c r="G300" s="5"/>
      <c r="H300" s="5"/>
      <c r="I300" s="5"/>
      <c r="J300" s="4" t="s">
        <v>995</v>
      </c>
      <c r="K300" s="5"/>
      <c r="L300" s="4" t="s">
        <v>558</v>
      </c>
    </row>
    <row r="301" spans="1:12" ht="31" customHeight="1">
      <c r="A301" s="4" t="s">
        <v>371</v>
      </c>
      <c r="B301" s="4" t="s">
        <v>346</v>
      </c>
      <c r="C301" s="4" t="s">
        <v>49</v>
      </c>
      <c r="D301" s="6">
        <v>2</v>
      </c>
      <c r="E301" s="4" t="s">
        <v>965</v>
      </c>
      <c r="F301" s="4" t="s">
        <v>966</v>
      </c>
      <c r="G301" s="5"/>
      <c r="H301" s="5"/>
      <c r="I301" s="5"/>
      <c r="J301" s="4" t="s">
        <v>996</v>
      </c>
      <c r="K301" s="5"/>
      <c r="L301" s="4" t="s">
        <v>558</v>
      </c>
    </row>
    <row r="302" spans="1:12" ht="31" customHeight="1">
      <c r="A302" s="4" t="s">
        <v>375</v>
      </c>
      <c r="B302" s="4" t="s">
        <v>346</v>
      </c>
      <c r="C302" s="4" t="s">
        <v>40</v>
      </c>
      <c r="D302" s="6">
        <v>3</v>
      </c>
      <c r="E302" s="4" t="s">
        <v>367</v>
      </c>
      <c r="F302" s="4" t="s">
        <v>130</v>
      </c>
      <c r="G302" s="5"/>
      <c r="H302" s="5"/>
      <c r="I302" s="5"/>
      <c r="J302" s="4" t="s">
        <v>997</v>
      </c>
      <c r="K302" s="5"/>
      <c r="L302" s="4" t="s">
        <v>558</v>
      </c>
    </row>
    <row r="303" spans="1:12" ht="31" customHeight="1">
      <c r="A303" s="4" t="s">
        <v>375</v>
      </c>
      <c r="B303" s="4" t="s">
        <v>346</v>
      </c>
      <c r="C303" s="4" t="s">
        <v>41</v>
      </c>
      <c r="D303" s="6">
        <v>3</v>
      </c>
      <c r="E303" s="4" t="s">
        <v>367</v>
      </c>
      <c r="F303" s="4" t="s">
        <v>130</v>
      </c>
      <c r="G303" s="5"/>
      <c r="H303" s="5"/>
      <c r="I303" s="5"/>
      <c r="J303" s="4" t="s">
        <v>998</v>
      </c>
      <c r="K303" s="5"/>
      <c r="L303" s="4" t="s">
        <v>558</v>
      </c>
    </row>
    <row r="304" spans="1:12" ht="31" customHeight="1">
      <c r="A304" s="4" t="s">
        <v>375</v>
      </c>
      <c r="B304" s="4" t="s">
        <v>346</v>
      </c>
      <c r="C304" s="4" t="s">
        <v>42</v>
      </c>
      <c r="D304" s="6">
        <v>3</v>
      </c>
      <c r="E304" s="4" t="s">
        <v>367</v>
      </c>
      <c r="F304" s="4" t="s">
        <v>130</v>
      </c>
      <c r="G304" s="5"/>
      <c r="H304" s="5"/>
      <c r="I304" s="5"/>
      <c r="J304" s="4" t="s">
        <v>999</v>
      </c>
      <c r="K304" s="5"/>
      <c r="L304" s="4" t="s">
        <v>558</v>
      </c>
    </row>
    <row r="305" spans="1:12" ht="31" customHeight="1">
      <c r="A305" s="4" t="s">
        <v>375</v>
      </c>
      <c r="B305" s="4" t="s">
        <v>346</v>
      </c>
      <c r="C305" s="4" t="s">
        <v>43</v>
      </c>
      <c r="D305" s="6">
        <v>3</v>
      </c>
      <c r="E305" s="4" t="s">
        <v>367</v>
      </c>
      <c r="F305" s="4" t="s">
        <v>130</v>
      </c>
      <c r="G305" s="5"/>
      <c r="H305" s="5"/>
      <c r="I305" s="5"/>
      <c r="J305" s="4" t="s">
        <v>1000</v>
      </c>
      <c r="K305" s="5"/>
      <c r="L305" s="4" t="s">
        <v>558</v>
      </c>
    </row>
    <row r="306" spans="1:12" ht="31" customHeight="1">
      <c r="A306" s="4" t="s">
        <v>375</v>
      </c>
      <c r="B306" s="4" t="s">
        <v>346</v>
      </c>
      <c r="C306" s="4" t="s">
        <v>44</v>
      </c>
      <c r="D306" s="6">
        <v>2</v>
      </c>
      <c r="E306" s="4" t="s">
        <v>367</v>
      </c>
      <c r="F306" s="4" t="s">
        <v>130</v>
      </c>
      <c r="G306" s="5"/>
      <c r="H306" s="5"/>
      <c r="I306" s="5"/>
      <c r="J306" s="4" t="s">
        <v>1001</v>
      </c>
      <c r="K306" s="5"/>
      <c r="L306" s="4" t="s">
        <v>558</v>
      </c>
    </row>
    <row r="307" spans="1:12" ht="31" customHeight="1">
      <c r="A307" s="4" t="s">
        <v>375</v>
      </c>
      <c r="B307" s="4" t="s">
        <v>346</v>
      </c>
      <c r="C307" s="4" t="s">
        <v>45</v>
      </c>
      <c r="D307" s="6">
        <v>2</v>
      </c>
      <c r="E307" s="4" t="s">
        <v>367</v>
      </c>
      <c r="F307" s="4" t="s">
        <v>130</v>
      </c>
      <c r="G307" s="5"/>
      <c r="H307" s="5"/>
      <c r="I307" s="5"/>
      <c r="J307" s="4" t="s">
        <v>1002</v>
      </c>
      <c r="K307" s="5"/>
      <c r="L307" s="4" t="s">
        <v>558</v>
      </c>
    </row>
    <row r="308" spans="1:12" ht="31" customHeight="1">
      <c r="A308" s="4" t="s">
        <v>375</v>
      </c>
      <c r="B308" s="4" t="s">
        <v>346</v>
      </c>
      <c r="C308" s="4" t="s">
        <v>46</v>
      </c>
      <c r="D308" s="6">
        <v>3</v>
      </c>
      <c r="E308" s="4" t="s">
        <v>367</v>
      </c>
      <c r="F308" s="4" t="s">
        <v>130</v>
      </c>
      <c r="G308" s="5"/>
      <c r="H308" s="5"/>
      <c r="I308" s="5"/>
      <c r="J308" s="4" t="s">
        <v>1003</v>
      </c>
      <c r="K308" s="5"/>
      <c r="L308" s="4" t="s">
        <v>558</v>
      </c>
    </row>
    <row r="309" spans="1:12" ht="31" customHeight="1">
      <c r="A309" s="4" t="s">
        <v>375</v>
      </c>
      <c r="B309" s="4" t="s">
        <v>346</v>
      </c>
      <c r="C309" s="4" t="s">
        <v>47</v>
      </c>
      <c r="D309" s="6">
        <v>2</v>
      </c>
      <c r="E309" s="4" t="s">
        <v>367</v>
      </c>
      <c r="F309" s="4" t="s">
        <v>130</v>
      </c>
      <c r="G309" s="5"/>
      <c r="H309" s="5"/>
      <c r="I309" s="5"/>
      <c r="J309" s="4" t="s">
        <v>1004</v>
      </c>
      <c r="K309" s="5"/>
      <c r="L309" s="4" t="s">
        <v>558</v>
      </c>
    </row>
    <row r="310" spans="1:12" ht="31" customHeight="1">
      <c r="A310" s="4" t="s">
        <v>375</v>
      </c>
      <c r="B310" s="4" t="s">
        <v>346</v>
      </c>
      <c r="C310" s="4" t="s">
        <v>48</v>
      </c>
      <c r="D310" s="6">
        <v>3</v>
      </c>
      <c r="E310" s="4" t="s">
        <v>367</v>
      </c>
      <c r="F310" s="4" t="s">
        <v>130</v>
      </c>
      <c r="G310" s="5"/>
      <c r="H310" s="5"/>
      <c r="I310" s="5"/>
      <c r="J310" s="4" t="s">
        <v>1005</v>
      </c>
      <c r="K310" s="5"/>
      <c r="L310" s="4" t="s">
        <v>558</v>
      </c>
    </row>
    <row r="311" spans="1:12" ht="31" customHeight="1">
      <c r="A311" s="4" t="s">
        <v>375</v>
      </c>
      <c r="B311" s="4" t="s">
        <v>346</v>
      </c>
      <c r="C311" s="4" t="s">
        <v>49</v>
      </c>
      <c r="D311" s="6">
        <v>3</v>
      </c>
      <c r="E311" s="4" t="s">
        <v>367</v>
      </c>
      <c r="F311" s="4" t="s">
        <v>130</v>
      </c>
      <c r="G311" s="5"/>
      <c r="H311" s="5"/>
      <c r="I311" s="5"/>
      <c r="J311" s="4" t="s">
        <v>1006</v>
      </c>
      <c r="K311" s="5"/>
      <c r="L311" s="4" t="s">
        <v>558</v>
      </c>
    </row>
    <row r="312" spans="1:12" ht="31" customHeight="1">
      <c r="A312" s="4" t="s">
        <v>375</v>
      </c>
      <c r="B312" s="4" t="s">
        <v>346</v>
      </c>
      <c r="C312" s="4" t="s">
        <v>40</v>
      </c>
      <c r="D312" s="6">
        <v>3</v>
      </c>
      <c r="E312" s="4" t="s">
        <v>965</v>
      </c>
      <c r="F312" s="4" t="s">
        <v>966</v>
      </c>
      <c r="G312" s="5"/>
      <c r="H312" s="5"/>
      <c r="I312" s="5"/>
      <c r="J312" s="4" t="s">
        <v>1007</v>
      </c>
      <c r="K312" s="5"/>
      <c r="L312" s="4" t="s">
        <v>558</v>
      </c>
    </row>
    <row r="313" spans="1:12" ht="31" customHeight="1">
      <c r="A313" s="4" t="s">
        <v>375</v>
      </c>
      <c r="B313" s="4" t="s">
        <v>346</v>
      </c>
      <c r="C313" s="4" t="s">
        <v>41</v>
      </c>
      <c r="D313" s="6">
        <v>3</v>
      </c>
      <c r="E313" s="4" t="s">
        <v>965</v>
      </c>
      <c r="F313" s="4" t="s">
        <v>966</v>
      </c>
      <c r="G313" s="5"/>
      <c r="H313" s="5"/>
      <c r="I313" s="5"/>
      <c r="J313" s="4" t="s">
        <v>1008</v>
      </c>
      <c r="K313" s="5"/>
      <c r="L313" s="4" t="s">
        <v>558</v>
      </c>
    </row>
    <row r="314" spans="1:12" ht="31" customHeight="1">
      <c r="A314" s="4" t="s">
        <v>375</v>
      </c>
      <c r="B314" s="4" t="s">
        <v>346</v>
      </c>
      <c r="C314" s="4" t="s">
        <v>42</v>
      </c>
      <c r="D314" s="6">
        <v>3</v>
      </c>
      <c r="E314" s="4" t="s">
        <v>965</v>
      </c>
      <c r="F314" s="4" t="s">
        <v>966</v>
      </c>
      <c r="G314" s="5"/>
      <c r="H314" s="5"/>
      <c r="I314" s="5"/>
      <c r="J314" s="4" t="s">
        <v>1009</v>
      </c>
      <c r="K314" s="5"/>
      <c r="L314" s="4" t="s">
        <v>558</v>
      </c>
    </row>
    <row r="315" spans="1:12" ht="31" customHeight="1">
      <c r="A315" s="4" t="s">
        <v>375</v>
      </c>
      <c r="B315" s="4" t="s">
        <v>346</v>
      </c>
      <c r="C315" s="4" t="s">
        <v>43</v>
      </c>
      <c r="D315" s="6">
        <v>2</v>
      </c>
      <c r="E315" s="4" t="s">
        <v>965</v>
      </c>
      <c r="F315" s="4" t="s">
        <v>966</v>
      </c>
      <c r="G315" s="5"/>
      <c r="H315" s="5"/>
      <c r="I315" s="5"/>
      <c r="J315" s="4" t="s">
        <v>1010</v>
      </c>
      <c r="K315" s="5"/>
      <c r="L315" s="4" t="s">
        <v>558</v>
      </c>
    </row>
    <row r="316" spans="1:12" ht="31" customHeight="1">
      <c r="A316" s="4" t="s">
        <v>375</v>
      </c>
      <c r="B316" s="4" t="s">
        <v>346</v>
      </c>
      <c r="C316" s="4" t="s">
        <v>44</v>
      </c>
      <c r="D316" s="6">
        <v>2</v>
      </c>
      <c r="E316" s="4" t="s">
        <v>965</v>
      </c>
      <c r="F316" s="4" t="s">
        <v>966</v>
      </c>
      <c r="G316" s="5"/>
      <c r="H316" s="5"/>
      <c r="I316" s="5"/>
      <c r="J316" s="4" t="s">
        <v>1011</v>
      </c>
      <c r="K316" s="5"/>
      <c r="L316" s="4" t="s">
        <v>558</v>
      </c>
    </row>
    <row r="317" spans="1:12" ht="31" customHeight="1">
      <c r="A317" s="4" t="s">
        <v>375</v>
      </c>
      <c r="B317" s="4" t="s">
        <v>346</v>
      </c>
      <c r="C317" s="4" t="s">
        <v>45</v>
      </c>
      <c r="D317" s="6">
        <v>1</v>
      </c>
      <c r="E317" s="4" t="s">
        <v>965</v>
      </c>
      <c r="F317" s="4" t="s">
        <v>966</v>
      </c>
      <c r="G317" s="5"/>
      <c r="H317" s="5"/>
      <c r="I317" s="5"/>
      <c r="J317" s="4" t="s">
        <v>1012</v>
      </c>
      <c r="K317" s="5"/>
      <c r="L317" s="4" t="s">
        <v>558</v>
      </c>
    </row>
    <row r="318" spans="1:12" ht="31" customHeight="1">
      <c r="A318" s="4" t="s">
        <v>375</v>
      </c>
      <c r="B318" s="4" t="s">
        <v>346</v>
      </c>
      <c r="C318" s="4" t="s">
        <v>46</v>
      </c>
      <c r="D318" s="6">
        <v>0</v>
      </c>
      <c r="E318" s="4" t="s">
        <v>965</v>
      </c>
      <c r="F318" s="4" t="s">
        <v>966</v>
      </c>
      <c r="G318" s="5"/>
      <c r="H318" s="5"/>
      <c r="I318" s="5"/>
      <c r="J318" s="4" t="s">
        <v>1013</v>
      </c>
      <c r="K318" s="5"/>
      <c r="L318" s="4" t="s">
        <v>558</v>
      </c>
    </row>
    <row r="319" spans="1:12" ht="31" customHeight="1">
      <c r="A319" s="4" t="s">
        <v>375</v>
      </c>
      <c r="B319" s="4" t="s">
        <v>346</v>
      </c>
      <c r="C319" s="4" t="s">
        <v>47</v>
      </c>
      <c r="D319" s="6">
        <v>1</v>
      </c>
      <c r="E319" s="4" t="s">
        <v>965</v>
      </c>
      <c r="F319" s="4" t="s">
        <v>966</v>
      </c>
      <c r="G319" s="5"/>
      <c r="H319" s="5"/>
      <c r="I319" s="5"/>
      <c r="J319" s="4" t="s">
        <v>1014</v>
      </c>
      <c r="K319" s="5"/>
      <c r="L319" s="4" t="s">
        <v>558</v>
      </c>
    </row>
    <row r="320" spans="1:12" ht="31" customHeight="1">
      <c r="A320" s="4" t="s">
        <v>375</v>
      </c>
      <c r="B320" s="4" t="s">
        <v>346</v>
      </c>
      <c r="C320" s="4" t="s">
        <v>48</v>
      </c>
      <c r="D320" s="6">
        <v>3</v>
      </c>
      <c r="E320" s="4" t="s">
        <v>965</v>
      </c>
      <c r="F320" s="4" t="s">
        <v>966</v>
      </c>
      <c r="G320" s="5"/>
      <c r="H320" s="5"/>
      <c r="I320" s="5"/>
      <c r="J320" s="4" t="s">
        <v>1015</v>
      </c>
      <c r="K320" s="5"/>
      <c r="L320" s="4" t="s">
        <v>558</v>
      </c>
    </row>
    <row r="321" spans="1:12" ht="31" customHeight="1">
      <c r="A321" s="4" t="s">
        <v>375</v>
      </c>
      <c r="B321" s="4" t="s">
        <v>346</v>
      </c>
      <c r="C321" s="4" t="s">
        <v>49</v>
      </c>
      <c r="D321" s="6">
        <v>2</v>
      </c>
      <c r="E321" s="4" t="s">
        <v>965</v>
      </c>
      <c r="F321" s="4" t="s">
        <v>966</v>
      </c>
      <c r="G321" s="5"/>
      <c r="H321" s="5"/>
      <c r="I321" s="5"/>
      <c r="J321" s="4" t="s">
        <v>1016</v>
      </c>
      <c r="K321" s="5"/>
      <c r="L321" s="4" t="s">
        <v>558</v>
      </c>
    </row>
    <row r="322" spans="1:12" ht="31" customHeight="1">
      <c r="A322" s="4" t="s">
        <v>378</v>
      </c>
      <c r="B322" s="4" t="s">
        <v>346</v>
      </c>
      <c r="C322" s="4" t="s">
        <v>40</v>
      </c>
      <c r="D322" s="6">
        <v>3</v>
      </c>
      <c r="E322" s="4" t="s">
        <v>367</v>
      </c>
      <c r="F322" s="4" t="s">
        <v>130</v>
      </c>
      <c r="G322" s="5"/>
      <c r="H322" s="5"/>
      <c r="I322" s="5"/>
      <c r="J322" s="4" t="s">
        <v>1017</v>
      </c>
      <c r="K322" s="5"/>
      <c r="L322" s="4" t="s">
        <v>558</v>
      </c>
    </row>
    <row r="323" spans="1:12" ht="31" customHeight="1">
      <c r="A323" s="4" t="s">
        <v>378</v>
      </c>
      <c r="B323" s="4" t="s">
        <v>346</v>
      </c>
      <c r="C323" s="4" t="s">
        <v>41</v>
      </c>
      <c r="D323" s="6">
        <v>3</v>
      </c>
      <c r="E323" s="4" t="s">
        <v>367</v>
      </c>
      <c r="F323" s="4" t="s">
        <v>130</v>
      </c>
      <c r="G323" s="5"/>
      <c r="H323" s="5"/>
      <c r="I323" s="5"/>
      <c r="J323" s="4" t="s">
        <v>1018</v>
      </c>
      <c r="K323" s="5"/>
      <c r="L323" s="4" t="s">
        <v>558</v>
      </c>
    </row>
    <row r="324" spans="1:12" ht="31" customHeight="1">
      <c r="A324" s="4" t="s">
        <v>378</v>
      </c>
      <c r="B324" s="4" t="s">
        <v>346</v>
      </c>
      <c r="C324" s="4" t="s">
        <v>42</v>
      </c>
      <c r="D324" s="6">
        <v>3</v>
      </c>
      <c r="E324" s="4" t="s">
        <v>367</v>
      </c>
      <c r="F324" s="4" t="s">
        <v>130</v>
      </c>
      <c r="G324" s="5"/>
      <c r="H324" s="5"/>
      <c r="I324" s="5"/>
      <c r="J324" s="4" t="s">
        <v>1019</v>
      </c>
      <c r="K324" s="5"/>
      <c r="L324" s="4" t="s">
        <v>558</v>
      </c>
    </row>
    <row r="325" spans="1:12" ht="31" customHeight="1">
      <c r="A325" s="4" t="s">
        <v>378</v>
      </c>
      <c r="B325" s="4" t="s">
        <v>346</v>
      </c>
      <c r="C325" s="4" t="s">
        <v>43</v>
      </c>
      <c r="D325" s="6">
        <v>3</v>
      </c>
      <c r="E325" s="4" t="s">
        <v>367</v>
      </c>
      <c r="F325" s="4" t="s">
        <v>130</v>
      </c>
      <c r="G325" s="5"/>
      <c r="H325" s="5"/>
      <c r="I325" s="5"/>
      <c r="J325" s="4" t="s">
        <v>1020</v>
      </c>
      <c r="K325" s="5"/>
      <c r="L325" s="4" t="s">
        <v>558</v>
      </c>
    </row>
    <row r="326" spans="1:12" ht="31" customHeight="1">
      <c r="A326" s="4" t="s">
        <v>378</v>
      </c>
      <c r="B326" s="4" t="s">
        <v>346</v>
      </c>
      <c r="C326" s="4" t="s">
        <v>44</v>
      </c>
      <c r="D326" s="6">
        <v>3</v>
      </c>
      <c r="E326" s="4" t="s">
        <v>367</v>
      </c>
      <c r="F326" s="4" t="s">
        <v>130</v>
      </c>
      <c r="G326" s="5"/>
      <c r="H326" s="5"/>
      <c r="I326" s="5"/>
      <c r="J326" s="4" t="s">
        <v>1021</v>
      </c>
      <c r="K326" s="5"/>
      <c r="L326" s="4" t="s">
        <v>558</v>
      </c>
    </row>
    <row r="327" spans="1:12" ht="31" customHeight="1">
      <c r="A327" s="4" t="s">
        <v>378</v>
      </c>
      <c r="B327" s="4" t="s">
        <v>346</v>
      </c>
      <c r="C327" s="4" t="s">
        <v>45</v>
      </c>
      <c r="D327" s="6">
        <v>2</v>
      </c>
      <c r="E327" s="4" t="s">
        <v>367</v>
      </c>
      <c r="F327" s="4" t="s">
        <v>130</v>
      </c>
      <c r="G327" s="5"/>
      <c r="H327" s="5"/>
      <c r="I327" s="5"/>
      <c r="J327" s="4" t="s">
        <v>1022</v>
      </c>
      <c r="K327" s="5"/>
      <c r="L327" s="4" t="s">
        <v>558</v>
      </c>
    </row>
    <row r="328" spans="1:12" ht="31" customHeight="1">
      <c r="A328" s="4" t="s">
        <v>378</v>
      </c>
      <c r="B328" s="4" t="s">
        <v>346</v>
      </c>
      <c r="C328" s="4" t="s">
        <v>46</v>
      </c>
      <c r="D328" s="6">
        <v>3</v>
      </c>
      <c r="E328" s="4" t="s">
        <v>367</v>
      </c>
      <c r="F328" s="4" t="s">
        <v>130</v>
      </c>
      <c r="G328" s="5"/>
      <c r="H328" s="5"/>
      <c r="I328" s="5"/>
      <c r="J328" s="4" t="s">
        <v>1023</v>
      </c>
      <c r="K328" s="5"/>
      <c r="L328" s="4" t="s">
        <v>558</v>
      </c>
    </row>
    <row r="329" spans="1:12" ht="31" customHeight="1">
      <c r="A329" s="4" t="s">
        <v>378</v>
      </c>
      <c r="B329" s="4" t="s">
        <v>346</v>
      </c>
      <c r="C329" s="4" t="s">
        <v>47</v>
      </c>
      <c r="D329" s="6">
        <v>3</v>
      </c>
      <c r="E329" s="4" t="s">
        <v>367</v>
      </c>
      <c r="F329" s="4" t="s">
        <v>130</v>
      </c>
      <c r="G329" s="5"/>
      <c r="H329" s="5"/>
      <c r="I329" s="5"/>
      <c r="J329" s="4" t="s">
        <v>1024</v>
      </c>
      <c r="K329" s="5"/>
      <c r="L329" s="4" t="s">
        <v>558</v>
      </c>
    </row>
    <row r="330" spans="1:12" ht="31" customHeight="1">
      <c r="A330" s="4" t="s">
        <v>378</v>
      </c>
      <c r="B330" s="4" t="s">
        <v>346</v>
      </c>
      <c r="C330" s="4" t="s">
        <v>48</v>
      </c>
      <c r="D330" s="6">
        <v>3</v>
      </c>
      <c r="E330" s="4" t="s">
        <v>367</v>
      </c>
      <c r="F330" s="4" t="s">
        <v>130</v>
      </c>
      <c r="G330" s="5"/>
      <c r="H330" s="5"/>
      <c r="I330" s="5"/>
      <c r="J330" s="4" t="s">
        <v>1025</v>
      </c>
      <c r="K330" s="5"/>
      <c r="L330" s="4" t="s">
        <v>558</v>
      </c>
    </row>
    <row r="331" spans="1:12" ht="31" customHeight="1">
      <c r="A331" s="4" t="s">
        <v>378</v>
      </c>
      <c r="B331" s="4" t="s">
        <v>346</v>
      </c>
      <c r="C331" s="4" t="s">
        <v>49</v>
      </c>
      <c r="D331" s="6">
        <v>3</v>
      </c>
      <c r="E331" s="4" t="s">
        <v>367</v>
      </c>
      <c r="F331" s="4" t="s">
        <v>130</v>
      </c>
      <c r="G331" s="5"/>
      <c r="H331" s="5"/>
      <c r="I331" s="5"/>
      <c r="J331" s="4" t="s">
        <v>1026</v>
      </c>
      <c r="K331" s="5"/>
      <c r="L331" s="4" t="s">
        <v>558</v>
      </c>
    </row>
    <row r="332" spans="1:12" ht="31" customHeight="1">
      <c r="A332" s="4" t="s">
        <v>378</v>
      </c>
      <c r="B332" s="4" t="s">
        <v>346</v>
      </c>
      <c r="C332" s="4" t="s">
        <v>40</v>
      </c>
      <c r="D332" s="6">
        <v>3</v>
      </c>
      <c r="E332" s="4" t="s">
        <v>965</v>
      </c>
      <c r="F332" s="4" t="s">
        <v>966</v>
      </c>
      <c r="G332" s="5"/>
      <c r="H332" s="5"/>
      <c r="I332" s="5"/>
      <c r="J332" s="4" t="s">
        <v>1027</v>
      </c>
      <c r="K332" s="5"/>
      <c r="L332" s="4" t="s">
        <v>558</v>
      </c>
    </row>
    <row r="333" spans="1:12" ht="31" customHeight="1">
      <c r="A333" s="4" t="s">
        <v>378</v>
      </c>
      <c r="B333" s="4" t="s">
        <v>346</v>
      </c>
      <c r="C333" s="4" t="s">
        <v>41</v>
      </c>
      <c r="D333" s="6">
        <v>3</v>
      </c>
      <c r="E333" s="4" t="s">
        <v>965</v>
      </c>
      <c r="F333" s="4" t="s">
        <v>966</v>
      </c>
      <c r="G333" s="5"/>
      <c r="H333" s="5"/>
      <c r="I333" s="5"/>
      <c r="J333" s="4" t="s">
        <v>1028</v>
      </c>
      <c r="K333" s="5"/>
      <c r="L333" s="4" t="s">
        <v>558</v>
      </c>
    </row>
    <row r="334" spans="1:12" ht="31" customHeight="1">
      <c r="A334" s="4" t="s">
        <v>378</v>
      </c>
      <c r="B334" s="4" t="s">
        <v>346</v>
      </c>
      <c r="C334" s="4" t="s">
        <v>42</v>
      </c>
      <c r="D334" s="6">
        <v>3</v>
      </c>
      <c r="E334" s="4" t="s">
        <v>965</v>
      </c>
      <c r="F334" s="4" t="s">
        <v>966</v>
      </c>
      <c r="G334" s="5"/>
      <c r="H334" s="5"/>
      <c r="I334" s="5"/>
      <c r="J334" s="4" t="s">
        <v>1029</v>
      </c>
      <c r="K334" s="5"/>
      <c r="L334" s="4" t="s">
        <v>558</v>
      </c>
    </row>
    <row r="335" spans="1:12" ht="31" customHeight="1">
      <c r="A335" s="4" t="s">
        <v>378</v>
      </c>
      <c r="B335" s="4" t="s">
        <v>346</v>
      </c>
      <c r="C335" s="4" t="s">
        <v>43</v>
      </c>
      <c r="D335" s="6">
        <v>2</v>
      </c>
      <c r="E335" s="4" t="s">
        <v>965</v>
      </c>
      <c r="F335" s="4" t="s">
        <v>966</v>
      </c>
      <c r="G335" s="5"/>
      <c r="H335" s="5"/>
      <c r="I335" s="5"/>
      <c r="J335" s="4" t="s">
        <v>1030</v>
      </c>
      <c r="K335" s="5"/>
      <c r="L335" s="4" t="s">
        <v>558</v>
      </c>
    </row>
    <row r="336" spans="1:12" ht="31" customHeight="1">
      <c r="A336" s="4" t="s">
        <v>378</v>
      </c>
      <c r="B336" s="4" t="s">
        <v>346</v>
      </c>
      <c r="C336" s="4" t="s">
        <v>44</v>
      </c>
      <c r="D336" s="6">
        <v>2</v>
      </c>
      <c r="E336" s="4" t="s">
        <v>965</v>
      </c>
      <c r="F336" s="4" t="s">
        <v>966</v>
      </c>
      <c r="G336" s="5"/>
      <c r="H336" s="5"/>
      <c r="I336" s="5"/>
      <c r="J336" s="4" t="s">
        <v>1031</v>
      </c>
      <c r="K336" s="5"/>
      <c r="L336" s="4" t="s">
        <v>558</v>
      </c>
    </row>
    <row r="337" spans="1:12" ht="31" customHeight="1">
      <c r="A337" s="4" t="s">
        <v>378</v>
      </c>
      <c r="B337" s="4" t="s">
        <v>346</v>
      </c>
      <c r="C337" s="4" t="s">
        <v>45</v>
      </c>
      <c r="D337" s="6">
        <v>1</v>
      </c>
      <c r="E337" s="4" t="s">
        <v>965</v>
      </c>
      <c r="F337" s="4" t="s">
        <v>966</v>
      </c>
      <c r="G337" s="5"/>
      <c r="H337" s="5"/>
      <c r="I337" s="5"/>
      <c r="J337" s="4" t="s">
        <v>1032</v>
      </c>
      <c r="K337" s="5"/>
      <c r="L337" s="4" t="s">
        <v>558</v>
      </c>
    </row>
    <row r="338" spans="1:12" ht="31" customHeight="1">
      <c r="A338" s="4" t="s">
        <v>378</v>
      </c>
      <c r="B338" s="4" t="s">
        <v>346</v>
      </c>
      <c r="C338" s="4" t="s">
        <v>46</v>
      </c>
      <c r="D338" s="6">
        <v>0</v>
      </c>
      <c r="E338" s="4" t="s">
        <v>965</v>
      </c>
      <c r="F338" s="4" t="s">
        <v>966</v>
      </c>
      <c r="G338" s="5"/>
      <c r="H338" s="5"/>
      <c r="I338" s="5"/>
      <c r="J338" s="4" t="s">
        <v>1013</v>
      </c>
      <c r="K338" s="5"/>
      <c r="L338" s="4" t="s">
        <v>558</v>
      </c>
    </row>
    <row r="339" spans="1:12" ht="31" customHeight="1">
      <c r="A339" s="4" t="s">
        <v>378</v>
      </c>
      <c r="B339" s="4" t="s">
        <v>346</v>
      </c>
      <c r="C339" s="4" t="s">
        <v>47</v>
      </c>
      <c r="D339" s="6">
        <v>1</v>
      </c>
      <c r="E339" s="4" t="s">
        <v>965</v>
      </c>
      <c r="F339" s="4" t="s">
        <v>966</v>
      </c>
      <c r="G339" s="5"/>
      <c r="H339" s="5"/>
      <c r="I339" s="5"/>
      <c r="J339" s="4" t="s">
        <v>1033</v>
      </c>
      <c r="K339" s="5"/>
      <c r="L339" s="4" t="s">
        <v>558</v>
      </c>
    </row>
    <row r="340" spans="1:12" ht="31" customHeight="1">
      <c r="A340" s="4" t="s">
        <v>378</v>
      </c>
      <c r="B340" s="4" t="s">
        <v>346</v>
      </c>
      <c r="C340" s="4" t="s">
        <v>48</v>
      </c>
      <c r="D340" s="6">
        <v>3</v>
      </c>
      <c r="E340" s="4" t="s">
        <v>965</v>
      </c>
      <c r="F340" s="4" t="s">
        <v>966</v>
      </c>
      <c r="G340" s="5"/>
      <c r="H340" s="5"/>
      <c r="I340" s="5"/>
      <c r="J340" s="4" t="s">
        <v>1034</v>
      </c>
      <c r="K340" s="5"/>
      <c r="L340" s="4" t="s">
        <v>558</v>
      </c>
    </row>
    <row r="341" spans="1:12" ht="31" customHeight="1">
      <c r="A341" s="4" t="s">
        <v>378</v>
      </c>
      <c r="B341" s="4" t="s">
        <v>346</v>
      </c>
      <c r="C341" s="4" t="s">
        <v>49</v>
      </c>
      <c r="D341" s="6">
        <v>3</v>
      </c>
      <c r="E341" s="4" t="s">
        <v>965</v>
      </c>
      <c r="F341" s="4" t="s">
        <v>966</v>
      </c>
      <c r="G341" s="5"/>
      <c r="H341" s="5"/>
      <c r="I341" s="5"/>
      <c r="J341" s="4" t="s">
        <v>1035</v>
      </c>
      <c r="K341" s="5"/>
      <c r="L341" s="4" t="s">
        <v>558</v>
      </c>
    </row>
    <row r="342" spans="1:12" ht="31" customHeight="1">
      <c r="A342" s="4" t="s">
        <v>381</v>
      </c>
      <c r="B342" s="4" t="s">
        <v>346</v>
      </c>
      <c r="C342" s="4" t="s">
        <v>40</v>
      </c>
      <c r="D342" s="6">
        <v>3</v>
      </c>
      <c r="E342" s="4" t="s">
        <v>367</v>
      </c>
      <c r="F342" s="4" t="s">
        <v>130</v>
      </c>
      <c r="G342" s="5"/>
      <c r="H342" s="5"/>
      <c r="I342" s="5"/>
      <c r="J342" s="4" t="s">
        <v>1036</v>
      </c>
      <c r="K342" s="5"/>
      <c r="L342" s="4" t="s">
        <v>558</v>
      </c>
    </row>
    <row r="343" spans="1:12" ht="31" customHeight="1">
      <c r="A343" s="4" t="s">
        <v>381</v>
      </c>
      <c r="B343" s="4" t="s">
        <v>346</v>
      </c>
      <c r="C343" s="4" t="s">
        <v>41</v>
      </c>
      <c r="D343" s="6">
        <v>2</v>
      </c>
      <c r="E343" s="4" t="s">
        <v>367</v>
      </c>
      <c r="F343" s="4" t="s">
        <v>130</v>
      </c>
      <c r="G343" s="5"/>
      <c r="H343" s="5"/>
      <c r="I343" s="5"/>
      <c r="J343" s="4" t="s">
        <v>1037</v>
      </c>
      <c r="K343" s="5"/>
      <c r="L343" s="4" t="s">
        <v>558</v>
      </c>
    </row>
    <row r="344" spans="1:12" ht="31" customHeight="1">
      <c r="A344" s="4" t="s">
        <v>381</v>
      </c>
      <c r="B344" s="4" t="s">
        <v>346</v>
      </c>
      <c r="C344" s="4" t="s">
        <v>42</v>
      </c>
      <c r="D344" s="6">
        <v>1</v>
      </c>
      <c r="E344" s="4" t="s">
        <v>367</v>
      </c>
      <c r="F344" s="4" t="s">
        <v>130</v>
      </c>
      <c r="G344" s="5"/>
      <c r="H344" s="5"/>
      <c r="I344" s="5"/>
      <c r="J344" s="4" t="s">
        <v>1038</v>
      </c>
      <c r="K344" s="5"/>
      <c r="L344" s="4" t="s">
        <v>558</v>
      </c>
    </row>
    <row r="345" spans="1:12" ht="31" customHeight="1">
      <c r="A345" s="4" t="s">
        <v>381</v>
      </c>
      <c r="B345" s="4" t="s">
        <v>346</v>
      </c>
      <c r="C345" s="4" t="s">
        <v>43</v>
      </c>
      <c r="D345" s="6">
        <v>2</v>
      </c>
      <c r="E345" s="4" t="s">
        <v>367</v>
      </c>
      <c r="F345" s="4" t="s">
        <v>130</v>
      </c>
      <c r="G345" s="5"/>
      <c r="H345" s="5"/>
      <c r="I345" s="5"/>
      <c r="J345" s="4" t="s">
        <v>1039</v>
      </c>
      <c r="K345" s="5"/>
      <c r="L345" s="4" t="s">
        <v>558</v>
      </c>
    </row>
    <row r="346" spans="1:12" ht="31" customHeight="1">
      <c r="A346" s="4" t="s">
        <v>381</v>
      </c>
      <c r="B346" s="4" t="s">
        <v>346</v>
      </c>
      <c r="C346" s="4" t="s">
        <v>44</v>
      </c>
      <c r="D346" s="6">
        <v>0</v>
      </c>
      <c r="E346" s="4" t="s">
        <v>367</v>
      </c>
      <c r="F346" s="4" t="s">
        <v>130</v>
      </c>
      <c r="G346" s="5"/>
      <c r="H346" s="5"/>
      <c r="I346" s="5"/>
      <c r="J346" s="4" t="s">
        <v>1040</v>
      </c>
      <c r="K346" s="5"/>
      <c r="L346" s="4" t="s">
        <v>558</v>
      </c>
    </row>
    <row r="347" spans="1:12" ht="31" customHeight="1">
      <c r="A347" s="4" t="s">
        <v>381</v>
      </c>
      <c r="B347" s="4" t="s">
        <v>346</v>
      </c>
      <c r="C347" s="4" t="s">
        <v>45</v>
      </c>
      <c r="D347" s="6">
        <v>0</v>
      </c>
      <c r="E347" s="4" t="s">
        <v>367</v>
      </c>
      <c r="F347" s="4" t="s">
        <v>130</v>
      </c>
      <c r="G347" s="5"/>
      <c r="H347" s="5"/>
      <c r="I347" s="5"/>
      <c r="J347" s="4" t="s">
        <v>1041</v>
      </c>
      <c r="K347" s="5"/>
      <c r="L347" s="4" t="s">
        <v>558</v>
      </c>
    </row>
    <row r="348" spans="1:12" ht="31" customHeight="1">
      <c r="A348" s="4" t="s">
        <v>381</v>
      </c>
      <c r="B348" s="4" t="s">
        <v>346</v>
      </c>
      <c r="C348" s="4" t="s">
        <v>46</v>
      </c>
      <c r="D348" s="6">
        <v>0</v>
      </c>
      <c r="E348" s="4" t="s">
        <v>367</v>
      </c>
      <c r="F348" s="4" t="s">
        <v>130</v>
      </c>
      <c r="G348" s="5"/>
      <c r="H348" s="5"/>
      <c r="I348" s="5"/>
      <c r="J348" s="4" t="s">
        <v>1042</v>
      </c>
      <c r="K348" s="5"/>
      <c r="L348" s="4" t="s">
        <v>558</v>
      </c>
    </row>
    <row r="349" spans="1:12" ht="31" customHeight="1">
      <c r="A349" s="4" t="s">
        <v>381</v>
      </c>
      <c r="B349" s="4" t="s">
        <v>346</v>
      </c>
      <c r="C349" s="4" t="s">
        <v>47</v>
      </c>
      <c r="D349" s="6">
        <v>0</v>
      </c>
      <c r="E349" s="4" t="s">
        <v>367</v>
      </c>
      <c r="F349" s="4" t="s">
        <v>130</v>
      </c>
      <c r="G349" s="5"/>
      <c r="H349" s="5"/>
      <c r="I349" s="5"/>
      <c r="J349" s="4" t="s">
        <v>1043</v>
      </c>
      <c r="K349" s="5"/>
      <c r="L349" s="4" t="s">
        <v>558</v>
      </c>
    </row>
    <row r="350" spans="1:12" ht="31" customHeight="1">
      <c r="A350" s="4" t="s">
        <v>381</v>
      </c>
      <c r="B350" s="4" t="s">
        <v>346</v>
      </c>
      <c r="C350" s="4" t="s">
        <v>48</v>
      </c>
      <c r="D350" s="6">
        <v>3</v>
      </c>
      <c r="E350" s="4" t="s">
        <v>367</v>
      </c>
      <c r="F350" s="4" t="s">
        <v>130</v>
      </c>
      <c r="G350" s="5"/>
      <c r="H350" s="5"/>
      <c r="I350" s="5"/>
      <c r="J350" s="4" t="s">
        <v>1044</v>
      </c>
      <c r="K350" s="5"/>
      <c r="L350" s="4" t="s">
        <v>558</v>
      </c>
    </row>
    <row r="351" spans="1:12" ht="31" customHeight="1">
      <c r="A351" s="4" t="s">
        <v>381</v>
      </c>
      <c r="B351" s="4" t="s">
        <v>346</v>
      </c>
      <c r="C351" s="4" t="s">
        <v>49</v>
      </c>
      <c r="D351" s="6">
        <v>3</v>
      </c>
      <c r="E351" s="4" t="s">
        <v>367</v>
      </c>
      <c r="F351" s="4" t="s">
        <v>130</v>
      </c>
      <c r="G351" s="5"/>
      <c r="H351" s="5"/>
      <c r="I351" s="5"/>
      <c r="J351" s="4" t="s">
        <v>1045</v>
      </c>
      <c r="K351" s="5"/>
      <c r="L351" s="4" t="s">
        <v>558</v>
      </c>
    </row>
    <row r="352" spans="1:12" ht="31" customHeight="1">
      <c r="A352" s="4" t="s">
        <v>381</v>
      </c>
      <c r="B352" s="4" t="s">
        <v>346</v>
      </c>
      <c r="C352" s="4" t="s">
        <v>40</v>
      </c>
      <c r="D352" s="6">
        <v>3</v>
      </c>
      <c r="E352" s="4" t="s">
        <v>965</v>
      </c>
      <c r="F352" s="4" t="s">
        <v>966</v>
      </c>
      <c r="G352" s="5"/>
      <c r="H352" s="5"/>
      <c r="I352" s="5"/>
      <c r="J352" s="4" t="s">
        <v>1046</v>
      </c>
      <c r="K352" s="5"/>
      <c r="L352" s="4" t="s">
        <v>558</v>
      </c>
    </row>
    <row r="353" spans="1:12" ht="31" customHeight="1">
      <c r="A353" s="4" t="s">
        <v>381</v>
      </c>
      <c r="B353" s="4" t="s">
        <v>346</v>
      </c>
      <c r="C353" s="4" t="s">
        <v>41</v>
      </c>
      <c r="D353" s="6">
        <v>3</v>
      </c>
      <c r="E353" s="4" t="s">
        <v>965</v>
      </c>
      <c r="F353" s="4" t="s">
        <v>966</v>
      </c>
      <c r="G353" s="5"/>
      <c r="H353" s="5"/>
      <c r="I353" s="5"/>
      <c r="J353" s="4" t="s">
        <v>1047</v>
      </c>
      <c r="K353" s="5"/>
      <c r="L353" s="4" t="s">
        <v>558</v>
      </c>
    </row>
    <row r="354" spans="1:12" ht="31" customHeight="1">
      <c r="A354" s="4" t="s">
        <v>381</v>
      </c>
      <c r="B354" s="4" t="s">
        <v>346</v>
      </c>
      <c r="C354" s="4" t="s">
        <v>42</v>
      </c>
      <c r="D354" s="6">
        <v>1</v>
      </c>
      <c r="E354" s="4" t="s">
        <v>965</v>
      </c>
      <c r="F354" s="4" t="s">
        <v>966</v>
      </c>
      <c r="G354" s="5"/>
      <c r="H354" s="5"/>
      <c r="I354" s="5"/>
      <c r="J354" s="4" t="s">
        <v>1048</v>
      </c>
      <c r="K354" s="5"/>
      <c r="L354" s="4" t="s">
        <v>558</v>
      </c>
    </row>
    <row r="355" spans="1:12" ht="31" customHeight="1">
      <c r="A355" s="4" t="s">
        <v>381</v>
      </c>
      <c r="B355" s="4" t="s">
        <v>346</v>
      </c>
      <c r="C355" s="4" t="s">
        <v>43</v>
      </c>
      <c r="D355" s="6">
        <v>2</v>
      </c>
      <c r="E355" s="4" t="s">
        <v>965</v>
      </c>
      <c r="F355" s="4" t="s">
        <v>966</v>
      </c>
      <c r="G355" s="5"/>
      <c r="H355" s="5"/>
      <c r="I355" s="5"/>
      <c r="J355" s="4" t="s">
        <v>1049</v>
      </c>
      <c r="K355" s="5"/>
      <c r="L355" s="4" t="s">
        <v>558</v>
      </c>
    </row>
    <row r="356" spans="1:12" ht="31" customHeight="1">
      <c r="A356" s="4" t="s">
        <v>381</v>
      </c>
      <c r="B356" s="4" t="s">
        <v>346</v>
      </c>
      <c r="C356" s="4" t="s">
        <v>44</v>
      </c>
      <c r="D356" s="6">
        <v>2</v>
      </c>
      <c r="E356" s="4" t="s">
        <v>965</v>
      </c>
      <c r="F356" s="4" t="s">
        <v>966</v>
      </c>
      <c r="G356" s="5"/>
      <c r="H356" s="5"/>
      <c r="I356" s="5"/>
      <c r="J356" s="4" t="s">
        <v>1050</v>
      </c>
      <c r="K356" s="5"/>
      <c r="L356" s="4" t="s">
        <v>558</v>
      </c>
    </row>
    <row r="357" spans="1:12" ht="31" customHeight="1">
      <c r="A357" s="4" t="s">
        <v>381</v>
      </c>
      <c r="B357" s="4" t="s">
        <v>346</v>
      </c>
      <c r="C357" s="4" t="s">
        <v>45</v>
      </c>
      <c r="D357" s="6">
        <v>1</v>
      </c>
      <c r="E357" s="4" t="s">
        <v>965</v>
      </c>
      <c r="F357" s="4" t="s">
        <v>966</v>
      </c>
      <c r="G357" s="5"/>
      <c r="H357" s="5"/>
      <c r="I357" s="5"/>
      <c r="J357" s="4" t="s">
        <v>1051</v>
      </c>
      <c r="K357" s="5"/>
      <c r="L357" s="4" t="s">
        <v>558</v>
      </c>
    </row>
    <row r="358" spans="1:12" ht="31" customHeight="1">
      <c r="A358" s="4" t="s">
        <v>381</v>
      </c>
      <c r="B358" s="4" t="s">
        <v>346</v>
      </c>
      <c r="C358" s="4" t="s">
        <v>46</v>
      </c>
      <c r="D358" s="6">
        <v>0</v>
      </c>
      <c r="E358" s="4" t="s">
        <v>965</v>
      </c>
      <c r="F358" s="4" t="s">
        <v>966</v>
      </c>
      <c r="G358" s="5"/>
      <c r="H358" s="5"/>
      <c r="I358" s="5"/>
      <c r="J358" s="4" t="s">
        <v>1013</v>
      </c>
      <c r="K358" s="5"/>
      <c r="L358" s="4" t="s">
        <v>558</v>
      </c>
    </row>
    <row r="359" spans="1:12" ht="31" customHeight="1">
      <c r="A359" s="4" t="s">
        <v>381</v>
      </c>
      <c r="B359" s="4" t="s">
        <v>346</v>
      </c>
      <c r="C359" s="4" t="s">
        <v>47</v>
      </c>
      <c r="D359" s="6">
        <v>1</v>
      </c>
      <c r="E359" s="4" t="s">
        <v>965</v>
      </c>
      <c r="F359" s="4" t="s">
        <v>966</v>
      </c>
      <c r="G359" s="5"/>
      <c r="H359" s="5"/>
      <c r="I359" s="5"/>
      <c r="J359" s="4" t="s">
        <v>1052</v>
      </c>
      <c r="K359" s="5"/>
      <c r="L359" s="4" t="s">
        <v>558</v>
      </c>
    </row>
    <row r="360" spans="1:12" ht="31" customHeight="1">
      <c r="A360" s="4" t="s">
        <v>381</v>
      </c>
      <c r="B360" s="4" t="s">
        <v>346</v>
      </c>
      <c r="C360" s="4" t="s">
        <v>48</v>
      </c>
      <c r="D360" s="6">
        <v>3</v>
      </c>
      <c r="E360" s="4" t="s">
        <v>965</v>
      </c>
      <c r="F360" s="4" t="s">
        <v>966</v>
      </c>
      <c r="G360" s="5"/>
      <c r="H360" s="5"/>
      <c r="I360" s="5"/>
      <c r="J360" s="4" t="s">
        <v>1053</v>
      </c>
      <c r="K360" s="5"/>
      <c r="L360" s="4" t="s">
        <v>558</v>
      </c>
    </row>
    <row r="361" spans="1:12" ht="31" customHeight="1">
      <c r="A361" s="4" t="s">
        <v>381</v>
      </c>
      <c r="B361" s="4" t="s">
        <v>346</v>
      </c>
      <c r="C361" s="4" t="s">
        <v>49</v>
      </c>
      <c r="D361" s="6">
        <v>2</v>
      </c>
      <c r="E361" s="4" t="s">
        <v>965</v>
      </c>
      <c r="F361" s="4" t="s">
        <v>966</v>
      </c>
      <c r="G361" s="5"/>
      <c r="H361" s="5"/>
      <c r="I361" s="5"/>
      <c r="J361" s="4" t="s">
        <v>1054</v>
      </c>
      <c r="K361" s="5"/>
      <c r="L361" s="4" t="s">
        <v>558</v>
      </c>
    </row>
    <row r="362" spans="1:12" ht="31" customHeight="1">
      <c r="A362" s="4" t="s">
        <v>236</v>
      </c>
      <c r="B362" s="4" t="s">
        <v>237</v>
      </c>
      <c r="C362" s="4" t="s">
        <v>40</v>
      </c>
      <c r="D362" s="4" t="s">
        <v>1055</v>
      </c>
      <c r="E362" s="4" t="s">
        <v>239</v>
      </c>
      <c r="F362" s="4" t="s">
        <v>130</v>
      </c>
      <c r="G362" s="4" t="s">
        <v>240</v>
      </c>
      <c r="H362" s="4" t="s">
        <v>1056</v>
      </c>
      <c r="I362" s="4" t="s">
        <v>241</v>
      </c>
      <c r="J362" s="4" t="s">
        <v>1057</v>
      </c>
      <c r="K362" s="4" t="s">
        <v>1058</v>
      </c>
      <c r="L362" s="4" t="s">
        <v>558</v>
      </c>
    </row>
    <row r="363" spans="1:12" ht="31" customHeight="1">
      <c r="A363" s="4" t="s">
        <v>236</v>
      </c>
      <c r="B363" s="4" t="s">
        <v>237</v>
      </c>
      <c r="C363" s="4" t="s">
        <v>41</v>
      </c>
      <c r="D363" s="4" t="s">
        <v>1055</v>
      </c>
      <c r="E363" s="4" t="s">
        <v>239</v>
      </c>
      <c r="F363" s="4" t="s">
        <v>130</v>
      </c>
      <c r="G363" s="4" t="s">
        <v>240</v>
      </c>
      <c r="H363" s="4" t="s">
        <v>1056</v>
      </c>
      <c r="I363" s="4" t="s">
        <v>241</v>
      </c>
      <c r="J363" s="4" t="s">
        <v>1057</v>
      </c>
      <c r="K363" s="4" t="s">
        <v>1058</v>
      </c>
      <c r="L363" s="4" t="s">
        <v>558</v>
      </c>
    </row>
    <row r="364" spans="1:12" ht="31" customHeight="1">
      <c r="A364" s="4" t="s">
        <v>236</v>
      </c>
      <c r="B364" s="4" t="s">
        <v>237</v>
      </c>
      <c r="C364" s="4" t="s">
        <v>42</v>
      </c>
      <c r="D364" s="4" t="s">
        <v>1055</v>
      </c>
      <c r="E364" s="4" t="s">
        <v>239</v>
      </c>
      <c r="F364" s="4" t="s">
        <v>130</v>
      </c>
      <c r="G364" s="4" t="s">
        <v>240</v>
      </c>
      <c r="H364" s="4" t="s">
        <v>1056</v>
      </c>
      <c r="I364" s="4" t="s">
        <v>241</v>
      </c>
      <c r="J364" s="4" t="s">
        <v>1057</v>
      </c>
      <c r="K364" s="4" t="s">
        <v>1058</v>
      </c>
      <c r="L364" s="4" t="s">
        <v>558</v>
      </c>
    </row>
    <row r="365" spans="1:12" ht="31" customHeight="1">
      <c r="A365" s="4" t="s">
        <v>236</v>
      </c>
      <c r="B365" s="4" t="s">
        <v>237</v>
      </c>
      <c r="C365" s="4" t="s">
        <v>43</v>
      </c>
      <c r="D365" s="4" t="s">
        <v>1055</v>
      </c>
      <c r="E365" s="4" t="s">
        <v>239</v>
      </c>
      <c r="F365" s="4" t="s">
        <v>130</v>
      </c>
      <c r="G365" s="4" t="s">
        <v>240</v>
      </c>
      <c r="H365" s="4" t="s">
        <v>1056</v>
      </c>
      <c r="I365" s="4" t="s">
        <v>241</v>
      </c>
      <c r="J365" s="4" t="s">
        <v>1057</v>
      </c>
      <c r="K365" s="4" t="s">
        <v>1058</v>
      </c>
      <c r="L365" s="4" t="s">
        <v>558</v>
      </c>
    </row>
    <row r="366" spans="1:12" ht="31" customHeight="1">
      <c r="A366" s="4" t="s">
        <v>236</v>
      </c>
      <c r="B366" s="4" t="s">
        <v>237</v>
      </c>
      <c r="C366" s="4" t="s">
        <v>44</v>
      </c>
      <c r="D366" s="4" t="s">
        <v>1055</v>
      </c>
      <c r="E366" s="4" t="s">
        <v>239</v>
      </c>
      <c r="F366" s="4" t="s">
        <v>130</v>
      </c>
      <c r="G366" s="4" t="s">
        <v>240</v>
      </c>
      <c r="H366" s="4" t="s">
        <v>1056</v>
      </c>
      <c r="I366" s="4" t="s">
        <v>241</v>
      </c>
      <c r="J366" s="4" t="s">
        <v>1057</v>
      </c>
      <c r="K366" s="4" t="s">
        <v>1058</v>
      </c>
      <c r="L366" s="4" t="s">
        <v>558</v>
      </c>
    </row>
    <row r="367" spans="1:12" ht="31" customHeight="1">
      <c r="A367" s="4" t="s">
        <v>236</v>
      </c>
      <c r="B367" s="4" t="s">
        <v>237</v>
      </c>
      <c r="C367" s="4" t="s">
        <v>45</v>
      </c>
      <c r="D367" s="4" t="s">
        <v>1055</v>
      </c>
      <c r="E367" s="4" t="s">
        <v>239</v>
      </c>
      <c r="F367" s="4" t="s">
        <v>130</v>
      </c>
      <c r="G367" s="4" t="s">
        <v>240</v>
      </c>
      <c r="H367" s="4" t="s">
        <v>1056</v>
      </c>
      <c r="I367" s="4" t="s">
        <v>241</v>
      </c>
      <c r="J367" s="4" t="s">
        <v>1057</v>
      </c>
      <c r="K367" s="4" t="s">
        <v>1058</v>
      </c>
      <c r="L367" s="4" t="s">
        <v>558</v>
      </c>
    </row>
    <row r="368" spans="1:12" ht="31" customHeight="1">
      <c r="A368" s="4" t="s">
        <v>236</v>
      </c>
      <c r="B368" s="4" t="s">
        <v>237</v>
      </c>
      <c r="C368" s="4" t="s">
        <v>46</v>
      </c>
      <c r="D368" s="4" t="s">
        <v>1055</v>
      </c>
      <c r="E368" s="4" t="s">
        <v>239</v>
      </c>
      <c r="F368" s="4" t="s">
        <v>130</v>
      </c>
      <c r="G368" s="4" t="s">
        <v>240</v>
      </c>
      <c r="H368" s="4" t="s">
        <v>1056</v>
      </c>
      <c r="I368" s="4" t="s">
        <v>241</v>
      </c>
      <c r="J368" s="4" t="s">
        <v>1057</v>
      </c>
      <c r="K368" s="4" t="s">
        <v>1058</v>
      </c>
      <c r="L368" s="4" t="s">
        <v>558</v>
      </c>
    </row>
    <row r="369" spans="1:12" ht="31" customHeight="1">
      <c r="A369" s="4" t="s">
        <v>236</v>
      </c>
      <c r="B369" s="4" t="s">
        <v>237</v>
      </c>
      <c r="C369" s="4" t="s">
        <v>47</v>
      </c>
      <c r="D369" s="4" t="s">
        <v>1055</v>
      </c>
      <c r="E369" s="4" t="s">
        <v>239</v>
      </c>
      <c r="F369" s="4" t="s">
        <v>130</v>
      </c>
      <c r="G369" s="4" t="s">
        <v>240</v>
      </c>
      <c r="H369" s="4" t="s">
        <v>1056</v>
      </c>
      <c r="I369" s="4" t="s">
        <v>241</v>
      </c>
      <c r="J369" s="4" t="s">
        <v>1057</v>
      </c>
      <c r="K369" s="4" t="s">
        <v>1058</v>
      </c>
      <c r="L369" s="4" t="s">
        <v>558</v>
      </c>
    </row>
    <row r="370" spans="1:12" ht="31" customHeight="1">
      <c r="A370" s="4" t="s">
        <v>236</v>
      </c>
      <c r="B370" s="4" t="s">
        <v>237</v>
      </c>
      <c r="C370" s="4" t="s">
        <v>48</v>
      </c>
      <c r="D370" s="4" t="s">
        <v>1055</v>
      </c>
      <c r="E370" s="4" t="s">
        <v>239</v>
      </c>
      <c r="F370" s="4" t="s">
        <v>130</v>
      </c>
      <c r="G370" s="4" t="s">
        <v>240</v>
      </c>
      <c r="H370" s="4" t="s">
        <v>1056</v>
      </c>
      <c r="I370" s="4" t="s">
        <v>241</v>
      </c>
      <c r="J370" s="4" t="s">
        <v>1057</v>
      </c>
      <c r="K370" s="4" t="s">
        <v>1058</v>
      </c>
      <c r="L370" s="4" t="s">
        <v>558</v>
      </c>
    </row>
    <row r="371" spans="1:12" ht="31" customHeight="1">
      <c r="A371" s="4" t="s">
        <v>236</v>
      </c>
      <c r="B371" s="4" t="s">
        <v>237</v>
      </c>
      <c r="C371" s="4" t="s">
        <v>49</v>
      </c>
      <c r="D371" s="4" t="s">
        <v>1055</v>
      </c>
      <c r="E371" s="4" t="s">
        <v>239</v>
      </c>
      <c r="F371" s="4" t="s">
        <v>130</v>
      </c>
      <c r="G371" s="4" t="s">
        <v>240</v>
      </c>
      <c r="H371" s="4" t="s">
        <v>1056</v>
      </c>
      <c r="I371" s="4" t="s">
        <v>241</v>
      </c>
      <c r="J371" s="4" t="s">
        <v>1057</v>
      </c>
      <c r="K371" s="4" t="s">
        <v>1058</v>
      </c>
      <c r="L371" s="4" t="s">
        <v>558</v>
      </c>
    </row>
    <row r="372" spans="1:12" ht="31" customHeight="1">
      <c r="A372" s="4" t="s">
        <v>252</v>
      </c>
      <c r="B372" s="4" t="s">
        <v>237</v>
      </c>
      <c r="C372" s="4" t="s">
        <v>40</v>
      </c>
      <c r="D372" s="6">
        <v>3</v>
      </c>
      <c r="E372" s="4" t="s">
        <v>239</v>
      </c>
      <c r="F372" s="4" t="s">
        <v>113</v>
      </c>
      <c r="G372" s="4" t="s">
        <v>253</v>
      </c>
      <c r="H372" s="4" t="s">
        <v>1059</v>
      </c>
      <c r="I372" s="4" t="s">
        <v>254</v>
      </c>
      <c r="J372" s="4" t="s">
        <v>1060</v>
      </c>
      <c r="K372" s="4" t="s">
        <v>1058</v>
      </c>
      <c r="L372" s="4" t="s">
        <v>558</v>
      </c>
    </row>
    <row r="373" spans="1:12" ht="31" customHeight="1">
      <c r="A373" s="4" t="s">
        <v>252</v>
      </c>
      <c r="B373" s="4" t="s">
        <v>237</v>
      </c>
      <c r="C373" s="4" t="s">
        <v>41</v>
      </c>
      <c r="D373" s="6">
        <v>3</v>
      </c>
      <c r="E373" s="4" t="s">
        <v>239</v>
      </c>
      <c r="F373" s="4" t="s">
        <v>113</v>
      </c>
      <c r="G373" s="4" t="s">
        <v>253</v>
      </c>
      <c r="H373" s="4" t="s">
        <v>1059</v>
      </c>
      <c r="I373" s="4" t="s">
        <v>254</v>
      </c>
      <c r="J373" s="4" t="s">
        <v>1061</v>
      </c>
      <c r="K373" s="4" t="s">
        <v>1058</v>
      </c>
      <c r="L373" s="4" t="s">
        <v>558</v>
      </c>
    </row>
    <row r="374" spans="1:12" ht="31" customHeight="1">
      <c r="A374" s="4" t="s">
        <v>252</v>
      </c>
      <c r="B374" s="4" t="s">
        <v>237</v>
      </c>
      <c r="C374" s="4" t="s">
        <v>42</v>
      </c>
      <c r="D374" s="6">
        <v>2</v>
      </c>
      <c r="E374" s="4" t="s">
        <v>239</v>
      </c>
      <c r="F374" s="4" t="s">
        <v>113</v>
      </c>
      <c r="G374" s="4" t="s">
        <v>253</v>
      </c>
      <c r="H374" s="4" t="s">
        <v>1059</v>
      </c>
      <c r="I374" s="4" t="s">
        <v>254</v>
      </c>
      <c r="J374" s="4" t="s">
        <v>1062</v>
      </c>
      <c r="K374" s="4" t="s">
        <v>1058</v>
      </c>
      <c r="L374" s="4" t="s">
        <v>558</v>
      </c>
    </row>
    <row r="375" spans="1:12" ht="31" customHeight="1">
      <c r="A375" s="4" t="s">
        <v>252</v>
      </c>
      <c r="B375" s="4" t="s">
        <v>237</v>
      </c>
      <c r="C375" s="4" t="s">
        <v>43</v>
      </c>
      <c r="D375" s="6">
        <v>3</v>
      </c>
      <c r="E375" s="4" t="s">
        <v>239</v>
      </c>
      <c r="F375" s="4" t="s">
        <v>113</v>
      </c>
      <c r="G375" s="4" t="s">
        <v>253</v>
      </c>
      <c r="H375" s="4" t="s">
        <v>1059</v>
      </c>
      <c r="I375" s="4" t="s">
        <v>254</v>
      </c>
      <c r="J375" s="4" t="s">
        <v>1063</v>
      </c>
      <c r="K375" s="4" t="s">
        <v>1058</v>
      </c>
      <c r="L375" s="4" t="s">
        <v>558</v>
      </c>
    </row>
    <row r="376" spans="1:12" ht="31" customHeight="1">
      <c r="A376" s="4" t="s">
        <v>252</v>
      </c>
      <c r="B376" s="4" t="s">
        <v>237</v>
      </c>
      <c r="C376" s="4" t="s">
        <v>44</v>
      </c>
      <c r="D376" s="6">
        <v>2</v>
      </c>
      <c r="E376" s="4" t="s">
        <v>239</v>
      </c>
      <c r="F376" s="4" t="s">
        <v>113</v>
      </c>
      <c r="G376" s="4" t="s">
        <v>253</v>
      </c>
      <c r="H376" s="4" t="s">
        <v>1059</v>
      </c>
      <c r="I376" s="4" t="s">
        <v>254</v>
      </c>
      <c r="J376" s="4" t="s">
        <v>1064</v>
      </c>
      <c r="K376" s="4" t="s">
        <v>1058</v>
      </c>
      <c r="L376" s="4" t="s">
        <v>558</v>
      </c>
    </row>
    <row r="377" spans="1:12" ht="31" customHeight="1">
      <c r="A377" s="4" t="s">
        <v>252</v>
      </c>
      <c r="B377" s="4" t="s">
        <v>237</v>
      </c>
      <c r="C377" s="4" t="s">
        <v>45</v>
      </c>
      <c r="D377" s="6">
        <v>2</v>
      </c>
      <c r="E377" s="4" t="s">
        <v>239</v>
      </c>
      <c r="F377" s="4" t="s">
        <v>113</v>
      </c>
      <c r="G377" s="4" t="s">
        <v>253</v>
      </c>
      <c r="H377" s="4" t="s">
        <v>1059</v>
      </c>
      <c r="I377" s="4" t="s">
        <v>254</v>
      </c>
      <c r="J377" s="4" t="s">
        <v>1065</v>
      </c>
      <c r="K377" s="4" t="s">
        <v>1058</v>
      </c>
      <c r="L377" s="4" t="s">
        <v>558</v>
      </c>
    </row>
    <row r="378" spans="1:12" ht="31" customHeight="1">
      <c r="A378" s="4" t="s">
        <v>252</v>
      </c>
      <c r="B378" s="4" t="s">
        <v>237</v>
      </c>
      <c r="C378" s="4" t="s">
        <v>46</v>
      </c>
      <c r="D378" s="6">
        <v>0</v>
      </c>
      <c r="E378" s="4" t="s">
        <v>239</v>
      </c>
      <c r="F378" s="4" t="s">
        <v>113</v>
      </c>
      <c r="G378" s="4" t="s">
        <v>253</v>
      </c>
      <c r="H378" s="4" t="s">
        <v>1059</v>
      </c>
      <c r="I378" s="4" t="s">
        <v>254</v>
      </c>
      <c r="J378" s="4" t="s">
        <v>1066</v>
      </c>
      <c r="K378" s="4" t="s">
        <v>1058</v>
      </c>
      <c r="L378" s="4" t="s">
        <v>558</v>
      </c>
    </row>
    <row r="379" spans="1:12" ht="31" customHeight="1">
      <c r="A379" s="4" t="s">
        <v>252</v>
      </c>
      <c r="B379" s="4" t="s">
        <v>237</v>
      </c>
      <c r="C379" s="4" t="s">
        <v>47</v>
      </c>
      <c r="D379" s="6">
        <v>2</v>
      </c>
      <c r="E379" s="4" t="s">
        <v>239</v>
      </c>
      <c r="F379" s="4" t="s">
        <v>113</v>
      </c>
      <c r="G379" s="4" t="s">
        <v>253</v>
      </c>
      <c r="H379" s="4" t="s">
        <v>1059</v>
      </c>
      <c r="I379" s="4" t="s">
        <v>254</v>
      </c>
      <c r="J379" s="4" t="s">
        <v>1067</v>
      </c>
      <c r="K379" s="4" t="s">
        <v>1058</v>
      </c>
      <c r="L379" s="4" t="s">
        <v>558</v>
      </c>
    </row>
    <row r="380" spans="1:12" ht="31" customHeight="1">
      <c r="A380" s="4" t="s">
        <v>252</v>
      </c>
      <c r="B380" s="4" t="s">
        <v>237</v>
      </c>
      <c r="C380" s="4" t="s">
        <v>48</v>
      </c>
      <c r="D380" s="6">
        <v>2</v>
      </c>
      <c r="E380" s="4" t="s">
        <v>239</v>
      </c>
      <c r="F380" s="4" t="s">
        <v>113</v>
      </c>
      <c r="G380" s="4" t="s">
        <v>253</v>
      </c>
      <c r="H380" s="4" t="s">
        <v>1059</v>
      </c>
      <c r="I380" s="4" t="s">
        <v>254</v>
      </c>
      <c r="J380" s="4" t="s">
        <v>1068</v>
      </c>
      <c r="K380" s="4" t="s">
        <v>1058</v>
      </c>
      <c r="L380" s="4" t="s">
        <v>558</v>
      </c>
    </row>
    <row r="381" spans="1:12" ht="31" customHeight="1">
      <c r="A381" s="4" t="s">
        <v>252</v>
      </c>
      <c r="B381" s="4" t="s">
        <v>237</v>
      </c>
      <c r="C381" s="4" t="s">
        <v>49</v>
      </c>
      <c r="D381" s="6">
        <v>2</v>
      </c>
      <c r="E381" s="4" t="s">
        <v>239</v>
      </c>
      <c r="F381" s="4" t="s">
        <v>113</v>
      </c>
      <c r="G381" s="4" t="s">
        <v>253</v>
      </c>
      <c r="H381" s="4" t="s">
        <v>1059</v>
      </c>
      <c r="I381" s="4" t="s">
        <v>254</v>
      </c>
      <c r="J381" s="4" t="s">
        <v>1069</v>
      </c>
      <c r="K381" s="4" t="s">
        <v>1058</v>
      </c>
      <c r="L381" s="4" t="s">
        <v>558</v>
      </c>
    </row>
    <row r="382" spans="1:12" ht="31" customHeight="1">
      <c r="A382" s="4" t="s">
        <v>263</v>
      </c>
      <c r="B382" s="4" t="s">
        <v>237</v>
      </c>
      <c r="C382" s="4" t="s">
        <v>40</v>
      </c>
      <c r="D382" s="6">
        <v>3</v>
      </c>
      <c r="E382" s="4" t="s">
        <v>239</v>
      </c>
      <c r="F382" s="4" t="s">
        <v>113</v>
      </c>
      <c r="G382" s="4" t="s">
        <v>264</v>
      </c>
      <c r="H382" s="4" t="s">
        <v>1070</v>
      </c>
      <c r="I382" s="4" t="s">
        <v>254</v>
      </c>
      <c r="J382" s="4" t="s">
        <v>1060</v>
      </c>
      <c r="K382" s="4" t="s">
        <v>1058</v>
      </c>
      <c r="L382" s="4" t="s">
        <v>558</v>
      </c>
    </row>
    <row r="383" spans="1:12" ht="31" customHeight="1">
      <c r="A383" s="4" t="s">
        <v>263</v>
      </c>
      <c r="B383" s="4" t="s">
        <v>237</v>
      </c>
      <c r="C383" s="4" t="s">
        <v>41</v>
      </c>
      <c r="D383" s="6">
        <v>2</v>
      </c>
      <c r="E383" s="4" t="s">
        <v>239</v>
      </c>
      <c r="F383" s="4" t="s">
        <v>113</v>
      </c>
      <c r="G383" s="4" t="s">
        <v>264</v>
      </c>
      <c r="H383" s="4" t="s">
        <v>1070</v>
      </c>
      <c r="I383" s="4" t="s">
        <v>254</v>
      </c>
      <c r="J383" s="4" t="s">
        <v>1061</v>
      </c>
      <c r="K383" s="4" t="s">
        <v>1058</v>
      </c>
      <c r="L383" s="4" t="s">
        <v>558</v>
      </c>
    </row>
    <row r="384" spans="1:12" ht="31" customHeight="1">
      <c r="A384" s="4" t="s">
        <v>263</v>
      </c>
      <c r="B384" s="4" t="s">
        <v>237</v>
      </c>
      <c r="C384" s="4" t="s">
        <v>42</v>
      </c>
      <c r="D384" s="6">
        <v>2</v>
      </c>
      <c r="E384" s="4" t="s">
        <v>239</v>
      </c>
      <c r="F384" s="4" t="s">
        <v>113</v>
      </c>
      <c r="G384" s="4" t="s">
        <v>264</v>
      </c>
      <c r="H384" s="4" t="s">
        <v>1070</v>
      </c>
      <c r="I384" s="4" t="s">
        <v>254</v>
      </c>
      <c r="J384" s="4" t="s">
        <v>1062</v>
      </c>
      <c r="K384" s="4" t="s">
        <v>1058</v>
      </c>
      <c r="L384" s="4" t="s">
        <v>558</v>
      </c>
    </row>
    <row r="385" spans="1:12" ht="31" customHeight="1">
      <c r="A385" s="4" t="s">
        <v>263</v>
      </c>
      <c r="B385" s="4" t="s">
        <v>237</v>
      </c>
      <c r="C385" s="4" t="s">
        <v>43</v>
      </c>
      <c r="D385" s="6">
        <v>2</v>
      </c>
      <c r="E385" s="4" t="s">
        <v>239</v>
      </c>
      <c r="F385" s="4" t="s">
        <v>113</v>
      </c>
      <c r="G385" s="4" t="s">
        <v>264</v>
      </c>
      <c r="H385" s="4" t="s">
        <v>1070</v>
      </c>
      <c r="I385" s="4" t="s">
        <v>254</v>
      </c>
      <c r="J385" s="4" t="s">
        <v>1063</v>
      </c>
      <c r="K385" s="4" t="s">
        <v>1058</v>
      </c>
      <c r="L385" s="4" t="s">
        <v>558</v>
      </c>
    </row>
    <row r="386" spans="1:12" ht="31" customHeight="1">
      <c r="A386" s="4" t="s">
        <v>263</v>
      </c>
      <c r="B386" s="4" t="s">
        <v>237</v>
      </c>
      <c r="C386" s="4" t="s">
        <v>44</v>
      </c>
      <c r="D386" s="6">
        <v>1</v>
      </c>
      <c r="E386" s="4" t="s">
        <v>239</v>
      </c>
      <c r="F386" s="4" t="s">
        <v>113</v>
      </c>
      <c r="G386" s="4" t="s">
        <v>264</v>
      </c>
      <c r="H386" s="4" t="s">
        <v>1070</v>
      </c>
      <c r="I386" s="4" t="s">
        <v>254</v>
      </c>
      <c r="J386" s="4" t="s">
        <v>1064</v>
      </c>
      <c r="K386" s="4" t="s">
        <v>1058</v>
      </c>
      <c r="L386" s="4" t="s">
        <v>558</v>
      </c>
    </row>
    <row r="387" spans="1:12" ht="31" customHeight="1">
      <c r="A387" s="4" t="s">
        <v>263</v>
      </c>
      <c r="B387" s="4" t="s">
        <v>237</v>
      </c>
      <c r="C387" s="4" t="s">
        <v>45</v>
      </c>
      <c r="D387" s="6">
        <v>1</v>
      </c>
      <c r="E387" s="4" t="s">
        <v>239</v>
      </c>
      <c r="F387" s="4" t="s">
        <v>113</v>
      </c>
      <c r="G387" s="4" t="s">
        <v>264</v>
      </c>
      <c r="H387" s="4" t="s">
        <v>1070</v>
      </c>
      <c r="I387" s="4" t="s">
        <v>254</v>
      </c>
      <c r="J387" s="4" t="s">
        <v>1065</v>
      </c>
      <c r="K387" s="4" t="s">
        <v>1058</v>
      </c>
      <c r="L387" s="4" t="s">
        <v>558</v>
      </c>
    </row>
    <row r="388" spans="1:12" ht="31" customHeight="1">
      <c r="A388" s="4" t="s">
        <v>263</v>
      </c>
      <c r="B388" s="4" t="s">
        <v>237</v>
      </c>
      <c r="C388" s="4" t="s">
        <v>46</v>
      </c>
      <c r="D388" s="6">
        <v>0</v>
      </c>
      <c r="E388" s="4" t="s">
        <v>239</v>
      </c>
      <c r="F388" s="4" t="s">
        <v>113</v>
      </c>
      <c r="G388" s="4" t="s">
        <v>264</v>
      </c>
      <c r="H388" s="4" t="s">
        <v>1070</v>
      </c>
      <c r="I388" s="4" t="s">
        <v>254</v>
      </c>
      <c r="J388" s="4" t="s">
        <v>1066</v>
      </c>
      <c r="K388" s="4" t="s">
        <v>1058</v>
      </c>
      <c r="L388" s="4" t="s">
        <v>558</v>
      </c>
    </row>
    <row r="389" spans="1:12" ht="31" customHeight="1">
      <c r="A389" s="4" t="s">
        <v>263</v>
      </c>
      <c r="B389" s="4" t="s">
        <v>237</v>
      </c>
      <c r="C389" s="4" t="s">
        <v>47</v>
      </c>
      <c r="D389" s="6">
        <v>1</v>
      </c>
      <c r="E389" s="4" t="s">
        <v>239</v>
      </c>
      <c r="F389" s="4" t="s">
        <v>113</v>
      </c>
      <c r="G389" s="4" t="s">
        <v>264</v>
      </c>
      <c r="H389" s="4" t="s">
        <v>1070</v>
      </c>
      <c r="I389" s="4" t="s">
        <v>254</v>
      </c>
      <c r="J389" s="4" t="s">
        <v>1067</v>
      </c>
      <c r="K389" s="4" t="s">
        <v>1058</v>
      </c>
      <c r="L389" s="4" t="s">
        <v>558</v>
      </c>
    </row>
    <row r="390" spans="1:12" ht="31" customHeight="1">
      <c r="A390" s="4" t="s">
        <v>263</v>
      </c>
      <c r="B390" s="4" t="s">
        <v>237</v>
      </c>
      <c r="C390" s="4" t="s">
        <v>48</v>
      </c>
      <c r="D390" s="6">
        <v>2</v>
      </c>
      <c r="E390" s="4" t="s">
        <v>239</v>
      </c>
      <c r="F390" s="4" t="s">
        <v>113</v>
      </c>
      <c r="G390" s="4" t="s">
        <v>264</v>
      </c>
      <c r="H390" s="4" t="s">
        <v>1070</v>
      </c>
      <c r="I390" s="4" t="s">
        <v>254</v>
      </c>
      <c r="J390" s="4" t="s">
        <v>1068</v>
      </c>
      <c r="K390" s="4" t="s">
        <v>1058</v>
      </c>
      <c r="L390" s="4" t="s">
        <v>558</v>
      </c>
    </row>
    <row r="391" spans="1:12" ht="31" customHeight="1">
      <c r="A391" s="4" t="s">
        <v>263</v>
      </c>
      <c r="B391" s="4" t="s">
        <v>237</v>
      </c>
      <c r="C391" s="4" t="s">
        <v>49</v>
      </c>
      <c r="D391" s="6">
        <v>2</v>
      </c>
      <c r="E391" s="4" t="s">
        <v>239</v>
      </c>
      <c r="F391" s="4" t="s">
        <v>113</v>
      </c>
      <c r="G391" s="4" t="s">
        <v>264</v>
      </c>
      <c r="H391" s="4" t="s">
        <v>1070</v>
      </c>
      <c r="I391" s="4" t="s">
        <v>254</v>
      </c>
      <c r="J391" s="4" t="s">
        <v>1069</v>
      </c>
      <c r="K391" s="4" t="s">
        <v>1058</v>
      </c>
      <c r="L391" s="4" t="s">
        <v>558</v>
      </c>
    </row>
    <row r="392" spans="1:12" ht="31" customHeight="1">
      <c r="A392" s="4" t="s">
        <v>268</v>
      </c>
      <c r="B392" s="4" t="s">
        <v>237</v>
      </c>
      <c r="C392" s="4" t="s">
        <v>40</v>
      </c>
      <c r="D392" s="6">
        <v>2</v>
      </c>
      <c r="E392" s="4" t="s">
        <v>239</v>
      </c>
      <c r="F392" s="4" t="s">
        <v>113</v>
      </c>
      <c r="G392" s="4" t="s">
        <v>269</v>
      </c>
      <c r="H392" s="4" t="s">
        <v>1071</v>
      </c>
      <c r="I392" s="4" t="s">
        <v>254</v>
      </c>
      <c r="J392" s="4" t="s">
        <v>1060</v>
      </c>
      <c r="K392" s="4" t="s">
        <v>1058</v>
      </c>
      <c r="L392" s="4" t="s">
        <v>558</v>
      </c>
    </row>
    <row r="393" spans="1:12" ht="31" customHeight="1">
      <c r="A393" s="4" t="s">
        <v>268</v>
      </c>
      <c r="B393" s="4" t="s">
        <v>237</v>
      </c>
      <c r="C393" s="4" t="s">
        <v>41</v>
      </c>
      <c r="D393" s="6">
        <v>1</v>
      </c>
      <c r="E393" s="4" t="s">
        <v>239</v>
      </c>
      <c r="F393" s="4" t="s">
        <v>113</v>
      </c>
      <c r="G393" s="4" t="s">
        <v>269</v>
      </c>
      <c r="H393" s="4" t="s">
        <v>1071</v>
      </c>
      <c r="I393" s="4" t="s">
        <v>254</v>
      </c>
      <c r="J393" s="4" t="s">
        <v>1061</v>
      </c>
      <c r="K393" s="4" t="s">
        <v>1058</v>
      </c>
      <c r="L393" s="4" t="s">
        <v>558</v>
      </c>
    </row>
    <row r="394" spans="1:12" ht="31" customHeight="1">
      <c r="A394" s="4" t="s">
        <v>268</v>
      </c>
      <c r="B394" s="4" t="s">
        <v>237</v>
      </c>
      <c r="C394" s="4" t="s">
        <v>42</v>
      </c>
      <c r="D394" s="6">
        <v>2</v>
      </c>
      <c r="E394" s="4" t="s">
        <v>239</v>
      </c>
      <c r="F394" s="4" t="s">
        <v>113</v>
      </c>
      <c r="G394" s="4" t="s">
        <v>269</v>
      </c>
      <c r="H394" s="4" t="s">
        <v>1071</v>
      </c>
      <c r="I394" s="4" t="s">
        <v>254</v>
      </c>
      <c r="J394" s="4" t="s">
        <v>1062</v>
      </c>
      <c r="K394" s="4" t="s">
        <v>1058</v>
      </c>
      <c r="L394" s="4" t="s">
        <v>558</v>
      </c>
    </row>
    <row r="395" spans="1:12" ht="31" customHeight="1">
      <c r="A395" s="4" t="s">
        <v>268</v>
      </c>
      <c r="B395" s="4" t="s">
        <v>237</v>
      </c>
      <c r="C395" s="4" t="s">
        <v>43</v>
      </c>
      <c r="D395" s="6">
        <v>2</v>
      </c>
      <c r="E395" s="4" t="s">
        <v>239</v>
      </c>
      <c r="F395" s="4" t="s">
        <v>113</v>
      </c>
      <c r="G395" s="4" t="s">
        <v>269</v>
      </c>
      <c r="H395" s="4" t="s">
        <v>1071</v>
      </c>
      <c r="I395" s="4" t="s">
        <v>254</v>
      </c>
      <c r="J395" s="4" t="s">
        <v>1063</v>
      </c>
      <c r="K395" s="4" t="s">
        <v>1058</v>
      </c>
      <c r="L395" s="4" t="s">
        <v>558</v>
      </c>
    </row>
    <row r="396" spans="1:12" ht="31" customHeight="1">
      <c r="A396" s="4" t="s">
        <v>268</v>
      </c>
      <c r="B396" s="4" t="s">
        <v>237</v>
      </c>
      <c r="C396" s="4" t="s">
        <v>44</v>
      </c>
      <c r="D396" s="6">
        <v>2</v>
      </c>
      <c r="E396" s="4" t="s">
        <v>239</v>
      </c>
      <c r="F396" s="4" t="s">
        <v>113</v>
      </c>
      <c r="G396" s="4" t="s">
        <v>269</v>
      </c>
      <c r="H396" s="4" t="s">
        <v>1071</v>
      </c>
      <c r="I396" s="4" t="s">
        <v>254</v>
      </c>
      <c r="J396" s="4" t="s">
        <v>1064</v>
      </c>
      <c r="K396" s="4" t="s">
        <v>1058</v>
      </c>
      <c r="L396" s="4" t="s">
        <v>558</v>
      </c>
    </row>
    <row r="397" spans="1:12" ht="31" customHeight="1">
      <c r="A397" s="4" t="s">
        <v>268</v>
      </c>
      <c r="B397" s="4" t="s">
        <v>237</v>
      </c>
      <c r="C397" s="4" t="s">
        <v>45</v>
      </c>
      <c r="D397" s="6">
        <v>1</v>
      </c>
      <c r="E397" s="4" t="s">
        <v>239</v>
      </c>
      <c r="F397" s="4" t="s">
        <v>113</v>
      </c>
      <c r="G397" s="4" t="s">
        <v>269</v>
      </c>
      <c r="H397" s="4" t="s">
        <v>1071</v>
      </c>
      <c r="I397" s="4" t="s">
        <v>254</v>
      </c>
      <c r="J397" s="4" t="s">
        <v>1065</v>
      </c>
      <c r="K397" s="4" t="s">
        <v>1058</v>
      </c>
      <c r="L397" s="4" t="s">
        <v>558</v>
      </c>
    </row>
    <row r="398" spans="1:12" ht="31" customHeight="1">
      <c r="A398" s="4" t="s">
        <v>268</v>
      </c>
      <c r="B398" s="4" t="s">
        <v>237</v>
      </c>
      <c r="C398" s="4" t="s">
        <v>46</v>
      </c>
      <c r="D398" s="6">
        <v>0</v>
      </c>
      <c r="E398" s="4" t="s">
        <v>239</v>
      </c>
      <c r="F398" s="4" t="s">
        <v>113</v>
      </c>
      <c r="G398" s="4" t="s">
        <v>269</v>
      </c>
      <c r="H398" s="4" t="s">
        <v>1071</v>
      </c>
      <c r="I398" s="4" t="s">
        <v>254</v>
      </c>
      <c r="J398" s="4" t="s">
        <v>1066</v>
      </c>
      <c r="K398" s="4" t="s">
        <v>1058</v>
      </c>
      <c r="L398" s="4" t="s">
        <v>558</v>
      </c>
    </row>
    <row r="399" spans="1:12" ht="31" customHeight="1">
      <c r="A399" s="4" t="s">
        <v>268</v>
      </c>
      <c r="B399" s="4" t="s">
        <v>237</v>
      </c>
      <c r="C399" s="4" t="s">
        <v>47</v>
      </c>
      <c r="D399" s="6">
        <v>1</v>
      </c>
      <c r="E399" s="4" t="s">
        <v>239</v>
      </c>
      <c r="F399" s="4" t="s">
        <v>113</v>
      </c>
      <c r="G399" s="4" t="s">
        <v>269</v>
      </c>
      <c r="H399" s="4" t="s">
        <v>1071</v>
      </c>
      <c r="I399" s="4" t="s">
        <v>254</v>
      </c>
      <c r="J399" s="4" t="s">
        <v>1067</v>
      </c>
      <c r="K399" s="4" t="s">
        <v>1058</v>
      </c>
      <c r="L399" s="4" t="s">
        <v>558</v>
      </c>
    </row>
    <row r="400" spans="1:12" ht="31" customHeight="1">
      <c r="A400" s="4" t="s">
        <v>268</v>
      </c>
      <c r="B400" s="4" t="s">
        <v>237</v>
      </c>
      <c r="C400" s="4" t="s">
        <v>48</v>
      </c>
      <c r="D400" s="6">
        <v>3</v>
      </c>
      <c r="E400" s="4" t="s">
        <v>239</v>
      </c>
      <c r="F400" s="4" t="s">
        <v>113</v>
      </c>
      <c r="G400" s="4" t="s">
        <v>269</v>
      </c>
      <c r="H400" s="4" t="s">
        <v>1071</v>
      </c>
      <c r="I400" s="4" t="s">
        <v>254</v>
      </c>
      <c r="J400" s="4" t="s">
        <v>1068</v>
      </c>
      <c r="K400" s="4" t="s">
        <v>1058</v>
      </c>
      <c r="L400" s="4" t="s">
        <v>558</v>
      </c>
    </row>
    <row r="401" spans="1:12" ht="31" customHeight="1">
      <c r="A401" s="4" t="s">
        <v>268</v>
      </c>
      <c r="B401" s="4" t="s">
        <v>237</v>
      </c>
      <c r="C401" s="4" t="s">
        <v>49</v>
      </c>
      <c r="D401" s="6">
        <v>2</v>
      </c>
      <c r="E401" s="4" t="s">
        <v>239</v>
      </c>
      <c r="F401" s="4" t="s">
        <v>113</v>
      </c>
      <c r="G401" s="4" t="s">
        <v>269</v>
      </c>
      <c r="H401" s="4" t="s">
        <v>1071</v>
      </c>
      <c r="I401" s="4" t="s">
        <v>254</v>
      </c>
      <c r="J401" s="4" t="s">
        <v>1069</v>
      </c>
      <c r="K401" s="4" t="s">
        <v>1058</v>
      </c>
      <c r="L401" s="4" t="s">
        <v>558</v>
      </c>
    </row>
    <row r="402" spans="1:12" ht="31" customHeight="1">
      <c r="A402" s="4" t="s">
        <v>274</v>
      </c>
      <c r="B402" s="4" t="s">
        <v>237</v>
      </c>
      <c r="C402" s="4" t="s">
        <v>40</v>
      </c>
      <c r="D402" s="6">
        <v>3</v>
      </c>
      <c r="E402" s="4" t="s">
        <v>239</v>
      </c>
      <c r="F402" s="4" t="s">
        <v>113</v>
      </c>
      <c r="G402" s="4" t="s">
        <v>275</v>
      </c>
      <c r="H402" s="4" t="s">
        <v>1072</v>
      </c>
      <c r="I402" s="4" t="s">
        <v>254</v>
      </c>
      <c r="J402" s="4" t="s">
        <v>1060</v>
      </c>
      <c r="K402" s="4" t="s">
        <v>1058</v>
      </c>
      <c r="L402" s="4" t="s">
        <v>558</v>
      </c>
    </row>
    <row r="403" spans="1:12" ht="31" customHeight="1">
      <c r="A403" s="4" t="s">
        <v>274</v>
      </c>
      <c r="B403" s="4" t="s">
        <v>237</v>
      </c>
      <c r="C403" s="4" t="s">
        <v>41</v>
      </c>
      <c r="D403" s="6">
        <v>2</v>
      </c>
      <c r="E403" s="4" t="s">
        <v>239</v>
      </c>
      <c r="F403" s="4" t="s">
        <v>113</v>
      </c>
      <c r="G403" s="4" t="s">
        <v>275</v>
      </c>
      <c r="H403" s="4" t="s">
        <v>1072</v>
      </c>
      <c r="I403" s="4" t="s">
        <v>254</v>
      </c>
      <c r="J403" s="4" t="s">
        <v>1061</v>
      </c>
      <c r="K403" s="4" t="s">
        <v>1058</v>
      </c>
      <c r="L403" s="4" t="s">
        <v>558</v>
      </c>
    </row>
    <row r="404" spans="1:12" ht="31" customHeight="1">
      <c r="A404" s="4" t="s">
        <v>274</v>
      </c>
      <c r="B404" s="4" t="s">
        <v>237</v>
      </c>
      <c r="C404" s="4" t="s">
        <v>42</v>
      </c>
      <c r="D404" s="6">
        <v>2</v>
      </c>
      <c r="E404" s="4" t="s">
        <v>239</v>
      </c>
      <c r="F404" s="4" t="s">
        <v>113</v>
      </c>
      <c r="G404" s="4" t="s">
        <v>275</v>
      </c>
      <c r="H404" s="4" t="s">
        <v>1072</v>
      </c>
      <c r="I404" s="4" t="s">
        <v>254</v>
      </c>
      <c r="J404" s="4" t="s">
        <v>1062</v>
      </c>
      <c r="K404" s="4" t="s">
        <v>1058</v>
      </c>
      <c r="L404" s="4" t="s">
        <v>558</v>
      </c>
    </row>
    <row r="405" spans="1:12" ht="31" customHeight="1">
      <c r="A405" s="4" t="s">
        <v>274</v>
      </c>
      <c r="B405" s="4" t="s">
        <v>237</v>
      </c>
      <c r="C405" s="4" t="s">
        <v>43</v>
      </c>
      <c r="D405" s="6">
        <v>2</v>
      </c>
      <c r="E405" s="4" t="s">
        <v>239</v>
      </c>
      <c r="F405" s="4" t="s">
        <v>113</v>
      </c>
      <c r="G405" s="4" t="s">
        <v>275</v>
      </c>
      <c r="H405" s="4" t="s">
        <v>1072</v>
      </c>
      <c r="I405" s="4" t="s">
        <v>254</v>
      </c>
      <c r="J405" s="4" t="s">
        <v>1063</v>
      </c>
      <c r="K405" s="4" t="s">
        <v>1058</v>
      </c>
      <c r="L405" s="4" t="s">
        <v>558</v>
      </c>
    </row>
    <row r="406" spans="1:12" ht="31" customHeight="1">
      <c r="A406" s="4" t="s">
        <v>274</v>
      </c>
      <c r="B406" s="4" t="s">
        <v>237</v>
      </c>
      <c r="C406" s="4" t="s">
        <v>44</v>
      </c>
      <c r="D406" s="6">
        <v>1</v>
      </c>
      <c r="E406" s="4" t="s">
        <v>239</v>
      </c>
      <c r="F406" s="4" t="s">
        <v>113</v>
      </c>
      <c r="G406" s="4" t="s">
        <v>275</v>
      </c>
      <c r="H406" s="4" t="s">
        <v>1072</v>
      </c>
      <c r="I406" s="4" t="s">
        <v>254</v>
      </c>
      <c r="J406" s="4" t="s">
        <v>1064</v>
      </c>
      <c r="K406" s="4" t="s">
        <v>1058</v>
      </c>
      <c r="L406" s="4" t="s">
        <v>558</v>
      </c>
    </row>
    <row r="407" spans="1:12" ht="31" customHeight="1">
      <c r="A407" s="4" t="s">
        <v>274</v>
      </c>
      <c r="B407" s="4" t="s">
        <v>237</v>
      </c>
      <c r="C407" s="4" t="s">
        <v>45</v>
      </c>
      <c r="D407" s="6">
        <v>1</v>
      </c>
      <c r="E407" s="4" t="s">
        <v>239</v>
      </c>
      <c r="F407" s="4" t="s">
        <v>113</v>
      </c>
      <c r="G407" s="4" t="s">
        <v>275</v>
      </c>
      <c r="H407" s="4" t="s">
        <v>1072</v>
      </c>
      <c r="I407" s="4" t="s">
        <v>254</v>
      </c>
      <c r="J407" s="4" t="s">
        <v>1065</v>
      </c>
      <c r="K407" s="4" t="s">
        <v>1058</v>
      </c>
      <c r="L407" s="4" t="s">
        <v>558</v>
      </c>
    </row>
    <row r="408" spans="1:12" ht="31" customHeight="1">
      <c r="A408" s="4" t="s">
        <v>274</v>
      </c>
      <c r="B408" s="4" t="s">
        <v>237</v>
      </c>
      <c r="C408" s="4" t="s">
        <v>46</v>
      </c>
      <c r="D408" s="6">
        <v>0</v>
      </c>
      <c r="E408" s="4" t="s">
        <v>239</v>
      </c>
      <c r="F408" s="4" t="s">
        <v>113</v>
      </c>
      <c r="G408" s="4" t="s">
        <v>275</v>
      </c>
      <c r="H408" s="4" t="s">
        <v>1072</v>
      </c>
      <c r="I408" s="4" t="s">
        <v>254</v>
      </c>
      <c r="J408" s="4" t="s">
        <v>1066</v>
      </c>
      <c r="K408" s="4" t="s">
        <v>1058</v>
      </c>
      <c r="L408" s="4" t="s">
        <v>558</v>
      </c>
    </row>
    <row r="409" spans="1:12" ht="31" customHeight="1">
      <c r="A409" s="4" t="s">
        <v>274</v>
      </c>
      <c r="B409" s="4" t="s">
        <v>237</v>
      </c>
      <c r="C409" s="4" t="s">
        <v>47</v>
      </c>
      <c r="D409" s="6">
        <v>1</v>
      </c>
      <c r="E409" s="4" t="s">
        <v>239</v>
      </c>
      <c r="F409" s="4" t="s">
        <v>113</v>
      </c>
      <c r="G409" s="4" t="s">
        <v>275</v>
      </c>
      <c r="H409" s="4" t="s">
        <v>1072</v>
      </c>
      <c r="I409" s="4" t="s">
        <v>254</v>
      </c>
      <c r="J409" s="4" t="s">
        <v>1067</v>
      </c>
      <c r="K409" s="4" t="s">
        <v>1058</v>
      </c>
      <c r="L409" s="4" t="s">
        <v>558</v>
      </c>
    </row>
    <row r="410" spans="1:12" ht="31" customHeight="1">
      <c r="A410" s="4" t="s">
        <v>274</v>
      </c>
      <c r="B410" s="4" t="s">
        <v>237</v>
      </c>
      <c r="C410" s="4" t="s">
        <v>48</v>
      </c>
      <c r="D410" s="6">
        <v>3</v>
      </c>
      <c r="E410" s="4" t="s">
        <v>239</v>
      </c>
      <c r="F410" s="4" t="s">
        <v>113</v>
      </c>
      <c r="G410" s="4" t="s">
        <v>275</v>
      </c>
      <c r="H410" s="4" t="s">
        <v>1072</v>
      </c>
      <c r="I410" s="4" t="s">
        <v>254</v>
      </c>
      <c r="J410" s="4" t="s">
        <v>1068</v>
      </c>
      <c r="K410" s="4" t="s">
        <v>1058</v>
      </c>
      <c r="L410" s="4" t="s">
        <v>558</v>
      </c>
    </row>
    <row r="411" spans="1:12" ht="31" customHeight="1">
      <c r="A411" s="4" t="s">
        <v>274</v>
      </c>
      <c r="B411" s="4" t="s">
        <v>237</v>
      </c>
      <c r="C411" s="4" t="s">
        <v>49</v>
      </c>
      <c r="D411" s="6">
        <v>2</v>
      </c>
      <c r="E411" s="4" t="s">
        <v>239</v>
      </c>
      <c r="F411" s="4" t="s">
        <v>113</v>
      </c>
      <c r="G411" s="4" t="s">
        <v>275</v>
      </c>
      <c r="H411" s="4" t="s">
        <v>1072</v>
      </c>
      <c r="I411" s="4" t="s">
        <v>254</v>
      </c>
      <c r="J411" s="4" t="s">
        <v>1069</v>
      </c>
      <c r="K411" s="4" t="s">
        <v>1058</v>
      </c>
      <c r="L411" s="4" t="s">
        <v>558</v>
      </c>
    </row>
    <row r="412" spans="1:12" ht="31" customHeight="1">
      <c r="A412" s="4" t="s">
        <v>282</v>
      </c>
      <c r="B412" s="4" t="s">
        <v>237</v>
      </c>
      <c r="C412" s="4" t="s">
        <v>40</v>
      </c>
      <c r="D412" s="6">
        <v>3</v>
      </c>
      <c r="E412" s="4" t="s">
        <v>239</v>
      </c>
      <c r="F412" s="4" t="s">
        <v>113</v>
      </c>
      <c r="G412" s="4" t="s">
        <v>283</v>
      </c>
      <c r="H412" s="4" t="s">
        <v>1073</v>
      </c>
      <c r="I412" s="4" t="s">
        <v>254</v>
      </c>
      <c r="J412" s="4" t="s">
        <v>1060</v>
      </c>
      <c r="K412" s="4" t="s">
        <v>1058</v>
      </c>
      <c r="L412" s="4" t="s">
        <v>558</v>
      </c>
    </row>
    <row r="413" spans="1:12" ht="31" customHeight="1">
      <c r="A413" s="4" t="s">
        <v>282</v>
      </c>
      <c r="B413" s="4" t="s">
        <v>237</v>
      </c>
      <c r="C413" s="4" t="s">
        <v>41</v>
      </c>
      <c r="D413" s="6">
        <v>2</v>
      </c>
      <c r="E413" s="4" t="s">
        <v>239</v>
      </c>
      <c r="F413" s="4" t="s">
        <v>113</v>
      </c>
      <c r="G413" s="4" t="s">
        <v>283</v>
      </c>
      <c r="H413" s="4" t="s">
        <v>1073</v>
      </c>
      <c r="I413" s="4" t="s">
        <v>254</v>
      </c>
      <c r="J413" s="4" t="s">
        <v>1061</v>
      </c>
      <c r="K413" s="4" t="s">
        <v>1058</v>
      </c>
      <c r="L413" s="4" t="s">
        <v>558</v>
      </c>
    </row>
    <row r="414" spans="1:12" ht="31" customHeight="1">
      <c r="A414" s="4" t="s">
        <v>282</v>
      </c>
      <c r="B414" s="4" t="s">
        <v>237</v>
      </c>
      <c r="C414" s="4" t="s">
        <v>42</v>
      </c>
      <c r="D414" s="6">
        <v>2</v>
      </c>
      <c r="E414" s="4" t="s">
        <v>239</v>
      </c>
      <c r="F414" s="4" t="s">
        <v>113</v>
      </c>
      <c r="G414" s="4" t="s">
        <v>283</v>
      </c>
      <c r="H414" s="4" t="s">
        <v>1073</v>
      </c>
      <c r="I414" s="4" t="s">
        <v>254</v>
      </c>
      <c r="J414" s="4" t="s">
        <v>1062</v>
      </c>
      <c r="K414" s="4" t="s">
        <v>1058</v>
      </c>
      <c r="L414" s="4" t="s">
        <v>558</v>
      </c>
    </row>
    <row r="415" spans="1:12" ht="31" customHeight="1">
      <c r="A415" s="4" t="s">
        <v>282</v>
      </c>
      <c r="B415" s="4" t="s">
        <v>237</v>
      </c>
      <c r="C415" s="4" t="s">
        <v>43</v>
      </c>
      <c r="D415" s="6">
        <v>2</v>
      </c>
      <c r="E415" s="4" t="s">
        <v>239</v>
      </c>
      <c r="F415" s="4" t="s">
        <v>113</v>
      </c>
      <c r="G415" s="4" t="s">
        <v>283</v>
      </c>
      <c r="H415" s="4" t="s">
        <v>1073</v>
      </c>
      <c r="I415" s="4" t="s">
        <v>254</v>
      </c>
      <c r="J415" s="4" t="s">
        <v>1063</v>
      </c>
      <c r="K415" s="4" t="s">
        <v>1058</v>
      </c>
      <c r="L415" s="4" t="s">
        <v>558</v>
      </c>
    </row>
    <row r="416" spans="1:12" ht="31" customHeight="1">
      <c r="A416" s="4" t="s">
        <v>282</v>
      </c>
      <c r="B416" s="4" t="s">
        <v>237</v>
      </c>
      <c r="C416" s="4" t="s">
        <v>44</v>
      </c>
      <c r="D416" s="6">
        <v>2</v>
      </c>
      <c r="E416" s="4" t="s">
        <v>239</v>
      </c>
      <c r="F416" s="4" t="s">
        <v>113</v>
      </c>
      <c r="G416" s="4" t="s">
        <v>283</v>
      </c>
      <c r="H416" s="4" t="s">
        <v>1073</v>
      </c>
      <c r="I416" s="4" t="s">
        <v>254</v>
      </c>
      <c r="J416" s="4" t="s">
        <v>1064</v>
      </c>
      <c r="K416" s="4" t="s">
        <v>1058</v>
      </c>
      <c r="L416" s="4" t="s">
        <v>558</v>
      </c>
    </row>
    <row r="417" spans="1:12" ht="31" customHeight="1">
      <c r="A417" s="4" t="s">
        <v>282</v>
      </c>
      <c r="B417" s="4" t="s">
        <v>237</v>
      </c>
      <c r="C417" s="4" t="s">
        <v>45</v>
      </c>
      <c r="D417" s="6">
        <v>2</v>
      </c>
      <c r="E417" s="4" t="s">
        <v>239</v>
      </c>
      <c r="F417" s="4" t="s">
        <v>113</v>
      </c>
      <c r="G417" s="4" t="s">
        <v>283</v>
      </c>
      <c r="H417" s="4" t="s">
        <v>1073</v>
      </c>
      <c r="I417" s="4" t="s">
        <v>254</v>
      </c>
      <c r="J417" s="4" t="s">
        <v>1065</v>
      </c>
      <c r="K417" s="4" t="s">
        <v>1058</v>
      </c>
      <c r="L417" s="4" t="s">
        <v>558</v>
      </c>
    </row>
    <row r="418" spans="1:12" ht="31" customHeight="1">
      <c r="A418" s="4" t="s">
        <v>282</v>
      </c>
      <c r="B418" s="4" t="s">
        <v>237</v>
      </c>
      <c r="C418" s="4" t="s">
        <v>46</v>
      </c>
      <c r="D418" s="6">
        <v>0</v>
      </c>
      <c r="E418" s="4" t="s">
        <v>239</v>
      </c>
      <c r="F418" s="4" t="s">
        <v>113</v>
      </c>
      <c r="G418" s="4" t="s">
        <v>283</v>
      </c>
      <c r="H418" s="4" t="s">
        <v>1073</v>
      </c>
      <c r="I418" s="4" t="s">
        <v>254</v>
      </c>
      <c r="J418" s="4" t="s">
        <v>1066</v>
      </c>
      <c r="K418" s="4" t="s">
        <v>1058</v>
      </c>
      <c r="L418" s="4" t="s">
        <v>558</v>
      </c>
    </row>
    <row r="419" spans="1:12" ht="31" customHeight="1">
      <c r="A419" s="4" t="s">
        <v>282</v>
      </c>
      <c r="B419" s="4" t="s">
        <v>237</v>
      </c>
      <c r="C419" s="4" t="s">
        <v>47</v>
      </c>
      <c r="D419" s="6">
        <v>1</v>
      </c>
      <c r="E419" s="4" t="s">
        <v>239</v>
      </c>
      <c r="F419" s="4" t="s">
        <v>113</v>
      </c>
      <c r="G419" s="4" t="s">
        <v>283</v>
      </c>
      <c r="H419" s="4" t="s">
        <v>1073</v>
      </c>
      <c r="I419" s="4" t="s">
        <v>254</v>
      </c>
      <c r="J419" s="4" t="s">
        <v>1067</v>
      </c>
      <c r="K419" s="4" t="s">
        <v>1058</v>
      </c>
      <c r="L419" s="4" t="s">
        <v>558</v>
      </c>
    </row>
    <row r="420" spans="1:12" ht="31" customHeight="1">
      <c r="A420" s="4" t="s">
        <v>282</v>
      </c>
      <c r="B420" s="4" t="s">
        <v>237</v>
      </c>
      <c r="C420" s="4" t="s">
        <v>48</v>
      </c>
      <c r="D420" s="6">
        <v>3</v>
      </c>
      <c r="E420" s="4" t="s">
        <v>239</v>
      </c>
      <c r="F420" s="4" t="s">
        <v>113</v>
      </c>
      <c r="G420" s="4" t="s">
        <v>283</v>
      </c>
      <c r="H420" s="4" t="s">
        <v>1073</v>
      </c>
      <c r="I420" s="4" t="s">
        <v>254</v>
      </c>
      <c r="J420" s="4" t="s">
        <v>1068</v>
      </c>
      <c r="K420" s="4" t="s">
        <v>1058</v>
      </c>
      <c r="L420" s="4" t="s">
        <v>558</v>
      </c>
    </row>
    <row r="421" spans="1:12" ht="31" customHeight="1">
      <c r="A421" s="4" t="s">
        <v>282</v>
      </c>
      <c r="B421" s="4" t="s">
        <v>237</v>
      </c>
      <c r="C421" s="4" t="s">
        <v>49</v>
      </c>
      <c r="D421" s="6">
        <v>2</v>
      </c>
      <c r="E421" s="4" t="s">
        <v>239</v>
      </c>
      <c r="F421" s="4" t="s">
        <v>113</v>
      </c>
      <c r="G421" s="4" t="s">
        <v>283</v>
      </c>
      <c r="H421" s="4" t="s">
        <v>1073</v>
      </c>
      <c r="I421" s="4" t="s">
        <v>254</v>
      </c>
      <c r="J421" s="4" t="s">
        <v>1069</v>
      </c>
      <c r="K421" s="4" t="s">
        <v>1058</v>
      </c>
      <c r="L421" s="4" t="s">
        <v>558</v>
      </c>
    </row>
    <row r="422" spans="1:12" ht="31" customHeight="1">
      <c r="A422" s="4" t="s">
        <v>290</v>
      </c>
      <c r="B422" s="4" t="s">
        <v>237</v>
      </c>
      <c r="C422" s="4" t="s">
        <v>40</v>
      </c>
      <c r="D422" s="6">
        <v>2</v>
      </c>
      <c r="E422" s="4" t="s">
        <v>239</v>
      </c>
      <c r="F422" s="4" t="s">
        <v>113</v>
      </c>
      <c r="G422" s="4" t="s">
        <v>291</v>
      </c>
      <c r="H422" s="4" t="s">
        <v>1074</v>
      </c>
      <c r="I422" s="4" t="s">
        <v>254</v>
      </c>
      <c r="J422" s="4" t="s">
        <v>1060</v>
      </c>
      <c r="K422" s="4" t="s">
        <v>1058</v>
      </c>
      <c r="L422" s="4" t="s">
        <v>558</v>
      </c>
    </row>
    <row r="423" spans="1:12" ht="31" customHeight="1">
      <c r="A423" s="4" t="s">
        <v>290</v>
      </c>
      <c r="B423" s="4" t="s">
        <v>237</v>
      </c>
      <c r="C423" s="4" t="s">
        <v>41</v>
      </c>
      <c r="D423" s="6">
        <v>2</v>
      </c>
      <c r="E423" s="4" t="s">
        <v>239</v>
      </c>
      <c r="F423" s="4" t="s">
        <v>113</v>
      </c>
      <c r="G423" s="4" t="s">
        <v>291</v>
      </c>
      <c r="H423" s="4" t="s">
        <v>1074</v>
      </c>
      <c r="I423" s="4" t="s">
        <v>254</v>
      </c>
      <c r="J423" s="4" t="s">
        <v>1061</v>
      </c>
      <c r="K423" s="4" t="s">
        <v>1058</v>
      </c>
      <c r="L423" s="4" t="s">
        <v>558</v>
      </c>
    </row>
    <row r="424" spans="1:12" ht="31" customHeight="1">
      <c r="A424" s="4" t="s">
        <v>290</v>
      </c>
      <c r="B424" s="4" t="s">
        <v>237</v>
      </c>
      <c r="C424" s="4" t="s">
        <v>42</v>
      </c>
      <c r="D424" s="6">
        <v>2</v>
      </c>
      <c r="E424" s="4" t="s">
        <v>239</v>
      </c>
      <c r="F424" s="4" t="s">
        <v>113</v>
      </c>
      <c r="G424" s="4" t="s">
        <v>291</v>
      </c>
      <c r="H424" s="4" t="s">
        <v>1074</v>
      </c>
      <c r="I424" s="4" t="s">
        <v>254</v>
      </c>
      <c r="J424" s="4" t="s">
        <v>1062</v>
      </c>
      <c r="K424" s="4" t="s">
        <v>1058</v>
      </c>
      <c r="L424" s="4" t="s">
        <v>558</v>
      </c>
    </row>
    <row r="425" spans="1:12" ht="31" customHeight="1">
      <c r="A425" s="4" t="s">
        <v>290</v>
      </c>
      <c r="B425" s="4" t="s">
        <v>237</v>
      </c>
      <c r="C425" s="4" t="s">
        <v>43</v>
      </c>
      <c r="D425" s="6">
        <v>1</v>
      </c>
      <c r="E425" s="4" t="s">
        <v>239</v>
      </c>
      <c r="F425" s="4" t="s">
        <v>113</v>
      </c>
      <c r="G425" s="4" t="s">
        <v>291</v>
      </c>
      <c r="H425" s="4" t="s">
        <v>1074</v>
      </c>
      <c r="I425" s="4" t="s">
        <v>254</v>
      </c>
      <c r="J425" s="4" t="s">
        <v>1063</v>
      </c>
      <c r="K425" s="4" t="s">
        <v>1058</v>
      </c>
      <c r="L425" s="4" t="s">
        <v>558</v>
      </c>
    </row>
    <row r="426" spans="1:12" ht="31" customHeight="1">
      <c r="A426" s="4" t="s">
        <v>290</v>
      </c>
      <c r="B426" s="4" t="s">
        <v>237</v>
      </c>
      <c r="C426" s="4" t="s">
        <v>44</v>
      </c>
      <c r="D426" s="6">
        <v>1</v>
      </c>
      <c r="E426" s="4" t="s">
        <v>239</v>
      </c>
      <c r="F426" s="4" t="s">
        <v>113</v>
      </c>
      <c r="G426" s="4" t="s">
        <v>291</v>
      </c>
      <c r="H426" s="4" t="s">
        <v>1074</v>
      </c>
      <c r="I426" s="4" t="s">
        <v>254</v>
      </c>
      <c r="J426" s="4" t="s">
        <v>1064</v>
      </c>
      <c r="K426" s="4" t="s">
        <v>1058</v>
      </c>
      <c r="L426" s="4" t="s">
        <v>558</v>
      </c>
    </row>
    <row r="427" spans="1:12" ht="31" customHeight="1">
      <c r="A427" s="4" t="s">
        <v>290</v>
      </c>
      <c r="B427" s="4" t="s">
        <v>237</v>
      </c>
      <c r="C427" s="4" t="s">
        <v>45</v>
      </c>
      <c r="D427" s="6">
        <v>0</v>
      </c>
      <c r="E427" s="4" t="s">
        <v>239</v>
      </c>
      <c r="F427" s="4" t="s">
        <v>113</v>
      </c>
      <c r="G427" s="4" t="s">
        <v>291</v>
      </c>
      <c r="H427" s="4" t="s">
        <v>1074</v>
      </c>
      <c r="I427" s="4" t="s">
        <v>254</v>
      </c>
      <c r="J427" s="4" t="s">
        <v>1065</v>
      </c>
      <c r="K427" s="4" t="s">
        <v>1058</v>
      </c>
      <c r="L427" s="4" t="s">
        <v>558</v>
      </c>
    </row>
    <row r="428" spans="1:12" ht="31" customHeight="1">
      <c r="A428" s="4" t="s">
        <v>290</v>
      </c>
      <c r="B428" s="4" t="s">
        <v>237</v>
      </c>
      <c r="C428" s="4" t="s">
        <v>46</v>
      </c>
      <c r="D428" s="6">
        <v>0</v>
      </c>
      <c r="E428" s="4" t="s">
        <v>239</v>
      </c>
      <c r="F428" s="4" t="s">
        <v>113</v>
      </c>
      <c r="G428" s="4" t="s">
        <v>291</v>
      </c>
      <c r="H428" s="4" t="s">
        <v>1074</v>
      </c>
      <c r="I428" s="4" t="s">
        <v>254</v>
      </c>
      <c r="J428" s="4" t="s">
        <v>1066</v>
      </c>
      <c r="K428" s="4" t="s">
        <v>1058</v>
      </c>
      <c r="L428" s="4" t="s">
        <v>558</v>
      </c>
    </row>
    <row r="429" spans="1:12" ht="31" customHeight="1">
      <c r="A429" s="4" t="s">
        <v>290</v>
      </c>
      <c r="B429" s="4" t="s">
        <v>237</v>
      </c>
      <c r="C429" s="4" t="s">
        <v>47</v>
      </c>
      <c r="D429" s="6">
        <v>0</v>
      </c>
      <c r="E429" s="4" t="s">
        <v>239</v>
      </c>
      <c r="F429" s="4" t="s">
        <v>113</v>
      </c>
      <c r="G429" s="4" t="s">
        <v>291</v>
      </c>
      <c r="H429" s="4" t="s">
        <v>1074</v>
      </c>
      <c r="I429" s="4" t="s">
        <v>254</v>
      </c>
      <c r="J429" s="4" t="s">
        <v>1067</v>
      </c>
      <c r="K429" s="4" t="s">
        <v>1058</v>
      </c>
      <c r="L429" s="4" t="s">
        <v>558</v>
      </c>
    </row>
    <row r="430" spans="1:12" ht="31" customHeight="1">
      <c r="A430" s="4" t="s">
        <v>290</v>
      </c>
      <c r="B430" s="4" t="s">
        <v>237</v>
      </c>
      <c r="C430" s="4" t="s">
        <v>48</v>
      </c>
      <c r="D430" s="6">
        <v>0</v>
      </c>
      <c r="E430" s="4" t="s">
        <v>239</v>
      </c>
      <c r="F430" s="4" t="s">
        <v>113</v>
      </c>
      <c r="G430" s="4" t="s">
        <v>291</v>
      </c>
      <c r="H430" s="4" t="s">
        <v>1074</v>
      </c>
      <c r="I430" s="4" t="s">
        <v>254</v>
      </c>
      <c r="J430" s="4" t="s">
        <v>1068</v>
      </c>
      <c r="K430" s="4" t="s">
        <v>1058</v>
      </c>
      <c r="L430" s="4" t="s">
        <v>558</v>
      </c>
    </row>
    <row r="431" spans="1:12" ht="31" customHeight="1">
      <c r="A431" s="4" t="s">
        <v>290</v>
      </c>
      <c r="B431" s="4" t="s">
        <v>237</v>
      </c>
      <c r="C431" s="4" t="s">
        <v>49</v>
      </c>
      <c r="D431" s="6">
        <v>2</v>
      </c>
      <c r="E431" s="4" t="s">
        <v>239</v>
      </c>
      <c r="F431" s="4" t="s">
        <v>113</v>
      </c>
      <c r="G431" s="4" t="s">
        <v>291</v>
      </c>
      <c r="H431" s="4" t="s">
        <v>1074</v>
      </c>
      <c r="I431" s="4" t="s">
        <v>254</v>
      </c>
      <c r="J431" s="4" t="s">
        <v>1069</v>
      </c>
      <c r="K431" s="4" t="s">
        <v>1058</v>
      </c>
      <c r="L431" s="4" t="s">
        <v>558</v>
      </c>
    </row>
    <row r="432" spans="1:12" ht="31" customHeight="1">
      <c r="A432" s="4" t="s">
        <v>296</v>
      </c>
      <c r="B432" s="4" t="s">
        <v>237</v>
      </c>
      <c r="C432" s="4" t="s">
        <v>40</v>
      </c>
      <c r="D432" s="6">
        <v>1</v>
      </c>
      <c r="E432" s="4" t="s">
        <v>239</v>
      </c>
      <c r="F432" s="4" t="s">
        <v>113</v>
      </c>
      <c r="G432" s="4" t="s">
        <v>269</v>
      </c>
      <c r="H432" s="4" t="s">
        <v>1075</v>
      </c>
      <c r="I432" s="4" t="s">
        <v>254</v>
      </c>
      <c r="J432" s="4" t="s">
        <v>1060</v>
      </c>
      <c r="K432" s="4" t="s">
        <v>1058</v>
      </c>
      <c r="L432" s="4" t="s">
        <v>558</v>
      </c>
    </row>
    <row r="433" spans="1:12" ht="31" customHeight="1">
      <c r="A433" s="4" t="s">
        <v>296</v>
      </c>
      <c r="B433" s="4" t="s">
        <v>237</v>
      </c>
      <c r="C433" s="4" t="s">
        <v>41</v>
      </c>
      <c r="D433" s="6">
        <v>1</v>
      </c>
      <c r="E433" s="4" t="s">
        <v>239</v>
      </c>
      <c r="F433" s="4" t="s">
        <v>113</v>
      </c>
      <c r="G433" s="4" t="s">
        <v>269</v>
      </c>
      <c r="H433" s="4" t="s">
        <v>1075</v>
      </c>
      <c r="I433" s="4" t="s">
        <v>254</v>
      </c>
      <c r="J433" s="4" t="s">
        <v>1061</v>
      </c>
      <c r="K433" s="4" t="s">
        <v>1058</v>
      </c>
      <c r="L433" s="4" t="s">
        <v>558</v>
      </c>
    </row>
    <row r="434" spans="1:12" ht="31" customHeight="1">
      <c r="A434" s="4" t="s">
        <v>296</v>
      </c>
      <c r="B434" s="4" t="s">
        <v>237</v>
      </c>
      <c r="C434" s="4" t="s">
        <v>42</v>
      </c>
      <c r="D434" s="6">
        <v>1</v>
      </c>
      <c r="E434" s="4" t="s">
        <v>239</v>
      </c>
      <c r="F434" s="4" t="s">
        <v>113</v>
      </c>
      <c r="G434" s="4" t="s">
        <v>269</v>
      </c>
      <c r="H434" s="4" t="s">
        <v>1075</v>
      </c>
      <c r="I434" s="4" t="s">
        <v>254</v>
      </c>
      <c r="J434" s="4" t="s">
        <v>1062</v>
      </c>
      <c r="K434" s="4" t="s">
        <v>1058</v>
      </c>
      <c r="L434" s="4" t="s">
        <v>558</v>
      </c>
    </row>
    <row r="435" spans="1:12" ht="31" customHeight="1">
      <c r="A435" s="4" t="s">
        <v>296</v>
      </c>
      <c r="B435" s="4" t="s">
        <v>237</v>
      </c>
      <c r="C435" s="4" t="s">
        <v>43</v>
      </c>
      <c r="D435" s="6">
        <v>1</v>
      </c>
      <c r="E435" s="4" t="s">
        <v>239</v>
      </c>
      <c r="F435" s="4" t="s">
        <v>113</v>
      </c>
      <c r="G435" s="4" t="s">
        <v>269</v>
      </c>
      <c r="H435" s="4" t="s">
        <v>1075</v>
      </c>
      <c r="I435" s="4" t="s">
        <v>254</v>
      </c>
      <c r="J435" s="4" t="s">
        <v>1063</v>
      </c>
      <c r="K435" s="4" t="s">
        <v>1058</v>
      </c>
      <c r="L435" s="4" t="s">
        <v>558</v>
      </c>
    </row>
    <row r="436" spans="1:12" ht="31" customHeight="1">
      <c r="A436" s="4" t="s">
        <v>296</v>
      </c>
      <c r="B436" s="4" t="s">
        <v>237</v>
      </c>
      <c r="C436" s="4" t="s">
        <v>44</v>
      </c>
      <c r="D436" s="6">
        <v>1</v>
      </c>
      <c r="E436" s="4" t="s">
        <v>239</v>
      </c>
      <c r="F436" s="4" t="s">
        <v>113</v>
      </c>
      <c r="G436" s="4" t="s">
        <v>269</v>
      </c>
      <c r="H436" s="4" t="s">
        <v>1075</v>
      </c>
      <c r="I436" s="4" t="s">
        <v>254</v>
      </c>
      <c r="J436" s="4" t="s">
        <v>1064</v>
      </c>
      <c r="K436" s="4" t="s">
        <v>1058</v>
      </c>
      <c r="L436" s="4" t="s">
        <v>558</v>
      </c>
    </row>
    <row r="437" spans="1:12" ht="31" customHeight="1">
      <c r="A437" s="4" t="s">
        <v>296</v>
      </c>
      <c r="B437" s="4" t="s">
        <v>237</v>
      </c>
      <c r="C437" s="4" t="s">
        <v>45</v>
      </c>
      <c r="D437" s="6">
        <v>0</v>
      </c>
      <c r="E437" s="4" t="s">
        <v>239</v>
      </c>
      <c r="F437" s="4" t="s">
        <v>113</v>
      </c>
      <c r="G437" s="4" t="s">
        <v>269</v>
      </c>
      <c r="H437" s="4" t="s">
        <v>1075</v>
      </c>
      <c r="I437" s="4" t="s">
        <v>254</v>
      </c>
      <c r="J437" s="4" t="s">
        <v>1065</v>
      </c>
      <c r="K437" s="4" t="s">
        <v>1058</v>
      </c>
      <c r="L437" s="4" t="s">
        <v>558</v>
      </c>
    </row>
    <row r="438" spans="1:12" ht="31" customHeight="1">
      <c r="A438" s="4" t="s">
        <v>296</v>
      </c>
      <c r="B438" s="4" t="s">
        <v>237</v>
      </c>
      <c r="C438" s="4" t="s">
        <v>46</v>
      </c>
      <c r="D438" s="6">
        <v>0</v>
      </c>
      <c r="E438" s="4" t="s">
        <v>239</v>
      </c>
      <c r="F438" s="4" t="s">
        <v>113</v>
      </c>
      <c r="G438" s="4" t="s">
        <v>269</v>
      </c>
      <c r="H438" s="4" t="s">
        <v>1075</v>
      </c>
      <c r="I438" s="4" t="s">
        <v>254</v>
      </c>
      <c r="J438" s="4" t="s">
        <v>1066</v>
      </c>
      <c r="K438" s="4" t="s">
        <v>1058</v>
      </c>
      <c r="L438" s="4" t="s">
        <v>558</v>
      </c>
    </row>
    <row r="439" spans="1:12" ht="31" customHeight="1">
      <c r="A439" s="4" t="s">
        <v>296</v>
      </c>
      <c r="B439" s="4" t="s">
        <v>237</v>
      </c>
      <c r="C439" s="4" t="s">
        <v>47</v>
      </c>
      <c r="D439" s="6">
        <v>0</v>
      </c>
      <c r="E439" s="4" t="s">
        <v>239</v>
      </c>
      <c r="F439" s="4" t="s">
        <v>113</v>
      </c>
      <c r="G439" s="4" t="s">
        <v>269</v>
      </c>
      <c r="H439" s="4" t="s">
        <v>1075</v>
      </c>
      <c r="I439" s="4" t="s">
        <v>254</v>
      </c>
      <c r="J439" s="4" t="s">
        <v>1067</v>
      </c>
      <c r="K439" s="4" t="s">
        <v>1058</v>
      </c>
      <c r="L439" s="4" t="s">
        <v>558</v>
      </c>
    </row>
    <row r="440" spans="1:12" ht="31" customHeight="1">
      <c r="A440" s="4" t="s">
        <v>296</v>
      </c>
      <c r="B440" s="4" t="s">
        <v>237</v>
      </c>
      <c r="C440" s="4" t="s">
        <v>48</v>
      </c>
      <c r="D440" s="6">
        <v>0</v>
      </c>
      <c r="E440" s="4" t="s">
        <v>239</v>
      </c>
      <c r="F440" s="4" t="s">
        <v>113</v>
      </c>
      <c r="G440" s="4" t="s">
        <v>269</v>
      </c>
      <c r="H440" s="4" t="s">
        <v>1075</v>
      </c>
      <c r="I440" s="4" t="s">
        <v>254</v>
      </c>
      <c r="J440" s="4" t="s">
        <v>1068</v>
      </c>
      <c r="K440" s="4" t="s">
        <v>1058</v>
      </c>
      <c r="L440" s="4" t="s">
        <v>558</v>
      </c>
    </row>
    <row r="441" spans="1:12" ht="31" customHeight="1">
      <c r="A441" s="4" t="s">
        <v>296</v>
      </c>
      <c r="B441" s="4" t="s">
        <v>237</v>
      </c>
      <c r="C441" s="4" t="s">
        <v>49</v>
      </c>
      <c r="D441" s="6">
        <v>1</v>
      </c>
      <c r="E441" s="4" t="s">
        <v>239</v>
      </c>
      <c r="F441" s="4" t="s">
        <v>113</v>
      </c>
      <c r="G441" s="4" t="s">
        <v>269</v>
      </c>
      <c r="H441" s="4" t="s">
        <v>1075</v>
      </c>
      <c r="I441" s="4" t="s">
        <v>254</v>
      </c>
      <c r="J441" s="4" t="s">
        <v>1069</v>
      </c>
      <c r="K441" s="4" t="s">
        <v>1058</v>
      </c>
      <c r="L441" s="4" t="s">
        <v>558</v>
      </c>
    </row>
    <row r="442" spans="1:12" ht="31" customHeight="1">
      <c r="A442" s="4" t="s">
        <v>298</v>
      </c>
      <c r="B442" s="4" t="s">
        <v>237</v>
      </c>
      <c r="C442" s="4" t="s">
        <v>40</v>
      </c>
      <c r="D442" s="6">
        <v>0</v>
      </c>
      <c r="E442" s="4" t="s">
        <v>239</v>
      </c>
      <c r="F442" s="4" t="s">
        <v>113</v>
      </c>
      <c r="G442" s="4" t="s">
        <v>291</v>
      </c>
      <c r="H442" s="4" t="s">
        <v>1075</v>
      </c>
      <c r="I442" s="4" t="s">
        <v>254</v>
      </c>
      <c r="J442" s="4" t="s">
        <v>1060</v>
      </c>
      <c r="K442" s="4" t="s">
        <v>1058</v>
      </c>
      <c r="L442" s="4" t="s">
        <v>558</v>
      </c>
    </row>
    <row r="443" spans="1:12" ht="31" customHeight="1">
      <c r="A443" s="4" t="s">
        <v>298</v>
      </c>
      <c r="B443" s="4" t="s">
        <v>237</v>
      </c>
      <c r="C443" s="4" t="s">
        <v>41</v>
      </c>
      <c r="D443" s="6">
        <v>0</v>
      </c>
      <c r="E443" s="4" t="s">
        <v>239</v>
      </c>
      <c r="F443" s="4" t="s">
        <v>113</v>
      </c>
      <c r="G443" s="4" t="s">
        <v>291</v>
      </c>
      <c r="H443" s="4" t="s">
        <v>1075</v>
      </c>
      <c r="I443" s="4" t="s">
        <v>254</v>
      </c>
      <c r="J443" s="4" t="s">
        <v>1061</v>
      </c>
      <c r="K443" s="4" t="s">
        <v>1058</v>
      </c>
      <c r="L443" s="4" t="s">
        <v>558</v>
      </c>
    </row>
    <row r="444" spans="1:12" ht="31" customHeight="1">
      <c r="A444" s="4" t="s">
        <v>298</v>
      </c>
      <c r="B444" s="4" t="s">
        <v>237</v>
      </c>
      <c r="C444" s="4" t="s">
        <v>42</v>
      </c>
      <c r="D444" s="6">
        <v>1</v>
      </c>
      <c r="E444" s="4" t="s">
        <v>239</v>
      </c>
      <c r="F444" s="4" t="s">
        <v>113</v>
      </c>
      <c r="G444" s="4" t="s">
        <v>291</v>
      </c>
      <c r="H444" s="4" t="s">
        <v>1075</v>
      </c>
      <c r="I444" s="4" t="s">
        <v>254</v>
      </c>
      <c r="J444" s="4" t="s">
        <v>1062</v>
      </c>
      <c r="K444" s="4" t="s">
        <v>1058</v>
      </c>
      <c r="L444" s="4" t="s">
        <v>558</v>
      </c>
    </row>
    <row r="445" spans="1:12" ht="31" customHeight="1">
      <c r="A445" s="4" t="s">
        <v>298</v>
      </c>
      <c r="B445" s="4" t="s">
        <v>237</v>
      </c>
      <c r="C445" s="4" t="s">
        <v>43</v>
      </c>
      <c r="D445" s="6">
        <v>1</v>
      </c>
      <c r="E445" s="4" t="s">
        <v>239</v>
      </c>
      <c r="F445" s="4" t="s">
        <v>113</v>
      </c>
      <c r="G445" s="4" t="s">
        <v>291</v>
      </c>
      <c r="H445" s="4" t="s">
        <v>1075</v>
      </c>
      <c r="I445" s="4" t="s">
        <v>254</v>
      </c>
      <c r="J445" s="4" t="s">
        <v>1063</v>
      </c>
      <c r="K445" s="4" t="s">
        <v>1058</v>
      </c>
      <c r="L445" s="4" t="s">
        <v>558</v>
      </c>
    </row>
    <row r="446" spans="1:12" ht="31" customHeight="1">
      <c r="A446" s="4" t="s">
        <v>298</v>
      </c>
      <c r="B446" s="4" t="s">
        <v>237</v>
      </c>
      <c r="C446" s="4" t="s">
        <v>44</v>
      </c>
      <c r="D446" s="6">
        <v>1</v>
      </c>
      <c r="E446" s="4" t="s">
        <v>239</v>
      </c>
      <c r="F446" s="4" t="s">
        <v>113</v>
      </c>
      <c r="G446" s="4" t="s">
        <v>291</v>
      </c>
      <c r="H446" s="4" t="s">
        <v>1075</v>
      </c>
      <c r="I446" s="4" t="s">
        <v>254</v>
      </c>
      <c r="J446" s="4" t="s">
        <v>1064</v>
      </c>
      <c r="K446" s="4" t="s">
        <v>1058</v>
      </c>
      <c r="L446" s="4" t="s">
        <v>558</v>
      </c>
    </row>
    <row r="447" spans="1:12" ht="31" customHeight="1">
      <c r="A447" s="4" t="s">
        <v>298</v>
      </c>
      <c r="B447" s="4" t="s">
        <v>237</v>
      </c>
      <c r="C447" s="4" t="s">
        <v>45</v>
      </c>
      <c r="D447" s="6">
        <v>0</v>
      </c>
      <c r="E447" s="4" t="s">
        <v>239</v>
      </c>
      <c r="F447" s="4" t="s">
        <v>113</v>
      </c>
      <c r="G447" s="4" t="s">
        <v>291</v>
      </c>
      <c r="H447" s="4" t="s">
        <v>1075</v>
      </c>
      <c r="I447" s="4" t="s">
        <v>254</v>
      </c>
      <c r="J447" s="4" t="s">
        <v>1065</v>
      </c>
      <c r="K447" s="4" t="s">
        <v>1058</v>
      </c>
      <c r="L447" s="4" t="s">
        <v>558</v>
      </c>
    </row>
    <row r="448" spans="1:12" ht="31" customHeight="1">
      <c r="A448" s="4" t="s">
        <v>298</v>
      </c>
      <c r="B448" s="4" t="s">
        <v>237</v>
      </c>
      <c r="C448" s="4" t="s">
        <v>46</v>
      </c>
      <c r="D448" s="6">
        <v>0</v>
      </c>
      <c r="E448" s="4" t="s">
        <v>239</v>
      </c>
      <c r="F448" s="4" t="s">
        <v>113</v>
      </c>
      <c r="G448" s="4" t="s">
        <v>291</v>
      </c>
      <c r="H448" s="4" t="s">
        <v>1075</v>
      </c>
      <c r="I448" s="4" t="s">
        <v>254</v>
      </c>
      <c r="J448" s="4" t="s">
        <v>1066</v>
      </c>
      <c r="K448" s="4" t="s">
        <v>1058</v>
      </c>
      <c r="L448" s="4" t="s">
        <v>558</v>
      </c>
    </row>
    <row r="449" spans="1:12" ht="31" customHeight="1">
      <c r="A449" s="4" t="s">
        <v>298</v>
      </c>
      <c r="B449" s="4" t="s">
        <v>237</v>
      </c>
      <c r="C449" s="4" t="s">
        <v>47</v>
      </c>
      <c r="D449" s="6">
        <v>0</v>
      </c>
      <c r="E449" s="4" t="s">
        <v>239</v>
      </c>
      <c r="F449" s="4" t="s">
        <v>113</v>
      </c>
      <c r="G449" s="4" t="s">
        <v>291</v>
      </c>
      <c r="H449" s="4" t="s">
        <v>1075</v>
      </c>
      <c r="I449" s="4" t="s">
        <v>254</v>
      </c>
      <c r="J449" s="4" t="s">
        <v>1067</v>
      </c>
      <c r="K449" s="4" t="s">
        <v>1058</v>
      </c>
      <c r="L449" s="4" t="s">
        <v>558</v>
      </c>
    </row>
    <row r="450" spans="1:12" ht="31" customHeight="1">
      <c r="A450" s="4" t="s">
        <v>298</v>
      </c>
      <c r="B450" s="4" t="s">
        <v>237</v>
      </c>
      <c r="C450" s="4" t="s">
        <v>48</v>
      </c>
      <c r="D450" s="6">
        <v>0</v>
      </c>
      <c r="E450" s="4" t="s">
        <v>239</v>
      </c>
      <c r="F450" s="4" t="s">
        <v>113</v>
      </c>
      <c r="G450" s="4" t="s">
        <v>291</v>
      </c>
      <c r="H450" s="4" t="s">
        <v>1075</v>
      </c>
      <c r="I450" s="4" t="s">
        <v>254</v>
      </c>
      <c r="J450" s="4" t="s">
        <v>1068</v>
      </c>
      <c r="K450" s="4" t="s">
        <v>1058</v>
      </c>
      <c r="L450" s="4" t="s">
        <v>558</v>
      </c>
    </row>
    <row r="451" spans="1:12" ht="31" customHeight="1">
      <c r="A451" s="4" t="s">
        <v>298</v>
      </c>
      <c r="B451" s="4" t="s">
        <v>237</v>
      </c>
      <c r="C451" s="4" t="s">
        <v>49</v>
      </c>
      <c r="D451" s="6">
        <v>1</v>
      </c>
      <c r="E451" s="4" t="s">
        <v>239</v>
      </c>
      <c r="F451" s="4" t="s">
        <v>113</v>
      </c>
      <c r="G451" s="4" t="s">
        <v>291</v>
      </c>
      <c r="H451" s="4" t="s">
        <v>1075</v>
      </c>
      <c r="I451" s="4" t="s">
        <v>254</v>
      </c>
      <c r="J451" s="4" t="s">
        <v>1069</v>
      </c>
      <c r="K451" s="4" t="s">
        <v>1058</v>
      </c>
      <c r="L451" s="4" t="s">
        <v>558</v>
      </c>
    </row>
    <row r="452" spans="1:12" ht="31" customHeight="1">
      <c r="A452" s="4" t="s">
        <v>300</v>
      </c>
      <c r="B452" s="4" t="s">
        <v>237</v>
      </c>
      <c r="C452" s="4" t="s">
        <v>40</v>
      </c>
      <c r="D452" s="6">
        <v>3</v>
      </c>
      <c r="E452" s="4" t="s">
        <v>239</v>
      </c>
      <c r="F452" s="4" t="s">
        <v>113</v>
      </c>
      <c r="G452" s="4" t="s">
        <v>301</v>
      </c>
      <c r="H452" s="4" t="s">
        <v>1076</v>
      </c>
      <c r="I452" s="4" t="s">
        <v>254</v>
      </c>
      <c r="J452" s="4" t="s">
        <v>1060</v>
      </c>
      <c r="K452" s="4" t="s">
        <v>1058</v>
      </c>
      <c r="L452" s="4" t="s">
        <v>558</v>
      </c>
    </row>
    <row r="453" spans="1:12" ht="31" customHeight="1">
      <c r="A453" s="4" t="s">
        <v>300</v>
      </c>
      <c r="B453" s="4" t="s">
        <v>237</v>
      </c>
      <c r="C453" s="4" t="s">
        <v>41</v>
      </c>
      <c r="D453" s="6">
        <v>2</v>
      </c>
      <c r="E453" s="4" t="s">
        <v>239</v>
      </c>
      <c r="F453" s="4" t="s">
        <v>113</v>
      </c>
      <c r="G453" s="4" t="s">
        <v>301</v>
      </c>
      <c r="H453" s="4" t="s">
        <v>1076</v>
      </c>
      <c r="I453" s="4" t="s">
        <v>254</v>
      </c>
      <c r="J453" s="4" t="s">
        <v>1061</v>
      </c>
      <c r="K453" s="4" t="s">
        <v>1058</v>
      </c>
      <c r="L453" s="4" t="s">
        <v>558</v>
      </c>
    </row>
    <row r="454" spans="1:12" ht="31" customHeight="1">
      <c r="A454" s="4" t="s">
        <v>300</v>
      </c>
      <c r="B454" s="4" t="s">
        <v>237</v>
      </c>
      <c r="C454" s="4" t="s">
        <v>42</v>
      </c>
      <c r="D454" s="6">
        <v>2</v>
      </c>
      <c r="E454" s="4" t="s">
        <v>239</v>
      </c>
      <c r="F454" s="4" t="s">
        <v>113</v>
      </c>
      <c r="G454" s="4" t="s">
        <v>301</v>
      </c>
      <c r="H454" s="4" t="s">
        <v>1076</v>
      </c>
      <c r="I454" s="4" t="s">
        <v>254</v>
      </c>
      <c r="J454" s="4" t="s">
        <v>1062</v>
      </c>
      <c r="K454" s="4" t="s">
        <v>1058</v>
      </c>
      <c r="L454" s="4" t="s">
        <v>558</v>
      </c>
    </row>
    <row r="455" spans="1:12" ht="31" customHeight="1">
      <c r="A455" s="4" t="s">
        <v>300</v>
      </c>
      <c r="B455" s="4" t="s">
        <v>237</v>
      </c>
      <c r="C455" s="4" t="s">
        <v>43</v>
      </c>
      <c r="D455" s="6">
        <v>2</v>
      </c>
      <c r="E455" s="4" t="s">
        <v>239</v>
      </c>
      <c r="F455" s="4" t="s">
        <v>113</v>
      </c>
      <c r="G455" s="4" t="s">
        <v>301</v>
      </c>
      <c r="H455" s="4" t="s">
        <v>1076</v>
      </c>
      <c r="I455" s="4" t="s">
        <v>254</v>
      </c>
      <c r="J455" s="4" t="s">
        <v>1063</v>
      </c>
      <c r="K455" s="4" t="s">
        <v>1058</v>
      </c>
      <c r="L455" s="4" t="s">
        <v>558</v>
      </c>
    </row>
    <row r="456" spans="1:12" ht="31" customHeight="1">
      <c r="A456" s="4" t="s">
        <v>300</v>
      </c>
      <c r="B456" s="4" t="s">
        <v>237</v>
      </c>
      <c r="C456" s="4" t="s">
        <v>44</v>
      </c>
      <c r="D456" s="6">
        <v>1</v>
      </c>
      <c r="E456" s="4" t="s">
        <v>239</v>
      </c>
      <c r="F456" s="4" t="s">
        <v>113</v>
      </c>
      <c r="G456" s="4" t="s">
        <v>301</v>
      </c>
      <c r="H456" s="4" t="s">
        <v>1076</v>
      </c>
      <c r="I456" s="4" t="s">
        <v>254</v>
      </c>
      <c r="J456" s="4" t="s">
        <v>1064</v>
      </c>
      <c r="K456" s="4" t="s">
        <v>1058</v>
      </c>
      <c r="L456" s="4" t="s">
        <v>558</v>
      </c>
    </row>
    <row r="457" spans="1:12" ht="31" customHeight="1">
      <c r="A457" s="4" t="s">
        <v>300</v>
      </c>
      <c r="B457" s="4" t="s">
        <v>237</v>
      </c>
      <c r="C457" s="4" t="s">
        <v>45</v>
      </c>
      <c r="D457" s="6">
        <v>1</v>
      </c>
      <c r="E457" s="4" t="s">
        <v>239</v>
      </c>
      <c r="F457" s="4" t="s">
        <v>113</v>
      </c>
      <c r="G457" s="4" t="s">
        <v>301</v>
      </c>
      <c r="H457" s="4" t="s">
        <v>1076</v>
      </c>
      <c r="I457" s="4" t="s">
        <v>254</v>
      </c>
      <c r="J457" s="4" t="s">
        <v>1065</v>
      </c>
      <c r="K457" s="4" t="s">
        <v>1058</v>
      </c>
      <c r="L457" s="4" t="s">
        <v>558</v>
      </c>
    </row>
    <row r="458" spans="1:12" ht="31" customHeight="1">
      <c r="A458" s="4" t="s">
        <v>300</v>
      </c>
      <c r="B458" s="4" t="s">
        <v>237</v>
      </c>
      <c r="C458" s="4" t="s">
        <v>46</v>
      </c>
      <c r="D458" s="6">
        <v>0</v>
      </c>
      <c r="E458" s="4" t="s">
        <v>239</v>
      </c>
      <c r="F458" s="4" t="s">
        <v>113</v>
      </c>
      <c r="G458" s="4" t="s">
        <v>301</v>
      </c>
      <c r="H458" s="4" t="s">
        <v>1076</v>
      </c>
      <c r="I458" s="4" t="s">
        <v>254</v>
      </c>
      <c r="J458" s="4" t="s">
        <v>1066</v>
      </c>
      <c r="K458" s="4" t="s">
        <v>1058</v>
      </c>
      <c r="L458" s="4" t="s">
        <v>558</v>
      </c>
    </row>
    <row r="459" spans="1:12" ht="31" customHeight="1">
      <c r="A459" s="4" t="s">
        <v>300</v>
      </c>
      <c r="B459" s="4" t="s">
        <v>237</v>
      </c>
      <c r="C459" s="4" t="s">
        <v>47</v>
      </c>
      <c r="D459" s="6">
        <v>1</v>
      </c>
      <c r="E459" s="4" t="s">
        <v>239</v>
      </c>
      <c r="F459" s="4" t="s">
        <v>113</v>
      </c>
      <c r="G459" s="4" t="s">
        <v>301</v>
      </c>
      <c r="H459" s="4" t="s">
        <v>1076</v>
      </c>
      <c r="I459" s="4" t="s">
        <v>254</v>
      </c>
      <c r="J459" s="4" t="s">
        <v>1067</v>
      </c>
      <c r="K459" s="4" t="s">
        <v>1058</v>
      </c>
      <c r="L459" s="4" t="s">
        <v>558</v>
      </c>
    </row>
    <row r="460" spans="1:12" ht="31" customHeight="1">
      <c r="A460" s="4" t="s">
        <v>300</v>
      </c>
      <c r="B460" s="4" t="s">
        <v>237</v>
      </c>
      <c r="C460" s="4" t="s">
        <v>48</v>
      </c>
      <c r="D460" s="6">
        <v>2</v>
      </c>
      <c r="E460" s="4" t="s">
        <v>239</v>
      </c>
      <c r="F460" s="4" t="s">
        <v>113</v>
      </c>
      <c r="G460" s="4" t="s">
        <v>301</v>
      </c>
      <c r="H460" s="4" t="s">
        <v>1076</v>
      </c>
      <c r="I460" s="4" t="s">
        <v>254</v>
      </c>
      <c r="J460" s="4" t="s">
        <v>1068</v>
      </c>
      <c r="K460" s="4" t="s">
        <v>1058</v>
      </c>
      <c r="L460" s="4" t="s">
        <v>558</v>
      </c>
    </row>
    <row r="461" spans="1:12" ht="31" customHeight="1">
      <c r="A461" s="4" t="s">
        <v>300</v>
      </c>
      <c r="B461" s="4" t="s">
        <v>237</v>
      </c>
      <c r="C461" s="4" t="s">
        <v>49</v>
      </c>
      <c r="D461" s="6">
        <v>2</v>
      </c>
      <c r="E461" s="4" t="s">
        <v>239</v>
      </c>
      <c r="F461" s="4" t="s">
        <v>113</v>
      </c>
      <c r="G461" s="4" t="s">
        <v>301</v>
      </c>
      <c r="H461" s="4" t="s">
        <v>1076</v>
      </c>
      <c r="I461" s="4" t="s">
        <v>254</v>
      </c>
      <c r="J461" s="4" t="s">
        <v>1069</v>
      </c>
      <c r="K461" s="4" t="s">
        <v>1058</v>
      </c>
      <c r="L461" s="4" t="s">
        <v>558</v>
      </c>
    </row>
    <row r="462" spans="1:12" ht="31" customHeight="1">
      <c r="A462" s="4" t="s">
        <v>304</v>
      </c>
      <c r="B462" s="4" t="s">
        <v>237</v>
      </c>
      <c r="C462" s="4" t="s">
        <v>40</v>
      </c>
      <c r="D462" s="6">
        <v>3</v>
      </c>
      <c r="E462" s="4" t="s">
        <v>239</v>
      </c>
      <c r="F462" s="4" t="s">
        <v>113</v>
      </c>
      <c r="G462" s="4" t="s">
        <v>264</v>
      </c>
      <c r="H462" s="4" t="s">
        <v>1077</v>
      </c>
      <c r="I462" s="4" t="s">
        <v>254</v>
      </c>
      <c r="J462" s="4" t="s">
        <v>1060</v>
      </c>
      <c r="K462" s="4" t="s">
        <v>1058</v>
      </c>
      <c r="L462" s="4" t="s">
        <v>558</v>
      </c>
    </row>
    <row r="463" spans="1:12" ht="31" customHeight="1">
      <c r="A463" s="4" t="s">
        <v>304</v>
      </c>
      <c r="B463" s="4" t="s">
        <v>237</v>
      </c>
      <c r="C463" s="4" t="s">
        <v>41</v>
      </c>
      <c r="D463" s="6">
        <v>2</v>
      </c>
      <c r="E463" s="4" t="s">
        <v>239</v>
      </c>
      <c r="F463" s="4" t="s">
        <v>113</v>
      </c>
      <c r="G463" s="4" t="s">
        <v>264</v>
      </c>
      <c r="H463" s="4" t="s">
        <v>1077</v>
      </c>
      <c r="I463" s="4" t="s">
        <v>254</v>
      </c>
      <c r="J463" s="4" t="s">
        <v>1061</v>
      </c>
      <c r="K463" s="4" t="s">
        <v>1058</v>
      </c>
      <c r="L463" s="4" t="s">
        <v>558</v>
      </c>
    </row>
    <row r="464" spans="1:12" ht="31" customHeight="1">
      <c r="A464" s="4" t="s">
        <v>304</v>
      </c>
      <c r="B464" s="4" t="s">
        <v>237</v>
      </c>
      <c r="C464" s="4" t="s">
        <v>42</v>
      </c>
      <c r="D464" s="6">
        <v>2</v>
      </c>
      <c r="E464" s="4" t="s">
        <v>239</v>
      </c>
      <c r="F464" s="4" t="s">
        <v>113</v>
      </c>
      <c r="G464" s="4" t="s">
        <v>264</v>
      </c>
      <c r="H464" s="4" t="s">
        <v>1077</v>
      </c>
      <c r="I464" s="4" t="s">
        <v>254</v>
      </c>
      <c r="J464" s="4" t="s">
        <v>1062</v>
      </c>
      <c r="K464" s="4" t="s">
        <v>1058</v>
      </c>
      <c r="L464" s="4" t="s">
        <v>558</v>
      </c>
    </row>
    <row r="465" spans="1:12" ht="31" customHeight="1">
      <c r="A465" s="4" t="s">
        <v>304</v>
      </c>
      <c r="B465" s="4" t="s">
        <v>237</v>
      </c>
      <c r="C465" s="4" t="s">
        <v>43</v>
      </c>
      <c r="D465" s="6">
        <v>2</v>
      </c>
      <c r="E465" s="4" t="s">
        <v>239</v>
      </c>
      <c r="F465" s="4" t="s">
        <v>113</v>
      </c>
      <c r="G465" s="4" t="s">
        <v>264</v>
      </c>
      <c r="H465" s="4" t="s">
        <v>1077</v>
      </c>
      <c r="I465" s="4" t="s">
        <v>254</v>
      </c>
      <c r="J465" s="4" t="s">
        <v>1063</v>
      </c>
      <c r="K465" s="4" t="s">
        <v>1058</v>
      </c>
      <c r="L465" s="4" t="s">
        <v>558</v>
      </c>
    </row>
    <row r="466" spans="1:12" ht="31" customHeight="1">
      <c r="A466" s="4" t="s">
        <v>304</v>
      </c>
      <c r="B466" s="4" t="s">
        <v>237</v>
      </c>
      <c r="C466" s="4" t="s">
        <v>44</v>
      </c>
      <c r="D466" s="6">
        <v>1</v>
      </c>
      <c r="E466" s="4" t="s">
        <v>239</v>
      </c>
      <c r="F466" s="4" t="s">
        <v>113</v>
      </c>
      <c r="G466" s="4" t="s">
        <v>264</v>
      </c>
      <c r="H466" s="4" t="s">
        <v>1077</v>
      </c>
      <c r="I466" s="4" t="s">
        <v>254</v>
      </c>
      <c r="J466" s="4" t="s">
        <v>1064</v>
      </c>
      <c r="K466" s="4" t="s">
        <v>1058</v>
      </c>
      <c r="L466" s="4" t="s">
        <v>558</v>
      </c>
    </row>
    <row r="467" spans="1:12" ht="31" customHeight="1">
      <c r="A467" s="4" t="s">
        <v>304</v>
      </c>
      <c r="B467" s="4" t="s">
        <v>237</v>
      </c>
      <c r="C467" s="4" t="s">
        <v>45</v>
      </c>
      <c r="D467" s="6">
        <v>1</v>
      </c>
      <c r="E467" s="4" t="s">
        <v>239</v>
      </c>
      <c r="F467" s="4" t="s">
        <v>113</v>
      </c>
      <c r="G467" s="4" t="s">
        <v>264</v>
      </c>
      <c r="H467" s="4" t="s">
        <v>1077</v>
      </c>
      <c r="I467" s="4" t="s">
        <v>254</v>
      </c>
      <c r="J467" s="4" t="s">
        <v>1065</v>
      </c>
      <c r="K467" s="4" t="s">
        <v>1058</v>
      </c>
      <c r="L467" s="4" t="s">
        <v>558</v>
      </c>
    </row>
    <row r="468" spans="1:12" ht="31" customHeight="1">
      <c r="A468" s="4" t="s">
        <v>304</v>
      </c>
      <c r="B468" s="4" t="s">
        <v>237</v>
      </c>
      <c r="C468" s="4" t="s">
        <v>46</v>
      </c>
      <c r="D468" s="6">
        <v>0</v>
      </c>
      <c r="E468" s="4" t="s">
        <v>239</v>
      </c>
      <c r="F468" s="4" t="s">
        <v>113</v>
      </c>
      <c r="G468" s="4" t="s">
        <v>264</v>
      </c>
      <c r="H468" s="4" t="s">
        <v>1077</v>
      </c>
      <c r="I468" s="4" t="s">
        <v>254</v>
      </c>
      <c r="J468" s="4" t="s">
        <v>1066</v>
      </c>
      <c r="K468" s="4" t="s">
        <v>1058</v>
      </c>
      <c r="L468" s="4" t="s">
        <v>558</v>
      </c>
    </row>
    <row r="469" spans="1:12" ht="31" customHeight="1">
      <c r="A469" s="4" t="s">
        <v>304</v>
      </c>
      <c r="B469" s="4" t="s">
        <v>237</v>
      </c>
      <c r="C469" s="4" t="s">
        <v>47</v>
      </c>
      <c r="D469" s="6">
        <v>1</v>
      </c>
      <c r="E469" s="4" t="s">
        <v>239</v>
      </c>
      <c r="F469" s="4" t="s">
        <v>113</v>
      </c>
      <c r="G469" s="4" t="s">
        <v>264</v>
      </c>
      <c r="H469" s="4" t="s">
        <v>1077</v>
      </c>
      <c r="I469" s="4" t="s">
        <v>254</v>
      </c>
      <c r="J469" s="4" t="s">
        <v>1067</v>
      </c>
      <c r="K469" s="4" t="s">
        <v>1058</v>
      </c>
      <c r="L469" s="4" t="s">
        <v>558</v>
      </c>
    </row>
    <row r="470" spans="1:12" ht="31" customHeight="1">
      <c r="A470" s="4" t="s">
        <v>304</v>
      </c>
      <c r="B470" s="4" t="s">
        <v>237</v>
      </c>
      <c r="C470" s="4" t="s">
        <v>48</v>
      </c>
      <c r="D470" s="6">
        <v>2</v>
      </c>
      <c r="E470" s="4" t="s">
        <v>239</v>
      </c>
      <c r="F470" s="4" t="s">
        <v>113</v>
      </c>
      <c r="G470" s="4" t="s">
        <v>264</v>
      </c>
      <c r="H470" s="4" t="s">
        <v>1077</v>
      </c>
      <c r="I470" s="4" t="s">
        <v>254</v>
      </c>
      <c r="J470" s="4" t="s">
        <v>1068</v>
      </c>
      <c r="K470" s="4" t="s">
        <v>1058</v>
      </c>
      <c r="L470" s="4" t="s">
        <v>558</v>
      </c>
    </row>
    <row r="471" spans="1:12" ht="31" customHeight="1">
      <c r="A471" s="4" t="s">
        <v>304</v>
      </c>
      <c r="B471" s="4" t="s">
        <v>237</v>
      </c>
      <c r="C471" s="4" t="s">
        <v>49</v>
      </c>
      <c r="D471" s="6">
        <v>2</v>
      </c>
      <c r="E471" s="4" t="s">
        <v>239</v>
      </c>
      <c r="F471" s="4" t="s">
        <v>113</v>
      </c>
      <c r="G471" s="4" t="s">
        <v>264</v>
      </c>
      <c r="H471" s="4" t="s">
        <v>1077</v>
      </c>
      <c r="I471" s="4" t="s">
        <v>254</v>
      </c>
      <c r="J471" s="4" t="s">
        <v>1069</v>
      </c>
      <c r="K471" s="4" t="s">
        <v>1058</v>
      </c>
      <c r="L471" s="4" t="s">
        <v>558</v>
      </c>
    </row>
    <row r="472" spans="1:12" ht="31" customHeight="1">
      <c r="A472" s="4" t="s">
        <v>306</v>
      </c>
      <c r="B472" s="4" t="s">
        <v>237</v>
      </c>
      <c r="C472" s="4" t="s">
        <v>40</v>
      </c>
      <c r="D472" s="6">
        <v>3</v>
      </c>
      <c r="E472" s="4" t="s">
        <v>239</v>
      </c>
      <c r="F472" s="4" t="s">
        <v>130</v>
      </c>
      <c r="G472" s="4" t="s">
        <v>307</v>
      </c>
      <c r="H472" s="4" t="s">
        <v>1078</v>
      </c>
      <c r="I472" s="4" t="s">
        <v>254</v>
      </c>
      <c r="J472" s="4" t="s">
        <v>1060</v>
      </c>
      <c r="K472" s="4" t="s">
        <v>1058</v>
      </c>
      <c r="L472" s="4" t="s">
        <v>558</v>
      </c>
    </row>
    <row r="473" spans="1:12" ht="31" customHeight="1">
      <c r="A473" s="4" t="s">
        <v>306</v>
      </c>
      <c r="B473" s="4" t="s">
        <v>237</v>
      </c>
      <c r="C473" s="4" t="s">
        <v>41</v>
      </c>
      <c r="D473" s="6">
        <v>3</v>
      </c>
      <c r="E473" s="4" t="s">
        <v>239</v>
      </c>
      <c r="F473" s="4" t="s">
        <v>130</v>
      </c>
      <c r="G473" s="4" t="s">
        <v>307</v>
      </c>
      <c r="H473" s="4" t="s">
        <v>1078</v>
      </c>
      <c r="I473" s="4" t="s">
        <v>254</v>
      </c>
      <c r="J473" s="4" t="s">
        <v>1061</v>
      </c>
      <c r="K473" s="4" t="s">
        <v>1058</v>
      </c>
      <c r="L473" s="4" t="s">
        <v>558</v>
      </c>
    </row>
    <row r="474" spans="1:12" ht="31" customHeight="1">
      <c r="A474" s="4" t="s">
        <v>306</v>
      </c>
      <c r="B474" s="4" t="s">
        <v>237</v>
      </c>
      <c r="C474" s="4" t="s">
        <v>42</v>
      </c>
      <c r="D474" s="6">
        <v>2</v>
      </c>
      <c r="E474" s="4" t="s">
        <v>239</v>
      </c>
      <c r="F474" s="4" t="s">
        <v>130</v>
      </c>
      <c r="G474" s="4" t="s">
        <v>307</v>
      </c>
      <c r="H474" s="4" t="s">
        <v>1078</v>
      </c>
      <c r="I474" s="4" t="s">
        <v>254</v>
      </c>
      <c r="J474" s="4" t="s">
        <v>1062</v>
      </c>
      <c r="K474" s="4" t="s">
        <v>1058</v>
      </c>
      <c r="L474" s="4" t="s">
        <v>558</v>
      </c>
    </row>
    <row r="475" spans="1:12" ht="31" customHeight="1">
      <c r="A475" s="4" t="s">
        <v>306</v>
      </c>
      <c r="B475" s="4" t="s">
        <v>237</v>
      </c>
      <c r="C475" s="4" t="s">
        <v>43</v>
      </c>
      <c r="D475" s="6">
        <v>2</v>
      </c>
      <c r="E475" s="4" t="s">
        <v>239</v>
      </c>
      <c r="F475" s="4" t="s">
        <v>130</v>
      </c>
      <c r="G475" s="4" t="s">
        <v>307</v>
      </c>
      <c r="H475" s="4" t="s">
        <v>1078</v>
      </c>
      <c r="I475" s="4" t="s">
        <v>254</v>
      </c>
      <c r="J475" s="4" t="s">
        <v>1063</v>
      </c>
      <c r="K475" s="4" t="s">
        <v>1058</v>
      </c>
      <c r="L475" s="4" t="s">
        <v>558</v>
      </c>
    </row>
    <row r="476" spans="1:12" ht="31" customHeight="1">
      <c r="A476" s="4" t="s">
        <v>306</v>
      </c>
      <c r="B476" s="4" t="s">
        <v>237</v>
      </c>
      <c r="C476" s="4" t="s">
        <v>44</v>
      </c>
      <c r="D476" s="6">
        <v>2</v>
      </c>
      <c r="E476" s="4" t="s">
        <v>239</v>
      </c>
      <c r="F476" s="4" t="s">
        <v>130</v>
      </c>
      <c r="G476" s="4" t="s">
        <v>307</v>
      </c>
      <c r="H476" s="4" t="s">
        <v>1078</v>
      </c>
      <c r="I476" s="4" t="s">
        <v>254</v>
      </c>
      <c r="J476" s="4" t="s">
        <v>1064</v>
      </c>
      <c r="K476" s="4" t="s">
        <v>1058</v>
      </c>
      <c r="L476" s="4" t="s">
        <v>558</v>
      </c>
    </row>
    <row r="477" spans="1:12" ht="31" customHeight="1">
      <c r="A477" s="4" t="s">
        <v>306</v>
      </c>
      <c r="B477" s="4" t="s">
        <v>237</v>
      </c>
      <c r="C477" s="4" t="s">
        <v>45</v>
      </c>
      <c r="D477" s="6">
        <v>2</v>
      </c>
      <c r="E477" s="4" t="s">
        <v>239</v>
      </c>
      <c r="F477" s="4" t="s">
        <v>130</v>
      </c>
      <c r="G477" s="4" t="s">
        <v>307</v>
      </c>
      <c r="H477" s="4" t="s">
        <v>1078</v>
      </c>
      <c r="I477" s="4" t="s">
        <v>254</v>
      </c>
      <c r="J477" s="4" t="s">
        <v>1065</v>
      </c>
      <c r="K477" s="4" t="s">
        <v>1058</v>
      </c>
      <c r="L477" s="4" t="s">
        <v>558</v>
      </c>
    </row>
    <row r="478" spans="1:12" ht="31" customHeight="1">
      <c r="A478" s="4" t="s">
        <v>306</v>
      </c>
      <c r="B478" s="4" t="s">
        <v>237</v>
      </c>
      <c r="C478" s="4" t="s">
        <v>46</v>
      </c>
      <c r="D478" s="6">
        <v>0</v>
      </c>
      <c r="E478" s="4" t="s">
        <v>239</v>
      </c>
      <c r="F478" s="4" t="s">
        <v>130</v>
      </c>
      <c r="G478" s="4" t="s">
        <v>307</v>
      </c>
      <c r="H478" s="4" t="s">
        <v>1078</v>
      </c>
      <c r="I478" s="4" t="s">
        <v>254</v>
      </c>
      <c r="J478" s="4" t="s">
        <v>1066</v>
      </c>
      <c r="K478" s="4" t="s">
        <v>1058</v>
      </c>
      <c r="L478" s="4" t="s">
        <v>558</v>
      </c>
    </row>
    <row r="479" spans="1:12" ht="31" customHeight="1">
      <c r="A479" s="4" t="s">
        <v>306</v>
      </c>
      <c r="B479" s="4" t="s">
        <v>237</v>
      </c>
      <c r="C479" s="4" t="s">
        <v>47</v>
      </c>
      <c r="D479" s="6">
        <v>2</v>
      </c>
      <c r="E479" s="4" t="s">
        <v>239</v>
      </c>
      <c r="F479" s="4" t="s">
        <v>130</v>
      </c>
      <c r="G479" s="4" t="s">
        <v>307</v>
      </c>
      <c r="H479" s="4" t="s">
        <v>1078</v>
      </c>
      <c r="I479" s="4" t="s">
        <v>254</v>
      </c>
      <c r="J479" s="4" t="s">
        <v>1067</v>
      </c>
      <c r="K479" s="4" t="s">
        <v>1058</v>
      </c>
      <c r="L479" s="4" t="s">
        <v>558</v>
      </c>
    </row>
    <row r="480" spans="1:12" ht="31" customHeight="1">
      <c r="A480" s="4" t="s">
        <v>306</v>
      </c>
      <c r="B480" s="4" t="s">
        <v>237</v>
      </c>
      <c r="C480" s="4" t="s">
        <v>48</v>
      </c>
      <c r="D480" s="6">
        <v>3</v>
      </c>
      <c r="E480" s="4" t="s">
        <v>239</v>
      </c>
      <c r="F480" s="4" t="s">
        <v>130</v>
      </c>
      <c r="G480" s="4" t="s">
        <v>307</v>
      </c>
      <c r="H480" s="4" t="s">
        <v>1078</v>
      </c>
      <c r="I480" s="4" t="s">
        <v>254</v>
      </c>
      <c r="J480" s="4" t="s">
        <v>1068</v>
      </c>
      <c r="K480" s="4" t="s">
        <v>1058</v>
      </c>
      <c r="L480" s="4" t="s">
        <v>558</v>
      </c>
    </row>
    <row r="481" spans="1:12" ht="31" customHeight="1">
      <c r="A481" s="4" t="s">
        <v>306</v>
      </c>
      <c r="B481" s="4" t="s">
        <v>237</v>
      </c>
      <c r="C481" s="4" t="s">
        <v>49</v>
      </c>
      <c r="D481" s="6">
        <v>2</v>
      </c>
      <c r="E481" s="4" t="s">
        <v>239</v>
      </c>
      <c r="F481" s="4" t="s">
        <v>130</v>
      </c>
      <c r="G481" s="4" t="s">
        <v>307</v>
      </c>
      <c r="H481" s="4" t="s">
        <v>1078</v>
      </c>
      <c r="I481" s="4" t="s">
        <v>254</v>
      </c>
      <c r="J481" s="4" t="s">
        <v>1069</v>
      </c>
      <c r="K481" s="4" t="s">
        <v>1058</v>
      </c>
      <c r="L481" s="4" t="s">
        <v>558</v>
      </c>
    </row>
    <row r="482" spans="1:12" ht="31" customHeight="1">
      <c r="A482" s="4" t="s">
        <v>190</v>
      </c>
      <c r="B482" s="4" t="s">
        <v>191</v>
      </c>
      <c r="C482" s="4" t="s">
        <v>40</v>
      </c>
      <c r="D482" s="6">
        <v>3</v>
      </c>
      <c r="E482" s="4" t="s">
        <v>1079</v>
      </c>
      <c r="F482" s="4" t="s">
        <v>113</v>
      </c>
      <c r="G482" s="4" t="s">
        <v>218</v>
      </c>
      <c r="H482" s="5"/>
      <c r="I482" s="5"/>
      <c r="J482" s="4" t="s">
        <v>1080</v>
      </c>
      <c r="K482" s="5"/>
      <c r="L482" s="4" t="s">
        <v>558</v>
      </c>
    </row>
    <row r="483" spans="1:12" ht="31" customHeight="1">
      <c r="A483" s="4" t="s">
        <v>190</v>
      </c>
      <c r="B483" s="4" t="s">
        <v>191</v>
      </c>
      <c r="C483" s="4" t="s">
        <v>41</v>
      </c>
      <c r="D483" s="6">
        <v>3</v>
      </c>
      <c r="E483" s="4" t="s">
        <v>1079</v>
      </c>
      <c r="F483" s="4" t="s">
        <v>113</v>
      </c>
      <c r="G483" s="4" t="s">
        <v>218</v>
      </c>
      <c r="H483" s="5"/>
      <c r="I483" s="5"/>
      <c r="J483" s="4" t="s">
        <v>1080</v>
      </c>
      <c r="K483" s="5"/>
      <c r="L483" s="4" t="s">
        <v>558</v>
      </c>
    </row>
    <row r="484" spans="1:12" ht="31" customHeight="1">
      <c r="A484" s="4" t="s">
        <v>190</v>
      </c>
      <c r="B484" s="4" t="s">
        <v>191</v>
      </c>
      <c r="C484" s="4" t="s">
        <v>42</v>
      </c>
      <c r="D484" s="6">
        <v>3</v>
      </c>
      <c r="E484" s="4" t="s">
        <v>1079</v>
      </c>
      <c r="F484" s="4" t="s">
        <v>113</v>
      </c>
      <c r="G484" s="4" t="s">
        <v>218</v>
      </c>
      <c r="H484" s="5"/>
      <c r="I484" s="5"/>
      <c r="J484" s="4" t="s">
        <v>1080</v>
      </c>
      <c r="K484" s="5"/>
      <c r="L484" s="4" t="s">
        <v>558</v>
      </c>
    </row>
    <row r="485" spans="1:12" ht="31" customHeight="1">
      <c r="A485" s="4" t="s">
        <v>190</v>
      </c>
      <c r="B485" s="4" t="s">
        <v>191</v>
      </c>
      <c r="C485" s="4" t="s">
        <v>43</v>
      </c>
      <c r="D485" s="6">
        <v>3</v>
      </c>
      <c r="E485" s="4" t="s">
        <v>1079</v>
      </c>
      <c r="F485" s="4" t="s">
        <v>113</v>
      </c>
      <c r="G485" s="4" t="s">
        <v>218</v>
      </c>
      <c r="H485" s="5"/>
      <c r="I485" s="5"/>
      <c r="J485" s="4" t="s">
        <v>1080</v>
      </c>
      <c r="K485" s="5"/>
      <c r="L485" s="4" t="s">
        <v>558</v>
      </c>
    </row>
    <row r="486" spans="1:12" ht="31" customHeight="1">
      <c r="A486" s="4" t="s">
        <v>190</v>
      </c>
      <c r="B486" s="4" t="s">
        <v>191</v>
      </c>
      <c r="C486" s="4" t="s">
        <v>44</v>
      </c>
      <c r="D486" s="6">
        <v>3</v>
      </c>
      <c r="E486" s="4" t="s">
        <v>1079</v>
      </c>
      <c r="F486" s="4" t="s">
        <v>113</v>
      </c>
      <c r="G486" s="4" t="s">
        <v>218</v>
      </c>
      <c r="H486" s="5"/>
      <c r="I486" s="5"/>
      <c r="J486" s="4" t="s">
        <v>1080</v>
      </c>
      <c r="K486" s="5"/>
      <c r="L486" s="4" t="s">
        <v>558</v>
      </c>
    </row>
    <row r="487" spans="1:12" ht="31" customHeight="1">
      <c r="A487" s="4" t="s">
        <v>190</v>
      </c>
      <c r="B487" s="4" t="s">
        <v>191</v>
      </c>
      <c r="C487" s="4" t="s">
        <v>45</v>
      </c>
      <c r="D487" s="6">
        <v>3</v>
      </c>
      <c r="E487" s="4" t="s">
        <v>1079</v>
      </c>
      <c r="F487" s="4" t="s">
        <v>113</v>
      </c>
      <c r="G487" s="4" t="s">
        <v>218</v>
      </c>
      <c r="H487" s="5"/>
      <c r="I487" s="5"/>
      <c r="J487" s="4" t="s">
        <v>1080</v>
      </c>
      <c r="K487" s="5"/>
      <c r="L487" s="4" t="s">
        <v>558</v>
      </c>
    </row>
    <row r="488" spans="1:12" ht="31" customHeight="1">
      <c r="A488" s="4" t="s">
        <v>190</v>
      </c>
      <c r="B488" s="4" t="s">
        <v>191</v>
      </c>
      <c r="C488" s="4" t="s">
        <v>46</v>
      </c>
      <c r="D488" s="6">
        <v>3</v>
      </c>
      <c r="E488" s="4" t="s">
        <v>1079</v>
      </c>
      <c r="F488" s="4" t="s">
        <v>113</v>
      </c>
      <c r="G488" s="4" t="s">
        <v>218</v>
      </c>
      <c r="H488" s="5"/>
      <c r="I488" s="5"/>
      <c r="J488" s="4" t="s">
        <v>1080</v>
      </c>
      <c r="K488" s="5"/>
      <c r="L488" s="4" t="s">
        <v>558</v>
      </c>
    </row>
    <row r="489" spans="1:12" ht="31" customHeight="1">
      <c r="A489" s="4" t="s">
        <v>190</v>
      </c>
      <c r="B489" s="4" t="s">
        <v>191</v>
      </c>
      <c r="C489" s="4" t="s">
        <v>47</v>
      </c>
      <c r="D489" s="6">
        <v>3</v>
      </c>
      <c r="E489" s="4" t="s">
        <v>1079</v>
      </c>
      <c r="F489" s="4" t="s">
        <v>113</v>
      </c>
      <c r="G489" s="4" t="s">
        <v>218</v>
      </c>
      <c r="H489" s="5"/>
      <c r="I489" s="5"/>
      <c r="J489" s="4" t="s">
        <v>1080</v>
      </c>
      <c r="K489" s="5"/>
      <c r="L489" s="4" t="s">
        <v>558</v>
      </c>
    </row>
    <row r="490" spans="1:12" ht="31" customHeight="1">
      <c r="A490" s="4" t="s">
        <v>190</v>
      </c>
      <c r="B490" s="4" t="s">
        <v>191</v>
      </c>
      <c r="C490" s="4" t="s">
        <v>48</v>
      </c>
      <c r="D490" s="6">
        <v>3</v>
      </c>
      <c r="E490" s="4" t="s">
        <v>1079</v>
      </c>
      <c r="F490" s="4" t="s">
        <v>113</v>
      </c>
      <c r="G490" s="4" t="s">
        <v>218</v>
      </c>
      <c r="H490" s="5"/>
      <c r="I490" s="5"/>
      <c r="J490" s="4" t="s">
        <v>1080</v>
      </c>
      <c r="K490" s="5"/>
      <c r="L490" s="4" t="s">
        <v>558</v>
      </c>
    </row>
    <row r="491" spans="1:12" ht="31" customHeight="1">
      <c r="A491" s="4" t="s">
        <v>190</v>
      </c>
      <c r="B491" s="4" t="s">
        <v>191</v>
      </c>
      <c r="C491" s="4" t="s">
        <v>49</v>
      </c>
      <c r="D491" s="6">
        <v>3</v>
      </c>
      <c r="E491" s="4" t="s">
        <v>1079</v>
      </c>
      <c r="F491" s="4" t="s">
        <v>113</v>
      </c>
      <c r="G491" s="4" t="s">
        <v>218</v>
      </c>
      <c r="H491" s="5"/>
      <c r="I491" s="5"/>
      <c r="J491" s="4" t="s">
        <v>1080</v>
      </c>
      <c r="K491" s="5"/>
      <c r="L491" s="4" t="s">
        <v>558</v>
      </c>
    </row>
    <row r="492" spans="1:12" ht="31" customHeight="1">
      <c r="A492" s="4" t="s">
        <v>202</v>
      </c>
      <c r="B492" s="4" t="s">
        <v>191</v>
      </c>
      <c r="C492" s="4" t="s">
        <v>40</v>
      </c>
      <c r="D492" s="6">
        <v>3</v>
      </c>
      <c r="E492" s="4" t="s">
        <v>1079</v>
      </c>
      <c r="F492" s="4" t="s">
        <v>113</v>
      </c>
      <c r="G492" s="4" t="s">
        <v>218</v>
      </c>
      <c r="H492" s="5"/>
      <c r="I492" s="4" t="s">
        <v>205</v>
      </c>
      <c r="J492" s="4" t="s">
        <v>1080</v>
      </c>
      <c r="K492" s="5"/>
      <c r="L492" s="4" t="s">
        <v>558</v>
      </c>
    </row>
    <row r="493" spans="1:12" ht="31" customHeight="1">
      <c r="A493" s="4" t="s">
        <v>202</v>
      </c>
      <c r="B493" s="4" t="s">
        <v>191</v>
      </c>
      <c r="C493" s="4" t="s">
        <v>41</v>
      </c>
      <c r="D493" s="6">
        <v>3</v>
      </c>
      <c r="E493" s="4" t="s">
        <v>1079</v>
      </c>
      <c r="F493" s="4" t="s">
        <v>113</v>
      </c>
      <c r="G493" s="4" t="s">
        <v>218</v>
      </c>
      <c r="H493" s="5"/>
      <c r="I493" s="4" t="s">
        <v>205</v>
      </c>
      <c r="J493" s="4" t="s">
        <v>1080</v>
      </c>
      <c r="K493" s="5"/>
      <c r="L493" s="4" t="s">
        <v>558</v>
      </c>
    </row>
    <row r="494" spans="1:12" ht="31" customHeight="1">
      <c r="A494" s="4" t="s">
        <v>202</v>
      </c>
      <c r="B494" s="4" t="s">
        <v>191</v>
      </c>
      <c r="C494" s="4" t="s">
        <v>42</v>
      </c>
      <c r="D494" s="6">
        <v>3</v>
      </c>
      <c r="E494" s="4" t="s">
        <v>1079</v>
      </c>
      <c r="F494" s="4" t="s">
        <v>113</v>
      </c>
      <c r="G494" s="4" t="s">
        <v>218</v>
      </c>
      <c r="H494" s="5"/>
      <c r="I494" s="4" t="s">
        <v>205</v>
      </c>
      <c r="J494" s="4" t="s">
        <v>1080</v>
      </c>
      <c r="K494" s="5"/>
      <c r="L494" s="4" t="s">
        <v>558</v>
      </c>
    </row>
    <row r="495" spans="1:12" ht="31" customHeight="1">
      <c r="A495" s="4" t="s">
        <v>202</v>
      </c>
      <c r="B495" s="4" t="s">
        <v>191</v>
      </c>
      <c r="C495" s="4" t="s">
        <v>43</v>
      </c>
      <c r="D495" s="6">
        <v>3</v>
      </c>
      <c r="E495" s="4" t="s">
        <v>1079</v>
      </c>
      <c r="F495" s="4" t="s">
        <v>113</v>
      </c>
      <c r="G495" s="4" t="s">
        <v>218</v>
      </c>
      <c r="H495" s="5"/>
      <c r="I495" s="4" t="s">
        <v>205</v>
      </c>
      <c r="J495" s="4" t="s">
        <v>1080</v>
      </c>
      <c r="K495" s="5"/>
      <c r="L495" s="4" t="s">
        <v>558</v>
      </c>
    </row>
    <row r="496" spans="1:12" ht="31" customHeight="1">
      <c r="A496" s="4" t="s">
        <v>202</v>
      </c>
      <c r="B496" s="4" t="s">
        <v>191</v>
      </c>
      <c r="C496" s="4" t="s">
        <v>44</v>
      </c>
      <c r="D496" s="6">
        <v>3</v>
      </c>
      <c r="E496" s="4" t="s">
        <v>1079</v>
      </c>
      <c r="F496" s="4" t="s">
        <v>113</v>
      </c>
      <c r="G496" s="4" t="s">
        <v>218</v>
      </c>
      <c r="H496" s="5"/>
      <c r="I496" s="4" t="s">
        <v>205</v>
      </c>
      <c r="J496" s="4" t="s">
        <v>1080</v>
      </c>
      <c r="K496" s="5"/>
      <c r="L496" s="4" t="s">
        <v>558</v>
      </c>
    </row>
    <row r="497" spans="1:12" ht="31" customHeight="1">
      <c r="A497" s="4" t="s">
        <v>202</v>
      </c>
      <c r="B497" s="4" t="s">
        <v>191</v>
      </c>
      <c r="C497" s="4" t="s">
        <v>45</v>
      </c>
      <c r="D497" s="6">
        <v>3</v>
      </c>
      <c r="E497" s="4" t="s">
        <v>1079</v>
      </c>
      <c r="F497" s="4" t="s">
        <v>113</v>
      </c>
      <c r="G497" s="4" t="s">
        <v>218</v>
      </c>
      <c r="H497" s="5"/>
      <c r="I497" s="4" t="s">
        <v>205</v>
      </c>
      <c r="J497" s="4" t="s">
        <v>1080</v>
      </c>
      <c r="K497" s="5"/>
      <c r="L497" s="4" t="s">
        <v>558</v>
      </c>
    </row>
    <row r="498" spans="1:12" ht="31" customHeight="1">
      <c r="A498" s="4" t="s">
        <v>202</v>
      </c>
      <c r="B498" s="4" t="s">
        <v>191</v>
      </c>
      <c r="C498" s="4" t="s">
        <v>46</v>
      </c>
      <c r="D498" s="6">
        <v>3</v>
      </c>
      <c r="E498" s="4" t="s">
        <v>1079</v>
      </c>
      <c r="F498" s="4" t="s">
        <v>113</v>
      </c>
      <c r="G498" s="4" t="s">
        <v>218</v>
      </c>
      <c r="H498" s="5"/>
      <c r="I498" s="4" t="s">
        <v>205</v>
      </c>
      <c r="J498" s="4" t="s">
        <v>1080</v>
      </c>
      <c r="K498" s="5"/>
      <c r="L498" s="4" t="s">
        <v>558</v>
      </c>
    </row>
    <row r="499" spans="1:12" ht="31" customHeight="1">
      <c r="A499" s="4" t="s">
        <v>202</v>
      </c>
      <c r="B499" s="4" t="s">
        <v>191</v>
      </c>
      <c r="C499" s="4" t="s">
        <v>47</v>
      </c>
      <c r="D499" s="6">
        <v>3</v>
      </c>
      <c r="E499" s="4" t="s">
        <v>1079</v>
      </c>
      <c r="F499" s="4" t="s">
        <v>113</v>
      </c>
      <c r="G499" s="4" t="s">
        <v>218</v>
      </c>
      <c r="H499" s="5"/>
      <c r="I499" s="4" t="s">
        <v>205</v>
      </c>
      <c r="J499" s="4" t="s">
        <v>1080</v>
      </c>
      <c r="K499" s="5"/>
      <c r="L499" s="4" t="s">
        <v>558</v>
      </c>
    </row>
    <row r="500" spans="1:12" ht="31" customHeight="1">
      <c r="A500" s="4" t="s">
        <v>202</v>
      </c>
      <c r="B500" s="4" t="s">
        <v>191</v>
      </c>
      <c r="C500" s="4" t="s">
        <v>48</v>
      </c>
      <c r="D500" s="6">
        <v>3</v>
      </c>
      <c r="E500" s="4" t="s">
        <v>1079</v>
      </c>
      <c r="F500" s="4" t="s">
        <v>113</v>
      </c>
      <c r="G500" s="4" t="s">
        <v>218</v>
      </c>
      <c r="H500" s="5"/>
      <c r="I500" s="4" t="s">
        <v>205</v>
      </c>
      <c r="J500" s="4" t="s">
        <v>1080</v>
      </c>
      <c r="K500" s="5"/>
      <c r="L500" s="4" t="s">
        <v>558</v>
      </c>
    </row>
    <row r="501" spans="1:12" ht="31" customHeight="1">
      <c r="A501" s="4" t="s">
        <v>202</v>
      </c>
      <c r="B501" s="4" t="s">
        <v>191</v>
      </c>
      <c r="C501" s="4" t="s">
        <v>49</v>
      </c>
      <c r="D501" s="6">
        <v>3</v>
      </c>
      <c r="E501" s="4" t="s">
        <v>1079</v>
      </c>
      <c r="F501" s="4" t="s">
        <v>113</v>
      </c>
      <c r="G501" s="4" t="s">
        <v>218</v>
      </c>
      <c r="H501" s="5"/>
      <c r="I501" s="4" t="s">
        <v>205</v>
      </c>
      <c r="J501" s="4" t="s">
        <v>1080</v>
      </c>
      <c r="K501" s="5"/>
      <c r="L501" s="4" t="s">
        <v>558</v>
      </c>
    </row>
    <row r="502" spans="1:12" ht="31" customHeight="1">
      <c r="A502" s="4" t="s">
        <v>208</v>
      </c>
      <c r="B502" s="4" t="s">
        <v>191</v>
      </c>
      <c r="C502" s="4" t="s">
        <v>40</v>
      </c>
      <c r="D502" s="6">
        <v>3</v>
      </c>
      <c r="E502" s="4" t="s">
        <v>1079</v>
      </c>
      <c r="F502" s="4" t="s">
        <v>113</v>
      </c>
      <c r="G502" s="4" t="s">
        <v>218</v>
      </c>
      <c r="H502" s="5"/>
      <c r="I502" s="5"/>
      <c r="J502" s="4" t="s">
        <v>1080</v>
      </c>
      <c r="K502" s="5"/>
      <c r="L502" s="4" t="s">
        <v>558</v>
      </c>
    </row>
    <row r="503" spans="1:12" ht="31" customHeight="1">
      <c r="A503" s="4" t="s">
        <v>208</v>
      </c>
      <c r="B503" s="4" t="s">
        <v>191</v>
      </c>
      <c r="C503" s="4" t="s">
        <v>41</v>
      </c>
      <c r="D503" s="6">
        <v>3</v>
      </c>
      <c r="E503" s="4" t="s">
        <v>1079</v>
      </c>
      <c r="F503" s="4" t="s">
        <v>113</v>
      </c>
      <c r="G503" s="4" t="s">
        <v>218</v>
      </c>
      <c r="H503" s="5"/>
      <c r="I503" s="5"/>
      <c r="J503" s="4" t="s">
        <v>1080</v>
      </c>
      <c r="K503" s="5"/>
      <c r="L503" s="4" t="s">
        <v>558</v>
      </c>
    </row>
    <row r="504" spans="1:12" ht="31" customHeight="1">
      <c r="A504" s="4" t="s">
        <v>208</v>
      </c>
      <c r="B504" s="4" t="s">
        <v>191</v>
      </c>
      <c r="C504" s="4" t="s">
        <v>42</v>
      </c>
      <c r="D504" s="6">
        <v>3</v>
      </c>
      <c r="E504" s="4" t="s">
        <v>1079</v>
      </c>
      <c r="F504" s="4" t="s">
        <v>113</v>
      </c>
      <c r="G504" s="4" t="s">
        <v>218</v>
      </c>
      <c r="H504" s="5"/>
      <c r="I504" s="5"/>
      <c r="J504" s="4" t="s">
        <v>1080</v>
      </c>
      <c r="K504" s="5"/>
      <c r="L504" s="4" t="s">
        <v>558</v>
      </c>
    </row>
    <row r="505" spans="1:12" ht="31" customHeight="1">
      <c r="A505" s="4" t="s">
        <v>208</v>
      </c>
      <c r="B505" s="4" t="s">
        <v>191</v>
      </c>
      <c r="C505" s="4" t="s">
        <v>43</v>
      </c>
      <c r="D505" s="6">
        <v>3</v>
      </c>
      <c r="E505" s="4" t="s">
        <v>1079</v>
      </c>
      <c r="F505" s="4" t="s">
        <v>113</v>
      </c>
      <c r="G505" s="4" t="s">
        <v>218</v>
      </c>
      <c r="H505" s="5"/>
      <c r="I505" s="5"/>
      <c r="J505" s="4" t="s">
        <v>1080</v>
      </c>
      <c r="K505" s="5"/>
      <c r="L505" s="4" t="s">
        <v>558</v>
      </c>
    </row>
    <row r="506" spans="1:12" ht="31" customHeight="1">
      <c r="A506" s="4" t="s">
        <v>208</v>
      </c>
      <c r="B506" s="4" t="s">
        <v>191</v>
      </c>
      <c r="C506" s="4" t="s">
        <v>44</v>
      </c>
      <c r="D506" s="6">
        <v>3</v>
      </c>
      <c r="E506" s="4" t="s">
        <v>1079</v>
      </c>
      <c r="F506" s="4" t="s">
        <v>113</v>
      </c>
      <c r="G506" s="4" t="s">
        <v>218</v>
      </c>
      <c r="H506" s="5"/>
      <c r="I506" s="5"/>
      <c r="J506" s="4" t="s">
        <v>1080</v>
      </c>
      <c r="K506" s="5"/>
      <c r="L506" s="4" t="s">
        <v>558</v>
      </c>
    </row>
    <row r="507" spans="1:12" ht="31" customHeight="1">
      <c r="A507" s="4" t="s">
        <v>208</v>
      </c>
      <c r="B507" s="4" t="s">
        <v>191</v>
      </c>
      <c r="C507" s="4" t="s">
        <v>45</v>
      </c>
      <c r="D507" s="6">
        <v>3</v>
      </c>
      <c r="E507" s="4" t="s">
        <v>1079</v>
      </c>
      <c r="F507" s="4" t="s">
        <v>113</v>
      </c>
      <c r="G507" s="4" t="s">
        <v>218</v>
      </c>
      <c r="H507" s="5"/>
      <c r="I507" s="5"/>
      <c r="J507" s="4" t="s">
        <v>1080</v>
      </c>
      <c r="K507" s="5"/>
      <c r="L507" s="4" t="s">
        <v>558</v>
      </c>
    </row>
    <row r="508" spans="1:12" ht="31" customHeight="1">
      <c r="A508" s="4" t="s">
        <v>208</v>
      </c>
      <c r="B508" s="4" t="s">
        <v>191</v>
      </c>
      <c r="C508" s="4" t="s">
        <v>46</v>
      </c>
      <c r="D508" s="6">
        <v>3</v>
      </c>
      <c r="E508" s="4" t="s">
        <v>1079</v>
      </c>
      <c r="F508" s="4" t="s">
        <v>113</v>
      </c>
      <c r="G508" s="4" t="s">
        <v>218</v>
      </c>
      <c r="H508" s="5"/>
      <c r="I508" s="5"/>
      <c r="J508" s="4" t="s">
        <v>1080</v>
      </c>
      <c r="K508" s="5"/>
      <c r="L508" s="4" t="s">
        <v>558</v>
      </c>
    </row>
    <row r="509" spans="1:12" ht="31" customHeight="1">
      <c r="A509" s="4" t="s">
        <v>208</v>
      </c>
      <c r="B509" s="4" t="s">
        <v>191</v>
      </c>
      <c r="C509" s="4" t="s">
        <v>47</v>
      </c>
      <c r="D509" s="6">
        <v>3</v>
      </c>
      <c r="E509" s="4" t="s">
        <v>1079</v>
      </c>
      <c r="F509" s="4" t="s">
        <v>113</v>
      </c>
      <c r="G509" s="4" t="s">
        <v>218</v>
      </c>
      <c r="H509" s="5"/>
      <c r="I509" s="5"/>
      <c r="J509" s="4" t="s">
        <v>1080</v>
      </c>
      <c r="K509" s="5"/>
      <c r="L509" s="4" t="s">
        <v>558</v>
      </c>
    </row>
    <row r="510" spans="1:12" ht="31" customHeight="1">
      <c r="A510" s="4" t="s">
        <v>208</v>
      </c>
      <c r="B510" s="4" t="s">
        <v>191</v>
      </c>
      <c r="C510" s="4" t="s">
        <v>48</v>
      </c>
      <c r="D510" s="6">
        <v>3</v>
      </c>
      <c r="E510" s="4" t="s">
        <v>1079</v>
      </c>
      <c r="F510" s="4" t="s">
        <v>113</v>
      </c>
      <c r="G510" s="4" t="s">
        <v>218</v>
      </c>
      <c r="H510" s="5"/>
      <c r="I510" s="5"/>
      <c r="J510" s="4" t="s">
        <v>1080</v>
      </c>
      <c r="K510" s="5"/>
      <c r="L510" s="4" t="s">
        <v>558</v>
      </c>
    </row>
    <row r="511" spans="1:12" ht="31" customHeight="1">
      <c r="A511" s="4" t="s">
        <v>208</v>
      </c>
      <c r="B511" s="4" t="s">
        <v>191</v>
      </c>
      <c r="C511" s="4" t="s">
        <v>49</v>
      </c>
      <c r="D511" s="6">
        <v>3</v>
      </c>
      <c r="E511" s="4" t="s">
        <v>1079</v>
      </c>
      <c r="F511" s="4" t="s">
        <v>113</v>
      </c>
      <c r="G511" s="4" t="s">
        <v>218</v>
      </c>
      <c r="H511" s="5"/>
      <c r="I511" s="5"/>
      <c r="J511" s="4" t="s">
        <v>1080</v>
      </c>
      <c r="K511" s="5"/>
      <c r="L511" s="4" t="s">
        <v>558</v>
      </c>
    </row>
    <row r="512" spans="1:12" ht="31" customHeight="1">
      <c r="A512" s="4" t="s">
        <v>212</v>
      </c>
      <c r="B512" s="4" t="s">
        <v>191</v>
      </c>
      <c r="C512" s="4" t="s">
        <v>40</v>
      </c>
      <c r="D512" s="6">
        <v>3</v>
      </c>
      <c r="E512" s="4" t="s">
        <v>1079</v>
      </c>
      <c r="F512" s="4" t="s">
        <v>113</v>
      </c>
      <c r="G512" s="4" t="s">
        <v>218</v>
      </c>
      <c r="H512" s="5"/>
      <c r="I512" s="5"/>
      <c r="J512" s="4" t="s">
        <v>1080</v>
      </c>
      <c r="K512" s="5"/>
      <c r="L512" s="4" t="s">
        <v>558</v>
      </c>
    </row>
    <row r="513" spans="1:12" ht="31" customHeight="1">
      <c r="A513" s="4" t="s">
        <v>212</v>
      </c>
      <c r="B513" s="4" t="s">
        <v>191</v>
      </c>
      <c r="C513" s="4" t="s">
        <v>41</v>
      </c>
      <c r="D513" s="6">
        <v>0</v>
      </c>
      <c r="E513" s="4" t="s">
        <v>1079</v>
      </c>
      <c r="F513" s="4" t="s">
        <v>113</v>
      </c>
      <c r="G513" s="4" t="s">
        <v>218</v>
      </c>
      <c r="H513" s="5"/>
      <c r="I513" s="5"/>
      <c r="J513" s="4" t="s">
        <v>1080</v>
      </c>
      <c r="K513" s="5"/>
      <c r="L513" s="4" t="s">
        <v>558</v>
      </c>
    </row>
    <row r="514" spans="1:12" ht="31" customHeight="1">
      <c r="A514" s="4" t="s">
        <v>212</v>
      </c>
      <c r="B514" s="4" t="s">
        <v>191</v>
      </c>
      <c r="C514" s="4" t="s">
        <v>42</v>
      </c>
      <c r="D514" s="6">
        <v>0</v>
      </c>
      <c r="E514" s="4" t="s">
        <v>1079</v>
      </c>
      <c r="F514" s="4" t="s">
        <v>113</v>
      </c>
      <c r="G514" s="4" t="s">
        <v>218</v>
      </c>
      <c r="H514" s="5"/>
      <c r="I514" s="5"/>
      <c r="J514" s="4" t="s">
        <v>1080</v>
      </c>
      <c r="K514" s="5"/>
      <c r="L514" s="4" t="s">
        <v>558</v>
      </c>
    </row>
    <row r="515" spans="1:12" ht="31" customHeight="1">
      <c r="A515" s="4" t="s">
        <v>212</v>
      </c>
      <c r="B515" s="4" t="s">
        <v>191</v>
      </c>
      <c r="C515" s="4" t="s">
        <v>43</v>
      </c>
      <c r="D515" s="6">
        <v>2</v>
      </c>
      <c r="E515" s="4" t="s">
        <v>1079</v>
      </c>
      <c r="F515" s="4" t="s">
        <v>113</v>
      </c>
      <c r="G515" s="4" t="s">
        <v>218</v>
      </c>
      <c r="H515" s="5"/>
      <c r="I515" s="5"/>
      <c r="J515" s="4" t="s">
        <v>1080</v>
      </c>
      <c r="K515" s="5"/>
      <c r="L515" s="4" t="s">
        <v>558</v>
      </c>
    </row>
    <row r="516" spans="1:12" ht="31" customHeight="1">
      <c r="A516" s="4" t="s">
        <v>212</v>
      </c>
      <c r="B516" s="4" t="s">
        <v>191</v>
      </c>
      <c r="C516" s="4" t="s">
        <v>44</v>
      </c>
      <c r="D516" s="6">
        <v>2</v>
      </c>
      <c r="E516" s="4" t="s">
        <v>1079</v>
      </c>
      <c r="F516" s="4" t="s">
        <v>113</v>
      </c>
      <c r="G516" s="4" t="s">
        <v>218</v>
      </c>
      <c r="H516" s="5"/>
      <c r="I516" s="5"/>
      <c r="J516" s="4" t="s">
        <v>1080</v>
      </c>
      <c r="K516" s="5"/>
      <c r="L516" s="4" t="s">
        <v>558</v>
      </c>
    </row>
    <row r="517" spans="1:12" ht="31" customHeight="1">
      <c r="A517" s="4" t="s">
        <v>212</v>
      </c>
      <c r="B517" s="4" t="s">
        <v>191</v>
      </c>
      <c r="C517" s="4" t="s">
        <v>45</v>
      </c>
      <c r="D517" s="6">
        <v>1</v>
      </c>
      <c r="E517" s="4" t="s">
        <v>1079</v>
      </c>
      <c r="F517" s="4" t="s">
        <v>113</v>
      </c>
      <c r="G517" s="4" t="s">
        <v>218</v>
      </c>
      <c r="H517" s="5"/>
      <c r="I517" s="5"/>
      <c r="J517" s="4" t="s">
        <v>1080</v>
      </c>
      <c r="K517" s="5"/>
      <c r="L517" s="4" t="s">
        <v>558</v>
      </c>
    </row>
    <row r="518" spans="1:12" ht="31" customHeight="1">
      <c r="A518" s="4" t="s">
        <v>212</v>
      </c>
      <c r="B518" s="4" t="s">
        <v>191</v>
      </c>
      <c r="C518" s="4" t="s">
        <v>46</v>
      </c>
      <c r="D518" s="6">
        <v>3</v>
      </c>
      <c r="E518" s="4" t="s">
        <v>1079</v>
      </c>
      <c r="F518" s="4" t="s">
        <v>113</v>
      </c>
      <c r="G518" s="4" t="s">
        <v>218</v>
      </c>
      <c r="H518" s="5"/>
      <c r="I518" s="5"/>
      <c r="J518" s="4" t="s">
        <v>1080</v>
      </c>
      <c r="K518" s="5"/>
      <c r="L518" s="4" t="s">
        <v>558</v>
      </c>
    </row>
    <row r="519" spans="1:12" ht="31" customHeight="1">
      <c r="A519" s="4" t="s">
        <v>212</v>
      </c>
      <c r="B519" s="4" t="s">
        <v>191</v>
      </c>
      <c r="C519" s="4" t="s">
        <v>47</v>
      </c>
      <c r="D519" s="6">
        <v>3</v>
      </c>
      <c r="E519" s="4" t="s">
        <v>1079</v>
      </c>
      <c r="F519" s="4" t="s">
        <v>113</v>
      </c>
      <c r="G519" s="4" t="s">
        <v>218</v>
      </c>
      <c r="H519" s="5"/>
      <c r="I519" s="5"/>
      <c r="J519" s="4" t="s">
        <v>1080</v>
      </c>
      <c r="K519" s="5"/>
      <c r="L519" s="4" t="s">
        <v>558</v>
      </c>
    </row>
    <row r="520" spans="1:12" ht="31" customHeight="1">
      <c r="A520" s="4" t="s">
        <v>212</v>
      </c>
      <c r="B520" s="4" t="s">
        <v>191</v>
      </c>
      <c r="C520" s="4" t="s">
        <v>48</v>
      </c>
      <c r="D520" s="6">
        <v>3</v>
      </c>
      <c r="E520" s="4" t="s">
        <v>1079</v>
      </c>
      <c r="F520" s="4" t="s">
        <v>113</v>
      </c>
      <c r="G520" s="4" t="s">
        <v>218</v>
      </c>
      <c r="H520" s="5"/>
      <c r="I520" s="5"/>
      <c r="J520" s="4" t="s">
        <v>1080</v>
      </c>
      <c r="K520" s="5"/>
      <c r="L520" s="4" t="s">
        <v>558</v>
      </c>
    </row>
    <row r="521" spans="1:12" ht="31" customHeight="1">
      <c r="A521" s="4" t="s">
        <v>212</v>
      </c>
      <c r="B521" s="4" t="s">
        <v>191</v>
      </c>
      <c r="C521" s="4" t="s">
        <v>49</v>
      </c>
      <c r="D521" s="6">
        <v>0</v>
      </c>
      <c r="E521" s="4" t="s">
        <v>1079</v>
      </c>
      <c r="F521" s="4" t="s">
        <v>113</v>
      </c>
      <c r="G521" s="4" t="s">
        <v>218</v>
      </c>
      <c r="H521" s="5"/>
      <c r="I521" s="5"/>
      <c r="J521" s="4" t="s">
        <v>1080</v>
      </c>
      <c r="K521" s="5"/>
      <c r="L521" s="4" t="s">
        <v>558</v>
      </c>
    </row>
    <row r="522" spans="1:12" ht="31" customHeight="1">
      <c r="A522" s="4" t="s">
        <v>217</v>
      </c>
      <c r="B522" s="4" t="s">
        <v>191</v>
      </c>
      <c r="C522" s="4" t="s">
        <v>40</v>
      </c>
      <c r="D522" s="6">
        <v>3</v>
      </c>
      <c r="E522" s="4" t="s">
        <v>1079</v>
      </c>
      <c r="F522" s="4" t="s">
        <v>113</v>
      </c>
      <c r="G522" s="4" t="s">
        <v>218</v>
      </c>
      <c r="H522" s="5"/>
      <c r="I522" s="5"/>
      <c r="J522" s="4" t="s">
        <v>1080</v>
      </c>
      <c r="K522" s="5"/>
      <c r="L522" s="4" t="s">
        <v>558</v>
      </c>
    </row>
    <row r="523" spans="1:12" ht="31" customHeight="1">
      <c r="A523" s="4" t="s">
        <v>217</v>
      </c>
      <c r="B523" s="4" t="s">
        <v>191</v>
      </c>
      <c r="C523" s="4" t="s">
        <v>41</v>
      </c>
      <c r="D523" s="6">
        <v>0</v>
      </c>
      <c r="E523" s="4" t="s">
        <v>1079</v>
      </c>
      <c r="F523" s="4" t="s">
        <v>113</v>
      </c>
      <c r="G523" s="4" t="s">
        <v>218</v>
      </c>
      <c r="H523" s="5"/>
      <c r="I523" s="5"/>
      <c r="J523" s="4" t="s">
        <v>1080</v>
      </c>
      <c r="K523" s="5"/>
      <c r="L523" s="4" t="s">
        <v>558</v>
      </c>
    </row>
    <row r="524" spans="1:12" ht="31" customHeight="1">
      <c r="A524" s="4" t="s">
        <v>217</v>
      </c>
      <c r="B524" s="4" t="s">
        <v>191</v>
      </c>
      <c r="C524" s="4" t="s">
        <v>42</v>
      </c>
      <c r="D524" s="6">
        <v>0</v>
      </c>
      <c r="E524" s="4" t="s">
        <v>1079</v>
      </c>
      <c r="F524" s="4" t="s">
        <v>113</v>
      </c>
      <c r="G524" s="4" t="s">
        <v>218</v>
      </c>
      <c r="H524" s="5"/>
      <c r="I524" s="5"/>
      <c r="J524" s="4" t="s">
        <v>1080</v>
      </c>
      <c r="K524" s="5"/>
      <c r="L524" s="4" t="s">
        <v>558</v>
      </c>
    </row>
    <row r="525" spans="1:12" ht="31" customHeight="1">
      <c r="A525" s="4" t="s">
        <v>217</v>
      </c>
      <c r="B525" s="4" t="s">
        <v>191</v>
      </c>
      <c r="C525" s="4" t="s">
        <v>43</v>
      </c>
      <c r="D525" s="6">
        <v>0</v>
      </c>
      <c r="E525" s="4" t="s">
        <v>1079</v>
      </c>
      <c r="F525" s="4" t="s">
        <v>113</v>
      </c>
      <c r="G525" s="4" t="s">
        <v>218</v>
      </c>
      <c r="H525" s="5"/>
      <c r="I525" s="5"/>
      <c r="J525" s="4" t="s">
        <v>1080</v>
      </c>
      <c r="K525" s="5"/>
      <c r="L525" s="4" t="s">
        <v>558</v>
      </c>
    </row>
    <row r="526" spans="1:12" ht="31" customHeight="1">
      <c r="A526" s="4" t="s">
        <v>217</v>
      </c>
      <c r="B526" s="4" t="s">
        <v>191</v>
      </c>
      <c r="C526" s="4" t="s">
        <v>44</v>
      </c>
      <c r="D526" s="6">
        <v>0</v>
      </c>
      <c r="E526" s="4" t="s">
        <v>1079</v>
      </c>
      <c r="F526" s="4" t="s">
        <v>113</v>
      </c>
      <c r="G526" s="4" t="s">
        <v>218</v>
      </c>
      <c r="H526" s="5"/>
      <c r="I526" s="5"/>
      <c r="J526" s="4" t="s">
        <v>1080</v>
      </c>
      <c r="K526" s="5"/>
      <c r="L526" s="4" t="s">
        <v>558</v>
      </c>
    </row>
    <row r="527" spans="1:12" ht="31" customHeight="1">
      <c r="A527" s="4" t="s">
        <v>217</v>
      </c>
      <c r="B527" s="4" t="s">
        <v>191</v>
      </c>
      <c r="C527" s="4" t="s">
        <v>45</v>
      </c>
      <c r="D527" s="6">
        <v>0</v>
      </c>
      <c r="E527" s="4" t="s">
        <v>1079</v>
      </c>
      <c r="F527" s="4" t="s">
        <v>113</v>
      </c>
      <c r="G527" s="4" t="s">
        <v>218</v>
      </c>
      <c r="H527" s="5"/>
      <c r="I527" s="5"/>
      <c r="J527" s="4" t="s">
        <v>1080</v>
      </c>
      <c r="K527" s="5"/>
      <c r="L527" s="4" t="s">
        <v>558</v>
      </c>
    </row>
    <row r="528" spans="1:12" ht="31" customHeight="1">
      <c r="A528" s="4" t="s">
        <v>217</v>
      </c>
      <c r="B528" s="4" t="s">
        <v>191</v>
      </c>
      <c r="C528" s="4" t="s">
        <v>46</v>
      </c>
      <c r="D528" s="6">
        <v>3</v>
      </c>
      <c r="E528" s="4" t="s">
        <v>1079</v>
      </c>
      <c r="F528" s="4" t="s">
        <v>113</v>
      </c>
      <c r="G528" s="4" t="s">
        <v>218</v>
      </c>
      <c r="H528" s="5"/>
      <c r="I528" s="5"/>
      <c r="J528" s="4" t="s">
        <v>1080</v>
      </c>
      <c r="K528" s="5"/>
      <c r="L528" s="4" t="s">
        <v>558</v>
      </c>
    </row>
    <row r="529" spans="1:12" ht="31" customHeight="1">
      <c r="A529" s="4" t="s">
        <v>217</v>
      </c>
      <c r="B529" s="4" t="s">
        <v>191</v>
      </c>
      <c r="C529" s="4" t="s">
        <v>47</v>
      </c>
      <c r="D529" s="6">
        <v>2</v>
      </c>
      <c r="E529" s="4" t="s">
        <v>1079</v>
      </c>
      <c r="F529" s="4" t="s">
        <v>113</v>
      </c>
      <c r="G529" s="4" t="s">
        <v>218</v>
      </c>
      <c r="H529" s="5"/>
      <c r="I529" s="5"/>
      <c r="J529" s="4" t="s">
        <v>1080</v>
      </c>
      <c r="K529" s="5"/>
      <c r="L529" s="4" t="s">
        <v>558</v>
      </c>
    </row>
    <row r="530" spans="1:12" ht="31" customHeight="1">
      <c r="A530" s="4" t="s">
        <v>217</v>
      </c>
      <c r="B530" s="4" t="s">
        <v>191</v>
      </c>
      <c r="C530" s="4" t="s">
        <v>48</v>
      </c>
      <c r="D530" s="6">
        <v>2</v>
      </c>
      <c r="E530" s="4" t="s">
        <v>1079</v>
      </c>
      <c r="F530" s="4" t="s">
        <v>113</v>
      </c>
      <c r="G530" s="4" t="s">
        <v>218</v>
      </c>
      <c r="H530" s="5"/>
      <c r="I530" s="5"/>
      <c r="J530" s="4" t="s">
        <v>1080</v>
      </c>
      <c r="K530" s="5"/>
      <c r="L530" s="4" t="s">
        <v>558</v>
      </c>
    </row>
    <row r="531" spans="1:12" ht="31" customHeight="1">
      <c r="A531" s="4" t="s">
        <v>217</v>
      </c>
      <c r="B531" s="4" t="s">
        <v>191</v>
      </c>
      <c r="C531" s="4" t="s">
        <v>49</v>
      </c>
      <c r="D531" s="6">
        <v>0</v>
      </c>
      <c r="E531" s="4" t="s">
        <v>1079</v>
      </c>
      <c r="F531" s="4" t="s">
        <v>113</v>
      </c>
      <c r="G531" s="4" t="s">
        <v>218</v>
      </c>
      <c r="H531" s="5"/>
      <c r="I531" s="5"/>
      <c r="J531" s="4" t="s">
        <v>1080</v>
      </c>
      <c r="K531" s="5"/>
      <c r="L531" s="4" t="s">
        <v>558</v>
      </c>
    </row>
    <row r="532" spans="1:12" ht="31" customHeight="1">
      <c r="A532" s="4" t="s">
        <v>222</v>
      </c>
      <c r="B532" s="4" t="s">
        <v>191</v>
      </c>
      <c r="C532" s="4" t="s">
        <v>40</v>
      </c>
      <c r="D532" s="6">
        <v>3</v>
      </c>
      <c r="E532" s="4" t="s">
        <v>1079</v>
      </c>
      <c r="F532" s="4" t="s">
        <v>113</v>
      </c>
      <c r="G532" s="4" t="s">
        <v>218</v>
      </c>
      <c r="H532" s="5"/>
      <c r="I532" s="5"/>
      <c r="J532" s="4" t="s">
        <v>1080</v>
      </c>
      <c r="K532" s="5"/>
      <c r="L532" s="4" t="s">
        <v>558</v>
      </c>
    </row>
    <row r="533" spans="1:12" ht="31" customHeight="1">
      <c r="A533" s="4" t="s">
        <v>222</v>
      </c>
      <c r="B533" s="4" t="s">
        <v>191</v>
      </c>
      <c r="C533" s="4" t="s">
        <v>41</v>
      </c>
      <c r="D533" s="6">
        <v>0</v>
      </c>
      <c r="E533" s="4" t="s">
        <v>1079</v>
      </c>
      <c r="F533" s="4" t="s">
        <v>113</v>
      </c>
      <c r="G533" s="4" t="s">
        <v>218</v>
      </c>
      <c r="H533" s="5"/>
      <c r="I533" s="5"/>
      <c r="J533" s="4" t="s">
        <v>1080</v>
      </c>
      <c r="K533" s="5"/>
      <c r="L533" s="4" t="s">
        <v>558</v>
      </c>
    </row>
    <row r="534" spans="1:12" ht="31" customHeight="1">
      <c r="A534" s="4" t="s">
        <v>222</v>
      </c>
      <c r="B534" s="4" t="s">
        <v>191</v>
      </c>
      <c r="C534" s="4" t="s">
        <v>42</v>
      </c>
      <c r="D534" s="6">
        <v>0</v>
      </c>
      <c r="E534" s="4" t="s">
        <v>1079</v>
      </c>
      <c r="F534" s="4" t="s">
        <v>113</v>
      </c>
      <c r="G534" s="4" t="s">
        <v>218</v>
      </c>
      <c r="H534" s="5"/>
      <c r="I534" s="5"/>
      <c r="J534" s="4" t="s">
        <v>1080</v>
      </c>
      <c r="K534" s="5"/>
      <c r="L534" s="4" t="s">
        <v>558</v>
      </c>
    </row>
    <row r="535" spans="1:12" ht="31" customHeight="1">
      <c r="A535" s="4" t="s">
        <v>222</v>
      </c>
      <c r="B535" s="4" t="s">
        <v>191</v>
      </c>
      <c r="C535" s="4" t="s">
        <v>43</v>
      </c>
      <c r="D535" s="6">
        <v>0</v>
      </c>
      <c r="E535" s="4" t="s">
        <v>1079</v>
      </c>
      <c r="F535" s="4" t="s">
        <v>113</v>
      </c>
      <c r="G535" s="4" t="s">
        <v>218</v>
      </c>
      <c r="H535" s="5"/>
      <c r="I535" s="5"/>
      <c r="J535" s="4" t="s">
        <v>1080</v>
      </c>
      <c r="K535" s="5"/>
      <c r="L535" s="4" t="s">
        <v>558</v>
      </c>
    </row>
    <row r="536" spans="1:12" ht="31" customHeight="1">
      <c r="A536" s="4" t="s">
        <v>222</v>
      </c>
      <c r="B536" s="4" t="s">
        <v>191</v>
      </c>
      <c r="C536" s="4" t="s">
        <v>44</v>
      </c>
      <c r="D536" s="6">
        <v>0</v>
      </c>
      <c r="E536" s="4" t="s">
        <v>1079</v>
      </c>
      <c r="F536" s="4" t="s">
        <v>113</v>
      </c>
      <c r="G536" s="4" t="s">
        <v>218</v>
      </c>
      <c r="H536" s="5"/>
      <c r="I536" s="5"/>
      <c r="J536" s="4" t="s">
        <v>1080</v>
      </c>
      <c r="K536" s="5"/>
      <c r="L536" s="4" t="s">
        <v>558</v>
      </c>
    </row>
    <row r="537" spans="1:12" ht="31" customHeight="1">
      <c r="A537" s="4" t="s">
        <v>222</v>
      </c>
      <c r="B537" s="4" t="s">
        <v>191</v>
      </c>
      <c r="C537" s="4" t="s">
        <v>45</v>
      </c>
      <c r="D537" s="6">
        <v>0</v>
      </c>
      <c r="E537" s="4" t="s">
        <v>1079</v>
      </c>
      <c r="F537" s="4" t="s">
        <v>113</v>
      </c>
      <c r="G537" s="4" t="s">
        <v>218</v>
      </c>
      <c r="H537" s="5"/>
      <c r="I537" s="5"/>
      <c r="J537" s="4" t="s">
        <v>1080</v>
      </c>
      <c r="K537" s="5"/>
      <c r="L537" s="4" t="s">
        <v>558</v>
      </c>
    </row>
    <row r="538" spans="1:12" ht="31" customHeight="1">
      <c r="A538" s="4" t="s">
        <v>222</v>
      </c>
      <c r="B538" s="4" t="s">
        <v>191</v>
      </c>
      <c r="C538" s="4" t="s">
        <v>46</v>
      </c>
      <c r="D538" s="6">
        <v>2</v>
      </c>
      <c r="E538" s="4" t="s">
        <v>1079</v>
      </c>
      <c r="F538" s="4" t="s">
        <v>113</v>
      </c>
      <c r="G538" s="4" t="s">
        <v>218</v>
      </c>
      <c r="H538" s="5"/>
      <c r="I538" s="5"/>
      <c r="J538" s="4" t="s">
        <v>1080</v>
      </c>
      <c r="K538" s="5"/>
      <c r="L538" s="4" t="s">
        <v>558</v>
      </c>
    </row>
    <row r="539" spans="1:12" ht="31" customHeight="1">
      <c r="A539" s="4" t="s">
        <v>222</v>
      </c>
      <c r="B539" s="4" t="s">
        <v>191</v>
      </c>
      <c r="C539" s="4" t="s">
        <v>47</v>
      </c>
      <c r="D539" s="6">
        <v>2</v>
      </c>
      <c r="E539" s="4" t="s">
        <v>1079</v>
      </c>
      <c r="F539" s="4" t="s">
        <v>113</v>
      </c>
      <c r="G539" s="4" t="s">
        <v>218</v>
      </c>
      <c r="H539" s="5"/>
      <c r="I539" s="5"/>
      <c r="J539" s="4" t="s">
        <v>1080</v>
      </c>
      <c r="K539" s="5"/>
      <c r="L539" s="4" t="s">
        <v>558</v>
      </c>
    </row>
    <row r="540" spans="1:12" ht="31" customHeight="1">
      <c r="A540" s="4" t="s">
        <v>222</v>
      </c>
      <c r="B540" s="4" t="s">
        <v>191</v>
      </c>
      <c r="C540" s="4" t="s">
        <v>48</v>
      </c>
      <c r="D540" s="6">
        <v>2</v>
      </c>
      <c r="E540" s="4" t="s">
        <v>1079</v>
      </c>
      <c r="F540" s="4" t="s">
        <v>113</v>
      </c>
      <c r="G540" s="4" t="s">
        <v>218</v>
      </c>
      <c r="H540" s="5"/>
      <c r="I540" s="5"/>
      <c r="J540" s="4" t="s">
        <v>1080</v>
      </c>
      <c r="K540" s="5"/>
      <c r="L540" s="4" t="s">
        <v>558</v>
      </c>
    </row>
    <row r="541" spans="1:12" ht="31" customHeight="1">
      <c r="A541" s="4" t="s">
        <v>222</v>
      </c>
      <c r="B541" s="4" t="s">
        <v>191</v>
      </c>
      <c r="C541" s="4" t="s">
        <v>49</v>
      </c>
      <c r="D541" s="6">
        <v>0</v>
      </c>
      <c r="E541" s="4" t="s">
        <v>1079</v>
      </c>
      <c r="F541" s="4" t="s">
        <v>113</v>
      </c>
      <c r="G541" s="4" t="s">
        <v>218</v>
      </c>
      <c r="H541" s="5"/>
      <c r="I541" s="5"/>
      <c r="J541" s="4" t="s">
        <v>1080</v>
      </c>
      <c r="K541" s="5"/>
      <c r="L541" s="4" t="s">
        <v>558</v>
      </c>
    </row>
    <row r="542" spans="1:12" ht="31" customHeight="1">
      <c r="A542" s="4" t="s">
        <v>225</v>
      </c>
      <c r="B542" s="4" t="s">
        <v>191</v>
      </c>
      <c r="C542" s="4" t="s">
        <v>40</v>
      </c>
      <c r="D542" s="6">
        <v>3</v>
      </c>
      <c r="E542" s="4" t="s">
        <v>1079</v>
      </c>
      <c r="F542" s="4" t="s">
        <v>113</v>
      </c>
      <c r="G542" s="4" t="s">
        <v>218</v>
      </c>
      <c r="H542" s="5"/>
      <c r="I542" s="5"/>
      <c r="J542" s="4" t="s">
        <v>1080</v>
      </c>
      <c r="K542" s="5"/>
      <c r="L542" s="4" t="s">
        <v>558</v>
      </c>
    </row>
    <row r="543" spans="1:12" ht="31" customHeight="1">
      <c r="A543" s="4" t="s">
        <v>225</v>
      </c>
      <c r="B543" s="4" t="s">
        <v>191</v>
      </c>
      <c r="C543" s="4" t="s">
        <v>41</v>
      </c>
      <c r="D543" s="6">
        <v>0</v>
      </c>
      <c r="E543" s="4" t="s">
        <v>1079</v>
      </c>
      <c r="F543" s="4" t="s">
        <v>113</v>
      </c>
      <c r="G543" s="4" t="s">
        <v>218</v>
      </c>
      <c r="H543" s="5"/>
      <c r="I543" s="5"/>
      <c r="J543" s="4" t="s">
        <v>1080</v>
      </c>
      <c r="K543" s="5"/>
      <c r="L543" s="4" t="s">
        <v>558</v>
      </c>
    </row>
    <row r="544" spans="1:12" ht="31" customHeight="1">
      <c r="A544" s="4" t="s">
        <v>225</v>
      </c>
      <c r="B544" s="4" t="s">
        <v>191</v>
      </c>
      <c r="C544" s="4" t="s">
        <v>42</v>
      </c>
      <c r="D544" s="6">
        <v>0</v>
      </c>
      <c r="E544" s="4" t="s">
        <v>1079</v>
      </c>
      <c r="F544" s="4" t="s">
        <v>113</v>
      </c>
      <c r="G544" s="4" t="s">
        <v>218</v>
      </c>
      <c r="H544" s="5"/>
      <c r="I544" s="5"/>
      <c r="J544" s="4" t="s">
        <v>1080</v>
      </c>
      <c r="K544" s="5"/>
      <c r="L544" s="4" t="s">
        <v>558</v>
      </c>
    </row>
    <row r="545" spans="1:12" ht="31" customHeight="1">
      <c r="A545" s="4" t="s">
        <v>225</v>
      </c>
      <c r="B545" s="4" t="s">
        <v>191</v>
      </c>
      <c r="C545" s="4" t="s">
        <v>43</v>
      </c>
      <c r="D545" s="6">
        <v>0</v>
      </c>
      <c r="E545" s="4" t="s">
        <v>1079</v>
      </c>
      <c r="F545" s="4" t="s">
        <v>113</v>
      </c>
      <c r="G545" s="4" t="s">
        <v>218</v>
      </c>
      <c r="H545" s="5"/>
      <c r="I545" s="5"/>
      <c r="J545" s="4" t="s">
        <v>1080</v>
      </c>
      <c r="K545" s="5"/>
      <c r="L545" s="4" t="s">
        <v>558</v>
      </c>
    </row>
    <row r="546" spans="1:12" ht="31" customHeight="1">
      <c r="A546" s="4" t="s">
        <v>225</v>
      </c>
      <c r="B546" s="4" t="s">
        <v>191</v>
      </c>
      <c r="C546" s="4" t="s">
        <v>44</v>
      </c>
      <c r="D546" s="6">
        <v>0</v>
      </c>
      <c r="E546" s="4" t="s">
        <v>1079</v>
      </c>
      <c r="F546" s="4" t="s">
        <v>113</v>
      </c>
      <c r="G546" s="4" t="s">
        <v>218</v>
      </c>
      <c r="H546" s="5"/>
      <c r="I546" s="5"/>
      <c r="J546" s="4" t="s">
        <v>1080</v>
      </c>
      <c r="K546" s="5"/>
      <c r="L546" s="4" t="s">
        <v>558</v>
      </c>
    </row>
    <row r="547" spans="1:12" ht="31" customHeight="1">
      <c r="A547" s="4" t="s">
        <v>225</v>
      </c>
      <c r="B547" s="4" t="s">
        <v>191</v>
      </c>
      <c r="C547" s="4" t="s">
        <v>45</v>
      </c>
      <c r="D547" s="6">
        <v>0</v>
      </c>
      <c r="E547" s="4" t="s">
        <v>1079</v>
      </c>
      <c r="F547" s="4" t="s">
        <v>113</v>
      </c>
      <c r="G547" s="4" t="s">
        <v>218</v>
      </c>
      <c r="H547" s="5"/>
      <c r="I547" s="5"/>
      <c r="J547" s="4" t="s">
        <v>1080</v>
      </c>
      <c r="K547" s="5"/>
      <c r="L547" s="4" t="s">
        <v>558</v>
      </c>
    </row>
    <row r="548" spans="1:12" ht="31" customHeight="1">
      <c r="A548" s="4" t="s">
        <v>225</v>
      </c>
      <c r="B548" s="4" t="s">
        <v>191</v>
      </c>
      <c r="C548" s="4" t="s">
        <v>46</v>
      </c>
      <c r="D548" s="6">
        <v>2</v>
      </c>
      <c r="E548" s="4" t="s">
        <v>1079</v>
      </c>
      <c r="F548" s="4" t="s">
        <v>113</v>
      </c>
      <c r="G548" s="4" t="s">
        <v>218</v>
      </c>
      <c r="H548" s="5"/>
      <c r="I548" s="5"/>
      <c r="J548" s="4" t="s">
        <v>1080</v>
      </c>
      <c r="K548" s="5"/>
      <c r="L548" s="4" t="s">
        <v>558</v>
      </c>
    </row>
    <row r="549" spans="1:12" ht="31" customHeight="1">
      <c r="A549" s="4" t="s">
        <v>225</v>
      </c>
      <c r="B549" s="4" t="s">
        <v>191</v>
      </c>
      <c r="C549" s="4" t="s">
        <v>47</v>
      </c>
      <c r="D549" s="6">
        <v>2</v>
      </c>
      <c r="E549" s="4" t="s">
        <v>1079</v>
      </c>
      <c r="F549" s="4" t="s">
        <v>113</v>
      </c>
      <c r="G549" s="4" t="s">
        <v>218</v>
      </c>
      <c r="H549" s="5"/>
      <c r="I549" s="5"/>
      <c r="J549" s="4" t="s">
        <v>1080</v>
      </c>
      <c r="K549" s="5"/>
      <c r="L549" s="4" t="s">
        <v>558</v>
      </c>
    </row>
    <row r="550" spans="1:12" ht="31" customHeight="1">
      <c r="A550" s="4" t="s">
        <v>225</v>
      </c>
      <c r="B550" s="4" t="s">
        <v>191</v>
      </c>
      <c r="C550" s="4" t="s">
        <v>48</v>
      </c>
      <c r="D550" s="6">
        <v>2</v>
      </c>
      <c r="E550" s="4" t="s">
        <v>1079</v>
      </c>
      <c r="F550" s="4" t="s">
        <v>113</v>
      </c>
      <c r="G550" s="4" t="s">
        <v>218</v>
      </c>
      <c r="H550" s="5"/>
      <c r="I550" s="5"/>
      <c r="J550" s="4" t="s">
        <v>1080</v>
      </c>
      <c r="K550" s="5"/>
      <c r="L550" s="4" t="s">
        <v>558</v>
      </c>
    </row>
    <row r="551" spans="1:12" ht="31" customHeight="1">
      <c r="A551" s="4" t="s">
        <v>225</v>
      </c>
      <c r="B551" s="4" t="s">
        <v>191</v>
      </c>
      <c r="C551" s="4" t="s">
        <v>49</v>
      </c>
      <c r="D551" s="6">
        <v>0</v>
      </c>
      <c r="E551" s="4" t="s">
        <v>1079</v>
      </c>
      <c r="F551" s="4" t="s">
        <v>113</v>
      </c>
      <c r="G551" s="4" t="s">
        <v>218</v>
      </c>
      <c r="H551" s="5"/>
      <c r="I551" s="5"/>
      <c r="J551" s="4" t="s">
        <v>1080</v>
      </c>
      <c r="K551" s="5"/>
      <c r="L551" s="4" t="s">
        <v>558</v>
      </c>
    </row>
    <row r="552" spans="1:12" ht="31" customHeight="1">
      <c r="A552" s="4" t="s">
        <v>229</v>
      </c>
      <c r="B552" s="4" t="s">
        <v>191</v>
      </c>
      <c r="C552" s="4" t="s">
        <v>40</v>
      </c>
      <c r="D552" s="6">
        <v>3</v>
      </c>
      <c r="E552" s="4" t="s">
        <v>1079</v>
      </c>
      <c r="F552" s="4" t="s">
        <v>113</v>
      </c>
      <c r="G552" s="4" t="s">
        <v>218</v>
      </c>
      <c r="H552" s="5"/>
      <c r="I552" s="5"/>
      <c r="J552" s="4" t="s">
        <v>1080</v>
      </c>
      <c r="K552" s="5"/>
      <c r="L552" s="4" t="s">
        <v>558</v>
      </c>
    </row>
    <row r="553" spans="1:12" ht="31" customHeight="1">
      <c r="A553" s="4" t="s">
        <v>229</v>
      </c>
      <c r="B553" s="4" t="s">
        <v>191</v>
      </c>
      <c r="C553" s="4" t="s">
        <v>41</v>
      </c>
      <c r="D553" s="6">
        <v>0</v>
      </c>
      <c r="E553" s="4" t="s">
        <v>1079</v>
      </c>
      <c r="F553" s="4" t="s">
        <v>113</v>
      </c>
      <c r="G553" s="4" t="s">
        <v>218</v>
      </c>
      <c r="H553" s="5"/>
      <c r="I553" s="5"/>
      <c r="J553" s="4" t="s">
        <v>1080</v>
      </c>
      <c r="K553" s="5"/>
      <c r="L553" s="4" t="s">
        <v>558</v>
      </c>
    </row>
    <row r="554" spans="1:12" ht="31" customHeight="1">
      <c r="A554" s="4" t="s">
        <v>229</v>
      </c>
      <c r="B554" s="4" t="s">
        <v>191</v>
      </c>
      <c r="C554" s="4" t="s">
        <v>42</v>
      </c>
      <c r="D554" s="6">
        <v>0</v>
      </c>
      <c r="E554" s="4" t="s">
        <v>1079</v>
      </c>
      <c r="F554" s="4" t="s">
        <v>113</v>
      </c>
      <c r="G554" s="4" t="s">
        <v>218</v>
      </c>
      <c r="H554" s="5"/>
      <c r="I554" s="5"/>
      <c r="J554" s="4" t="s">
        <v>1080</v>
      </c>
      <c r="K554" s="5"/>
      <c r="L554" s="4" t="s">
        <v>558</v>
      </c>
    </row>
    <row r="555" spans="1:12" ht="31" customHeight="1">
      <c r="A555" s="4" t="s">
        <v>229</v>
      </c>
      <c r="B555" s="4" t="s">
        <v>191</v>
      </c>
      <c r="C555" s="4" t="s">
        <v>43</v>
      </c>
      <c r="D555" s="6">
        <v>0</v>
      </c>
      <c r="E555" s="4" t="s">
        <v>1079</v>
      </c>
      <c r="F555" s="4" t="s">
        <v>113</v>
      </c>
      <c r="G555" s="4" t="s">
        <v>218</v>
      </c>
      <c r="H555" s="5"/>
      <c r="I555" s="5"/>
      <c r="J555" s="4" t="s">
        <v>1080</v>
      </c>
      <c r="K555" s="5"/>
      <c r="L555" s="4" t="s">
        <v>558</v>
      </c>
    </row>
    <row r="556" spans="1:12" ht="31" customHeight="1">
      <c r="A556" s="4" t="s">
        <v>229</v>
      </c>
      <c r="B556" s="4" t="s">
        <v>191</v>
      </c>
      <c r="C556" s="4" t="s">
        <v>44</v>
      </c>
      <c r="D556" s="6">
        <v>0</v>
      </c>
      <c r="E556" s="4" t="s">
        <v>1079</v>
      </c>
      <c r="F556" s="4" t="s">
        <v>113</v>
      </c>
      <c r="G556" s="4" t="s">
        <v>218</v>
      </c>
      <c r="H556" s="5"/>
      <c r="I556" s="5"/>
      <c r="J556" s="4" t="s">
        <v>1080</v>
      </c>
      <c r="K556" s="5"/>
      <c r="L556" s="4" t="s">
        <v>558</v>
      </c>
    </row>
    <row r="557" spans="1:12" ht="31" customHeight="1">
      <c r="A557" s="4" t="s">
        <v>229</v>
      </c>
      <c r="B557" s="4" t="s">
        <v>191</v>
      </c>
      <c r="C557" s="4" t="s">
        <v>45</v>
      </c>
      <c r="D557" s="6">
        <v>0</v>
      </c>
      <c r="E557" s="4" t="s">
        <v>1079</v>
      </c>
      <c r="F557" s="4" t="s">
        <v>113</v>
      </c>
      <c r="G557" s="4" t="s">
        <v>218</v>
      </c>
      <c r="H557" s="5"/>
      <c r="I557" s="5"/>
      <c r="J557" s="4" t="s">
        <v>1080</v>
      </c>
      <c r="K557" s="5"/>
      <c r="L557" s="4" t="s">
        <v>558</v>
      </c>
    </row>
    <row r="558" spans="1:12" ht="31" customHeight="1">
      <c r="A558" s="4" t="s">
        <v>229</v>
      </c>
      <c r="B558" s="4" t="s">
        <v>191</v>
      </c>
      <c r="C558" s="4" t="s">
        <v>46</v>
      </c>
      <c r="D558" s="6">
        <v>2</v>
      </c>
      <c r="E558" s="4" t="s">
        <v>1079</v>
      </c>
      <c r="F558" s="4" t="s">
        <v>113</v>
      </c>
      <c r="G558" s="4" t="s">
        <v>218</v>
      </c>
      <c r="H558" s="5"/>
      <c r="I558" s="5"/>
      <c r="J558" s="4" t="s">
        <v>1080</v>
      </c>
      <c r="K558" s="5"/>
      <c r="L558" s="4" t="s">
        <v>558</v>
      </c>
    </row>
    <row r="559" spans="1:12" ht="31" customHeight="1">
      <c r="A559" s="4" t="s">
        <v>229</v>
      </c>
      <c r="B559" s="4" t="s">
        <v>191</v>
      </c>
      <c r="C559" s="4" t="s">
        <v>47</v>
      </c>
      <c r="D559" s="6">
        <v>1</v>
      </c>
      <c r="E559" s="4" t="s">
        <v>1079</v>
      </c>
      <c r="F559" s="4" t="s">
        <v>113</v>
      </c>
      <c r="G559" s="4" t="s">
        <v>218</v>
      </c>
      <c r="H559" s="5"/>
      <c r="I559" s="5"/>
      <c r="J559" s="4" t="s">
        <v>1080</v>
      </c>
      <c r="K559" s="5"/>
      <c r="L559" s="4" t="s">
        <v>558</v>
      </c>
    </row>
    <row r="560" spans="1:12" ht="31" customHeight="1">
      <c r="A560" s="4" t="s">
        <v>229</v>
      </c>
      <c r="B560" s="4" t="s">
        <v>191</v>
      </c>
      <c r="C560" s="4" t="s">
        <v>48</v>
      </c>
      <c r="D560" s="6">
        <v>2</v>
      </c>
      <c r="E560" s="4" t="s">
        <v>1079</v>
      </c>
      <c r="F560" s="4" t="s">
        <v>113</v>
      </c>
      <c r="G560" s="4" t="s">
        <v>218</v>
      </c>
      <c r="H560" s="5"/>
      <c r="I560" s="5"/>
      <c r="J560" s="4" t="s">
        <v>1080</v>
      </c>
      <c r="K560" s="5"/>
      <c r="L560" s="4" t="s">
        <v>558</v>
      </c>
    </row>
    <row r="561" spans="1:12" ht="31" customHeight="1">
      <c r="A561" s="4" t="s">
        <v>229</v>
      </c>
      <c r="B561" s="4" t="s">
        <v>191</v>
      </c>
      <c r="C561" s="4" t="s">
        <v>49</v>
      </c>
      <c r="D561" s="6">
        <v>0</v>
      </c>
      <c r="E561" s="4" t="s">
        <v>1079</v>
      </c>
      <c r="F561" s="4" t="s">
        <v>113</v>
      </c>
      <c r="G561" s="4" t="s">
        <v>218</v>
      </c>
      <c r="H561" s="5"/>
      <c r="I561" s="5"/>
      <c r="J561" s="4" t="s">
        <v>1080</v>
      </c>
      <c r="K561" s="5"/>
      <c r="L561" s="4" t="s">
        <v>558</v>
      </c>
    </row>
    <row r="562" spans="1:12" ht="31" customHeight="1">
      <c r="A562" s="4" t="s">
        <v>231</v>
      </c>
      <c r="B562" s="4" t="s">
        <v>191</v>
      </c>
      <c r="C562" s="4" t="s">
        <v>40</v>
      </c>
      <c r="D562" s="6">
        <v>3</v>
      </c>
      <c r="E562" s="4" t="s">
        <v>1079</v>
      </c>
      <c r="F562" s="4" t="s">
        <v>113</v>
      </c>
      <c r="G562" s="4" t="s">
        <v>218</v>
      </c>
      <c r="H562" s="5"/>
      <c r="I562" s="5"/>
      <c r="J562" s="4" t="s">
        <v>1080</v>
      </c>
      <c r="K562" s="5"/>
      <c r="L562" s="4" t="s">
        <v>558</v>
      </c>
    </row>
    <row r="563" spans="1:12" ht="31" customHeight="1">
      <c r="A563" s="4" t="s">
        <v>231</v>
      </c>
      <c r="B563" s="4" t="s">
        <v>191</v>
      </c>
      <c r="C563" s="4" t="s">
        <v>41</v>
      </c>
      <c r="D563" s="6">
        <v>0</v>
      </c>
      <c r="E563" s="4" t="s">
        <v>1079</v>
      </c>
      <c r="F563" s="4" t="s">
        <v>113</v>
      </c>
      <c r="G563" s="4" t="s">
        <v>218</v>
      </c>
      <c r="H563" s="5"/>
      <c r="I563" s="5"/>
      <c r="J563" s="4" t="s">
        <v>1080</v>
      </c>
      <c r="K563" s="5"/>
      <c r="L563" s="4" t="s">
        <v>558</v>
      </c>
    </row>
    <row r="564" spans="1:12" ht="31" customHeight="1">
      <c r="A564" s="4" t="s">
        <v>231</v>
      </c>
      <c r="B564" s="4" t="s">
        <v>191</v>
      </c>
      <c r="C564" s="4" t="s">
        <v>42</v>
      </c>
      <c r="D564" s="6">
        <v>0</v>
      </c>
      <c r="E564" s="4" t="s">
        <v>1079</v>
      </c>
      <c r="F564" s="4" t="s">
        <v>113</v>
      </c>
      <c r="G564" s="4" t="s">
        <v>218</v>
      </c>
      <c r="H564" s="5"/>
      <c r="I564" s="5"/>
      <c r="J564" s="4" t="s">
        <v>1080</v>
      </c>
      <c r="K564" s="5"/>
      <c r="L564" s="4" t="s">
        <v>558</v>
      </c>
    </row>
    <row r="565" spans="1:12" ht="31" customHeight="1">
      <c r="A565" s="4" t="s">
        <v>231</v>
      </c>
      <c r="B565" s="4" t="s">
        <v>191</v>
      </c>
      <c r="C565" s="4" t="s">
        <v>43</v>
      </c>
      <c r="D565" s="6">
        <v>0</v>
      </c>
      <c r="E565" s="4" t="s">
        <v>1079</v>
      </c>
      <c r="F565" s="4" t="s">
        <v>113</v>
      </c>
      <c r="G565" s="4" t="s">
        <v>218</v>
      </c>
      <c r="H565" s="5"/>
      <c r="I565" s="5"/>
      <c r="J565" s="4" t="s">
        <v>1080</v>
      </c>
      <c r="K565" s="5"/>
      <c r="L565" s="4" t="s">
        <v>558</v>
      </c>
    </row>
    <row r="566" spans="1:12" ht="31" customHeight="1">
      <c r="A566" s="4" t="s">
        <v>231</v>
      </c>
      <c r="B566" s="4" t="s">
        <v>191</v>
      </c>
      <c r="C566" s="4" t="s">
        <v>44</v>
      </c>
      <c r="D566" s="6">
        <v>0</v>
      </c>
      <c r="E566" s="4" t="s">
        <v>1079</v>
      </c>
      <c r="F566" s="4" t="s">
        <v>113</v>
      </c>
      <c r="G566" s="4" t="s">
        <v>218</v>
      </c>
      <c r="H566" s="5"/>
      <c r="I566" s="5"/>
      <c r="J566" s="4" t="s">
        <v>1080</v>
      </c>
      <c r="K566" s="5"/>
      <c r="L566" s="4" t="s">
        <v>558</v>
      </c>
    </row>
    <row r="567" spans="1:12" ht="31" customHeight="1">
      <c r="A567" s="4" t="s">
        <v>231</v>
      </c>
      <c r="B567" s="4" t="s">
        <v>191</v>
      </c>
      <c r="C567" s="4" t="s">
        <v>45</v>
      </c>
      <c r="D567" s="6">
        <v>0</v>
      </c>
      <c r="E567" s="4" t="s">
        <v>1079</v>
      </c>
      <c r="F567" s="4" t="s">
        <v>113</v>
      </c>
      <c r="G567" s="4" t="s">
        <v>218</v>
      </c>
      <c r="H567" s="5"/>
      <c r="I567" s="5"/>
      <c r="J567" s="4" t="s">
        <v>1080</v>
      </c>
      <c r="K567" s="5"/>
      <c r="L567" s="4" t="s">
        <v>558</v>
      </c>
    </row>
    <row r="568" spans="1:12" ht="31" customHeight="1">
      <c r="A568" s="4" t="s">
        <v>231</v>
      </c>
      <c r="B568" s="4" t="s">
        <v>191</v>
      </c>
      <c r="C568" s="4" t="s">
        <v>46</v>
      </c>
      <c r="D568" s="6">
        <v>2</v>
      </c>
      <c r="E568" s="4" t="s">
        <v>1079</v>
      </c>
      <c r="F568" s="4" t="s">
        <v>113</v>
      </c>
      <c r="G568" s="4" t="s">
        <v>218</v>
      </c>
      <c r="H568" s="5"/>
      <c r="I568" s="5"/>
      <c r="J568" s="4" t="s">
        <v>1080</v>
      </c>
      <c r="K568" s="5"/>
      <c r="L568" s="4" t="s">
        <v>558</v>
      </c>
    </row>
    <row r="569" spans="1:12" ht="31" customHeight="1">
      <c r="A569" s="4" t="s">
        <v>231</v>
      </c>
      <c r="B569" s="4" t="s">
        <v>191</v>
      </c>
      <c r="C569" s="4" t="s">
        <v>47</v>
      </c>
      <c r="D569" s="6">
        <v>1</v>
      </c>
      <c r="E569" s="4" t="s">
        <v>1079</v>
      </c>
      <c r="F569" s="4" t="s">
        <v>113</v>
      </c>
      <c r="G569" s="4" t="s">
        <v>218</v>
      </c>
      <c r="H569" s="5"/>
      <c r="I569" s="5"/>
      <c r="J569" s="4" t="s">
        <v>1080</v>
      </c>
      <c r="K569" s="5"/>
      <c r="L569" s="4" t="s">
        <v>558</v>
      </c>
    </row>
    <row r="570" spans="1:12" ht="31" customHeight="1">
      <c r="A570" s="4" t="s">
        <v>231</v>
      </c>
      <c r="B570" s="4" t="s">
        <v>191</v>
      </c>
      <c r="C570" s="4" t="s">
        <v>48</v>
      </c>
      <c r="D570" s="6">
        <v>2</v>
      </c>
      <c r="E570" s="4" t="s">
        <v>1079</v>
      </c>
      <c r="F570" s="4" t="s">
        <v>113</v>
      </c>
      <c r="G570" s="4" t="s">
        <v>218</v>
      </c>
      <c r="H570" s="5"/>
      <c r="I570" s="5"/>
      <c r="J570" s="4" t="s">
        <v>1080</v>
      </c>
      <c r="K570" s="5"/>
      <c r="L570" s="4" t="s">
        <v>558</v>
      </c>
    </row>
    <row r="571" spans="1:12" ht="31" customHeight="1">
      <c r="A571" s="4" t="s">
        <v>231</v>
      </c>
      <c r="B571" s="4" t="s">
        <v>191</v>
      </c>
      <c r="C571" s="4" t="s">
        <v>49</v>
      </c>
      <c r="D571" s="6">
        <v>0</v>
      </c>
      <c r="E571" s="4" t="s">
        <v>1079</v>
      </c>
      <c r="F571" s="4" t="s">
        <v>113</v>
      </c>
      <c r="G571" s="4" t="s">
        <v>218</v>
      </c>
      <c r="H571" s="5"/>
      <c r="I571" s="5"/>
      <c r="J571" s="4" t="s">
        <v>1080</v>
      </c>
      <c r="K571" s="5"/>
      <c r="L571" s="4" t="s">
        <v>558</v>
      </c>
    </row>
    <row r="572" spans="1:12" ht="31" customHeight="1">
      <c r="A572" s="4" t="s">
        <v>233</v>
      </c>
      <c r="B572" s="4" t="s">
        <v>191</v>
      </c>
      <c r="C572" s="4" t="s">
        <v>40</v>
      </c>
      <c r="D572" s="6">
        <v>3</v>
      </c>
      <c r="E572" s="4" t="s">
        <v>1079</v>
      </c>
      <c r="F572" s="4" t="s">
        <v>113</v>
      </c>
      <c r="G572" s="4" t="s">
        <v>218</v>
      </c>
      <c r="H572" s="5"/>
      <c r="I572" s="5"/>
      <c r="J572" s="4" t="s">
        <v>1080</v>
      </c>
      <c r="K572" s="5"/>
      <c r="L572" s="4" t="s">
        <v>558</v>
      </c>
    </row>
    <row r="573" spans="1:12" ht="31" customHeight="1">
      <c r="A573" s="4" t="s">
        <v>233</v>
      </c>
      <c r="B573" s="4" t="s">
        <v>191</v>
      </c>
      <c r="C573" s="4" t="s">
        <v>41</v>
      </c>
      <c r="D573" s="6">
        <v>0</v>
      </c>
      <c r="E573" s="4" t="s">
        <v>1079</v>
      </c>
      <c r="F573" s="4" t="s">
        <v>113</v>
      </c>
      <c r="G573" s="4" t="s">
        <v>218</v>
      </c>
      <c r="H573" s="5"/>
      <c r="I573" s="5"/>
      <c r="J573" s="4" t="s">
        <v>1080</v>
      </c>
      <c r="K573" s="5"/>
      <c r="L573" s="4" t="s">
        <v>558</v>
      </c>
    </row>
    <row r="574" spans="1:12" ht="31" customHeight="1">
      <c r="A574" s="4" t="s">
        <v>233</v>
      </c>
      <c r="B574" s="4" t="s">
        <v>191</v>
      </c>
      <c r="C574" s="4" t="s">
        <v>42</v>
      </c>
      <c r="D574" s="6">
        <v>0</v>
      </c>
      <c r="E574" s="4" t="s">
        <v>1079</v>
      </c>
      <c r="F574" s="4" t="s">
        <v>113</v>
      </c>
      <c r="G574" s="4" t="s">
        <v>218</v>
      </c>
      <c r="H574" s="5"/>
      <c r="I574" s="5"/>
      <c r="J574" s="4" t="s">
        <v>1080</v>
      </c>
      <c r="K574" s="5"/>
      <c r="L574" s="4" t="s">
        <v>558</v>
      </c>
    </row>
    <row r="575" spans="1:12" ht="31" customHeight="1">
      <c r="A575" s="4" t="s">
        <v>233</v>
      </c>
      <c r="B575" s="4" t="s">
        <v>191</v>
      </c>
      <c r="C575" s="4" t="s">
        <v>43</v>
      </c>
      <c r="D575" s="6">
        <v>0</v>
      </c>
      <c r="E575" s="4" t="s">
        <v>1079</v>
      </c>
      <c r="F575" s="4" t="s">
        <v>113</v>
      </c>
      <c r="G575" s="4" t="s">
        <v>218</v>
      </c>
      <c r="H575" s="5"/>
      <c r="I575" s="5"/>
      <c r="J575" s="4" t="s">
        <v>1080</v>
      </c>
      <c r="K575" s="5"/>
      <c r="L575" s="4" t="s">
        <v>558</v>
      </c>
    </row>
    <row r="576" spans="1:12" ht="31" customHeight="1">
      <c r="A576" s="4" t="s">
        <v>233</v>
      </c>
      <c r="B576" s="4" t="s">
        <v>191</v>
      </c>
      <c r="C576" s="4" t="s">
        <v>44</v>
      </c>
      <c r="D576" s="6">
        <v>0</v>
      </c>
      <c r="E576" s="4" t="s">
        <v>1079</v>
      </c>
      <c r="F576" s="4" t="s">
        <v>113</v>
      </c>
      <c r="G576" s="4" t="s">
        <v>218</v>
      </c>
      <c r="H576" s="5"/>
      <c r="I576" s="5"/>
      <c r="J576" s="4" t="s">
        <v>1080</v>
      </c>
      <c r="K576" s="5"/>
      <c r="L576" s="4" t="s">
        <v>558</v>
      </c>
    </row>
    <row r="577" spans="1:12" ht="31" customHeight="1">
      <c r="A577" s="4" t="s">
        <v>233</v>
      </c>
      <c r="B577" s="4" t="s">
        <v>191</v>
      </c>
      <c r="C577" s="4" t="s">
        <v>45</v>
      </c>
      <c r="D577" s="6">
        <v>0</v>
      </c>
      <c r="E577" s="4" t="s">
        <v>1079</v>
      </c>
      <c r="F577" s="4" t="s">
        <v>113</v>
      </c>
      <c r="G577" s="4" t="s">
        <v>218</v>
      </c>
      <c r="H577" s="5"/>
      <c r="I577" s="5"/>
      <c r="J577" s="4" t="s">
        <v>1080</v>
      </c>
      <c r="K577" s="5"/>
      <c r="L577" s="4" t="s">
        <v>558</v>
      </c>
    </row>
    <row r="578" spans="1:12" ht="31" customHeight="1">
      <c r="A578" s="4" t="s">
        <v>233</v>
      </c>
      <c r="B578" s="4" t="s">
        <v>191</v>
      </c>
      <c r="C578" s="4" t="s">
        <v>46</v>
      </c>
      <c r="D578" s="6">
        <v>1</v>
      </c>
      <c r="E578" s="4" t="s">
        <v>1079</v>
      </c>
      <c r="F578" s="4" t="s">
        <v>113</v>
      </c>
      <c r="G578" s="4" t="s">
        <v>218</v>
      </c>
      <c r="H578" s="5"/>
      <c r="I578" s="5"/>
      <c r="J578" s="4" t="s">
        <v>1080</v>
      </c>
      <c r="K578" s="5"/>
      <c r="L578" s="4" t="s">
        <v>558</v>
      </c>
    </row>
    <row r="579" spans="1:12" ht="31" customHeight="1">
      <c r="A579" s="4" t="s">
        <v>233</v>
      </c>
      <c r="B579" s="4" t="s">
        <v>191</v>
      </c>
      <c r="C579" s="4" t="s">
        <v>47</v>
      </c>
      <c r="D579" s="6">
        <v>1</v>
      </c>
      <c r="E579" s="4" t="s">
        <v>1079</v>
      </c>
      <c r="F579" s="4" t="s">
        <v>113</v>
      </c>
      <c r="G579" s="4" t="s">
        <v>218</v>
      </c>
      <c r="H579" s="5"/>
      <c r="I579" s="5"/>
      <c r="J579" s="4" t="s">
        <v>1080</v>
      </c>
      <c r="K579" s="5"/>
      <c r="L579" s="4" t="s">
        <v>558</v>
      </c>
    </row>
    <row r="580" spans="1:12" ht="31" customHeight="1">
      <c r="A580" s="4" t="s">
        <v>233</v>
      </c>
      <c r="B580" s="4" t="s">
        <v>191</v>
      </c>
      <c r="C580" s="4" t="s">
        <v>48</v>
      </c>
      <c r="D580" s="6">
        <v>2</v>
      </c>
      <c r="E580" s="4" t="s">
        <v>1079</v>
      </c>
      <c r="F580" s="4" t="s">
        <v>113</v>
      </c>
      <c r="G580" s="4" t="s">
        <v>218</v>
      </c>
      <c r="H580" s="5"/>
      <c r="I580" s="5"/>
      <c r="J580" s="4" t="s">
        <v>1080</v>
      </c>
      <c r="K580" s="5"/>
      <c r="L580" s="4" t="s">
        <v>558</v>
      </c>
    </row>
    <row r="581" spans="1:12" ht="31" customHeight="1">
      <c r="A581" s="4" t="s">
        <v>233</v>
      </c>
      <c r="B581" s="4" t="s">
        <v>191</v>
      </c>
      <c r="C581" s="4" t="s">
        <v>49</v>
      </c>
      <c r="D581" s="6">
        <v>0</v>
      </c>
      <c r="E581" s="4" t="s">
        <v>1079</v>
      </c>
      <c r="F581" s="4" t="s">
        <v>113</v>
      </c>
      <c r="G581" s="4" t="s">
        <v>218</v>
      </c>
      <c r="H581" s="5"/>
      <c r="I581" s="5"/>
      <c r="J581" s="4" t="s">
        <v>1080</v>
      </c>
      <c r="K581" s="5"/>
      <c r="L581" s="4" t="s">
        <v>558</v>
      </c>
    </row>
    <row r="582" spans="1:12" ht="31" customHeight="1">
      <c r="A582" s="4" t="s">
        <v>423</v>
      </c>
      <c r="B582" s="4" t="s">
        <v>424</v>
      </c>
      <c r="C582" s="4" t="s">
        <v>40</v>
      </c>
      <c r="D582" s="6">
        <v>3</v>
      </c>
      <c r="E582" s="4" t="s">
        <v>1079</v>
      </c>
      <c r="F582" s="5"/>
      <c r="G582" s="4" t="s">
        <v>1081</v>
      </c>
      <c r="H582" s="5"/>
      <c r="I582" s="4" t="s">
        <v>427</v>
      </c>
      <c r="J582" s="4" t="s">
        <v>1080</v>
      </c>
      <c r="K582" s="5"/>
      <c r="L582" s="4" t="s">
        <v>558</v>
      </c>
    </row>
    <row r="583" spans="1:12" ht="31" customHeight="1">
      <c r="A583" s="4" t="s">
        <v>423</v>
      </c>
      <c r="B583" s="4" t="s">
        <v>424</v>
      </c>
      <c r="C583" s="4" t="s">
        <v>41</v>
      </c>
      <c r="D583" s="6">
        <v>3</v>
      </c>
      <c r="E583" s="4" t="s">
        <v>1079</v>
      </c>
      <c r="F583" s="5"/>
      <c r="G583" s="4" t="s">
        <v>1081</v>
      </c>
      <c r="H583" s="5"/>
      <c r="I583" s="4" t="s">
        <v>427</v>
      </c>
      <c r="J583" s="4" t="s">
        <v>1080</v>
      </c>
      <c r="K583" s="5"/>
      <c r="L583" s="4" t="s">
        <v>558</v>
      </c>
    </row>
    <row r="584" spans="1:12" ht="31" customHeight="1">
      <c r="A584" s="4" t="s">
        <v>423</v>
      </c>
      <c r="B584" s="4" t="s">
        <v>424</v>
      </c>
      <c r="C584" s="4" t="s">
        <v>42</v>
      </c>
      <c r="D584" s="6">
        <v>3</v>
      </c>
      <c r="E584" s="4" t="s">
        <v>1079</v>
      </c>
      <c r="F584" s="5"/>
      <c r="G584" s="4" t="s">
        <v>1081</v>
      </c>
      <c r="H584" s="5"/>
      <c r="I584" s="4" t="s">
        <v>427</v>
      </c>
      <c r="J584" s="4" t="s">
        <v>1080</v>
      </c>
      <c r="K584" s="5"/>
      <c r="L584" s="4" t="s">
        <v>558</v>
      </c>
    </row>
    <row r="585" spans="1:12" ht="31" customHeight="1">
      <c r="A585" s="4" t="s">
        <v>423</v>
      </c>
      <c r="B585" s="4" t="s">
        <v>424</v>
      </c>
      <c r="C585" s="4" t="s">
        <v>43</v>
      </c>
      <c r="D585" s="6">
        <v>3</v>
      </c>
      <c r="E585" s="4" t="s">
        <v>1079</v>
      </c>
      <c r="F585" s="5"/>
      <c r="G585" s="4" t="s">
        <v>1081</v>
      </c>
      <c r="H585" s="5"/>
      <c r="I585" s="4" t="s">
        <v>427</v>
      </c>
      <c r="J585" s="4" t="s">
        <v>1080</v>
      </c>
      <c r="K585" s="5"/>
      <c r="L585" s="4" t="s">
        <v>558</v>
      </c>
    </row>
    <row r="586" spans="1:12" ht="31" customHeight="1">
      <c r="A586" s="4" t="s">
        <v>423</v>
      </c>
      <c r="B586" s="4" t="s">
        <v>424</v>
      </c>
      <c r="C586" s="4" t="s">
        <v>44</v>
      </c>
      <c r="D586" s="6">
        <v>3</v>
      </c>
      <c r="E586" s="4" t="s">
        <v>1079</v>
      </c>
      <c r="F586" s="5"/>
      <c r="G586" s="4" t="s">
        <v>1081</v>
      </c>
      <c r="H586" s="5"/>
      <c r="I586" s="4" t="s">
        <v>427</v>
      </c>
      <c r="J586" s="4" t="s">
        <v>1080</v>
      </c>
      <c r="K586" s="5"/>
      <c r="L586" s="4" t="s">
        <v>558</v>
      </c>
    </row>
    <row r="587" spans="1:12" ht="31" customHeight="1">
      <c r="A587" s="4" t="s">
        <v>423</v>
      </c>
      <c r="B587" s="4" t="s">
        <v>424</v>
      </c>
      <c r="C587" s="4" t="s">
        <v>45</v>
      </c>
      <c r="D587" s="6">
        <v>3</v>
      </c>
      <c r="E587" s="4" t="s">
        <v>1079</v>
      </c>
      <c r="F587" s="5"/>
      <c r="G587" s="4" t="s">
        <v>1081</v>
      </c>
      <c r="H587" s="5"/>
      <c r="I587" s="4" t="s">
        <v>427</v>
      </c>
      <c r="J587" s="4" t="s">
        <v>1080</v>
      </c>
      <c r="K587" s="5"/>
      <c r="L587" s="4" t="s">
        <v>558</v>
      </c>
    </row>
    <row r="588" spans="1:12" ht="31" customHeight="1">
      <c r="A588" s="4" t="s">
        <v>423</v>
      </c>
      <c r="B588" s="4" t="s">
        <v>424</v>
      </c>
      <c r="C588" s="4" t="s">
        <v>46</v>
      </c>
      <c r="D588" s="6">
        <v>2</v>
      </c>
      <c r="E588" s="4" t="s">
        <v>1079</v>
      </c>
      <c r="F588" s="5"/>
      <c r="G588" s="4" t="s">
        <v>1081</v>
      </c>
      <c r="H588" s="5"/>
      <c r="I588" s="4" t="s">
        <v>427</v>
      </c>
      <c r="J588" s="4" t="s">
        <v>1080</v>
      </c>
      <c r="K588" s="5"/>
      <c r="L588" s="4" t="s">
        <v>558</v>
      </c>
    </row>
    <row r="589" spans="1:12" ht="31" customHeight="1">
      <c r="A589" s="4" t="s">
        <v>423</v>
      </c>
      <c r="B589" s="4" t="s">
        <v>424</v>
      </c>
      <c r="C589" s="4" t="s">
        <v>47</v>
      </c>
      <c r="D589" s="6">
        <v>3</v>
      </c>
      <c r="E589" s="4" t="s">
        <v>1079</v>
      </c>
      <c r="F589" s="5"/>
      <c r="G589" s="4" t="s">
        <v>1081</v>
      </c>
      <c r="H589" s="5"/>
      <c r="I589" s="4" t="s">
        <v>427</v>
      </c>
      <c r="J589" s="4" t="s">
        <v>1080</v>
      </c>
      <c r="K589" s="5"/>
      <c r="L589" s="4" t="s">
        <v>558</v>
      </c>
    </row>
    <row r="590" spans="1:12" ht="31" customHeight="1">
      <c r="A590" s="4" t="s">
        <v>423</v>
      </c>
      <c r="B590" s="4" t="s">
        <v>424</v>
      </c>
      <c r="C590" s="4" t="s">
        <v>48</v>
      </c>
      <c r="D590" s="6">
        <v>3</v>
      </c>
      <c r="E590" s="4" t="s">
        <v>1079</v>
      </c>
      <c r="F590" s="5"/>
      <c r="G590" s="4" t="s">
        <v>1081</v>
      </c>
      <c r="H590" s="5"/>
      <c r="I590" s="4" t="s">
        <v>427</v>
      </c>
      <c r="J590" s="4" t="s">
        <v>1080</v>
      </c>
      <c r="K590" s="5"/>
      <c r="L590" s="4" t="s">
        <v>558</v>
      </c>
    </row>
    <row r="591" spans="1:12" ht="31" customHeight="1">
      <c r="A591" s="4" t="s">
        <v>423</v>
      </c>
      <c r="B591" s="4" t="s">
        <v>424</v>
      </c>
      <c r="C591" s="4" t="s">
        <v>49</v>
      </c>
      <c r="D591" s="6">
        <v>3</v>
      </c>
      <c r="E591" s="4" t="s">
        <v>1079</v>
      </c>
      <c r="F591" s="5"/>
      <c r="G591" s="4" t="s">
        <v>1081</v>
      </c>
      <c r="H591" s="5"/>
      <c r="I591" s="4" t="s">
        <v>427</v>
      </c>
      <c r="J591" s="4" t="s">
        <v>1080</v>
      </c>
      <c r="K591" s="5"/>
      <c r="L591" s="4" t="s">
        <v>558</v>
      </c>
    </row>
    <row r="592" spans="1:12" ht="31" customHeight="1">
      <c r="A592" s="4" t="s">
        <v>435</v>
      </c>
      <c r="B592" s="4" t="s">
        <v>424</v>
      </c>
      <c r="C592" s="4" t="s">
        <v>40</v>
      </c>
      <c r="D592" s="6">
        <v>3</v>
      </c>
      <c r="E592" s="4" t="s">
        <v>1079</v>
      </c>
      <c r="F592" s="4" t="s">
        <v>130</v>
      </c>
      <c r="G592" s="4" t="s">
        <v>1081</v>
      </c>
      <c r="H592" s="5"/>
      <c r="I592" s="4" t="s">
        <v>437</v>
      </c>
      <c r="J592" s="4" t="s">
        <v>1080</v>
      </c>
      <c r="K592" s="5"/>
      <c r="L592" s="4" t="s">
        <v>558</v>
      </c>
    </row>
    <row r="593" spans="1:12" ht="31" customHeight="1">
      <c r="A593" s="4" t="s">
        <v>435</v>
      </c>
      <c r="B593" s="4" t="s">
        <v>424</v>
      </c>
      <c r="C593" s="4" t="s">
        <v>41</v>
      </c>
      <c r="D593" s="6">
        <v>3</v>
      </c>
      <c r="E593" s="4" t="s">
        <v>1079</v>
      </c>
      <c r="F593" s="4" t="s">
        <v>130</v>
      </c>
      <c r="G593" s="4" t="s">
        <v>1081</v>
      </c>
      <c r="H593" s="5"/>
      <c r="I593" s="4" t="s">
        <v>437</v>
      </c>
      <c r="J593" s="4" t="s">
        <v>1080</v>
      </c>
      <c r="K593" s="5"/>
      <c r="L593" s="4" t="s">
        <v>558</v>
      </c>
    </row>
    <row r="594" spans="1:12" ht="31" customHeight="1">
      <c r="A594" s="4" t="s">
        <v>435</v>
      </c>
      <c r="B594" s="4" t="s">
        <v>424</v>
      </c>
      <c r="C594" s="4" t="s">
        <v>42</v>
      </c>
      <c r="D594" s="6">
        <v>3</v>
      </c>
      <c r="E594" s="4" t="s">
        <v>1079</v>
      </c>
      <c r="F594" s="4" t="s">
        <v>130</v>
      </c>
      <c r="G594" s="4" t="s">
        <v>1081</v>
      </c>
      <c r="H594" s="5"/>
      <c r="I594" s="4" t="s">
        <v>437</v>
      </c>
      <c r="J594" s="4" t="s">
        <v>1080</v>
      </c>
      <c r="K594" s="5"/>
      <c r="L594" s="4" t="s">
        <v>558</v>
      </c>
    </row>
    <row r="595" spans="1:12" ht="31" customHeight="1">
      <c r="A595" s="4" t="s">
        <v>435</v>
      </c>
      <c r="B595" s="4" t="s">
        <v>424</v>
      </c>
      <c r="C595" s="4" t="s">
        <v>43</v>
      </c>
      <c r="D595" s="6">
        <v>3</v>
      </c>
      <c r="E595" s="4" t="s">
        <v>1079</v>
      </c>
      <c r="F595" s="4" t="s">
        <v>130</v>
      </c>
      <c r="G595" s="4" t="s">
        <v>1081</v>
      </c>
      <c r="H595" s="5"/>
      <c r="I595" s="4" t="s">
        <v>437</v>
      </c>
      <c r="J595" s="4" t="s">
        <v>1080</v>
      </c>
      <c r="K595" s="5"/>
      <c r="L595" s="4" t="s">
        <v>558</v>
      </c>
    </row>
    <row r="596" spans="1:12" ht="31" customHeight="1">
      <c r="A596" s="4" t="s">
        <v>435</v>
      </c>
      <c r="B596" s="4" t="s">
        <v>424</v>
      </c>
      <c r="C596" s="4" t="s">
        <v>44</v>
      </c>
      <c r="D596" s="6">
        <v>3</v>
      </c>
      <c r="E596" s="4" t="s">
        <v>1079</v>
      </c>
      <c r="F596" s="4" t="s">
        <v>130</v>
      </c>
      <c r="G596" s="4" t="s">
        <v>1081</v>
      </c>
      <c r="H596" s="5"/>
      <c r="I596" s="4" t="s">
        <v>437</v>
      </c>
      <c r="J596" s="4" t="s">
        <v>1080</v>
      </c>
      <c r="K596" s="5"/>
      <c r="L596" s="4" t="s">
        <v>558</v>
      </c>
    </row>
    <row r="597" spans="1:12" ht="31" customHeight="1">
      <c r="A597" s="4" t="s">
        <v>435</v>
      </c>
      <c r="B597" s="4" t="s">
        <v>424</v>
      </c>
      <c r="C597" s="4" t="s">
        <v>45</v>
      </c>
      <c r="D597" s="6">
        <v>3</v>
      </c>
      <c r="E597" s="4" t="s">
        <v>1079</v>
      </c>
      <c r="F597" s="4" t="s">
        <v>130</v>
      </c>
      <c r="G597" s="4" t="s">
        <v>1081</v>
      </c>
      <c r="H597" s="5"/>
      <c r="I597" s="4" t="s">
        <v>437</v>
      </c>
      <c r="J597" s="4" t="s">
        <v>1080</v>
      </c>
      <c r="K597" s="5"/>
      <c r="L597" s="4" t="s">
        <v>558</v>
      </c>
    </row>
    <row r="598" spans="1:12" ht="31" customHeight="1">
      <c r="A598" s="4" t="s">
        <v>435</v>
      </c>
      <c r="B598" s="4" t="s">
        <v>424</v>
      </c>
      <c r="C598" s="4" t="s">
        <v>46</v>
      </c>
      <c r="D598" s="6">
        <v>0</v>
      </c>
      <c r="E598" s="4" t="s">
        <v>1079</v>
      </c>
      <c r="F598" s="4" t="s">
        <v>130</v>
      </c>
      <c r="G598" s="4" t="s">
        <v>1081</v>
      </c>
      <c r="H598" s="5"/>
      <c r="I598" s="4" t="s">
        <v>437</v>
      </c>
      <c r="J598" s="4" t="s">
        <v>1080</v>
      </c>
      <c r="K598" s="5"/>
      <c r="L598" s="4" t="s">
        <v>558</v>
      </c>
    </row>
    <row r="599" spans="1:12" ht="31" customHeight="1">
      <c r="A599" s="4" t="s">
        <v>435</v>
      </c>
      <c r="B599" s="4" t="s">
        <v>424</v>
      </c>
      <c r="C599" s="4" t="s">
        <v>47</v>
      </c>
      <c r="D599" s="6">
        <v>3</v>
      </c>
      <c r="E599" s="4" t="s">
        <v>1079</v>
      </c>
      <c r="F599" s="4" t="s">
        <v>130</v>
      </c>
      <c r="G599" s="4" t="s">
        <v>1081</v>
      </c>
      <c r="H599" s="5"/>
      <c r="I599" s="4" t="s">
        <v>437</v>
      </c>
      <c r="J599" s="4" t="s">
        <v>1080</v>
      </c>
      <c r="K599" s="5"/>
      <c r="L599" s="4" t="s">
        <v>558</v>
      </c>
    </row>
    <row r="600" spans="1:12" ht="31" customHeight="1">
      <c r="A600" s="4" t="s">
        <v>435</v>
      </c>
      <c r="B600" s="4" t="s">
        <v>424</v>
      </c>
      <c r="C600" s="4" t="s">
        <v>48</v>
      </c>
      <c r="D600" s="6">
        <v>3</v>
      </c>
      <c r="E600" s="4" t="s">
        <v>1079</v>
      </c>
      <c r="F600" s="4" t="s">
        <v>130</v>
      </c>
      <c r="G600" s="4" t="s">
        <v>1081</v>
      </c>
      <c r="H600" s="5"/>
      <c r="I600" s="4" t="s">
        <v>437</v>
      </c>
      <c r="J600" s="4" t="s">
        <v>1080</v>
      </c>
      <c r="K600" s="5"/>
      <c r="L600" s="4" t="s">
        <v>558</v>
      </c>
    </row>
    <row r="601" spans="1:12" ht="31" customHeight="1">
      <c r="A601" s="4" t="s">
        <v>435</v>
      </c>
      <c r="B601" s="4" t="s">
        <v>424</v>
      </c>
      <c r="C601" s="4" t="s">
        <v>49</v>
      </c>
      <c r="D601" s="6">
        <v>3</v>
      </c>
      <c r="E601" s="4" t="s">
        <v>1079</v>
      </c>
      <c r="F601" s="4" t="s">
        <v>130</v>
      </c>
      <c r="G601" s="4" t="s">
        <v>1081</v>
      </c>
      <c r="H601" s="5"/>
      <c r="I601" s="4" t="s">
        <v>437</v>
      </c>
      <c r="J601" s="4" t="s">
        <v>1080</v>
      </c>
      <c r="K601" s="5"/>
      <c r="L601" s="4" t="s">
        <v>558</v>
      </c>
    </row>
    <row r="602" spans="1:12" ht="31" customHeight="1">
      <c r="A602" s="4" t="s">
        <v>440</v>
      </c>
      <c r="B602" s="4" t="s">
        <v>424</v>
      </c>
      <c r="C602" s="4" t="s">
        <v>40</v>
      </c>
      <c r="D602" s="6">
        <v>3</v>
      </c>
      <c r="E602" s="4" t="s">
        <v>1079</v>
      </c>
      <c r="F602" s="5"/>
      <c r="G602" s="4" t="s">
        <v>1081</v>
      </c>
      <c r="H602" s="5"/>
      <c r="I602" s="4" t="s">
        <v>443</v>
      </c>
      <c r="J602" s="4" t="s">
        <v>1080</v>
      </c>
      <c r="K602" s="5"/>
      <c r="L602" s="4" t="s">
        <v>558</v>
      </c>
    </row>
    <row r="603" spans="1:12" ht="31" customHeight="1">
      <c r="A603" s="4" t="s">
        <v>440</v>
      </c>
      <c r="B603" s="4" t="s">
        <v>424</v>
      </c>
      <c r="C603" s="4" t="s">
        <v>41</v>
      </c>
      <c r="D603" s="6">
        <v>3</v>
      </c>
      <c r="E603" s="4" t="s">
        <v>1079</v>
      </c>
      <c r="F603" s="5"/>
      <c r="G603" s="4" t="s">
        <v>1081</v>
      </c>
      <c r="H603" s="5"/>
      <c r="I603" s="4" t="s">
        <v>443</v>
      </c>
      <c r="J603" s="4" t="s">
        <v>1080</v>
      </c>
      <c r="K603" s="5"/>
      <c r="L603" s="4" t="s">
        <v>558</v>
      </c>
    </row>
    <row r="604" spans="1:12" ht="31" customHeight="1">
      <c r="A604" s="4" t="s">
        <v>440</v>
      </c>
      <c r="B604" s="4" t="s">
        <v>424</v>
      </c>
      <c r="C604" s="4" t="s">
        <v>42</v>
      </c>
      <c r="D604" s="6">
        <v>3</v>
      </c>
      <c r="E604" s="4" t="s">
        <v>1079</v>
      </c>
      <c r="F604" s="5"/>
      <c r="G604" s="4" t="s">
        <v>1081</v>
      </c>
      <c r="H604" s="5"/>
      <c r="I604" s="4" t="s">
        <v>443</v>
      </c>
      <c r="J604" s="4" t="s">
        <v>1080</v>
      </c>
      <c r="K604" s="5"/>
      <c r="L604" s="4" t="s">
        <v>558</v>
      </c>
    </row>
    <row r="605" spans="1:12" ht="31" customHeight="1">
      <c r="A605" s="4" t="s">
        <v>440</v>
      </c>
      <c r="B605" s="4" t="s">
        <v>424</v>
      </c>
      <c r="C605" s="4" t="s">
        <v>43</v>
      </c>
      <c r="D605" s="6">
        <v>3</v>
      </c>
      <c r="E605" s="4" t="s">
        <v>1079</v>
      </c>
      <c r="F605" s="5"/>
      <c r="G605" s="4" t="s">
        <v>1081</v>
      </c>
      <c r="H605" s="5"/>
      <c r="I605" s="4" t="s">
        <v>443</v>
      </c>
      <c r="J605" s="4" t="s">
        <v>1080</v>
      </c>
      <c r="K605" s="5"/>
      <c r="L605" s="4" t="s">
        <v>558</v>
      </c>
    </row>
    <row r="606" spans="1:12" ht="31" customHeight="1">
      <c r="A606" s="4" t="s">
        <v>440</v>
      </c>
      <c r="B606" s="4" t="s">
        <v>424</v>
      </c>
      <c r="C606" s="4" t="s">
        <v>44</v>
      </c>
      <c r="D606" s="6">
        <v>3</v>
      </c>
      <c r="E606" s="4" t="s">
        <v>1079</v>
      </c>
      <c r="F606" s="5"/>
      <c r="G606" s="4" t="s">
        <v>1081</v>
      </c>
      <c r="H606" s="5"/>
      <c r="I606" s="4" t="s">
        <v>443</v>
      </c>
      <c r="J606" s="4" t="s">
        <v>1080</v>
      </c>
      <c r="K606" s="5"/>
      <c r="L606" s="4" t="s">
        <v>558</v>
      </c>
    </row>
    <row r="607" spans="1:12" ht="31" customHeight="1">
      <c r="A607" s="4" t="s">
        <v>440</v>
      </c>
      <c r="B607" s="4" t="s">
        <v>424</v>
      </c>
      <c r="C607" s="4" t="s">
        <v>45</v>
      </c>
      <c r="D607" s="6">
        <v>3</v>
      </c>
      <c r="E607" s="4" t="s">
        <v>1079</v>
      </c>
      <c r="F607" s="5"/>
      <c r="G607" s="4" t="s">
        <v>1081</v>
      </c>
      <c r="H607" s="5"/>
      <c r="I607" s="4" t="s">
        <v>443</v>
      </c>
      <c r="J607" s="4" t="s">
        <v>1080</v>
      </c>
      <c r="K607" s="5"/>
      <c r="L607" s="4" t="s">
        <v>558</v>
      </c>
    </row>
    <row r="608" spans="1:12" ht="31" customHeight="1">
      <c r="A608" s="4" t="s">
        <v>440</v>
      </c>
      <c r="B608" s="4" t="s">
        <v>424</v>
      </c>
      <c r="C608" s="4" t="s">
        <v>46</v>
      </c>
      <c r="D608" s="6">
        <v>3</v>
      </c>
      <c r="E608" s="4" t="s">
        <v>1079</v>
      </c>
      <c r="F608" s="5"/>
      <c r="G608" s="4" t="s">
        <v>1081</v>
      </c>
      <c r="H608" s="5"/>
      <c r="I608" s="4" t="s">
        <v>443</v>
      </c>
      <c r="J608" s="4" t="s">
        <v>1080</v>
      </c>
      <c r="K608" s="5"/>
      <c r="L608" s="4" t="s">
        <v>558</v>
      </c>
    </row>
    <row r="609" spans="1:12" ht="31" customHeight="1">
      <c r="A609" s="4" t="s">
        <v>440</v>
      </c>
      <c r="B609" s="4" t="s">
        <v>424</v>
      </c>
      <c r="C609" s="4" t="s">
        <v>47</v>
      </c>
      <c r="D609" s="6">
        <v>3</v>
      </c>
      <c r="E609" s="4" t="s">
        <v>1079</v>
      </c>
      <c r="F609" s="5"/>
      <c r="G609" s="4" t="s">
        <v>1081</v>
      </c>
      <c r="H609" s="5"/>
      <c r="I609" s="4" t="s">
        <v>443</v>
      </c>
      <c r="J609" s="4" t="s">
        <v>1080</v>
      </c>
      <c r="K609" s="5"/>
      <c r="L609" s="4" t="s">
        <v>558</v>
      </c>
    </row>
    <row r="610" spans="1:12" ht="31" customHeight="1">
      <c r="A610" s="4" t="s">
        <v>440</v>
      </c>
      <c r="B610" s="4" t="s">
        <v>424</v>
      </c>
      <c r="C610" s="4" t="s">
        <v>48</v>
      </c>
      <c r="D610" s="6">
        <v>3</v>
      </c>
      <c r="E610" s="4" t="s">
        <v>1079</v>
      </c>
      <c r="F610" s="5"/>
      <c r="G610" s="4" t="s">
        <v>1081</v>
      </c>
      <c r="H610" s="5"/>
      <c r="I610" s="4" t="s">
        <v>443</v>
      </c>
      <c r="J610" s="4" t="s">
        <v>1080</v>
      </c>
      <c r="K610" s="5"/>
      <c r="L610" s="4" t="s">
        <v>558</v>
      </c>
    </row>
    <row r="611" spans="1:12" ht="31" customHeight="1">
      <c r="A611" s="4" t="s">
        <v>440</v>
      </c>
      <c r="B611" s="4" t="s">
        <v>424</v>
      </c>
      <c r="C611" s="4" t="s">
        <v>49</v>
      </c>
      <c r="D611" s="6">
        <v>3</v>
      </c>
      <c r="E611" s="4" t="s">
        <v>1079</v>
      </c>
      <c r="F611" s="5"/>
      <c r="G611" s="4" t="s">
        <v>1081</v>
      </c>
      <c r="H611" s="5"/>
      <c r="I611" s="4" t="s">
        <v>443</v>
      </c>
      <c r="J611" s="4" t="s">
        <v>1080</v>
      </c>
      <c r="K611" s="5"/>
      <c r="L611" s="4" t="s">
        <v>558</v>
      </c>
    </row>
    <row r="612" spans="1:12" ht="31" customHeight="1">
      <c r="A612" s="4" t="s">
        <v>446</v>
      </c>
      <c r="B612" s="4" t="s">
        <v>424</v>
      </c>
      <c r="C612" s="4" t="s">
        <v>40</v>
      </c>
      <c r="D612" s="6">
        <v>3</v>
      </c>
      <c r="E612" s="4" t="s">
        <v>1079</v>
      </c>
      <c r="F612" s="5"/>
      <c r="G612" s="4" t="s">
        <v>1081</v>
      </c>
      <c r="H612" s="5"/>
      <c r="I612" s="5"/>
      <c r="J612" s="4" t="s">
        <v>1080</v>
      </c>
      <c r="K612" s="5"/>
      <c r="L612" s="4" t="s">
        <v>558</v>
      </c>
    </row>
    <row r="613" spans="1:12" ht="31" customHeight="1">
      <c r="A613" s="4" t="s">
        <v>446</v>
      </c>
      <c r="B613" s="4" t="s">
        <v>424</v>
      </c>
      <c r="C613" s="4" t="s">
        <v>41</v>
      </c>
      <c r="D613" s="6">
        <v>3</v>
      </c>
      <c r="E613" s="4" t="s">
        <v>1079</v>
      </c>
      <c r="F613" s="5"/>
      <c r="G613" s="4" t="s">
        <v>1081</v>
      </c>
      <c r="H613" s="5"/>
      <c r="I613" s="5"/>
      <c r="J613" s="4" t="s">
        <v>1080</v>
      </c>
      <c r="K613" s="5"/>
      <c r="L613" s="4" t="s">
        <v>558</v>
      </c>
    </row>
    <row r="614" spans="1:12" ht="31" customHeight="1">
      <c r="A614" s="4" t="s">
        <v>446</v>
      </c>
      <c r="B614" s="4" t="s">
        <v>424</v>
      </c>
      <c r="C614" s="4" t="s">
        <v>42</v>
      </c>
      <c r="D614" s="6">
        <v>3</v>
      </c>
      <c r="E614" s="4" t="s">
        <v>1079</v>
      </c>
      <c r="F614" s="5"/>
      <c r="G614" s="4" t="s">
        <v>1081</v>
      </c>
      <c r="H614" s="5"/>
      <c r="I614" s="5"/>
      <c r="J614" s="4" t="s">
        <v>1080</v>
      </c>
      <c r="K614" s="5"/>
      <c r="L614" s="4" t="s">
        <v>558</v>
      </c>
    </row>
    <row r="615" spans="1:12" ht="31" customHeight="1">
      <c r="A615" s="4" t="s">
        <v>446</v>
      </c>
      <c r="B615" s="4" t="s">
        <v>424</v>
      </c>
      <c r="C615" s="4" t="s">
        <v>43</v>
      </c>
      <c r="D615" s="6">
        <v>3</v>
      </c>
      <c r="E615" s="4" t="s">
        <v>1079</v>
      </c>
      <c r="F615" s="5"/>
      <c r="G615" s="4" t="s">
        <v>1081</v>
      </c>
      <c r="H615" s="5"/>
      <c r="I615" s="5"/>
      <c r="J615" s="4" t="s">
        <v>1080</v>
      </c>
      <c r="K615" s="5"/>
      <c r="L615" s="4" t="s">
        <v>558</v>
      </c>
    </row>
    <row r="616" spans="1:12" ht="31" customHeight="1">
      <c r="A616" s="4" t="s">
        <v>446</v>
      </c>
      <c r="B616" s="4" t="s">
        <v>424</v>
      </c>
      <c r="C616" s="4" t="s">
        <v>44</v>
      </c>
      <c r="D616" s="6">
        <v>3</v>
      </c>
      <c r="E616" s="4" t="s">
        <v>1079</v>
      </c>
      <c r="F616" s="5"/>
      <c r="G616" s="4" t="s">
        <v>1081</v>
      </c>
      <c r="H616" s="5"/>
      <c r="I616" s="5"/>
      <c r="J616" s="4" t="s">
        <v>1080</v>
      </c>
      <c r="K616" s="5"/>
      <c r="L616" s="4" t="s">
        <v>558</v>
      </c>
    </row>
    <row r="617" spans="1:12" ht="31" customHeight="1">
      <c r="A617" s="4" t="s">
        <v>446</v>
      </c>
      <c r="B617" s="4" t="s">
        <v>424</v>
      </c>
      <c r="C617" s="4" t="s">
        <v>45</v>
      </c>
      <c r="D617" s="6">
        <v>3</v>
      </c>
      <c r="E617" s="4" t="s">
        <v>1079</v>
      </c>
      <c r="F617" s="5"/>
      <c r="G617" s="4" t="s">
        <v>1081</v>
      </c>
      <c r="H617" s="5"/>
      <c r="I617" s="5"/>
      <c r="J617" s="4" t="s">
        <v>1080</v>
      </c>
      <c r="K617" s="5"/>
      <c r="L617" s="4" t="s">
        <v>558</v>
      </c>
    </row>
    <row r="618" spans="1:12" ht="31" customHeight="1">
      <c r="A618" s="4" t="s">
        <v>446</v>
      </c>
      <c r="B618" s="4" t="s">
        <v>424</v>
      </c>
      <c r="C618" s="4" t="s">
        <v>46</v>
      </c>
      <c r="D618" s="6">
        <v>3</v>
      </c>
      <c r="E618" s="4" t="s">
        <v>1079</v>
      </c>
      <c r="F618" s="5"/>
      <c r="G618" s="4" t="s">
        <v>1081</v>
      </c>
      <c r="H618" s="5"/>
      <c r="I618" s="5"/>
      <c r="J618" s="4" t="s">
        <v>1080</v>
      </c>
      <c r="K618" s="5"/>
      <c r="L618" s="4" t="s">
        <v>558</v>
      </c>
    </row>
    <row r="619" spans="1:12" ht="31" customHeight="1">
      <c r="A619" s="4" t="s">
        <v>446</v>
      </c>
      <c r="B619" s="4" t="s">
        <v>424</v>
      </c>
      <c r="C619" s="4" t="s">
        <v>47</v>
      </c>
      <c r="D619" s="6">
        <v>3</v>
      </c>
      <c r="E619" s="4" t="s">
        <v>1079</v>
      </c>
      <c r="F619" s="5"/>
      <c r="G619" s="4" t="s">
        <v>1081</v>
      </c>
      <c r="H619" s="5"/>
      <c r="I619" s="5"/>
      <c r="J619" s="4" t="s">
        <v>1080</v>
      </c>
      <c r="K619" s="5"/>
      <c r="L619" s="4" t="s">
        <v>558</v>
      </c>
    </row>
    <row r="620" spans="1:12" ht="31" customHeight="1">
      <c r="A620" s="4" t="s">
        <v>446</v>
      </c>
      <c r="B620" s="4" t="s">
        <v>424</v>
      </c>
      <c r="C620" s="4" t="s">
        <v>48</v>
      </c>
      <c r="D620" s="6">
        <v>3</v>
      </c>
      <c r="E620" s="4" t="s">
        <v>1079</v>
      </c>
      <c r="F620" s="5"/>
      <c r="G620" s="4" t="s">
        <v>1081</v>
      </c>
      <c r="H620" s="5"/>
      <c r="I620" s="5"/>
      <c r="J620" s="4" t="s">
        <v>1080</v>
      </c>
      <c r="K620" s="5"/>
      <c r="L620" s="4" t="s">
        <v>558</v>
      </c>
    </row>
    <row r="621" spans="1:12" ht="31" customHeight="1">
      <c r="A621" s="4" t="s">
        <v>446</v>
      </c>
      <c r="B621" s="4" t="s">
        <v>424</v>
      </c>
      <c r="C621" s="4" t="s">
        <v>49</v>
      </c>
      <c r="D621" s="6">
        <v>3</v>
      </c>
      <c r="E621" s="4" t="s">
        <v>1079</v>
      </c>
      <c r="F621" s="5"/>
      <c r="G621" s="4" t="s">
        <v>1081</v>
      </c>
      <c r="H621" s="5"/>
      <c r="I621" s="5"/>
      <c r="J621" s="4" t="s">
        <v>1080</v>
      </c>
      <c r="K621" s="5"/>
      <c r="L621" s="4" t="s">
        <v>558</v>
      </c>
    </row>
    <row r="622" spans="1:12" ht="31" customHeight="1">
      <c r="A622" s="4" t="s">
        <v>451</v>
      </c>
      <c r="B622" s="4" t="s">
        <v>424</v>
      </c>
      <c r="C622" s="4" t="s">
        <v>40</v>
      </c>
      <c r="D622" s="6">
        <v>3</v>
      </c>
      <c r="E622" s="4" t="s">
        <v>1079</v>
      </c>
      <c r="F622" s="5"/>
      <c r="G622" s="4" t="s">
        <v>1081</v>
      </c>
      <c r="H622" s="5"/>
      <c r="I622" s="4" t="s">
        <v>453</v>
      </c>
      <c r="J622" s="4" t="s">
        <v>1080</v>
      </c>
      <c r="K622" s="5"/>
      <c r="L622" s="4" t="s">
        <v>558</v>
      </c>
    </row>
    <row r="623" spans="1:12" ht="31" customHeight="1">
      <c r="A623" s="4" t="s">
        <v>451</v>
      </c>
      <c r="B623" s="4" t="s">
        <v>424</v>
      </c>
      <c r="C623" s="4" t="s">
        <v>41</v>
      </c>
      <c r="D623" s="6">
        <v>0</v>
      </c>
      <c r="E623" s="4" t="s">
        <v>1079</v>
      </c>
      <c r="F623" s="5"/>
      <c r="G623" s="4" t="s">
        <v>1081</v>
      </c>
      <c r="H623" s="5"/>
      <c r="I623" s="4" t="s">
        <v>453</v>
      </c>
      <c r="J623" s="4" t="s">
        <v>1080</v>
      </c>
      <c r="K623" s="5"/>
      <c r="L623" s="4" t="s">
        <v>558</v>
      </c>
    </row>
    <row r="624" spans="1:12" ht="31" customHeight="1">
      <c r="A624" s="4" t="s">
        <v>451</v>
      </c>
      <c r="B624" s="4" t="s">
        <v>424</v>
      </c>
      <c r="C624" s="4" t="s">
        <v>42</v>
      </c>
      <c r="D624" s="6">
        <v>3</v>
      </c>
      <c r="E624" s="4" t="s">
        <v>1079</v>
      </c>
      <c r="F624" s="5"/>
      <c r="G624" s="4" t="s">
        <v>1081</v>
      </c>
      <c r="H624" s="5"/>
      <c r="I624" s="4" t="s">
        <v>453</v>
      </c>
      <c r="J624" s="4" t="s">
        <v>1080</v>
      </c>
      <c r="K624" s="5"/>
      <c r="L624" s="4" t="s">
        <v>558</v>
      </c>
    </row>
    <row r="625" spans="1:12" ht="31" customHeight="1">
      <c r="A625" s="4" t="s">
        <v>451</v>
      </c>
      <c r="B625" s="4" t="s">
        <v>424</v>
      </c>
      <c r="C625" s="4" t="s">
        <v>43</v>
      </c>
      <c r="D625" s="6">
        <v>3</v>
      </c>
      <c r="E625" s="4" t="s">
        <v>1079</v>
      </c>
      <c r="F625" s="5"/>
      <c r="G625" s="4" t="s">
        <v>1081</v>
      </c>
      <c r="H625" s="5"/>
      <c r="I625" s="4" t="s">
        <v>453</v>
      </c>
      <c r="J625" s="4" t="s">
        <v>1080</v>
      </c>
      <c r="K625" s="5"/>
      <c r="L625" s="4" t="s">
        <v>558</v>
      </c>
    </row>
    <row r="626" spans="1:12" ht="31" customHeight="1">
      <c r="A626" s="4" t="s">
        <v>451</v>
      </c>
      <c r="B626" s="4" t="s">
        <v>424</v>
      </c>
      <c r="C626" s="4" t="s">
        <v>44</v>
      </c>
      <c r="D626" s="6">
        <v>3</v>
      </c>
      <c r="E626" s="4" t="s">
        <v>1079</v>
      </c>
      <c r="F626" s="5"/>
      <c r="G626" s="4" t="s">
        <v>1081</v>
      </c>
      <c r="H626" s="5"/>
      <c r="I626" s="4" t="s">
        <v>453</v>
      </c>
      <c r="J626" s="4" t="s">
        <v>1080</v>
      </c>
      <c r="K626" s="5"/>
      <c r="L626" s="4" t="s">
        <v>558</v>
      </c>
    </row>
    <row r="627" spans="1:12" ht="31" customHeight="1">
      <c r="A627" s="4" t="s">
        <v>451</v>
      </c>
      <c r="B627" s="4" t="s">
        <v>424</v>
      </c>
      <c r="C627" s="4" t="s">
        <v>45</v>
      </c>
      <c r="D627" s="6">
        <v>3</v>
      </c>
      <c r="E627" s="4" t="s">
        <v>1079</v>
      </c>
      <c r="F627" s="5"/>
      <c r="G627" s="4" t="s">
        <v>1081</v>
      </c>
      <c r="H627" s="5"/>
      <c r="I627" s="4" t="s">
        <v>453</v>
      </c>
      <c r="J627" s="4" t="s">
        <v>1080</v>
      </c>
      <c r="K627" s="5"/>
      <c r="L627" s="4" t="s">
        <v>558</v>
      </c>
    </row>
    <row r="628" spans="1:12" ht="31" customHeight="1">
      <c r="A628" s="4" t="s">
        <v>451</v>
      </c>
      <c r="B628" s="4" t="s">
        <v>424</v>
      </c>
      <c r="C628" s="4" t="s">
        <v>46</v>
      </c>
      <c r="D628" s="6">
        <v>3</v>
      </c>
      <c r="E628" s="4" t="s">
        <v>1079</v>
      </c>
      <c r="F628" s="5"/>
      <c r="G628" s="4" t="s">
        <v>1081</v>
      </c>
      <c r="H628" s="5"/>
      <c r="I628" s="4" t="s">
        <v>453</v>
      </c>
      <c r="J628" s="4" t="s">
        <v>1080</v>
      </c>
      <c r="K628" s="5"/>
      <c r="L628" s="4" t="s">
        <v>558</v>
      </c>
    </row>
    <row r="629" spans="1:12" ht="31" customHeight="1">
      <c r="A629" s="4" t="s">
        <v>451</v>
      </c>
      <c r="B629" s="4" t="s">
        <v>424</v>
      </c>
      <c r="C629" s="4" t="s">
        <v>47</v>
      </c>
      <c r="D629" s="6">
        <v>3</v>
      </c>
      <c r="E629" s="4" t="s">
        <v>1079</v>
      </c>
      <c r="F629" s="5"/>
      <c r="G629" s="4" t="s">
        <v>1081</v>
      </c>
      <c r="H629" s="5"/>
      <c r="I629" s="4" t="s">
        <v>453</v>
      </c>
      <c r="J629" s="4" t="s">
        <v>1080</v>
      </c>
      <c r="K629" s="5"/>
      <c r="L629" s="4" t="s">
        <v>558</v>
      </c>
    </row>
    <row r="630" spans="1:12" ht="31" customHeight="1">
      <c r="A630" s="4" t="s">
        <v>451</v>
      </c>
      <c r="B630" s="4" t="s">
        <v>424</v>
      </c>
      <c r="C630" s="4" t="s">
        <v>48</v>
      </c>
      <c r="D630" s="6">
        <v>3</v>
      </c>
      <c r="E630" s="4" t="s">
        <v>1079</v>
      </c>
      <c r="F630" s="5"/>
      <c r="G630" s="4" t="s">
        <v>1081</v>
      </c>
      <c r="H630" s="5"/>
      <c r="I630" s="4" t="s">
        <v>453</v>
      </c>
      <c r="J630" s="4" t="s">
        <v>1080</v>
      </c>
      <c r="K630" s="5"/>
      <c r="L630" s="4" t="s">
        <v>558</v>
      </c>
    </row>
    <row r="631" spans="1:12" ht="31" customHeight="1">
      <c r="A631" s="4" t="s">
        <v>451</v>
      </c>
      <c r="B631" s="4" t="s">
        <v>424</v>
      </c>
      <c r="C631" s="4" t="s">
        <v>49</v>
      </c>
      <c r="D631" s="6">
        <v>3</v>
      </c>
      <c r="E631" s="4" t="s">
        <v>1079</v>
      </c>
      <c r="F631" s="5"/>
      <c r="G631" s="4" t="s">
        <v>1081</v>
      </c>
      <c r="H631" s="5"/>
      <c r="I631" s="4" t="s">
        <v>453</v>
      </c>
      <c r="J631" s="4" t="s">
        <v>1080</v>
      </c>
      <c r="K631" s="5"/>
      <c r="L631" s="4" t="s">
        <v>558</v>
      </c>
    </row>
    <row r="632" spans="1:12" ht="31" customHeight="1">
      <c r="A632" s="4" t="s">
        <v>455</v>
      </c>
      <c r="B632" s="4" t="s">
        <v>424</v>
      </c>
      <c r="C632" s="4" t="s">
        <v>40</v>
      </c>
      <c r="D632" s="6">
        <v>3</v>
      </c>
      <c r="E632" s="4" t="s">
        <v>1079</v>
      </c>
      <c r="F632" s="5"/>
      <c r="G632" s="4" t="s">
        <v>1081</v>
      </c>
      <c r="H632" s="5"/>
      <c r="I632" s="5"/>
      <c r="J632" s="4" t="s">
        <v>1080</v>
      </c>
      <c r="K632" s="5"/>
      <c r="L632" s="4" t="s">
        <v>558</v>
      </c>
    </row>
    <row r="633" spans="1:12" ht="31" customHeight="1">
      <c r="A633" s="4" t="s">
        <v>455</v>
      </c>
      <c r="B633" s="4" t="s">
        <v>424</v>
      </c>
      <c r="C633" s="4" t="s">
        <v>41</v>
      </c>
      <c r="D633" s="6">
        <v>3</v>
      </c>
      <c r="E633" s="4" t="s">
        <v>1079</v>
      </c>
      <c r="F633" s="5"/>
      <c r="G633" s="4" t="s">
        <v>1081</v>
      </c>
      <c r="H633" s="5"/>
      <c r="I633" s="5"/>
      <c r="J633" s="4" t="s">
        <v>1080</v>
      </c>
      <c r="K633" s="5"/>
      <c r="L633" s="4" t="s">
        <v>558</v>
      </c>
    </row>
    <row r="634" spans="1:12" ht="31" customHeight="1">
      <c r="A634" s="4" t="s">
        <v>455</v>
      </c>
      <c r="B634" s="4" t="s">
        <v>424</v>
      </c>
      <c r="C634" s="4" t="s">
        <v>42</v>
      </c>
      <c r="D634" s="6">
        <v>3</v>
      </c>
      <c r="E634" s="4" t="s">
        <v>1079</v>
      </c>
      <c r="F634" s="5"/>
      <c r="G634" s="4" t="s">
        <v>1081</v>
      </c>
      <c r="H634" s="5"/>
      <c r="I634" s="5"/>
      <c r="J634" s="4" t="s">
        <v>1080</v>
      </c>
      <c r="K634" s="5"/>
      <c r="L634" s="4" t="s">
        <v>558</v>
      </c>
    </row>
    <row r="635" spans="1:12" ht="31" customHeight="1">
      <c r="A635" s="4" t="s">
        <v>455</v>
      </c>
      <c r="B635" s="4" t="s">
        <v>424</v>
      </c>
      <c r="C635" s="4" t="s">
        <v>43</v>
      </c>
      <c r="D635" s="6">
        <v>3</v>
      </c>
      <c r="E635" s="4" t="s">
        <v>1079</v>
      </c>
      <c r="F635" s="5"/>
      <c r="G635" s="4" t="s">
        <v>1081</v>
      </c>
      <c r="H635" s="5"/>
      <c r="I635" s="5"/>
      <c r="J635" s="4" t="s">
        <v>1080</v>
      </c>
      <c r="K635" s="5"/>
      <c r="L635" s="4" t="s">
        <v>558</v>
      </c>
    </row>
    <row r="636" spans="1:12" ht="31" customHeight="1">
      <c r="A636" s="4" t="s">
        <v>455</v>
      </c>
      <c r="B636" s="4" t="s">
        <v>424</v>
      </c>
      <c r="C636" s="4" t="s">
        <v>44</v>
      </c>
      <c r="D636" s="6">
        <v>3</v>
      </c>
      <c r="E636" s="4" t="s">
        <v>1079</v>
      </c>
      <c r="F636" s="5"/>
      <c r="G636" s="4" t="s">
        <v>1081</v>
      </c>
      <c r="H636" s="5"/>
      <c r="I636" s="5"/>
      <c r="J636" s="4" t="s">
        <v>1080</v>
      </c>
      <c r="K636" s="5"/>
      <c r="L636" s="4" t="s">
        <v>558</v>
      </c>
    </row>
    <row r="637" spans="1:12" ht="31" customHeight="1">
      <c r="A637" s="4" t="s">
        <v>455</v>
      </c>
      <c r="B637" s="4" t="s">
        <v>424</v>
      </c>
      <c r="C637" s="4" t="s">
        <v>45</v>
      </c>
      <c r="D637" s="6">
        <v>3</v>
      </c>
      <c r="E637" s="4" t="s">
        <v>1079</v>
      </c>
      <c r="F637" s="5"/>
      <c r="G637" s="4" t="s">
        <v>1081</v>
      </c>
      <c r="H637" s="5"/>
      <c r="I637" s="5"/>
      <c r="J637" s="4" t="s">
        <v>1080</v>
      </c>
      <c r="K637" s="5"/>
      <c r="L637" s="4" t="s">
        <v>558</v>
      </c>
    </row>
    <row r="638" spans="1:12" ht="31" customHeight="1">
      <c r="A638" s="4" t="s">
        <v>455</v>
      </c>
      <c r="B638" s="4" t="s">
        <v>424</v>
      </c>
      <c r="C638" s="4" t="s">
        <v>46</v>
      </c>
      <c r="D638" s="6">
        <v>1</v>
      </c>
      <c r="E638" s="4" t="s">
        <v>1079</v>
      </c>
      <c r="F638" s="5"/>
      <c r="G638" s="4" t="s">
        <v>1081</v>
      </c>
      <c r="H638" s="5"/>
      <c r="I638" s="5"/>
      <c r="J638" s="4" t="s">
        <v>1080</v>
      </c>
      <c r="K638" s="5"/>
      <c r="L638" s="4" t="s">
        <v>558</v>
      </c>
    </row>
    <row r="639" spans="1:12" ht="31" customHeight="1">
      <c r="A639" s="4" t="s">
        <v>455</v>
      </c>
      <c r="B639" s="4" t="s">
        <v>424</v>
      </c>
      <c r="C639" s="4" t="s">
        <v>47</v>
      </c>
      <c r="D639" s="6">
        <v>3</v>
      </c>
      <c r="E639" s="4" t="s">
        <v>1079</v>
      </c>
      <c r="F639" s="5"/>
      <c r="G639" s="4" t="s">
        <v>1081</v>
      </c>
      <c r="H639" s="5"/>
      <c r="I639" s="5"/>
      <c r="J639" s="4" t="s">
        <v>1080</v>
      </c>
      <c r="K639" s="5"/>
      <c r="L639" s="4" t="s">
        <v>558</v>
      </c>
    </row>
    <row r="640" spans="1:12" ht="31" customHeight="1">
      <c r="A640" s="4" t="s">
        <v>455</v>
      </c>
      <c r="B640" s="4" t="s">
        <v>424</v>
      </c>
      <c r="C640" s="4" t="s">
        <v>48</v>
      </c>
      <c r="D640" s="6">
        <v>3</v>
      </c>
      <c r="E640" s="4" t="s">
        <v>1079</v>
      </c>
      <c r="F640" s="5"/>
      <c r="G640" s="4" t="s">
        <v>1081</v>
      </c>
      <c r="H640" s="5"/>
      <c r="I640" s="5"/>
      <c r="J640" s="4" t="s">
        <v>1080</v>
      </c>
      <c r="K640" s="5"/>
      <c r="L640" s="4" t="s">
        <v>558</v>
      </c>
    </row>
    <row r="641" spans="1:12" ht="31" customHeight="1">
      <c r="A641" s="4" t="s">
        <v>455</v>
      </c>
      <c r="B641" s="4" t="s">
        <v>424</v>
      </c>
      <c r="C641" s="4" t="s">
        <v>49</v>
      </c>
      <c r="D641" s="6">
        <v>3</v>
      </c>
      <c r="E641" s="4" t="s">
        <v>1079</v>
      </c>
      <c r="F641" s="5"/>
      <c r="G641" s="4" t="s">
        <v>1081</v>
      </c>
      <c r="H641" s="5"/>
      <c r="I641" s="5"/>
      <c r="J641" s="4" t="s">
        <v>1080</v>
      </c>
      <c r="K641" s="5"/>
      <c r="L641" s="4" t="s">
        <v>558</v>
      </c>
    </row>
    <row r="642" spans="1:12" ht="31" customHeight="1">
      <c r="A642" s="4" t="s">
        <v>459</v>
      </c>
      <c r="B642" s="4" t="s">
        <v>424</v>
      </c>
      <c r="C642" s="4" t="s">
        <v>40</v>
      </c>
      <c r="D642" s="6">
        <v>3</v>
      </c>
      <c r="E642" s="4" t="s">
        <v>1079</v>
      </c>
      <c r="F642" s="5"/>
      <c r="G642" s="4" t="s">
        <v>1081</v>
      </c>
      <c r="H642" s="5"/>
      <c r="I642" s="4" t="s">
        <v>461</v>
      </c>
      <c r="J642" s="4" t="s">
        <v>1080</v>
      </c>
      <c r="K642" s="5"/>
      <c r="L642" s="4" t="s">
        <v>558</v>
      </c>
    </row>
    <row r="643" spans="1:12" ht="31" customHeight="1">
      <c r="A643" s="4" t="s">
        <v>459</v>
      </c>
      <c r="B643" s="4" t="s">
        <v>424</v>
      </c>
      <c r="C643" s="4" t="s">
        <v>41</v>
      </c>
      <c r="D643" s="6">
        <v>3</v>
      </c>
      <c r="E643" s="4" t="s">
        <v>1079</v>
      </c>
      <c r="F643" s="5"/>
      <c r="G643" s="4" t="s">
        <v>1081</v>
      </c>
      <c r="H643" s="5"/>
      <c r="I643" s="4" t="s">
        <v>461</v>
      </c>
      <c r="J643" s="4" t="s">
        <v>1080</v>
      </c>
      <c r="K643" s="5"/>
      <c r="L643" s="4" t="s">
        <v>558</v>
      </c>
    </row>
    <row r="644" spans="1:12" ht="31" customHeight="1">
      <c r="A644" s="4" t="s">
        <v>459</v>
      </c>
      <c r="B644" s="4" t="s">
        <v>424</v>
      </c>
      <c r="C644" s="4" t="s">
        <v>42</v>
      </c>
      <c r="D644" s="6">
        <v>3</v>
      </c>
      <c r="E644" s="4" t="s">
        <v>1079</v>
      </c>
      <c r="F644" s="5"/>
      <c r="G644" s="4" t="s">
        <v>1081</v>
      </c>
      <c r="H644" s="5"/>
      <c r="I644" s="4" t="s">
        <v>461</v>
      </c>
      <c r="J644" s="4" t="s">
        <v>1080</v>
      </c>
      <c r="K644" s="5"/>
      <c r="L644" s="4" t="s">
        <v>558</v>
      </c>
    </row>
    <row r="645" spans="1:12" ht="31" customHeight="1">
      <c r="A645" s="4" t="s">
        <v>459</v>
      </c>
      <c r="B645" s="4" t="s">
        <v>424</v>
      </c>
      <c r="C645" s="4" t="s">
        <v>43</v>
      </c>
      <c r="D645" s="6">
        <v>3</v>
      </c>
      <c r="E645" s="4" t="s">
        <v>1079</v>
      </c>
      <c r="F645" s="5"/>
      <c r="G645" s="4" t="s">
        <v>1081</v>
      </c>
      <c r="H645" s="5"/>
      <c r="I645" s="4" t="s">
        <v>461</v>
      </c>
      <c r="J645" s="4" t="s">
        <v>1080</v>
      </c>
      <c r="K645" s="5"/>
      <c r="L645" s="4" t="s">
        <v>558</v>
      </c>
    </row>
    <row r="646" spans="1:12" ht="31" customHeight="1">
      <c r="A646" s="4" t="s">
        <v>459</v>
      </c>
      <c r="B646" s="4" t="s">
        <v>424</v>
      </c>
      <c r="C646" s="4" t="s">
        <v>44</v>
      </c>
      <c r="D646" s="6">
        <v>3</v>
      </c>
      <c r="E646" s="4" t="s">
        <v>1079</v>
      </c>
      <c r="F646" s="5"/>
      <c r="G646" s="4" t="s">
        <v>1081</v>
      </c>
      <c r="H646" s="5"/>
      <c r="I646" s="4" t="s">
        <v>461</v>
      </c>
      <c r="J646" s="4" t="s">
        <v>1080</v>
      </c>
      <c r="K646" s="5"/>
      <c r="L646" s="4" t="s">
        <v>558</v>
      </c>
    </row>
    <row r="647" spans="1:12" ht="31" customHeight="1">
      <c r="A647" s="4" t="s">
        <v>459</v>
      </c>
      <c r="B647" s="4" t="s">
        <v>424</v>
      </c>
      <c r="C647" s="4" t="s">
        <v>45</v>
      </c>
      <c r="D647" s="6">
        <v>3</v>
      </c>
      <c r="E647" s="4" t="s">
        <v>1079</v>
      </c>
      <c r="F647" s="5"/>
      <c r="G647" s="4" t="s">
        <v>1081</v>
      </c>
      <c r="H647" s="5"/>
      <c r="I647" s="4" t="s">
        <v>461</v>
      </c>
      <c r="J647" s="4" t="s">
        <v>1080</v>
      </c>
      <c r="K647" s="5"/>
      <c r="L647" s="4" t="s">
        <v>558</v>
      </c>
    </row>
    <row r="648" spans="1:12" ht="31" customHeight="1">
      <c r="A648" s="4" t="s">
        <v>459</v>
      </c>
      <c r="B648" s="4" t="s">
        <v>424</v>
      </c>
      <c r="C648" s="4" t="s">
        <v>46</v>
      </c>
      <c r="D648" s="6">
        <v>3</v>
      </c>
      <c r="E648" s="4" t="s">
        <v>1079</v>
      </c>
      <c r="F648" s="5"/>
      <c r="G648" s="4" t="s">
        <v>1081</v>
      </c>
      <c r="H648" s="5"/>
      <c r="I648" s="4" t="s">
        <v>461</v>
      </c>
      <c r="J648" s="4" t="s">
        <v>1080</v>
      </c>
      <c r="K648" s="5"/>
      <c r="L648" s="4" t="s">
        <v>558</v>
      </c>
    </row>
    <row r="649" spans="1:12" ht="31" customHeight="1">
      <c r="A649" s="4" t="s">
        <v>459</v>
      </c>
      <c r="B649" s="4" t="s">
        <v>424</v>
      </c>
      <c r="C649" s="4" t="s">
        <v>47</v>
      </c>
      <c r="D649" s="6">
        <v>3</v>
      </c>
      <c r="E649" s="4" t="s">
        <v>1079</v>
      </c>
      <c r="F649" s="5"/>
      <c r="G649" s="4" t="s">
        <v>1081</v>
      </c>
      <c r="H649" s="5"/>
      <c r="I649" s="4" t="s">
        <v>461</v>
      </c>
      <c r="J649" s="4" t="s">
        <v>1080</v>
      </c>
      <c r="K649" s="5"/>
      <c r="L649" s="4" t="s">
        <v>558</v>
      </c>
    </row>
    <row r="650" spans="1:12" ht="31" customHeight="1">
      <c r="A650" s="4" t="s">
        <v>459</v>
      </c>
      <c r="B650" s="4" t="s">
        <v>424</v>
      </c>
      <c r="C650" s="4" t="s">
        <v>48</v>
      </c>
      <c r="D650" s="6">
        <v>3</v>
      </c>
      <c r="E650" s="4" t="s">
        <v>1079</v>
      </c>
      <c r="F650" s="5"/>
      <c r="G650" s="4" t="s">
        <v>1081</v>
      </c>
      <c r="H650" s="5"/>
      <c r="I650" s="4" t="s">
        <v>461</v>
      </c>
      <c r="J650" s="4" t="s">
        <v>1080</v>
      </c>
      <c r="K650" s="5"/>
      <c r="L650" s="4" t="s">
        <v>558</v>
      </c>
    </row>
    <row r="651" spans="1:12" ht="31" customHeight="1">
      <c r="A651" s="4" t="s">
        <v>459</v>
      </c>
      <c r="B651" s="4" t="s">
        <v>424</v>
      </c>
      <c r="C651" s="4" t="s">
        <v>49</v>
      </c>
      <c r="D651" s="6">
        <v>3</v>
      </c>
      <c r="E651" s="4" t="s">
        <v>1079</v>
      </c>
      <c r="F651" s="5"/>
      <c r="G651" s="4" t="s">
        <v>1081</v>
      </c>
      <c r="H651" s="5"/>
      <c r="I651" s="4" t="s">
        <v>461</v>
      </c>
      <c r="J651" s="4" t="s">
        <v>1080</v>
      </c>
      <c r="K651" s="5"/>
      <c r="L651" s="4" t="s">
        <v>558</v>
      </c>
    </row>
    <row r="652" spans="1:12" ht="31" customHeight="1">
      <c r="A652" s="4" t="s">
        <v>190</v>
      </c>
      <c r="B652" s="4" t="s">
        <v>191</v>
      </c>
      <c r="C652" s="4" t="s">
        <v>40</v>
      </c>
      <c r="D652" s="6">
        <v>3</v>
      </c>
      <c r="E652" s="4" t="s">
        <v>1082</v>
      </c>
      <c r="F652" s="5"/>
      <c r="G652" s="4" t="s">
        <v>196</v>
      </c>
      <c r="H652" s="4" t="s">
        <v>197</v>
      </c>
      <c r="I652" s="5"/>
      <c r="J652" s="4" t="s">
        <v>1083</v>
      </c>
      <c r="K652" s="5"/>
      <c r="L652" s="4" t="s">
        <v>558</v>
      </c>
    </row>
    <row r="653" spans="1:12" ht="31" customHeight="1">
      <c r="A653" s="4" t="s">
        <v>190</v>
      </c>
      <c r="B653" s="4" t="s">
        <v>191</v>
      </c>
      <c r="C653" s="4" t="s">
        <v>41</v>
      </c>
      <c r="D653" s="6">
        <v>3</v>
      </c>
      <c r="E653" s="4" t="s">
        <v>1082</v>
      </c>
      <c r="F653" s="5"/>
      <c r="G653" s="4" t="s">
        <v>196</v>
      </c>
      <c r="H653" s="4" t="s">
        <v>197</v>
      </c>
      <c r="I653" s="5"/>
      <c r="J653" s="4" t="s">
        <v>1083</v>
      </c>
      <c r="K653" s="5"/>
      <c r="L653" s="4" t="s">
        <v>558</v>
      </c>
    </row>
    <row r="654" spans="1:12" ht="31" customHeight="1">
      <c r="A654" s="4" t="s">
        <v>190</v>
      </c>
      <c r="B654" s="4" t="s">
        <v>191</v>
      </c>
      <c r="C654" s="4" t="s">
        <v>42</v>
      </c>
      <c r="D654" s="6">
        <v>3</v>
      </c>
      <c r="E654" s="4" t="s">
        <v>1082</v>
      </c>
      <c r="F654" s="5"/>
      <c r="G654" s="4" t="s">
        <v>196</v>
      </c>
      <c r="H654" s="4" t="s">
        <v>197</v>
      </c>
      <c r="I654" s="5"/>
      <c r="J654" s="4" t="s">
        <v>1083</v>
      </c>
      <c r="K654" s="5"/>
      <c r="L654" s="4" t="s">
        <v>558</v>
      </c>
    </row>
    <row r="655" spans="1:12" ht="31" customHeight="1">
      <c r="A655" s="4" t="s">
        <v>190</v>
      </c>
      <c r="B655" s="4" t="s">
        <v>191</v>
      </c>
      <c r="C655" s="4" t="s">
        <v>43</v>
      </c>
      <c r="D655" s="6">
        <v>3</v>
      </c>
      <c r="E655" s="4" t="s">
        <v>1082</v>
      </c>
      <c r="F655" s="5"/>
      <c r="G655" s="4" t="s">
        <v>196</v>
      </c>
      <c r="H655" s="4" t="s">
        <v>197</v>
      </c>
      <c r="I655" s="5"/>
      <c r="J655" s="4" t="s">
        <v>1083</v>
      </c>
      <c r="K655" s="5"/>
      <c r="L655" s="4" t="s">
        <v>558</v>
      </c>
    </row>
    <row r="656" spans="1:12" ht="31" customHeight="1">
      <c r="A656" s="4" t="s">
        <v>190</v>
      </c>
      <c r="B656" s="4" t="s">
        <v>191</v>
      </c>
      <c r="C656" s="4" t="s">
        <v>44</v>
      </c>
      <c r="D656" s="6">
        <v>3</v>
      </c>
      <c r="E656" s="4" t="s">
        <v>1082</v>
      </c>
      <c r="F656" s="5"/>
      <c r="G656" s="4" t="s">
        <v>196</v>
      </c>
      <c r="H656" s="4" t="s">
        <v>197</v>
      </c>
      <c r="I656" s="5"/>
      <c r="J656" s="4" t="s">
        <v>1083</v>
      </c>
      <c r="K656" s="5"/>
      <c r="L656" s="4" t="s">
        <v>558</v>
      </c>
    </row>
    <row r="657" spans="1:12" ht="31" customHeight="1">
      <c r="A657" s="4" t="s">
        <v>190</v>
      </c>
      <c r="B657" s="4" t="s">
        <v>191</v>
      </c>
      <c r="C657" s="4" t="s">
        <v>45</v>
      </c>
      <c r="D657" s="6">
        <v>3</v>
      </c>
      <c r="E657" s="4" t="s">
        <v>1082</v>
      </c>
      <c r="F657" s="5"/>
      <c r="G657" s="4" t="s">
        <v>196</v>
      </c>
      <c r="H657" s="4" t="s">
        <v>197</v>
      </c>
      <c r="I657" s="5"/>
      <c r="J657" s="4" t="s">
        <v>1083</v>
      </c>
      <c r="K657" s="5"/>
      <c r="L657" s="4" t="s">
        <v>558</v>
      </c>
    </row>
    <row r="658" spans="1:12" ht="31" customHeight="1">
      <c r="A658" s="4" t="s">
        <v>190</v>
      </c>
      <c r="B658" s="4" t="s">
        <v>191</v>
      </c>
      <c r="C658" s="4" t="s">
        <v>46</v>
      </c>
      <c r="D658" s="6">
        <v>3</v>
      </c>
      <c r="E658" s="4" t="s">
        <v>1082</v>
      </c>
      <c r="F658" s="5"/>
      <c r="G658" s="4" t="s">
        <v>196</v>
      </c>
      <c r="H658" s="4" t="s">
        <v>197</v>
      </c>
      <c r="I658" s="5"/>
      <c r="J658" s="4" t="s">
        <v>1083</v>
      </c>
      <c r="K658" s="5"/>
      <c r="L658" s="4" t="s">
        <v>558</v>
      </c>
    </row>
    <row r="659" spans="1:12" ht="31" customHeight="1">
      <c r="A659" s="4" t="s">
        <v>190</v>
      </c>
      <c r="B659" s="4" t="s">
        <v>191</v>
      </c>
      <c r="C659" s="4" t="s">
        <v>47</v>
      </c>
      <c r="D659" s="6">
        <v>3</v>
      </c>
      <c r="E659" s="4" t="s">
        <v>1082</v>
      </c>
      <c r="F659" s="5"/>
      <c r="G659" s="4" t="s">
        <v>196</v>
      </c>
      <c r="H659" s="4" t="s">
        <v>197</v>
      </c>
      <c r="I659" s="5"/>
      <c r="J659" s="4" t="s">
        <v>1083</v>
      </c>
      <c r="K659" s="5"/>
      <c r="L659" s="4" t="s">
        <v>558</v>
      </c>
    </row>
    <row r="660" spans="1:12" ht="31" customHeight="1">
      <c r="A660" s="4" t="s">
        <v>190</v>
      </c>
      <c r="B660" s="4" t="s">
        <v>191</v>
      </c>
      <c r="C660" s="4" t="s">
        <v>48</v>
      </c>
      <c r="D660" s="6">
        <v>3</v>
      </c>
      <c r="E660" s="4" t="s">
        <v>1082</v>
      </c>
      <c r="F660" s="5"/>
      <c r="G660" s="4" t="s">
        <v>196</v>
      </c>
      <c r="H660" s="4" t="s">
        <v>197</v>
      </c>
      <c r="I660" s="5"/>
      <c r="J660" s="4" t="s">
        <v>1083</v>
      </c>
      <c r="K660" s="5"/>
      <c r="L660" s="4" t="s">
        <v>558</v>
      </c>
    </row>
    <row r="661" spans="1:12" ht="31" customHeight="1">
      <c r="A661" s="4" t="s">
        <v>190</v>
      </c>
      <c r="B661" s="4" t="s">
        <v>191</v>
      </c>
      <c r="C661" s="4" t="s">
        <v>49</v>
      </c>
      <c r="D661" s="6">
        <v>3</v>
      </c>
      <c r="E661" s="4" t="s">
        <v>1082</v>
      </c>
      <c r="F661" s="5"/>
      <c r="G661" s="4" t="s">
        <v>196</v>
      </c>
      <c r="H661" s="4" t="s">
        <v>197</v>
      </c>
      <c r="I661" s="5"/>
      <c r="J661" s="4" t="s">
        <v>1083</v>
      </c>
      <c r="K661" s="5"/>
      <c r="L661" s="4" t="s">
        <v>558</v>
      </c>
    </row>
    <row r="662" spans="1:12" ht="31" customHeight="1">
      <c r="A662" s="4" t="s">
        <v>202</v>
      </c>
      <c r="B662" s="4" t="s">
        <v>191</v>
      </c>
      <c r="C662" s="4" t="s">
        <v>40</v>
      </c>
      <c r="D662" s="6">
        <v>3</v>
      </c>
      <c r="E662" s="4" t="s">
        <v>1082</v>
      </c>
      <c r="F662" s="5"/>
      <c r="G662" s="4" t="s">
        <v>196</v>
      </c>
      <c r="H662" s="4" t="s">
        <v>197</v>
      </c>
      <c r="I662" s="5"/>
      <c r="J662" s="4" t="s">
        <v>1083</v>
      </c>
      <c r="K662" s="5"/>
      <c r="L662" s="4" t="s">
        <v>558</v>
      </c>
    </row>
    <row r="663" spans="1:12" ht="31" customHeight="1">
      <c r="A663" s="4" t="s">
        <v>202</v>
      </c>
      <c r="B663" s="4" t="s">
        <v>191</v>
      </c>
      <c r="C663" s="4" t="s">
        <v>41</v>
      </c>
      <c r="D663" s="6">
        <v>3</v>
      </c>
      <c r="E663" s="4" t="s">
        <v>1082</v>
      </c>
      <c r="F663" s="5"/>
      <c r="G663" s="4" t="s">
        <v>196</v>
      </c>
      <c r="H663" s="4" t="s">
        <v>197</v>
      </c>
      <c r="I663" s="5"/>
      <c r="J663" s="4" t="s">
        <v>1083</v>
      </c>
      <c r="K663" s="5"/>
      <c r="L663" s="4" t="s">
        <v>558</v>
      </c>
    </row>
    <row r="664" spans="1:12" ht="31" customHeight="1">
      <c r="A664" s="4" t="s">
        <v>202</v>
      </c>
      <c r="B664" s="4" t="s">
        <v>191</v>
      </c>
      <c r="C664" s="4" t="s">
        <v>42</v>
      </c>
      <c r="D664" s="6">
        <v>3</v>
      </c>
      <c r="E664" s="4" t="s">
        <v>1082</v>
      </c>
      <c r="F664" s="5"/>
      <c r="G664" s="4" t="s">
        <v>196</v>
      </c>
      <c r="H664" s="4" t="s">
        <v>197</v>
      </c>
      <c r="I664" s="5"/>
      <c r="J664" s="4" t="s">
        <v>1083</v>
      </c>
      <c r="K664" s="5"/>
      <c r="L664" s="4" t="s">
        <v>558</v>
      </c>
    </row>
    <row r="665" spans="1:12" ht="31" customHeight="1">
      <c r="A665" s="4" t="s">
        <v>202</v>
      </c>
      <c r="B665" s="4" t="s">
        <v>191</v>
      </c>
      <c r="C665" s="4" t="s">
        <v>43</v>
      </c>
      <c r="D665" s="6">
        <v>3</v>
      </c>
      <c r="E665" s="4" t="s">
        <v>1082</v>
      </c>
      <c r="F665" s="5"/>
      <c r="G665" s="4" t="s">
        <v>196</v>
      </c>
      <c r="H665" s="4" t="s">
        <v>197</v>
      </c>
      <c r="I665" s="5"/>
      <c r="J665" s="4" t="s">
        <v>1083</v>
      </c>
      <c r="K665" s="5"/>
      <c r="L665" s="4" t="s">
        <v>558</v>
      </c>
    </row>
    <row r="666" spans="1:12" ht="31" customHeight="1">
      <c r="A666" s="4" t="s">
        <v>202</v>
      </c>
      <c r="B666" s="4" t="s">
        <v>191</v>
      </c>
      <c r="C666" s="4" t="s">
        <v>44</v>
      </c>
      <c r="D666" s="6">
        <v>3</v>
      </c>
      <c r="E666" s="4" t="s">
        <v>1082</v>
      </c>
      <c r="F666" s="5"/>
      <c r="G666" s="4" t="s">
        <v>196</v>
      </c>
      <c r="H666" s="4" t="s">
        <v>197</v>
      </c>
      <c r="I666" s="5"/>
      <c r="J666" s="4" t="s">
        <v>1083</v>
      </c>
      <c r="K666" s="5"/>
      <c r="L666" s="4" t="s">
        <v>558</v>
      </c>
    </row>
    <row r="667" spans="1:12" ht="31" customHeight="1">
      <c r="A667" s="4" t="s">
        <v>202</v>
      </c>
      <c r="B667" s="4" t="s">
        <v>191</v>
      </c>
      <c r="C667" s="4" t="s">
        <v>45</v>
      </c>
      <c r="D667" s="6">
        <v>3</v>
      </c>
      <c r="E667" s="4" t="s">
        <v>1082</v>
      </c>
      <c r="F667" s="5"/>
      <c r="G667" s="4" t="s">
        <v>196</v>
      </c>
      <c r="H667" s="4" t="s">
        <v>197</v>
      </c>
      <c r="I667" s="5"/>
      <c r="J667" s="4" t="s">
        <v>1083</v>
      </c>
      <c r="K667" s="5"/>
      <c r="L667" s="4" t="s">
        <v>558</v>
      </c>
    </row>
    <row r="668" spans="1:12" ht="31" customHeight="1">
      <c r="A668" s="4" t="s">
        <v>202</v>
      </c>
      <c r="B668" s="4" t="s">
        <v>191</v>
      </c>
      <c r="C668" s="4" t="s">
        <v>46</v>
      </c>
      <c r="D668" s="6">
        <v>3</v>
      </c>
      <c r="E668" s="4" t="s">
        <v>1082</v>
      </c>
      <c r="F668" s="5"/>
      <c r="G668" s="4" t="s">
        <v>196</v>
      </c>
      <c r="H668" s="4" t="s">
        <v>197</v>
      </c>
      <c r="I668" s="5"/>
      <c r="J668" s="4" t="s">
        <v>1083</v>
      </c>
      <c r="K668" s="5"/>
      <c r="L668" s="4" t="s">
        <v>558</v>
      </c>
    </row>
    <row r="669" spans="1:12" ht="31" customHeight="1">
      <c r="A669" s="4" t="s">
        <v>202</v>
      </c>
      <c r="B669" s="4" t="s">
        <v>191</v>
      </c>
      <c r="C669" s="4" t="s">
        <v>47</v>
      </c>
      <c r="D669" s="6">
        <v>3</v>
      </c>
      <c r="E669" s="4" t="s">
        <v>1082</v>
      </c>
      <c r="F669" s="5"/>
      <c r="G669" s="4" t="s">
        <v>196</v>
      </c>
      <c r="H669" s="4" t="s">
        <v>197</v>
      </c>
      <c r="I669" s="5"/>
      <c r="J669" s="4" t="s">
        <v>1083</v>
      </c>
      <c r="K669" s="5"/>
      <c r="L669" s="4" t="s">
        <v>558</v>
      </c>
    </row>
    <row r="670" spans="1:12" ht="31" customHeight="1">
      <c r="A670" s="4" t="s">
        <v>202</v>
      </c>
      <c r="B670" s="4" t="s">
        <v>191</v>
      </c>
      <c r="C670" s="4" t="s">
        <v>48</v>
      </c>
      <c r="D670" s="6">
        <v>3</v>
      </c>
      <c r="E670" s="4" t="s">
        <v>1082</v>
      </c>
      <c r="F670" s="5"/>
      <c r="G670" s="4" t="s">
        <v>196</v>
      </c>
      <c r="H670" s="4" t="s">
        <v>197</v>
      </c>
      <c r="I670" s="5"/>
      <c r="J670" s="4" t="s">
        <v>1083</v>
      </c>
      <c r="K670" s="5"/>
      <c r="L670" s="4" t="s">
        <v>558</v>
      </c>
    </row>
    <row r="671" spans="1:12" ht="31" customHeight="1">
      <c r="A671" s="4" t="s">
        <v>202</v>
      </c>
      <c r="B671" s="4" t="s">
        <v>191</v>
      </c>
      <c r="C671" s="4" t="s">
        <v>49</v>
      </c>
      <c r="D671" s="6">
        <v>3</v>
      </c>
      <c r="E671" s="4" t="s">
        <v>1082</v>
      </c>
      <c r="F671" s="5"/>
      <c r="G671" s="4" t="s">
        <v>196</v>
      </c>
      <c r="H671" s="4" t="s">
        <v>197</v>
      </c>
      <c r="I671" s="5"/>
      <c r="J671" s="4" t="s">
        <v>1083</v>
      </c>
      <c r="K671" s="5"/>
      <c r="L671" s="4" t="s">
        <v>558</v>
      </c>
    </row>
    <row r="672" spans="1:12" ht="31" customHeight="1">
      <c r="A672" s="4" t="s">
        <v>208</v>
      </c>
      <c r="B672" s="4" t="s">
        <v>191</v>
      </c>
      <c r="C672" s="4" t="s">
        <v>40</v>
      </c>
      <c r="D672" s="6">
        <v>3</v>
      </c>
      <c r="E672" s="4" t="s">
        <v>1082</v>
      </c>
      <c r="F672" s="5"/>
      <c r="G672" s="4" t="s">
        <v>196</v>
      </c>
      <c r="H672" s="4" t="s">
        <v>197</v>
      </c>
      <c r="I672" s="5"/>
      <c r="J672" s="4" t="s">
        <v>1083</v>
      </c>
      <c r="K672" s="5"/>
      <c r="L672" s="4" t="s">
        <v>558</v>
      </c>
    </row>
    <row r="673" spans="1:12" ht="31" customHeight="1">
      <c r="A673" s="4" t="s">
        <v>208</v>
      </c>
      <c r="B673" s="4" t="s">
        <v>191</v>
      </c>
      <c r="C673" s="4" t="s">
        <v>41</v>
      </c>
      <c r="D673" s="6">
        <v>3</v>
      </c>
      <c r="E673" s="4" t="s">
        <v>1082</v>
      </c>
      <c r="F673" s="5"/>
      <c r="G673" s="4" t="s">
        <v>196</v>
      </c>
      <c r="H673" s="4" t="s">
        <v>197</v>
      </c>
      <c r="I673" s="5"/>
      <c r="J673" s="4" t="s">
        <v>1083</v>
      </c>
      <c r="K673" s="5"/>
      <c r="L673" s="4" t="s">
        <v>558</v>
      </c>
    </row>
    <row r="674" spans="1:12" ht="31" customHeight="1">
      <c r="A674" s="4" t="s">
        <v>208</v>
      </c>
      <c r="B674" s="4" t="s">
        <v>191</v>
      </c>
      <c r="C674" s="4" t="s">
        <v>42</v>
      </c>
      <c r="D674" s="6">
        <v>3</v>
      </c>
      <c r="E674" s="4" t="s">
        <v>1082</v>
      </c>
      <c r="F674" s="5"/>
      <c r="G674" s="4" t="s">
        <v>196</v>
      </c>
      <c r="H674" s="4" t="s">
        <v>197</v>
      </c>
      <c r="I674" s="5"/>
      <c r="J674" s="4" t="s">
        <v>1083</v>
      </c>
      <c r="K674" s="5"/>
      <c r="L674" s="4" t="s">
        <v>558</v>
      </c>
    </row>
    <row r="675" spans="1:12" ht="31" customHeight="1">
      <c r="A675" s="4" t="s">
        <v>208</v>
      </c>
      <c r="B675" s="4" t="s">
        <v>191</v>
      </c>
      <c r="C675" s="4" t="s">
        <v>43</v>
      </c>
      <c r="D675" s="6">
        <v>3</v>
      </c>
      <c r="E675" s="4" t="s">
        <v>1082</v>
      </c>
      <c r="F675" s="5"/>
      <c r="G675" s="4" t="s">
        <v>196</v>
      </c>
      <c r="H675" s="4" t="s">
        <v>197</v>
      </c>
      <c r="I675" s="5"/>
      <c r="J675" s="4" t="s">
        <v>1083</v>
      </c>
      <c r="K675" s="5"/>
      <c r="L675" s="4" t="s">
        <v>558</v>
      </c>
    </row>
    <row r="676" spans="1:12" ht="31" customHeight="1">
      <c r="A676" s="4" t="s">
        <v>208</v>
      </c>
      <c r="B676" s="4" t="s">
        <v>191</v>
      </c>
      <c r="C676" s="4" t="s">
        <v>44</v>
      </c>
      <c r="D676" s="6">
        <v>3</v>
      </c>
      <c r="E676" s="4" t="s">
        <v>1082</v>
      </c>
      <c r="F676" s="5"/>
      <c r="G676" s="4" t="s">
        <v>196</v>
      </c>
      <c r="H676" s="4" t="s">
        <v>197</v>
      </c>
      <c r="I676" s="5"/>
      <c r="J676" s="4" t="s">
        <v>1083</v>
      </c>
      <c r="K676" s="5"/>
      <c r="L676" s="4" t="s">
        <v>558</v>
      </c>
    </row>
    <row r="677" spans="1:12" ht="31" customHeight="1">
      <c r="A677" s="4" t="s">
        <v>208</v>
      </c>
      <c r="B677" s="4" t="s">
        <v>191</v>
      </c>
      <c r="C677" s="4" t="s">
        <v>45</v>
      </c>
      <c r="D677" s="6">
        <v>3</v>
      </c>
      <c r="E677" s="4" t="s">
        <v>1082</v>
      </c>
      <c r="F677" s="5"/>
      <c r="G677" s="4" t="s">
        <v>196</v>
      </c>
      <c r="H677" s="4" t="s">
        <v>197</v>
      </c>
      <c r="I677" s="5"/>
      <c r="J677" s="4" t="s">
        <v>1083</v>
      </c>
      <c r="K677" s="5"/>
      <c r="L677" s="4" t="s">
        <v>558</v>
      </c>
    </row>
    <row r="678" spans="1:12" ht="31" customHeight="1">
      <c r="A678" s="4" t="s">
        <v>208</v>
      </c>
      <c r="B678" s="4" t="s">
        <v>191</v>
      </c>
      <c r="C678" s="4" t="s">
        <v>46</v>
      </c>
      <c r="D678" s="6">
        <v>3</v>
      </c>
      <c r="E678" s="4" t="s">
        <v>1082</v>
      </c>
      <c r="F678" s="5"/>
      <c r="G678" s="4" t="s">
        <v>196</v>
      </c>
      <c r="H678" s="4" t="s">
        <v>197</v>
      </c>
      <c r="I678" s="5"/>
      <c r="J678" s="4" t="s">
        <v>1083</v>
      </c>
      <c r="K678" s="5"/>
      <c r="L678" s="4" t="s">
        <v>558</v>
      </c>
    </row>
    <row r="679" spans="1:12" ht="31" customHeight="1">
      <c r="A679" s="4" t="s">
        <v>208</v>
      </c>
      <c r="B679" s="4" t="s">
        <v>191</v>
      </c>
      <c r="C679" s="4" t="s">
        <v>47</v>
      </c>
      <c r="D679" s="6">
        <v>3</v>
      </c>
      <c r="E679" s="4" t="s">
        <v>1082</v>
      </c>
      <c r="F679" s="5"/>
      <c r="G679" s="4" t="s">
        <v>196</v>
      </c>
      <c r="H679" s="4" t="s">
        <v>197</v>
      </c>
      <c r="I679" s="5"/>
      <c r="J679" s="4" t="s">
        <v>1083</v>
      </c>
      <c r="K679" s="5"/>
      <c r="L679" s="4" t="s">
        <v>558</v>
      </c>
    </row>
    <row r="680" spans="1:12" ht="31" customHeight="1">
      <c r="A680" s="4" t="s">
        <v>208</v>
      </c>
      <c r="B680" s="4" t="s">
        <v>191</v>
      </c>
      <c r="C680" s="4" t="s">
        <v>48</v>
      </c>
      <c r="D680" s="6">
        <v>3</v>
      </c>
      <c r="E680" s="4" t="s">
        <v>1082</v>
      </c>
      <c r="F680" s="5"/>
      <c r="G680" s="4" t="s">
        <v>196</v>
      </c>
      <c r="H680" s="4" t="s">
        <v>197</v>
      </c>
      <c r="I680" s="5"/>
      <c r="J680" s="4" t="s">
        <v>1083</v>
      </c>
      <c r="K680" s="5"/>
      <c r="L680" s="4" t="s">
        <v>558</v>
      </c>
    </row>
    <row r="681" spans="1:12" ht="31" customHeight="1">
      <c r="A681" s="4" t="s">
        <v>208</v>
      </c>
      <c r="B681" s="4" t="s">
        <v>191</v>
      </c>
      <c r="C681" s="4" t="s">
        <v>49</v>
      </c>
      <c r="D681" s="6">
        <v>3</v>
      </c>
      <c r="E681" s="4" t="s">
        <v>1082</v>
      </c>
      <c r="F681" s="5"/>
      <c r="G681" s="4" t="s">
        <v>196</v>
      </c>
      <c r="H681" s="4" t="s">
        <v>197</v>
      </c>
      <c r="I681" s="5"/>
      <c r="J681" s="4" t="s">
        <v>1083</v>
      </c>
      <c r="K681" s="5"/>
      <c r="L681" s="4" t="s">
        <v>558</v>
      </c>
    </row>
    <row r="682" spans="1:12" ht="31" customHeight="1">
      <c r="A682" s="4" t="s">
        <v>212</v>
      </c>
      <c r="B682" s="4" t="s">
        <v>191</v>
      </c>
      <c r="C682" s="4" t="s">
        <v>40</v>
      </c>
      <c r="D682" s="6">
        <v>3</v>
      </c>
      <c r="E682" s="4" t="s">
        <v>1082</v>
      </c>
      <c r="F682" s="5"/>
      <c r="G682" s="4" t="s">
        <v>196</v>
      </c>
      <c r="H682" s="4" t="s">
        <v>197</v>
      </c>
      <c r="I682" s="5"/>
      <c r="J682" s="4" t="s">
        <v>1083</v>
      </c>
      <c r="K682" s="5"/>
      <c r="L682" s="4" t="s">
        <v>558</v>
      </c>
    </row>
    <row r="683" spans="1:12" ht="31" customHeight="1">
      <c r="A683" s="4" t="s">
        <v>212</v>
      </c>
      <c r="B683" s="4" t="s">
        <v>191</v>
      </c>
      <c r="C683" s="4" t="s">
        <v>41</v>
      </c>
      <c r="D683" s="6">
        <v>0</v>
      </c>
      <c r="E683" s="4" t="s">
        <v>1082</v>
      </c>
      <c r="F683" s="5"/>
      <c r="G683" s="4" t="s">
        <v>196</v>
      </c>
      <c r="H683" s="4" t="s">
        <v>197</v>
      </c>
      <c r="I683" s="5"/>
      <c r="J683" s="4" t="s">
        <v>1083</v>
      </c>
      <c r="K683" s="5"/>
      <c r="L683" s="4" t="s">
        <v>558</v>
      </c>
    </row>
    <row r="684" spans="1:12" ht="31" customHeight="1">
      <c r="A684" s="4" t="s">
        <v>212</v>
      </c>
      <c r="B684" s="4" t="s">
        <v>191</v>
      </c>
      <c r="C684" s="4" t="s">
        <v>42</v>
      </c>
      <c r="D684" s="6">
        <v>0</v>
      </c>
      <c r="E684" s="4" t="s">
        <v>1082</v>
      </c>
      <c r="F684" s="5"/>
      <c r="G684" s="4" t="s">
        <v>196</v>
      </c>
      <c r="H684" s="4" t="s">
        <v>197</v>
      </c>
      <c r="I684" s="5"/>
      <c r="J684" s="4" t="s">
        <v>1083</v>
      </c>
      <c r="K684" s="5"/>
      <c r="L684" s="4" t="s">
        <v>558</v>
      </c>
    </row>
    <row r="685" spans="1:12" ht="31" customHeight="1">
      <c r="A685" s="4" t="s">
        <v>212</v>
      </c>
      <c r="B685" s="4" t="s">
        <v>191</v>
      </c>
      <c r="C685" s="4" t="s">
        <v>43</v>
      </c>
      <c r="D685" s="6">
        <v>2</v>
      </c>
      <c r="E685" s="4" t="s">
        <v>1082</v>
      </c>
      <c r="F685" s="5"/>
      <c r="G685" s="4" t="s">
        <v>196</v>
      </c>
      <c r="H685" s="4" t="s">
        <v>197</v>
      </c>
      <c r="I685" s="5"/>
      <c r="J685" s="4" t="s">
        <v>1083</v>
      </c>
      <c r="K685" s="5"/>
      <c r="L685" s="4" t="s">
        <v>558</v>
      </c>
    </row>
    <row r="686" spans="1:12" ht="31" customHeight="1">
      <c r="A686" s="4" t="s">
        <v>212</v>
      </c>
      <c r="B686" s="4" t="s">
        <v>191</v>
      </c>
      <c r="C686" s="4" t="s">
        <v>44</v>
      </c>
      <c r="D686" s="6">
        <v>2</v>
      </c>
      <c r="E686" s="4" t="s">
        <v>1082</v>
      </c>
      <c r="F686" s="5"/>
      <c r="G686" s="4" t="s">
        <v>196</v>
      </c>
      <c r="H686" s="4" t="s">
        <v>197</v>
      </c>
      <c r="I686" s="5"/>
      <c r="J686" s="4" t="s">
        <v>1083</v>
      </c>
      <c r="K686" s="5"/>
      <c r="L686" s="4" t="s">
        <v>558</v>
      </c>
    </row>
    <row r="687" spans="1:12" ht="31" customHeight="1">
      <c r="A687" s="4" t="s">
        <v>212</v>
      </c>
      <c r="B687" s="4" t="s">
        <v>191</v>
      </c>
      <c r="C687" s="4" t="s">
        <v>45</v>
      </c>
      <c r="D687" s="6">
        <v>1</v>
      </c>
      <c r="E687" s="4" t="s">
        <v>1082</v>
      </c>
      <c r="F687" s="5"/>
      <c r="G687" s="4" t="s">
        <v>196</v>
      </c>
      <c r="H687" s="4" t="s">
        <v>197</v>
      </c>
      <c r="I687" s="5"/>
      <c r="J687" s="4" t="s">
        <v>1083</v>
      </c>
      <c r="K687" s="5"/>
      <c r="L687" s="4" t="s">
        <v>558</v>
      </c>
    </row>
    <row r="688" spans="1:12" ht="31" customHeight="1">
      <c r="A688" s="4" t="s">
        <v>212</v>
      </c>
      <c r="B688" s="4" t="s">
        <v>191</v>
      </c>
      <c r="C688" s="4" t="s">
        <v>46</v>
      </c>
      <c r="D688" s="6">
        <v>3</v>
      </c>
      <c r="E688" s="4" t="s">
        <v>1082</v>
      </c>
      <c r="F688" s="5"/>
      <c r="G688" s="4" t="s">
        <v>196</v>
      </c>
      <c r="H688" s="4" t="s">
        <v>197</v>
      </c>
      <c r="I688" s="5"/>
      <c r="J688" s="4" t="s">
        <v>1083</v>
      </c>
      <c r="K688" s="5"/>
      <c r="L688" s="4" t="s">
        <v>558</v>
      </c>
    </row>
    <row r="689" spans="1:12" ht="31" customHeight="1">
      <c r="A689" s="4" t="s">
        <v>212</v>
      </c>
      <c r="B689" s="4" t="s">
        <v>191</v>
      </c>
      <c r="C689" s="4" t="s">
        <v>47</v>
      </c>
      <c r="D689" s="6">
        <v>3</v>
      </c>
      <c r="E689" s="4" t="s">
        <v>1082</v>
      </c>
      <c r="F689" s="5"/>
      <c r="G689" s="4" t="s">
        <v>196</v>
      </c>
      <c r="H689" s="4" t="s">
        <v>197</v>
      </c>
      <c r="I689" s="5"/>
      <c r="J689" s="4" t="s">
        <v>1083</v>
      </c>
      <c r="K689" s="5"/>
      <c r="L689" s="4" t="s">
        <v>558</v>
      </c>
    </row>
    <row r="690" spans="1:12" ht="31" customHeight="1">
      <c r="A690" s="4" t="s">
        <v>212</v>
      </c>
      <c r="B690" s="4" t="s">
        <v>191</v>
      </c>
      <c r="C690" s="4" t="s">
        <v>48</v>
      </c>
      <c r="D690" s="6">
        <v>3</v>
      </c>
      <c r="E690" s="4" t="s">
        <v>1082</v>
      </c>
      <c r="F690" s="5"/>
      <c r="G690" s="4" t="s">
        <v>196</v>
      </c>
      <c r="H690" s="4" t="s">
        <v>197</v>
      </c>
      <c r="I690" s="5"/>
      <c r="J690" s="4" t="s">
        <v>1083</v>
      </c>
      <c r="K690" s="5"/>
      <c r="L690" s="4" t="s">
        <v>558</v>
      </c>
    </row>
    <row r="691" spans="1:12" ht="31" customHeight="1">
      <c r="A691" s="4" t="s">
        <v>212</v>
      </c>
      <c r="B691" s="4" t="s">
        <v>191</v>
      </c>
      <c r="C691" s="4" t="s">
        <v>49</v>
      </c>
      <c r="D691" s="6">
        <v>0</v>
      </c>
      <c r="E691" s="4" t="s">
        <v>1082</v>
      </c>
      <c r="F691" s="5"/>
      <c r="G691" s="4" t="s">
        <v>196</v>
      </c>
      <c r="H691" s="4" t="s">
        <v>197</v>
      </c>
      <c r="I691" s="5"/>
      <c r="J691" s="4" t="s">
        <v>1083</v>
      </c>
      <c r="K691" s="5"/>
      <c r="L691" s="4" t="s">
        <v>558</v>
      </c>
    </row>
    <row r="692" spans="1:12" ht="31" customHeight="1">
      <c r="A692" s="4" t="s">
        <v>217</v>
      </c>
      <c r="B692" s="4" t="s">
        <v>191</v>
      </c>
      <c r="C692" s="4" t="s">
        <v>40</v>
      </c>
      <c r="D692" s="6">
        <v>3</v>
      </c>
      <c r="E692" s="4" t="s">
        <v>1082</v>
      </c>
      <c r="F692" s="5"/>
      <c r="G692" s="4" t="s">
        <v>196</v>
      </c>
      <c r="H692" s="4" t="s">
        <v>197</v>
      </c>
      <c r="I692" s="5"/>
      <c r="J692" s="4" t="s">
        <v>1083</v>
      </c>
      <c r="K692" s="5"/>
      <c r="L692" s="4" t="s">
        <v>558</v>
      </c>
    </row>
    <row r="693" spans="1:12" ht="31" customHeight="1">
      <c r="A693" s="4" t="s">
        <v>217</v>
      </c>
      <c r="B693" s="4" t="s">
        <v>191</v>
      </c>
      <c r="C693" s="4" t="s">
        <v>41</v>
      </c>
      <c r="D693" s="6">
        <v>0</v>
      </c>
      <c r="E693" s="4" t="s">
        <v>1082</v>
      </c>
      <c r="F693" s="5"/>
      <c r="G693" s="4" t="s">
        <v>196</v>
      </c>
      <c r="H693" s="4" t="s">
        <v>197</v>
      </c>
      <c r="I693" s="5"/>
      <c r="J693" s="4" t="s">
        <v>1083</v>
      </c>
      <c r="K693" s="5"/>
      <c r="L693" s="4" t="s">
        <v>558</v>
      </c>
    </row>
    <row r="694" spans="1:12" ht="31" customHeight="1">
      <c r="A694" s="4" t="s">
        <v>217</v>
      </c>
      <c r="B694" s="4" t="s">
        <v>191</v>
      </c>
      <c r="C694" s="4" t="s">
        <v>42</v>
      </c>
      <c r="D694" s="6">
        <v>0</v>
      </c>
      <c r="E694" s="4" t="s">
        <v>1082</v>
      </c>
      <c r="F694" s="5"/>
      <c r="G694" s="4" t="s">
        <v>196</v>
      </c>
      <c r="H694" s="4" t="s">
        <v>197</v>
      </c>
      <c r="I694" s="5"/>
      <c r="J694" s="4" t="s">
        <v>1083</v>
      </c>
      <c r="K694" s="5"/>
      <c r="L694" s="4" t="s">
        <v>558</v>
      </c>
    </row>
    <row r="695" spans="1:12" ht="31" customHeight="1">
      <c r="A695" s="4" t="s">
        <v>217</v>
      </c>
      <c r="B695" s="4" t="s">
        <v>191</v>
      </c>
      <c r="C695" s="4" t="s">
        <v>43</v>
      </c>
      <c r="D695" s="6">
        <v>0</v>
      </c>
      <c r="E695" s="4" t="s">
        <v>1082</v>
      </c>
      <c r="F695" s="5"/>
      <c r="G695" s="4" t="s">
        <v>196</v>
      </c>
      <c r="H695" s="4" t="s">
        <v>197</v>
      </c>
      <c r="I695" s="5"/>
      <c r="J695" s="4" t="s">
        <v>1083</v>
      </c>
      <c r="K695" s="5"/>
      <c r="L695" s="4" t="s">
        <v>558</v>
      </c>
    </row>
    <row r="696" spans="1:12" ht="31" customHeight="1">
      <c r="A696" s="4" t="s">
        <v>217</v>
      </c>
      <c r="B696" s="4" t="s">
        <v>191</v>
      </c>
      <c r="C696" s="4" t="s">
        <v>44</v>
      </c>
      <c r="D696" s="6">
        <v>0</v>
      </c>
      <c r="E696" s="4" t="s">
        <v>1082</v>
      </c>
      <c r="F696" s="5"/>
      <c r="G696" s="4" t="s">
        <v>196</v>
      </c>
      <c r="H696" s="4" t="s">
        <v>197</v>
      </c>
      <c r="I696" s="5"/>
      <c r="J696" s="4" t="s">
        <v>1083</v>
      </c>
      <c r="K696" s="5"/>
      <c r="L696" s="4" t="s">
        <v>558</v>
      </c>
    </row>
    <row r="697" spans="1:12" ht="31" customHeight="1">
      <c r="A697" s="4" t="s">
        <v>217</v>
      </c>
      <c r="B697" s="4" t="s">
        <v>191</v>
      </c>
      <c r="C697" s="4" t="s">
        <v>45</v>
      </c>
      <c r="D697" s="6">
        <v>0</v>
      </c>
      <c r="E697" s="4" t="s">
        <v>1082</v>
      </c>
      <c r="F697" s="5"/>
      <c r="G697" s="4" t="s">
        <v>196</v>
      </c>
      <c r="H697" s="4" t="s">
        <v>197</v>
      </c>
      <c r="I697" s="5"/>
      <c r="J697" s="4" t="s">
        <v>1083</v>
      </c>
      <c r="K697" s="5"/>
      <c r="L697" s="4" t="s">
        <v>558</v>
      </c>
    </row>
    <row r="698" spans="1:12" ht="31" customHeight="1">
      <c r="A698" s="4" t="s">
        <v>217</v>
      </c>
      <c r="B698" s="4" t="s">
        <v>191</v>
      </c>
      <c r="C698" s="4" t="s">
        <v>46</v>
      </c>
      <c r="D698" s="6">
        <v>3</v>
      </c>
      <c r="E698" s="4" t="s">
        <v>1082</v>
      </c>
      <c r="F698" s="5"/>
      <c r="G698" s="4" t="s">
        <v>196</v>
      </c>
      <c r="H698" s="4" t="s">
        <v>197</v>
      </c>
      <c r="I698" s="5"/>
      <c r="J698" s="4" t="s">
        <v>1083</v>
      </c>
      <c r="K698" s="5"/>
      <c r="L698" s="4" t="s">
        <v>558</v>
      </c>
    </row>
    <row r="699" spans="1:12" ht="31" customHeight="1">
      <c r="A699" s="4" t="s">
        <v>217</v>
      </c>
      <c r="B699" s="4" t="s">
        <v>191</v>
      </c>
      <c r="C699" s="4" t="s">
        <v>47</v>
      </c>
      <c r="D699" s="6">
        <v>2</v>
      </c>
      <c r="E699" s="4" t="s">
        <v>1082</v>
      </c>
      <c r="F699" s="5"/>
      <c r="G699" s="4" t="s">
        <v>196</v>
      </c>
      <c r="H699" s="4" t="s">
        <v>197</v>
      </c>
      <c r="I699" s="5"/>
      <c r="J699" s="4" t="s">
        <v>1083</v>
      </c>
      <c r="K699" s="5"/>
      <c r="L699" s="4" t="s">
        <v>558</v>
      </c>
    </row>
    <row r="700" spans="1:12" ht="31" customHeight="1">
      <c r="A700" s="4" t="s">
        <v>217</v>
      </c>
      <c r="B700" s="4" t="s">
        <v>191</v>
      </c>
      <c r="C700" s="4" t="s">
        <v>48</v>
      </c>
      <c r="D700" s="6">
        <v>2</v>
      </c>
      <c r="E700" s="4" t="s">
        <v>1082</v>
      </c>
      <c r="F700" s="5"/>
      <c r="G700" s="4" t="s">
        <v>196</v>
      </c>
      <c r="H700" s="4" t="s">
        <v>197</v>
      </c>
      <c r="I700" s="5"/>
      <c r="J700" s="4" t="s">
        <v>1083</v>
      </c>
      <c r="K700" s="5"/>
      <c r="L700" s="4" t="s">
        <v>558</v>
      </c>
    </row>
    <row r="701" spans="1:12" ht="31" customHeight="1">
      <c r="A701" s="4" t="s">
        <v>217</v>
      </c>
      <c r="B701" s="4" t="s">
        <v>191</v>
      </c>
      <c r="C701" s="4" t="s">
        <v>49</v>
      </c>
      <c r="D701" s="6">
        <v>0</v>
      </c>
      <c r="E701" s="4" t="s">
        <v>1082</v>
      </c>
      <c r="F701" s="5"/>
      <c r="G701" s="4" t="s">
        <v>196</v>
      </c>
      <c r="H701" s="4" t="s">
        <v>197</v>
      </c>
      <c r="I701" s="5"/>
      <c r="J701" s="4" t="s">
        <v>1083</v>
      </c>
      <c r="K701" s="5"/>
      <c r="L701" s="4" t="s">
        <v>558</v>
      </c>
    </row>
    <row r="702" spans="1:12" ht="31" customHeight="1">
      <c r="A702" s="4" t="s">
        <v>222</v>
      </c>
      <c r="B702" s="4" t="s">
        <v>191</v>
      </c>
      <c r="C702" s="4" t="s">
        <v>40</v>
      </c>
      <c r="D702" s="6">
        <v>3</v>
      </c>
      <c r="E702" s="4" t="s">
        <v>1082</v>
      </c>
      <c r="F702" s="5"/>
      <c r="G702" s="4" t="s">
        <v>196</v>
      </c>
      <c r="H702" s="4" t="s">
        <v>197</v>
      </c>
      <c r="I702" s="5"/>
      <c r="J702" s="4" t="s">
        <v>1083</v>
      </c>
      <c r="K702" s="5"/>
      <c r="L702" s="4" t="s">
        <v>558</v>
      </c>
    </row>
    <row r="703" spans="1:12" ht="31" customHeight="1">
      <c r="A703" s="4" t="s">
        <v>222</v>
      </c>
      <c r="B703" s="4" t="s">
        <v>191</v>
      </c>
      <c r="C703" s="4" t="s">
        <v>41</v>
      </c>
      <c r="D703" s="6">
        <v>0</v>
      </c>
      <c r="E703" s="4" t="s">
        <v>1082</v>
      </c>
      <c r="F703" s="5"/>
      <c r="G703" s="4" t="s">
        <v>196</v>
      </c>
      <c r="H703" s="4" t="s">
        <v>197</v>
      </c>
      <c r="I703" s="5"/>
      <c r="J703" s="4" t="s">
        <v>1083</v>
      </c>
      <c r="K703" s="5"/>
      <c r="L703" s="4" t="s">
        <v>558</v>
      </c>
    </row>
    <row r="704" spans="1:12" ht="31" customHeight="1">
      <c r="A704" s="4" t="s">
        <v>222</v>
      </c>
      <c r="B704" s="4" t="s">
        <v>191</v>
      </c>
      <c r="C704" s="4" t="s">
        <v>42</v>
      </c>
      <c r="D704" s="6">
        <v>0</v>
      </c>
      <c r="E704" s="4" t="s">
        <v>1082</v>
      </c>
      <c r="F704" s="5"/>
      <c r="G704" s="4" t="s">
        <v>196</v>
      </c>
      <c r="H704" s="4" t="s">
        <v>197</v>
      </c>
      <c r="I704" s="5"/>
      <c r="J704" s="4" t="s">
        <v>1083</v>
      </c>
      <c r="K704" s="5"/>
      <c r="L704" s="4" t="s">
        <v>558</v>
      </c>
    </row>
    <row r="705" spans="1:12" ht="31" customHeight="1">
      <c r="A705" s="4" t="s">
        <v>222</v>
      </c>
      <c r="B705" s="4" t="s">
        <v>191</v>
      </c>
      <c r="C705" s="4" t="s">
        <v>43</v>
      </c>
      <c r="D705" s="6">
        <v>0</v>
      </c>
      <c r="E705" s="4" t="s">
        <v>1082</v>
      </c>
      <c r="F705" s="5"/>
      <c r="G705" s="4" t="s">
        <v>196</v>
      </c>
      <c r="H705" s="4" t="s">
        <v>197</v>
      </c>
      <c r="I705" s="5"/>
      <c r="J705" s="4" t="s">
        <v>1083</v>
      </c>
      <c r="K705" s="5"/>
      <c r="L705" s="4" t="s">
        <v>558</v>
      </c>
    </row>
    <row r="706" spans="1:12" ht="31" customHeight="1">
      <c r="A706" s="4" t="s">
        <v>222</v>
      </c>
      <c r="B706" s="4" t="s">
        <v>191</v>
      </c>
      <c r="C706" s="4" t="s">
        <v>44</v>
      </c>
      <c r="D706" s="6">
        <v>0</v>
      </c>
      <c r="E706" s="4" t="s">
        <v>1082</v>
      </c>
      <c r="F706" s="5"/>
      <c r="G706" s="4" t="s">
        <v>196</v>
      </c>
      <c r="H706" s="4" t="s">
        <v>197</v>
      </c>
      <c r="I706" s="5"/>
      <c r="J706" s="4" t="s">
        <v>1083</v>
      </c>
      <c r="K706" s="5"/>
      <c r="L706" s="4" t="s">
        <v>558</v>
      </c>
    </row>
    <row r="707" spans="1:12" ht="31" customHeight="1">
      <c r="A707" s="4" t="s">
        <v>222</v>
      </c>
      <c r="B707" s="4" t="s">
        <v>191</v>
      </c>
      <c r="C707" s="4" t="s">
        <v>45</v>
      </c>
      <c r="D707" s="6">
        <v>0</v>
      </c>
      <c r="E707" s="4" t="s">
        <v>1082</v>
      </c>
      <c r="F707" s="5"/>
      <c r="G707" s="4" t="s">
        <v>196</v>
      </c>
      <c r="H707" s="4" t="s">
        <v>197</v>
      </c>
      <c r="I707" s="5"/>
      <c r="J707" s="4" t="s">
        <v>1083</v>
      </c>
      <c r="K707" s="5"/>
      <c r="L707" s="4" t="s">
        <v>558</v>
      </c>
    </row>
    <row r="708" spans="1:12" ht="31" customHeight="1">
      <c r="A708" s="4" t="s">
        <v>222</v>
      </c>
      <c r="B708" s="4" t="s">
        <v>191</v>
      </c>
      <c r="C708" s="4" t="s">
        <v>46</v>
      </c>
      <c r="D708" s="6">
        <v>2</v>
      </c>
      <c r="E708" s="4" t="s">
        <v>1082</v>
      </c>
      <c r="F708" s="5"/>
      <c r="G708" s="4" t="s">
        <v>196</v>
      </c>
      <c r="H708" s="4" t="s">
        <v>197</v>
      </c>
      <c r="I708" s="5"/>
      <c r="J708" s="4" t="s">
        <v>1083</v>
      </c>
      <c r="K708" s="5"/>
      <c r="L708" s="4" t="s">
        <v>558</v>
      </c>
    </row>
    <row r="709" spans="1:12" ht="31" customHeight="1">
      <c r="A709" s="4" t="s">
        <v>222</v>
      </c>
      <c r="B709" s="4" t="s">
        <v>191</v>
      </c>
      <c r="C709" s="4" t="s">
        <v>47</v>
      </c>
      <c r="D709" s="6">
        <v>2</v>
      </c>
      <c r="E709" s="4" t="s">
        <v>1082</v>
      </c>
      <c r="F709" s="5"/>
      <c r="G709" s="4" t="s">
        <v>196</v>
      </c>
      <c r="H709" s="4" t="s">
        <v>197</v>
      </c>
      <c r="I709" s="5"/>
      <c r="J709" s="4" t="s">
        <v>1083</v>
      </c>
      <c r="K709" s="5"/>
      <c r="L709" s="4" t="s">
        <v>558</v>
      </c>
    </row>
    <row r="710" spans="1:12" ht="31" customHeight="1">
      <c r="A710" s="4" t="s">
        <v>222</v>
      </c>
      <c r="B710" s="4" t="s">
        <v>191</v>
      </c>
      <c r="C710" s="4" t="s">
        <v>48</v>
      </c>
      <c r="D710" s="6">
        <v>2</v>
      </c>
      <c r="E710" s="4" t="s">
        <v>1082</v>
      </c>
      <c r="F710" s="5"/>
      <c r="G710" s="4" t="s">
        <v>196</v>
      </c>
      <c r="H710" s="4" t="s">
        <v>197</v>
      </c>
      <c r="I710" s="5"/>
      <c r="J710" s="4" t="s">
        <v>1083</v>
      </c>
      <c r="K710" s="5"/>
      <c r="L710" s="4" t="s">
        <v>558</v>
      </c>
    </row>
    <row r="711" spans="1:12" ht="31" customHeight="1">
      <c r="A711" s="4" t="s">
        <v>222</v>
      </c>
      <c r="B711" s="4" t="s">
        <v>191</v>
      </c>
      <c r="C711" s="4" t="s">
        <v>49</v>
      </c>
      <c r="D711" s="6">
        <v>0</v>
      </c>
      <c r="E711" s="4" t="s">
        <v>1082</v>
      </c>
      <c r="F711" s="5"/>
      <c r="G711" s="4" t="s">
        <v>196</v>
      </c>
      <c r="H711" s="4" t="s">
        <v>197</v>
      </c>
      <c r="I711" s="5"/>
      <c r="J711" s="4" t="s">
        <v>1083</v>
      </c>
      <c r="K711" s="5"/>
      <c r="L711" s="4" t="s">
        <v>558</v>
      </c>
    </row>
    <row r="712" spans="1:12" ht="31" customHeight="1">
      <c r="A712" s="4" t="s">
        <v>225</v>
      </c>
      <c r="B712" s="4" t="s">
        <v>191</v>
      </c>
      <c r="C712" s="4" t="s">
        <v>40</v>
      </c>
      <c r="D712" s="6">
        <v>3</v>
      </c>
      <c r="E712" s="4" t="s">
        <v>1082</v>
      </c>
      <c r="F712" s="5"/>
      <c r="G712" s="4" t="s">
        <v>196</v>
      </c>
      <c r="H712" s="4" t="s">
        <v>197</v>
      </c>
      <c r="I712" s="5"/>
      <c r="J712" s="4" t="s">
        <v>1083</v>
      </c>
      <c r="K712" s="5"/>
      <c r="L712" s="4" t="s">
        <v>558</v>
      </c>
    </row>
    <row r="713" spans="1:12" ht="31" customHeight="1">
      <c r="A713" s="4" t="s">
        <v>225</v>
      </c>
      <c r="B713" s="4" t="s">
        <v>191</v>
      </c>
      <c r="C713" s="4" t="s">
        <v>41</v>
      </c>
      <c r="D713" s="6">
        <v>0</v>
      </c>
      <c r="E713" s="4" t="s">
        <v>1082</v>
      </c>
      <c r="F713" s="5"/>
      <c r="G713" s="4" t="s">
        <v>196</v>
      </c>
      <c r="H713" s="4" t="s">
        <v>197</v>
      </c>
      <c r="I713" s="5"/>
      <c r="J713" s="4" t="s">
        <v>1083</v>
      </c>
      <c r="K713" s="5"/>
      <c r="L713" s="4" t="s">
        <v>558</v>
      </c>
    </row>
    <row r="714" spans="1:12" ht="31" customHeight="1">
      <c r="A714" s="4" t="s">
        <v>225</v>
      </c>
      <c r="B714" s="4" t="s">
        <v>191</v>
      </c>
      <c r="C714" s="4" t="s">
        <v>42</v>
      </c>
      <c r="D714" s="6">
        <v>0</v>
      </c>
      <c r="E714" s="4" t="s">
        <v>1082</v>
      </c>
      <c r="F714" s="5"/>
      <c r="G714" s="4" t="s">
        <v>196</v>
      </c>
      <c r="H714" s="4" t="s">
        <v>197</v>
      </c>
      <c r="I714" s="5"/>
      <c r="J714" s="4" t="s">
        <v>1083</v>
      </c>
      <c r="K714" s="5"/>
      <c r="L714" s="4" t="s">
        <v>558</v>
      </c>
    </row>
    <row r="715" spans="1:12" ht="31" customHeight="1">
      <c r="A715" s="4" t="s">
        <v>225</v>
      </c>
      <c r="B715" s="4" t="s">
        <v>191</v>
      </c>
      <c r="C715" s="4" t="s">
        <v>43</v>
      </c>
      <c r="D715" s="6">
        <v>0</v>
      </c>
      <c r="E715" s="4" t="s">
        <v>1082</v>
      </c>
      <c r="F715" s="5"/>
      <c r="G715" s="4" t="s">
        <v>196</v>
      </c>
      <c r="H715" s="4" t="s">
        <v>197</v>
      </c>
      <c r="I715" s="5"/>
      <c r="J715" s="4" t="s">
        <v>1083</v>
      </c>
      <c r="K715" s="5"/>
      <c r="L715" s="4" t="s">
        <v>558</v>
      </c>
    </row>
    <row r="716" spans="1:12" ht="31" customHeight="1">
      <c r="A716" s="4" t="s">
        <v>225</v>
      </c>
      <c r="B716" s="4" t="s">
        <v>191</v>
      </c>
      <c r="C716" s="4" t="s">
        <v>44</v>
      </c>
      <c r="D716" s="6">
        <v>0</v>
      </c>
      <c r="E716" s="4" t="s">
        <v>1082</v>
      </c>
      <c r="F716" s="5"/>
      <c r="G716" s="4" t="s">
        <v>196</v>
      </c>
      <c r="H716" s="4" t="s">
        <v>197</v>
      </c>
      <c r="I716" s="5"/>
      <c r="J716" s="4" t="s">
        <v>1083</v>
      </c>
      <c r="K716" s="5"/>
      <c r="L716" s="4" t="s">
        <v>558</v>
      </c>
    </row>
    <row r="717" spans="1:12" ht="31" customHeight="1">
      <c r="A717" s="4" t="s">
        <v>225</v>
      </c>
      <c r="B717" s="4" t="s">
        <v>191</v>
      </c>
      <c r="C717" s="4" t="s">
        <v>45</v>
      </c>
      <c r="D717" s="6">
        <v>0</v>
      </c>
      <c r="E717" s="4" t="s">
        <v>1082</v>
      </c>
      <c r="F717" s="5"/>
      <c r="G717" s="4" t="s">
        <v>196</v>
      </c>
      <c r="H717" s="4" t="s">
        <v>197</v>
      </c>
      <c r="I717" s="5"/>
      <c r="J717" s="4" t="s">
        <v>1083</v>
      </c>
      <c r="K717" s="5"/>
      <c r="L717" s="4" t="s">
        <v>558</v>
      </c>
    </row>
    <row r="718" spans="1:12" ht="31" customHeight="1">
      <c r="A718" s="4" t="s">
        <v>225</v>
      </c>
      <c r="B718" s="4" t="s">
        <v>191</v>
      </c>
      <c r="C718" s="4" t="s">
        <v>46</v>
      </c>
      <c r="D718" s="6">
        <v>2</v>
      </c>
      <c r="E718" s="4" t="s">
        <v>1082</v>
      </c>
      <c r="F718" s="5"/>
      <c r="G718" s="4" t="s">
        <v>196</v>
      </c>
      <c r="H718" s="4" t="s">
        <v>197</v>
      </c>
      <c r="I718" s="5"/>
      <c r="J718" s="4" t="s">
        <v>1083</v>
      </c>
      <c r="K718" s="5"/>
      <c r="L718" s="4" t="s">
        <v>558</v>
      </c>
    </row>
    <row r="719" spans="1:12" ht="31" customHeight="1">
      <c r="A719" s="4" t="s">
        <v>225</v>
      </c>
      <c r="B719" s="4" t="s">
        <v>191</v>
      </c>
      <c r="C719" s="4" t="s">
        <v>47</v>
      </c>
      <c r="D719" s="6">
        <v>2</v>
      </c>
      <c r="E719" s="4" t="s">
        <v>1082</v>
      </c>
      <c r="F719" s="5"/>
      <c r="G719" s="4" t="s">
        <v>196</v>
      </c>
      <c r="H719" s="4" t="s">
        <v>197</v>
      </c>
      <c r="I719" s="5"/>
      <c r="J719" s="4" t="s">
        <v>1083</v>
      </c>
      <c r="K719" s="5"/>
      <c r="L719" s="4" t="s">
        <v>558</v>
      </c>
    </row>
    <row r="720" spans="1:12" ht="31" customHeight="1">
      <c r="A720" s="4" t="s">
        <v>225</v>
      </c>
      <c r="B720" s="4" t="s">
        <v>191</v>
      </c>
      <c r="C720" s="4" t="s">
        <v>48</v>
      </c>
      <c r="D720" s="6">
        <v>2</v>
      </c>
      <c r="E720" s="4" t="s">
        <v>1082</v>
      </c>
      <c r="F720" s="5"/>
      <c r="G720" s="4" t="s">
        <v>196</v>
      </c>
      <c r="H720" s="4" t="s">
        <v>197</v>
      </c>
      <c r="I720" s="5"/>
      <c r="J720" s="4" t="s">
        <v>1083</v>
      </c>
      <c r="K720" s="5"/>
      <c r="L720" s="4" t="s">
        <v>558</v>
      </c>
    </row>
    <row r="721" spans="1:12" ht="31" customHeight="1">
      <c r="A721" s="4" t="s">
        <v>225</v>
      </c>
      <c r="B721" s="4" t="s">
        <v>191</v>
      </c>
      <c r="C721" s="4" t="s">
        <v>49</v>
      </c>
      <c r="D721" s="6">
        <v>0</v>
      </c>
      <c r="E721" s="4" t="s">
        <v>1082</v>
      </c>
      <c r="F721" s="5"/>
      <c r="G721" s="4" t="s">
        <v>196</v>
      </c>
      <c r="H721" s="4" t="s">
        <v>197</v>
      </c>
      <c r="I721" s="5"/>
      <c r="J721" s="4" t="s">
        <v>1083</v>
      </c>
      <c r="K721" s="5"/>
      <c r="L721" s="4" t="s">
        <v>558</v>
      </c>
    </row>
    <row r="722" spans="1:12" ht="31" customHeight="1">
      <c r="A722" s="4" t="s">
        <v>229</v>
      </c>
      <c r="B722" s="4" t="s">
        <v>191</v>
      </c>
      <c r="C722" s="4" t="s">
        <v>40</v>
      </c>
      <c r="D722" s="6">
        <v>3</v>
      </c>
      <c r="E722" s="4" t="s">
        <v>1082</v>
      </c>
      <c r="F722" s="5"/>
      <c r="G722" s="4" t="s">
        <v>196</v>
      </c>
      <c r="H722" s="4" t="s">
        <v>197</v>
      </c>
      <c r="I722" s="5"/>
      <c r="J722" s="4" t="s">
        <v>1083</v>
      </c>
      <c r="K722" s="5"/>
      <c r="L722" s="4" t="s">
        <v>558</v>
      </c>
    </row>
    <row r="723" spans="1:12" ht="31" customHeight="1">
      <c r="A723" s="4" t="s">
        <v>229</v>
      </c>
      <c r="B723" s="4" t="s">
        <v>191</v>
      </c>
      <c r="C723" s="4" t="s">
        <v>41</v>
      </c>
      <c r="D723" s="6">
        <v>0</v>
      </c>
      <c r="E723" s="4" t="s">
        <v>1082</v>
      </c>
      <c r="F723" s="5"/>
      <c r="G723" s="4" t="s">
        <v>196</v>
      </c>
      <c r="H723" s="4" t="s">
        <v>197</v>
      </c>
      <c r="I723" s="5"/>
      <c r="J723" s="4" t="s">
        <v>1083</v>
      </c>
      <c r="K723" s="5"/>
      <c r="L723" s="4" t="s">
        <v>558</v>
      </c>
    </row>
    <row r="724" spans="1:12" ht="31" customHeight="1">
      <c r="A724" s="4" t="s">
        <v>229</v>
      </c>
      <c r="B724" s="4" t="s">
        <v>191</v>
      </c>
      <c r="C724" s="4" t="s">
        <v>42</v>
      </c>
      <c r="D724" s="6">
        <v>0</v>
      </c>
      <c r="E724" s="4" t="s">
        <v>1082</v>
      </c>
      <c r="F724" s="5"/>
      <c r="G724" s="4" t="s">
        <v>196</v>
      </c>
      <c r="H724" s="4" t="s">
        <v>197</v>
      </c>
      <c r="I724" s="5"/>
      <c r="J724" s="4" t="s">
        <v>1083</v>
      </c>
      <c r="K724" s="5"/>
      <c r="L724" s="4" t="s">
        <v>558</v>
      </c>
    </row>
    <row r="725" spans="1:12" ht="31" customHeight="1">
      <c r="A725" s="4" t="s">
        <v>229</v>
      </c>
      <c r="B725" s="4" t="s">
        <v>191</v>
      </c>
      <c r="C725" s="4" t="s">
        <v>43</v>
      </c>
      <c r="D725" s="6">
        <v>0</v>
      </c>
      <c r="E725" s="4" t="s">
        <v>1082</v>
      </c>
      <c r="F725" s="5"/>
      <c r="G725" s="4" t="s">
        <v>196</v>
      </c>
      <c r="H725" s="4" t="s">
        <v>197</v>
      </c>
      <c r="I725" s="5"/>
      <c r="J725" s="4" t="s">
        <v>1083</v>
      </c>
      <c r="K725" s="5"/>
      <c r="L725" s="4" t="s">
        <v>558</v>
      </c>
    </row>
    <row r="726" spans="1:12" ht="31" customHeight="1">
      <c r="A726" s="4" t="s">
        <v>229</v>
      </c>
      <c r="B726" s="4" t="s">
        <v>191</v>
      </c>
      <c r="C726" s="4" t="s">
        <v>44</v>
      </c>
      <c r="D726" s="6">
        <v>0</v>
      </c>
      <c r="E726" s="4" t="s">
        <v>1082</v>
      </c>
      <c r="F726" s="5"/>
      <c r="G726" s="4" t="s">
        <v>196</v>
      </c>
      <c r="H726" s="4" t="s">
        <v>197</v>
      </c>
      <c r="I726" s="5"/>
      <c r="J726" s="4" t="s">
        <v>1083</v>
      </c>
      <c r="K726" s="5"/>
      <c r="L726" s="4" t="s">
        <v>558</v>
      </c>
    </row>
    <row r="727" spans="1:12" ht="31" customHeight="1">
      <c r="A727" s="4" t="s">
        <v>229</v>
      </c>
      <c r="B727" s="4" t="s">
        <v>191</v>
      </c>
      <c r="C727" s="4" t="s">
        <v>45</v>
      </c>
      <c r="D727" s="6">
        <v>0</v>
      </c>
      <c r="E727" s="4" t="s">
        <v>1082</v>
      </c>
      <c r="F727" s="5"/>
      <c r="G727" s="4" t="s">
        <v>196</v>
      </c>
      <c r="H727" s="4" t="s">
        <v>197</v>
      </c>
      <c r="I727" s="5"/>
      <c r="J727" s="4" t="s">
        <v>1083</v>
      </c>
      <c r="K727" s="5"/>
      <c r="L727" s="4" t="s">
        <v>558</v>
      </c>
    </row>
    <row r="728" spans="1:12" ht="31" customHeight="1">
      <c r="A728" s="4" t="s">
        <v>229</v>
      </c>
      <c r="B728" s="4" t="s">
        <v>191</v>
      </c>
      <c r="C728" s="4" t="s">
        <v>46</v>
      </c>
      <c r="D728" s="6">
        <v>2</v>
      </c>
      <c r="E728" s="4" t="s">
        <v>1082</v>
      </c>
      <c r="F728" s="5"/>
      <c r="G728" s="4" t="s">
        <v>196</v>
      </c>
      <c r="H728" s="4" t="s">
        <v>197</v>
      </c>
      <c r="I728" s="5"/>
      <c r="J728" s="4" t="s">
        <v>1083</v>
      </c>
      <c r="K728" s="5"/>
      <c r="L728" s="4" t="s">
        <v>558</v>
      </c>
    </row>
    <row r="729" spans="1:12" ht="31" customHeight="1">
      <c r="A729" s="4" t="s">
        <v>229</v>
      </c>
      <c r="B729" s="4" t="s">
        <v>191</v>
      </c>
      <c r="C729" s="4" t="s">
        <v>47</v>
      </c>
      <c r="D729" s="6">
        <v>1</v>
      </c>
      <c r="E729" s="4" t="s">
        <v>1082</v>
      </c>
      <c r="F729" s="5"/>
      <c r="G729" s="4" t="s">
        <v>196</v>
      </c>
      <c r="H729" s="4" t="s">
        <v>197</v>
      </c>
      <c r="I729" s="5"/>
      <c r="J729" s="4" t="s">
        <v>1083</v>
      </c>
      <c r="K729" s="5"/>
      <c r="L729" s="4" t="s">
        <v>558</v>
      </c>
    </row>
    <row r="730" spans="1:12" ht="31" customHeight="1">
      <c r="A730" s="4" t="s">
        <v>229</v>
      </c>
      <c r="B730" s="4" t="s">
        <v>191</v>
      </c>
      <c r="C730" s="4" t="s">
        <v>48</v>
      </c>
      <c r="D730" s="6">
        <v>2</v>
      </c>
      <c r="E730" s="4" t="s">
        <v>1082</v>
      </c>
      <c r="F730" s="5"/>
      <c r="G730" s="4" t="s">
        <v>196</v>
      </c>
      <c r="H730" s="4" t="s">
        <v>197</v>
      </c>
      <c r="I730" s="5"/>
      <c r="J730" s="4" t="s">
        <v>1083</v>
      </c>
      <c r="K730" s="5"/>
      <c r="L730" s="4" t="s">
        <v>558</v>
      </c>
    </row>
    <row r="731" spans="1:12" ht="31" customHeight="1">
      <c r="A731" s="4" t="s">
        <v>229</v>
      </c>
      <c r="B731" s="4" t="s">
        <v>191</v>
      </c>
      <c r="C731" s="4" t="s">
        <v>49</v>
      </c>
      <c r="D731" s="6">
        <v>0</v>
      </c>
      <c r="E731" s="4" t="s">
        <v>1082</v>
      </c>
      <c r="F731" s="5"/>
      <c r="G731" s="4" t="s">
        <v>196</v>
      </c>
      <c r="H731" s="4" t="s">
        <v>197</v>
      </c>
      <c r="I731" s="5"/>
      <c r="J731" s="4" t="s">
        <v>1083</v>
      </c>
      <c r="K731" s="5"/>
      <c r="L731" s="4" t="s">
        <v>558</v>
      </c>
    </row>
    <row r="732" spans="1:12" ht="31" customHeight="1">
      <c r="A732" s="4" t="s">
        <v>231</v>
      </c>
      <c r="B732" s="4" t="s">
        <v>191</v>
      </c>
      <c r="C732" s="4" t="s">
        <v>40</v>
      </c>
      <c r="D732" s="6">
        <v>3</v>
      </c>
      <c r="E732" s="4" t="s">
        <v>1082</v>
      </c>
      <c r="F732" s="5"/>
      <c r="G732" s="4" t="s">
        <v>196</v>
      </c>
      <c r="H732" s="4" t="s">
        <v>197</v>
      </c>
      <c r="I732" s="5"/>
      <c r="J732" s="4" t="s">
        <v>1083</v>
      </c>
      <c r="K732" s="5"/>
      <c r="L732" s="4" t="s">
        <v>558</v>
      </c>
    </row>
    <row r="733" spans="1:12" ht="31" customHeight="1">
      <c r="A733" s="4" t="s">
        <v>231</v>
      </c>
      <c r="B733" s="4" t="s">
        <v>191</v>
      </c>
      <c r="C733" s="4" t="s">
        <v>41</v>
      </c>
      <c r="D733" s="6">
        <v>0</v>
      </c>
      <c r="E733" s="4" t="s">
        <v>1082</v>
      </c>
      <c r="F733" s="5"/>
      <c r="G733" s="4" t="s">
        <v>196</v>
      </c>
      <c r="H733" s="4" t="s">
        <v>197</v>
      </c>
      <c r="I733" s="5"/>
      <c r="J733" s="4" t="s">
        <v>1083</v>
      </c>
      <c r="K733" s="5"/>
      <c r="L733" s="4" t="s">
        <v>558</v>
      </c>
    </row>
    <row r="734" spans="1:12" ht="31" customHeight="1">
      <c r="A734" s="4" t="s">
        <v>231</v>
      </c>
      <c r="B734" s="4" t="s">
        <v>191</v>
      </c>
      <c r="C734" s="4" t="s">
        <v>42</v>
      </c>
      <c r="D734" s="6">
        <v>0</v>
      </c>
      <c r="E734" s="4" t="s">
        <v>1082</v>
      </c>
      <c r="F734" s="5"/>
      <c r="G734" s="4" t="s">
        <v>196</v>
      </c>
      <c r="H734" s="4" t="s">
        <v>197</v>
      </c>
      <c r="I734" s="5"/>
      <c r="J734" s="4" t="s">
        <v>1083</v>
      </c>
      <c r="K734" s="5"/>
      <c r="L734" s="4" t="s">
        <v>558</v>
      </c>
    </row>
    <row r="735" spans="1:12" ht="31" customHeight="1">
      <c r="A735" s="4" t="s">
        <v>231</v>
      </c>
      <c r="B735" s="4" t="s">
        <v>191</v>
      </c>
      <c r="C735" s="4" t="s">
        <v>43</v>
      </c>
      <c r="D735" s="6">
        <v>0</v>
      </c>
      <c r="E735" s="4" t="s">
        <v>1082</v>
      </c>
      <c r="F735" s="5"/>
      <c r="G735" s="4" t="s">
        <v>196</v>
      </c>
      <c r="H735" s="4" t="s">
        <v>197</v>
      </c>
      <c r="I735" s="5"/>
      <c r="J735" s="4" t="s">
        <v>1083</v>
      </c>
      <c r="K735" s="5"/>
      <c r="L735" s="4" t="s">
        <v>558</v>
      </c>
    </row>
    <row r="736" spans="1:12" ht="31" customHeight="1">
      <c r="A736" s="4" t="s">
        <v>231</v>
      </c>
      <c r="B736" s="4" t="s">
        <v>191</v>
      </c>
      <c r="C736" s="4" t="s">
        <v>44</v>
      </c>
      <c r="D736" s="6">
        <v>0</v>
      </c>
      <c r="E736" s="4" t="s">
        <v>1082</v>
      </c>
      <c r="F736" s="5"/>
      <c r="G736" s="4" t="s">
        <v>196</v>
      </c>
      <c r="H736" s="4" t="s">
        <v>197</v>
      </c>
      <c r="I736" s="5"/>
      <c r="J736" s="4" t="s">
        <v>1083</v>
      </c>
      <c r="K736" s="5"/>
      <c r="L736" s="4" t="s">
        <v>558</v>
      </c>
    </row>
    <row r="737" spans="1:12" ht="31" customHeight="1">
      <c r="A737" s="4" t="s">
        <v>231</v>
      </c>
      <c r="B737" s="4" t="s">
        <v>191</v>
      </c>
      <c r="C737" s="4" t="s">
        <v>45</v>
      </c>
      <c r="D737" s="6">
        <v>0</v>
      </c>
      <c r="E737" s="4" t="s">
        <v>1082</v>
      </c>
      <c r="F737" s="5"/>
      <c r="G737" s="4" t="s">
        <v>196</v>
      </c>
      <c r="H737" s="4" t="s">
        <v>197</v>
      </c>
      <c r="I737" s="5"/>
      <c r="J737" s="4" t="s">
        <v>1083</v>
      </c>
      <c r="K737" s="5"/>
      <c r="L737" s="4" t="s">
        <v>558</v>
      </c>
    </row>
    <row r="738" spans="1:12" ht="31" customHeight="1">
      <c r="A738" s="4" t="s">
        <v>231</v>
      </c>
      <c r="B738" s="4" t="s">
        <v>191</v>
      </c>
      <c r="C738" s="4" t="s">
        <v>46</v>
      </c>
      <c r="D738" s="6">
        <v>2</v>
      </c>
      <c r="E738" s="4" t="s">
        <v>1082</v>
      </c>
      <c r="F738" s="5"/>
      <c r="G738" s="4" t="s">
        <v>196</v>
      </c>
      <c r="H738" s="4" t="s">
        <v>197</v>
      </c>
      <c r="I738" s="5"/>
      <c r="J738" s="4" t="s">
        <v>1083</v>
      </c>
      <c r="K738" s="5"/>
      <c r="L738" s="4" t="s">
        <v>558</v>
      </c>
    </row>
    <row r="739" spans="1:12" ht="31" customHeight="1">
      <c r="A739" s="4" t="s">
        <v>231</v>
      </c>
      <c r="B739" s="4" t="s">
        <v>191</v>
      </c>
      <c r="C739" s="4" t="s">
        <v>47</v>
      </c>
      <c r="D739" s="6">
        <v>1</v>
      </c>
      <c r="E739" s="4" t="s">
        <v>1082</v>
      </c>
      <c r="F739" s="5"/>
      <c r="G739" s="4" t="s">
        <v>196</v>
      </c>
      <c r="H739" s="4" t="s">
        <v>197</v>
      </c>
      <c r="I739" s="5"/>
      <c r="J739" s="4" t="s">
        <v>1083</v>
      </c>
      <c r="K739" s="5"/>
      <c r="L739" s="4" t="s">
        <v>558</v>
      </c>
    </row>
    <row r="740" spans="1:12" ht="31" customHeight="1">
      <c r="A740" s="4" t="s">
        <v>231</v>
      </c>
      <c r="B740" s="4" t="s">
        <v>191</v>
      </c>
      <c r="C740" s="4" t="s">
        <v>48</v>
      </c>
      <c r="D740" s="6">
        <v>2</v>
      </c>
      <c r="E740" s="4" t="s">
        <v>1082</v>
      </c>
      <c r="F740" s="5"/>
      <c r="G740" s="4" t="s">
        <v>196</v>
      </c>
      <c r="H740" s="4" t="s">
        <v>197</v>
      </c>
      <c r="I740" s="5"/>
      <c r="J740" s="4" t="s">
        <v>1083</v>
      </c>
      <c r="K740" s="5"/>
      <c r="L740" s="4" t="s">
        <v>558</v>
      </c>
    </row>
    <row r="741" spans="1:12" ht="31" customHeight="1">
      <c r="A741" s="4" t="s">
        <v>231</v>
      </c>
      <c r="B741" s="4" t="s">
        <v>191</v>
      </c>
      <c r="C741" s="4" t="s">
        <v>49</v>
      </c>
      <c r="D741" s="6">
        <v>0</v>
      </c>
      <c r="E741" s="4" t="s">
        <v>1082</v>
      </c>
      <c r="F741" s="5"/>
      <c r="G741" s="4" t="s">
        <v>196</v>
      </c>
      <c r="H741" s="4" t="s">
        <v>197</v>
      </c>
      <c r="I741" s="5"/>
      <c r="J741" s="4" t="s">
        <v>1083</v>
      </c>
      <c r="K741" s="5"/>
      <c r="L741" s="4" t="s">
        <v>558</v>
      </c>
    </row>
    <row r="742" spans="1:12" ht="31" customHeight="1">
      <c r="A742" s="4" t="s">
        <v>233</v>
      </c>
      <c r="B742" s="4" t="s">
        <v>191</v>
      </c>
      <c r="C742" s="4" t="s">
        <v>40</v>
      </c>
      <c r="D742" s="6">
        <v>3</v>
      </c>
      <c r="E742" s="4" t="s">
        <v>1082</v>
      </c>
      <c r="F742" s="5"/>
      <c r="G742" s="4" t="s">
        <v>196</v>
      </c>
      <c r="H742" s="4" t="s">
        <v>197</v>
      </c>
      <c r="I742" s="5"/>
      <c r="J742" s="4" t="s">
        <v>1083</v>
      </c>
      <c r="K742" s="5"/>
      <c r="L742" s="4" t="s">
        <v>558</v>
      </c>
    </row>
    <row r="743" spans="1:12" ht="31" customHeight="1">
      <c r="A743" s="4" t="s">
        <v>233</v>
      </c>
      <c r="B743" s="4" t="s">
        <v>191</v>
      </c>
      <c r="C743" s="4" t="s">
        <v>41</v>
      </c>
      <c r="D743" s="6">
        <v>0</v>
      </c>
      <c r="E743" s="4" t="s">
        <v>1082</v>
      </c>
      <c r="F743" s="5"/>
      <c r="G743" s="4" t="s">
        <v>196</v>
      </c>
      <c r="H743" s="4" t="s">
        <v>197</v>
      </c>
      <c r="I743" s="5"/>
      <c r="J743" s="4" t="s">
        <v>1083</v>
      </c>
      <c r="K743" s="5"/>
      <c r="L743" s="4" t="s">
        <v>558</v>
      </c>
    </row>
    <row r="744" spans="1:12" ht="31" customHeight="1">
      <c r="A744" s="4" t="s">
        <v>233</v>
      </c>
      <c r="B744" s="4" t="s">
        <v>191</v>
      </c>
      <c r="C744" s="4" t="s">
        <v>42</v>
      </c>
      <c r="D744" s="6">
        <v>0</v>
      </c>
      <c r="E744" s="4" t="s">
        <v>1082</v>
      </c>
      <c r="F744" s="5"/>
      <c r="G744" s="4" t="s">
        <v>196</v>
      </c>
      <c r="H744" s="4" t="s">
        <v>197</v>
      </c>
      <c r="I744" s="5"/>
      <c r="J744" s="4" t="s">
        <v>1083</v>
      </c>
      <c r="K744" s="5"/>
      <c r="L744" s="4" t="s">
        <v>558</v>
      </c>
    </row>
    <row r="745" spans="1:12" ht="31" customHeight="1">
      <c r="A745" s="4" t="s">
        <v>233</v>
      </c>
      <c r="B745" s="4" t="s">
        <v>191</v>
      </c>
      <c r="C745" s="4" t="s">
        <v>43</v>
      </c>
      <c r="D745" s="6">
        <v>0</v>
      </c>
      <c r="E745" s="4" t="s">
        <v>1082</v>
      </c>
      <c r="F745" s="5"/>
      <c r="G745" s="4" t="s">
        <v>196</v>
      </c>
      <c r="H745" s="4" t="s">
        <v>197</v>
      </c>
      <c r="I745" s="5"/>
      <c r="J745" s="4" t="s">
        <v>1083</v>
      </c>
      <c r="K745" s="5"/>
      <c r="L745" s="4" t="s">
        <v>558</v>
      </c>
    </row>
    <row r="746" spans="1:12" ht="31" customHeight="1">
      <c r="A746" s="4" t="s">
        <v>233</v>
      </c>
      <c r="B746" s="4" t="s">
        <v>191</v>
      </c>
      <c r="C746" s="4" t="s">
        <v>44</v>
      </c>
      <c r="D746" s="6">
        <v>0</v>
      </c>
      <c r="E746" s="4" t="s">
        <v>1082</v>
      </c>
      <c r="F746" s="5"/>
      <c r="G746" s="4" t="s">
        <v>196</v>
      </c>
      <c r="H746" s="4" t="s">
        <v>197</v>
      </c>
      <c r="I746" s="5"/>
      <c r="J746" s="4" t="s">
        <v>1083</v>
      </c>
      <c r="K746" s="5"/>
      <c r="L746" s="4" t="s">
        <v>558</v>
      </c>
    </row>
    <row r="747" spans="1:12" ht="31" customHeight="1">
      <c r="A747" s="4" t="s">
        <v>233</v>
      </c>
      <c r="B747" s="4" t="s">
        <v>191</v>
      </c>
      <c r="C747" s="4" t="s">
        <v>45</v>
      </c>
      <c r="D747" s="6">
        <v>0</v>
      </c>
      <c r="E747" s="4" t="s">
        <v>1082</v>
      </c>
      <c r="F747" s="5"/>
      <c r="G747" s="4" t="s">
        <v>196</v>
      </c>
      <c r="H747" s="4" t="s">
        <v>197</v>
      </c>
      <c r="I747" s="5"/>
      <c r="J747" s="4" t="s">
        <v>1083</v>
      </c>
      <c r="K747" s="5"/>
      <c r="L747" s="4" t="s">
        <v>558</v>
      </c>
    </row>
    <row r="748" spans="1:12" ht="31" customHeight="1">
      <c r="A748" s="4" t="s">
        <v>233</v>
      </c>
      <c r="B748" s="4" t="s">
        <v>191</v>
      </c>
      <c r="C748" s="4" t="s">
        <v>46</v>
      </c>
      <c r="D748" s="6">
        <v>1</v>
      </c>
      <c r="E748" s="4" t="s">
        <v>1082</v>
      </c>
      <c r="F748" s="5"/>
      <c r="G748" s="4" t="s">
        <v>196</v>
      </c>
      <c r="H748" s="4" t="s">
        <v>197</v>
      </c>
      <c r="I748" s="5"/>
      <c r="J748" s="4" t="s">
        <v>1083</v>
      </c>
      <c r="K748" s="5"/>
      <c r="L748" s="4" t="s">
        <v>558</v>
      </c>
    </row>
    <row r="749" spans="1:12" ht="31" customHeight="1">
      <c r="A749" s="4" t="s">
        <v>233</v>
      </c>
      <c r="B749" s="4" t="s">
        <v>191</v>
      </c>
      <c r="C749" s="4" t="s">
        <v>47</v>
      </c>
      <c r="D749" s="6">
        <v>1</v>
      </c>
      <c r="E749" s="4" t="s">
        <v>1082</v>
      </c>
      <c r="F749" s="5"/>
      <c r="G749" s="4" t="s">
        <v>196</v>
      </c>
      <c r="H749" s="4" t="s">
        <v>197</v>
      </c>
      <c r="I749" s="5"/>
      <c r="J749" s="4" t="s">
        <v>1083</v>
      </c>
      <c r="K749" s="5"/>
      <c r="L749" s="4" t="s">
        <v>558</v>
      </c>
    </row>
    <row r="750" spans="1:12" ht="31" customHeight="1">
      <c r="A750" s="4" t="s">
        <v>233</v>
      </c>
      <c r="B750" s="4" t="s">
        <v>191</v>
      </c>
      <c r="C750" s="4" t="s">
        <v>48</v>
      </c>
      <c r="D750" s="6">
        <v>2</v>
      </c>
      <c r="E750" s="4" t="s">
        <v>1082</v>
      </c>
      <c r="F750" s="5"/>
      <c r="G750" s="4" t="s">
        <v>196</v>
      </c>
      <c r="H750" s="4" t="s">
        <v>197</v>
      </c>
      <c r="I750" s="5"/>
      <c r="J750" s="4" t="s">
        <v>1083</v>
      </c>
      <c r="K750" s="5"/>
      <c r="L750" s="4" t="s">
        <v>558</v>
      </c>
    </row>
    <row r="751" spans="1:12" ht="31" customHeight="1">
      <c r="A751" s="4" t="s">
        <v>233</v>
      </c>
      <c r="B751" s="4" t="s">
        <v>191</v>
      </c>
      <c r="C751" s="4" t="s">
        <v>49</v>
      </c>
      <c r="D751" s="6">
        <v>0</v>
      </c>
      <c r="E751" s="4" t="s">
        <v>1082</v>
      </c>
      <c r="F751" s="5"/>
      <c r="G751" s="4" t="s">
        <v>196</v>
      </c>
      <c r="H751" s="4" t="s">
        <v>197</v>
      </c>
      <c r="I751" s="5"/>
      <c r="J751" s="4" t="s">
        <v>1083</v>
      </c>
      <c r="K751" s="5"/>
      <c r="L751" s="4" t="s">
        <v>558</v>
      </c>
    </row>
    <row r="752" spans="1:12" ht="31" customHeight="1">
      <c r="A752" s="4" t="s">
        <v>423</v>
      </c>
      <c r="B752" s="4" t="s">
        <v>424</v>
      </c>
      <c r="C752" s="4" t="s">
        <v>40</v>
      </c>
      <c r="D752" s="6">
        <v>3</v>
      </c>
      <c r="E752" s="4" t="s">
        <v>1082</v>
      </c>
      <c r="F752" s="5"/>
      <c r="G752" s="4" t="s">
        <v>429</v>
      </c>
      <c r="H752" s="4" t="s">
        <v>430</v>
      </c>
      <c r="I752" s="5"/>
      <c r="J752" s="4" t="s">
        <v>1083</v>
      </c>
      <c r="K752" s="5"/>
      <c r="L752" s="4" t="s">
        <v>558</v>
      </c>
    </row>
    <row r="753" spans="1:12" ht="31" customHeight="1">
      <c r="A753" s="4" t="s">
        <v>423</v>
      </c>
      <c r="B753" s="4" t="s">
        <v>424</v>
      </c>
      <c r="C753" s="4" t="s">
        <v>41</v>
      </c>
      <c r="D753" s="6">
        <v>3</v>
      </c>
      <c r="E753" s="4" t="s">
        <v>1082</v>
      </c>
      <c r="F753" s="5"/>
      <c r="G753" s="4" t="s">
        <v>429</v>
      </c>
      <c r="H753" s="4" t="s">
        <v>430</v>
      </c>
      <c r="I753" s="5"/>
      <c r="J753" s="4" t="s">
        <v>1083</v>
      </c>
      <c r="K753" s="5"/>
      <c r="L753" s="4" t="s">
        <v>558</v>
      </c>
    </row>
    <row r="754" spans="1:12" ht="31" customHeight="1">
      <c r="A754" s="4" t="s">
        <v>423</v>
      </c>
      <c r="B754" s="4" t="s">
        <v>424</v>
      </c>
      <c r="C754" s="4" t="s">
        <v>42</v>
      </c>
      <c r="D754" s="6">
        <v>3</v>
      </c>
      <c r="E754" s="4" t="s">
        <v>1082</v>
      </c>
      <c r="F754" s="5"/>
      <c r="G754" s="4" t="s">
        <v>429</v>
      </c>
      <c r="H754" s="4" t="s">
        <v>430</v>
      </c>
      <c r="I754" s="5"/>
      <c r="J754" s="4" t="s">
        <v>1083</v>
      </c>
      <c r="K754" s="5"/>
      <c r="L754" s="4" t="s">
        <v>558</v>
      </c>
    </row>
    <row r="755" spans="1:12" ht="31" customHeight="1">
      <c r="A755" s="4" t="s">
        <v>423</v>
      </c>
      <c r="B755" s="4" t="s">
        <v>424</v>
      </c>
      <c r="C755" s="4" t="s">
        <v>43</v>
      </c>
      <c r="D755" s="6">
        <v>3</v>
      </c>
      <c r="E755" s="4" t="s">
        <v>1082</v>
      </c>
      <c r="F755" s="5"/>
      <c r="G755" s="4" t="s">
        <v>429</v>
      </c>
      <c r="H755" s="4" t="s">
        <v>430</v>
      </c>
      <c r="I755" s="5"/>
      <c r="J755" s="4" t="s">
        <v>1083</v>
      </c>
      <c r="K755" s="5"/>
      <c r="L755" s="4" t="s">
        <v>558</v>
      </c>
    </row>
    <row r="756" spans="1:12" ht="31" customHeight="1">
      <c r="A756" s="4" t="s">
        <v>423</v>
      </c>
      <c r="B756" s="4" t="s">
        <v>424</v>
      </c>
      <c r="C756" s="4" t="s">
        <v>44</v>
      </c>
      <c r="D756" s="6">
        <v>3</v>
      </c>
      <c r="E756" s="4" t="s">
        <v>1082</v>
      </c>
      <c r="F756" s="5"/>
      <c r="G756" s="4" t="s">
        <v>429</v>
      </c>
      <c r="H756" s="4" t="s">
        <v>430</v>
      </c>
      <c r="I756" s="5"/>
      <c r="J756" s="4" t="s">
        <v>1083</v>
      </c>
      <c r="K756" s="5"/>
      <c r="L756" s="4" t="s">
        <v>558</v>
      </c>
    </row>
    <row r="757" spans="1:12" ht="31" customHeight="1">
      <c r="A757" s="4" t="s">
        <v>423</v>
      </c>
      <c r="B757" s="4" t="s">
        <v>424</v>
      </c>
      <c r="C757" s="4" t="s">
        <v>45</v>
      </c>
      <c r="D757" s="6">
        <v>3</v>
      </c>
      <c r="E757" s="4" t="s">
        <v>1082</v>
      </c>
      <c r="F757" s="5"/>
      <c r="G757" s="4" t="s">
        <v>429</v>
      </c>
      <c r="H757" s="4" t="s">
        <v>430</v>
      </c>
      <c r="I757" s="5"/>
      <c r="J757" s="4" t="s">
        <v>1083</v>
      </c>
      <c r="K757" s="5"/>
      <c r="L757" s="4" t="s">
        <v>558</v>
      </c>
    </row>
    <row r="758" spans="1:12" ht="31" customHeight="1">
      <c r="A758" s="4" t="s">
        <v>423</v>
      </c>
      <c r="B758" s="4" t="s">
        <v>424</v>
      </c>
      <c r="C758" s="4" t="s">
        <v>46</v>
      </c>
      <c r="D758" s="6">
        <v>2</v>
      </c>
      <c r="E758" s="4" t="s">
        <v>1082</v>
      </c>
      <c r="F758" s="5"/>
      <c r="G758" s="4" t="s">
        <v>429</v>
      </c>
      <c r="H758" s="4" t="s">
        <v>430</v>
      </c>
      <c r="I758" s="5"/>
      <c r="J758" s="4" t="s">
        <v>1083</v>
      </c>
      <c r="K758" s="5"/>
      <c r="L758" s="4" t="s">
        <v>558</v>
      </c>
    </row>
    <row r="759" spans="1:12" ht="31" customHeight="1">
      <c r="A759" s="4" t="s">
        <v>423</v>
      </c>
      <c r="B759" s="4" t="s">
        <v>424</v>
      </c>
      <c r="C759" s="4" t="s">
        <v>47</v>
      </c>
      <c r="D759" s="6">
        <v>3</v>
      </c>
      <c r="E759" s="4" t="s">
        <v>1082</v>
      </c>
      <c r="F759" s="5"/>
      <c r="G759" s="4" t="s">
        <v>429</v>
      </c>
      <c r="H759" s="4" t="s">
        <v>430</v>
      </c>
      <c r="I759" s="5"/>
      <c r="J759" s="4" t="s">
        <v>1083</v>
      </c>
      <c r="K759" s="5"/>
      <c r="L759" s="4" t="s">
        <v>558</v>
      </c>
    </row>
    <row r="760" spans="1:12" ht="31" customHeight="1">
      <c r="A760" s="4" t="s">
        <v>423</v>
      </c>
      <c r="B760" s="4" t="s">
        <v>424</v>
      </c>
      <c r="C760" s="4" t="s">
        <v>48</v>
      </c>
      <c r="D760" s="6">
        <v>3</v>
      </c>
      <c r="E760" s="4" t="s">
        <v>1082</v>
      </c>
      <c r="F760" s="5"/>
      <c r="G760" s="4" t="s">
        <v>429</v>
      </c>
      <c r="H760" s="4" t="s">
        <v>430</v>
      </c>
      <c r="I760" s="5"/>
      <c r="J760" s="4" t="s">
        <v>1083</v>
      </c>
      <c r="K760" s="5"/>
      <c r="L760" s="4" t="s">
        <v>558</v>
      </c>
    </row>
    <row r="761" spans="1:12" ht="31" customHeight="1">
      <c r="A761" s="4" t="s">
        <v>423</v>
      </c>
      <c r="B761" s="4" t="s">
        <v>424</v>
      </c>
      <c r="C761" s="4" t="s">
        <v>49</v>
      </c>
      <c r="D761" s="6">
        <v>3</v>
      </c>
      <c r="E761" s="4" t="s">
        <v>1082</v>
      </c>
      <c r="F761" s="5"/>
      <c r="G761" s="4" t="s">
        <v>429</v>
      </c>
      <c r="H761" s="4" t="s">
        <v>430</v>
      </c>
      <c r="I761" s="5"/>
      <c r="J761" s="4" t="s">
        <v>1083</v>
      </c>
      <c r="K761" s="5"/>
      <c r="L761" s="4" t="s">
        <v>558</v>
      </c>
    </row>
    <row r="762" spans="1:12" ht="31" customHeight="1">
      <c r="A762" s="4" t="s">
        <v>435</v>
      </c>
      <c r="B762" s="4" t="s">
        <v>424</v>
      </c>
      <c r="C762" s="4" t="s">
        <v>40</v>
      </c>
      <c r="D762" s="6">
        <v>3</v>
      </c>
      <c r="E762" s="4" t="s">
        <v>1082</v>
      </c>
      <c r="F762" s="5"/>
      <c r="G762" s="4" t="s">
        <v>429</v>
      </c>
      <c r="H762" s="4" t="s">
        <v>430</v>
      </c>
      <c r="I762" s="5"/>
      <c r="J762" s="4" t="s">
        <v>1083</v>
      </c>
      <c r="K762" s="5"/>
      <c r="L762" s="4" t="s">
        <v>558</v>
      </c>
    </row>
    <row r="763" spans="1:12" ht="31" customHeight="1">
      <c r="A763" s="4" t="s">
        <v>435</v>
      </c>
      <c r="B763" s="4" t="s">
        <v>424</v>
      </c>
      <c r="C763" s="4" t="s">
        <v>41</v>
      </c>
      <c r="D763" s="6">
        <v>3</v>
      </c>
      <c r="E763" s="4" t="s">
        <v>1082</v>
      </c>
      <c r="F763" s="5"/>
      <c r="G763" s="4" t="s">
        <v>429</v>
      </c>
      <c r="H763" s="4" t="s">
        <v>430</v>
      </c>
      <c r="I763" s="5"/>
      <c r="J763" s="4" t="s">
        <v>1083</v>
      </c>
      <c r="K763" s="5"/>
      <c r="L763" s="4" t="s">
        <v>558</v>
      </c>
    </row>
    <row r="764" spans="1:12" ht="31" customHeight="1">
      <c r="A764" s="4" t="s">
        <v>435</v>
      </c>
      <c r="B764" s="4" t="s">
        <v>424</v>
      </c>
      <c r="C764" s="4" t="s">
        <v>42</v>
      </c>
      <c r="D764" s="6">
        <v>3</v>
      </c>
      <c r="E764" s="4" t="s">
        <v>1082</v>
      </c>
      <c r="F764" s="5"/>
      <c r="G764" s="4" t="s">
        <v>429</v>
      </c>
      <c r="H764" s="4" t="s">
        <v>430</v>
      </c>
      <c r="I764" s="5"/>
      <c r="J764" s="4" t="s">
        <v>1083</v>
      </c>
      <c r="K764" s="5"/>
      <c r="L764" s="4" t="s">
        <v>558</v>
      </c>
    </row>
    <row r="765" spans="1:12" ht="31" customHeight="1">
      <c r="A765" s="4" t="s">
        <v>435</v>
      </c>
      <c r="B765" s="4" t="s">
        <v>424</v>
      </c>
      <c r="C765" s="4" t="s">
        <v>43</v>
      </c>
      <c r="D765" s="6">
        <v>3</v>
      </c>
      <c r="E765" s="4" t="s">
        <v>1082</v>
      </c>
      <c r="F765" s="5"/>
      <c r="G765" s="4" t="s">
        <v>429</v>
      </c>
      <c r="H765" s="4" t="s">
        <v>430</v>
      </c>
      <c r="I765" s="5"/>
      <c r="J765" s="4" t="s">
        <v>1083</v>
      </c>
      <c r="K765" s="5"/>
      <c r="L765" s="4" t="s">
        <v>558</v>
      </c>
    </row>
    <row r="766" spans="1:12" ht="31" customHeight="1">
      <c r="A766" s="4" t="s">
        <v>435</v>
      </c>
      <c r="B766" s="4" t="s">
        <v>424</v>
      </c>
      <c r="C766" s="4" t="s">
        <v>44</v>
      </c>
      <c r="D766" s="6">
        <v>3</v>
      </c>
      <c r="E766" s="4" t="s">
        <v>1082</v>
      </c>
      <c r="F766" s="5"/>
      <c r="G766" s="4" t="s">
        <v>429</v>
      </c>
      <c r="H766" s="4" t="s">
        <v>430</v>
      </c>
      <c r="I766" s="5"/>
      <c r="J766" s="4" t="s">
        <v>1083</v>
      </c>
      <c r="K766" s="5"/>
      <c r="L766" s="4" t="s">
        <v>558</v>
      </c>
    </row>
    <row r="767" spans="1:12" ht="31" customHeight="1">
      <c r="A767" s="4" t="s">
        <v>435</v>
      </c>
      <c r="B767" s="4" t="s">
        <v>424</v>
      </c>
      <c r="C767" s="4" t="s">
        <v>45</v>
      </c>
      <c r="D767" s="6">
        <v>3</v>
      </c>
      <c r="E767" s="4" t="s">
        <v>1082</v>
      </c>
      <c r="F767" s="5"/>
      <c r="G767" s="4" t="s">
        <v>429</v>
      </c>
      <c r="H767" s="4" t="s">
        <v>430</v>
      </c>
      <c r="I767" s="5"/>
      <c r="J767" s="4" t="s">
        <v>1083</v>
      </c>
      <c r="K767" s="5"/>
      <c r="L767" s="4" t="s">
        <v>558</v>
      </c>
    </row>
    <row r="768" spans="1:12" ht="31" customHeight="1">
      <c r="A768" s="4" t="s">
        <v>435</v>
      </c>
      <c r="B768" s="4" t="s">
        <v>424</v>
      </c>
      <c r="C768" s="4" t="s">
        <v>46</v>
      </c>
      <c r="D768" s="6">
        <v>0</v>
      </c>
      <c r="E768" s="4" t="s">
        <v>1082</v>
      </c>
      <c r="F768" s="5"/>
      <c r="G768" s="4" t="s">
        <v>429</v>
      </c>
      <c r="H768" s="4" t="s">
        <v>430</v>
      </c>
      <c r="I768" s="5"/>
      <c r="J768" s="4" t="s">
        <v>1083</v>
      </c>
      <c r="K768" s="5"/>
      <c r="L768" s="4" t="s">
        <v>558</v>
      </c>
    </row>
    <row r="769" spans="1:12" ht="31" customHeight="1">
      <c r="A769" s="4" t="s">
        <v>435</v>
      </c>
      <c r="B769" s="4" t="s">
        <v>424</v>
      </c>
      <c r="C769" s="4" t="s">
        <v>47</v>
      </c>
      <c r="D769" s="6">
        <v>3</v>
      </c>
      <c r="E769" s="4" t="s">
        <v>1082</v>
      </c>
      <c r="F769" s="5"/>
      <c r="G769" s="4" t="s">
        <v>429</v>
      </c>
      <c r="H769" s="4" t="s">
        <v>430</v>
      </c>
      <c r="I769" s="5"/>
      <c r="J769" s="4" t="s">
        <v>1083</v>
      </c>
      <c r="K769" s="5"/>
      <c r="L769" s="4" t="s">
        <v>558</v>
      </c>
    </row>
    <row r="770" spans="1:12" ht="31" customHeight="1">
      <c r="A770" s="4" t="s">
        <v>435</v>
      </c>
      <c r="B770" s="4" t="s">
        <v>424</v>
      </c>
      <c r="C770" s="4" t="s">
        <v>48</v>
      </c>
      <c r="D770" s="6">
        <v>3</v>
      </c>
      <c r="E770" s="4" t="s">
        <v>1082</v>
      </c>
      <c r="F770" s="5"/>
      <c r="G770" s="4" t="s">
        <v>429</v>
      </c>
      <c r="H770" s="4" t="s">
        <v>430</v>
      </c>
      <c r="I770" s="5"/>
      <c r="J770" s="4" t="s">
        <v>1083</v>
      </c>
      <c r="K770" s="5"/>
      <c r="L770" s="4" t="s">
        <v>558</v>
      </c>
    </row>
    <row r="771" spans="1:12" ht="31" customHeight="1">
      <c r="A771" s="4" t="s">
        <v>435</v>
      </c>
      <c r="B771" s="4" t="s">
        <v>424</v>
      </c>
      <c r="C771" s="4" t="s">
        <v>49</v>
      </c>
      <c r="D771" s="6">
        <v>3</v>
      </c>
      <c r="E771" s="4" t="s">
        <v>1082</v>
      </c>
      <c r="F771" s="5"/>
      <c r="G771" s="4" t="s">
        <v>429</v>
      </c>
      <c r="H771" s="4" t="s">
        <v>430</v>
      </c>
      <c r="I771" s="5"/>
      <c r="J771" s="4" t="s">
        <v>1083</v>
      </c>
      <c r="K771" s="5"/>
      <c r="L771" s="4" t="s">
        <v>558</v>
      </c>
    </row>
    <row r="772" spans="1:12" ht="31" customHeight="1">
      <c r="A772" s="4" t="s">
        <v>440</v>
      </c>
      <c r="B772" s="4" t="s">
        <v>424</v>
      </c>
      <c r="C772" s="4" t="s">
        <v>40</v>
      </c>
      <c r="D772" s="6">
        <v>3</v>
      </c>
      <c r="E772" s="4" t="s">
        <v>1082</v>
      </c>
      <c r="F772" s="5"/>
      <c r="G772" s="4" t="s">
        <v>429</v>
      </c>
      <c r="H772" s="4" t="s">
        <v>430</v>
      </c>
      <c r="I772" s="5"/>
      <c r="J772" s="4" t="s">
        <v>1083</v>
      </c>
      <c r="K772" s="5"/>
      <c r="L772" s="4" t="s">
        <v>558</v>
      </c>
    </row>
    <row r="773" spans="1:12" ht="31" customHeight="1">
      <c r="A773" s="4" t="s">
        <v>440</v>
      </c>
      <c r="B773" s="4" t="s">
        <v>424</v>
      </c>
      <c r="C773" s="4" t="s">
        <v>41</v>
      </c>
      <c r="D773" s="6">
        <v>3</v>
      </c>
      <c r="E773" s="4" t="s">
        <v>1082</v>
      </c>
      <c r="F773" s="5"/>
      <c r="G773" s="4" t="s">
        <v>429</v>
      </c>
      <c r="H773" s="4" t="s">
        <v>430</v>
      </c>
      <c r="I773" s="5"/>
      <c r="J773" s="4" t="s">
        <v>1083</v>
      </c>
      <c r="K773" s="5"/>
      <c r="L773" s="4" t="s">
        <v>558</v>
      </c>
    </row>
    <row r="774" spans="1:12" ht="31" customHeight="1">
      <c r="A774" s="4" t="s">
        <v>440</v>
      </c>
      <c r="B774" s="4" t="s">
        <v>424</v>
      </c>
      <c r="C774" s="4" t="s">
        <v>42</v>
      </c>
      <c r="D774" s="6">
        <v>3</v>
      </c>
      <c r="E774" s="4" t="s">
        <v>1082</v>
      </c>
      <c r="F774" s="5"/>
      <c r="G774" s="4" t="s">
        <v>429</v>
      </c>
      <c r="H774" s="4" t="s">
        <v>430</v>
      </c>
      <c r="I774" s="5"/>
      <c r="J774" s="4" t="s">
        <v>1083</v>
      </c>
      <c r="K774" s="5"/>
      <c r="L774" s="4" t="s">
        <v>558</v>
      </c>
    </row>
    <row r="775" spans="1:12" ht="31" customHeight="1">
      <c r="A775" s="4" t="s">
        <v>440</v>
      </c>
      <c r="B775" s="4" t="s">
        <v>424</v>
      </c>
      <c r="C775" s="4" t="s">
        <v>43</v>
      </c>
      <c r="D775" s="6">
        <v>3</v>
      </c>
      <c r="E775" s="4" t="s">
        <v>1082</v>
      </c>
      <c r="F775" s="5"/>
      <c r="G775" s="4" t="s">
        <v>429</v>
      </c>
      <c r="H775" s="4" t="s">
        <v>430</v>
      </c>
      <c r="I775" s="5"/>
      <c r="J775" s="4" t="s">
        <v>1083</v>
      </c>
      <c r="K775" s="5"/>
      <c r="L775" s="4" t="s">
        <v>558</v>
      </c>
    </row>
    <row r="776" spans="1:12" ht="31" customHeight="1">
      <c r="A776" s="4" t="s">
        <v>440</v>
      </c>
      <c r="B776" s="4" t="s">
        <v>424</v>
      </c>
      <c r="C776" s="4" t="s">
        <v>44</v>
      </c>
      <c r="D776" s="6">
        <v>3</v>
      </c>
      <c r="E776" s="4" t="s">
        <v>1082</v>
      </c>
      <c r="F776" s="5"/>
      <c r="G776" s="4" t="s">
        <v>429</v>
      </c>
      <c r="H776" s="4" t="s">
        <v>430</v>
      </c>
      <c r="I776" s="5"/>
      <c r="J776" s="4" t="s">
        <v>1083</v>
      </c>
      <c r="K776" s="5"/>
      <c r="L776" s="4" t="s">
        <v>558</v>
      </c>
    </row>
    <row r="777" spans="1:12" ht="31" customHeight="1">
      <c r="A777" s="4" t="s">
        <v>440</v>
      </c>
      <c r="B777" s="4" t="s">
        <v>424</v>
      </c>
      <c r="C777" s="4" t="s">
        <v>45</v>
      </c>
      <c r="D777" s="6">
        <v>3</v>
      </c>
      <c r="E777" s="4" t="s">
        <v>1082</v>
      </c>
      <c r="F777" s="5"/>
      <c r="G777" s="4" t="s">
        <v>429</v>
      </c>
      <c r="H777" s="4" t="s">
        <v>430</v>
      </c>
      <c r="I777" s="5"/>
      <c r="J777" s="4" t="s">
        <v>1083</v>
      </c>
      <c r="K777" s="5"/>
      <c r="L777" s="4" t="s">
        <v>558</v>
      </c>
    </row>
    <row r="778" spans="1:12" ht="31" customHeight="1">
      <c r="A778" s="4" t="s">
        <v>440</v>
      </c>
      <c r="B778" s="4" t="s">
        <v>424</v>
      </c>
      <c r="C778" s="4" t="s">
        <v>46</v>
      </c>
      <c r="D778" s="6">
        <v>3</v>
      </c>
      <c r="E778" s="4" t="s">
        <v>1082</v>
      </c>
      <c r="F778" s="5"/>
      <c r="G778" s="4" t="s">
        <v>429</v>
      </c>
      <c r="H778" s="4" t="s">
        <v>430</v>
      </c>
      <c r="I778" s="5"/>
      <c r="J778" s="4" t="s">
        <v>1083</v>
      </c>
      <c r="K778" s="5"/>
      <c r="L778" s="4" t="s">
        <v>558</v>
      </c>
    </row>
    <row r="779" spans="1:12" ht="31" customHeight="1">
      <c r="A779" s="4" t="s">
        <v>440</v>
      </c>
      <c r="B779" s="4" t="s">
        <v>424</v>
      </c>
      <c r="C779" s="4" t="s">
        <v>47</v>
      </c>
      <c r="D779" s="6">
        <v>3</v>
      </c>
      <c r="E779" s="4" t="s">
        <v>1082</v>
      </c>
      <c r="F779" s="5"/>
      <c r="G779" s="4" t="s">
        <v>429</v>
      </c>
      <c r="H779" s="4" t="s">
        <v>430</v>
      </c>
      <c r="I779" s="5"/>
      <c r="J779" s="4" t="s">
        <v>1083</v>
      </c>
      <c r="K779" s="5"/>
      <c r="L779" s="4" t="s">
        <v>558</v>
      </c>
    </row>
    <row r="780" spans="1:12" ht="31" customHeight="1">
      <c r="A780" s="4" t="s">
        <v>440</v>
      </c>
      <c r="B780" s="4" t="s">
        <v>424</v>
      </c>
      <c r="C780" s="4" t="s">
        <v>48</v>
      </c>
      <c r="D780" s="6">
        <v>3</v>
      </c>
      <c r="E780" s="4" t="s">
        <v>1082</v>
      </c>
      <c r="F780" s="5"/>
      <c r="G780" s="4" t="s">
        <v>429</v>
      </c>
      <c r="H780" s="4" t="s">
        <v>430</v>
      </c>
      <c r="I780" s="5"/>
      <c r="J780" s="4" t="s">
        <v>1083</v>
      </c>
      <c r="K780" s="5"/>
      <c r="L780" s="4" t="s">
        <v>558</v>
      </c>
    </row>
    <row r="781" spans="1:12" ht="31" customHeight="1">
      <c r="A781" s="4" t="s">
        <v>440</v>
      </c>
      <c r="B781" s="4" t="s">
        <v>424</v>
      </c>
      <c r="C781" s="4" t="s">
        <v>49</v>
      </c>
      <c r="D781" s="6">
        <v>3</v>
      </c>
      <c r="E781" s="4" t="s">
        <v>1082</v>
      </c>
      <c r="F781" s="5"/>
      <c r="G781" s="4" t="s">
        <v>429</v>
      </c>
      <c r="H781" s="4" t="s">
        <v>430</v>
      </c>
      <c r="I781" s="5"/>
      <c r="J781" s="4" t="s">
        <v>1083</v>
      </c>
      <c r="K781" s="5"/>
      <c r="L781" s="4" t="s">
        <v>558</v>
      </c>
    </row>
    <row r="782" spans="1:12" ht="31" customHeight="1">
      <c r="A782" s="4" t="s">
        <v>446</v>
      </c>
      <c r="B782" s="4" t="s">
        <v>424</v>
      </c>
      <c r="C782" s="4" t="s">
        <v>40</v>
      </c>
      <c r="D782" s="6">
        <v>3</v>
      </c>
      <c r="E782" s="4" t="s">
        <v>1082</v>
      </c>
      <c r="F782" s="5"/>
      <c r="G782" s="4" t="s">
        <v>429</v>
      </c>
      <c r="H782" s="4" t="s">
        <v>430</v>
      </c>
      <c r="I782" s="5"/>
      <c r="J782" s="4" t="s">
        <v>1083</v>
      </c>
      <c r="K782" s="5"/>
      <c r="L782" s="4" t="s">
        <v>558</v>
      </c>
    </row>
    <row r="783" spans="1:12" ht="31" customHeight="1">
      <c r="A783" s="4" t="s">
        <v>446</v>
      </c>
      <c r="B783" s="4" t="s">
        <v>424</v>
      </c>
      <c r="C783" s="4" t="s">
        <v>41</v>
      </c>
      <c r="D783" s="6">
        <v>3</v>
      </c>
      <c r="E783" s="4" t="s">
        <v>1082</v>
      </c>
      <c r="F783" s="5"/>
      <c r="G783" s="4" t="s">
        <v>429</v>
      </c>
      <c r="H783" s="4" t="s">
        <v>430</v>
      </c>
      <c r="I783" s="5"/>
      <c r="J783" s="4" t="s">
        <v>1083</v>
      </c>
      <c r="K783" s="5"/>
      <c r="L783" s="4" t="s">
        <v>558</v>
      </c>
    </row>
    <row r="784" spans="1:12" ht="31" customHeight="1">
      <c r="A784" s="4" t="s">
        <v>446</v>
      </c>
      <c r="B784" s="4" t="s">
        <v>424</v>
      </c>
      <c r="C784" s="4" t="s">
        <v>42</v>
      </c>
      <c r="D784" s="6">
        <v>3</v>
      </c>
      <c r="E784" s="4" t="s">
        <v>1082</v>
      </c>
      <c r="F784" s="5"/>
      <c r="G784" s="4" t="s">
        <v>429</v>
      </c>
      <c r="H784" s="4" t="s">
        <v>430</v>
      </c>
      <c r="I784" s="5"/>
      <c r="J784" s="4" t="s">
        <v>1083</v>
      </c>
      <c r="K784" s="5"/>
      <c r="L784" s="4" t="s">
        <v>558</v>
      </c>
    </row>
    <row r="785" spans="1:12" ht="31" customHeight="1">
      <c r="A785" s="4" t="s">
        <v>446</v>
      </c>
      <c r="B785" s="4" t="s">
        <v>424</v>
      </c>
      <c r="C785" s="4" t="s">
        <v>43</v>
      </c>
      <c r="D785" s="6">
        <v>3</v>
      </c>
      <c r="E785" s="4" t="s">
        <v>1082</v>
      </c>
      <c r="F785" s="5"/>
      <c r="G785" s="4" t="s">
        <v>429</v>
      </c>
      <c r="H785" s="4" t="s">
        <v>430</v>
      </c>
      <c r="I785" s="5"/>
      <c r="J785" s="4" t="s">
        <v>1083</v>
      </c>
      <c r="K785" s="5"/>
      <c r="L785" s="4" t="s">
        <v>558</v>
      </c>
    </row>
    <row r="786" spans="1:12" ht="31" customHeight="1">
      <c r="A786" s="4" t="s">
        <v>446</v>
      </c>
      <c r="B786" s="4" t="s">
        <v>424</v>
      </c>
      <c r="C786" s="4" t="s">
        <v>44</v>
      </c>
      <c r="D786" s="6">
        <v>3</v>
      </c>
      <c r="E786" s="4" t="s">
        <v>1082</v>
      </c>
      <c r="F786" s="5"/>
      <c r="G786" s="4" t="s">
        <v>429</v>
      </c>
      <c r="H786" s="4" t="s">
        <v>430</v>
      </c>
      <c r="I786" s="5"/>
      <c r="J786" s="4" t="s">
        <v>1083</v>
      </c>
      <c r="K786" s="5"/>
      <c r="L786" s="4" t="s">
        <v>558</v>
      </c>
    </row>
    <row r="787" spans="1:12" ht="31" customHeight="1">
      <c r="A787" s="4" t="s">
        <v>446</v>
      </c>
      <c r="B787" s="4" t="s">
        <v>424</v>
      </c>
      <c r="C787" s="4" t="s">
        <v>45</v>
      </c>
      <c r="D787" s="6">
        <v>3</v>
      </c>
      <c r="E787" s="4" t="s">
        <v>1082</v>
      </c>
      <c r="F787" s="5"/>
      <c r="G787" s="4" t="s">
        <v>429</v>
      </c>
      <c r="H787" s="4" t="s">
        <v>430</v>
      </c>
      <c r="I787" s="5"/>
      <c r="J787" s="4" t="s">
        <v>1083</v>
      </c>
      <c r="K787" s="5"/>
      <c r="L787" s="4" t="s">
        <v>558</v>
      </c>
    </row>
    <row r="788" spans="1:12" ht="31" customHeight="1">
      <c r="A788" s="4" t="s">
        <v>446</v>
      </c>
      <c r="B788" s="4" t="s">
        <v>424</v>
      </c>
      <c r="C788" s="4" t="s">
        <v>46</v>
      </c>
      <c r="D788" s="6">
        <v>3</v>
      </c>
      <c r="E788" s="4" t="s">
        <v>1082</v>
      </c>
      <c r="F788" s="5"/>
      <c r="G788" s="4" t="s">
        <v>429</v>
      </c>
      <c r="H788" s="4" t="s">
        <v>430</v>
      </c>
      <c r="I788" s="5"/>
      <c r="J788" s="4" t="s">
        <v>1083</v>
      </c>
      <c r="K788" s="5"/>
      <c r="L788" s="4" t="s">
        <v>558</v>
      </c>
    </row>
    <row r="789" spans="1:12" ht="31" customHeight="1">
      <c r="A789" s="4" t="s">
        <v>446</v>
      </c>
      <c r="B789" s="4" t="s">
        <v>424</v>
      </c>
      <c r="C789" s="4" t="s">
        <v>47</v>
      </c>
      <c r="D789" s="6">
        <v>3</v>
      </c>
      <c r="E789" s="4" t="s">
        <v>1082</v>
      </c>
      <c r="F789" s="5"/>
      <c r="G789" s="4" t="s">
        <v>429</v>
      </c>
      <c r="H789" s="4" t="s">
        <v>430</v>
      </c>
      <c r="I789" s="5"/>
      <c r="J789" s="4" t="s">
        <v>1083</v>
      </c>
      <c r="K789" s="5"/>
      <c r="L789" s="4" t="s">
        <v>558</v>
      </c>
    </row>
    <row r="790" spans="1:12" ht="31" customHeight="1">
      <c r="A790" s="4" t="s">
        <v>446</v>
      </c>
      <c r="B790" s="4" t="s">
        <v>424</v>
      </c>
      <c r="C790" s="4" t="s">
        <v>48</v>
      </c>
      <c r="D790" s="6">
        <v>3</v>
      </c>
      <c r="E790" s="4" t="s">
        <v>1082</v>
      </c>
      <c r="F790" s="5"/>
      <c r="G790" s="4" t="s">
        <v>429</v>
      </c>
      <c r="H790" s="4" t="s">
        <v>430</v>
      </c>
      <c r="I790" s="5"/>
      <c r="J790" s="4" t="s">
        <v>1083</v>
      </c>
      <c r="K790" s="5"/>
      <c r="L790" s="4" t="s">
        <v>558</v>
      </c>
    </row>
    <row r="791" spans="1:12" ht="31" customHeight="1">
      <c r="A791" s="4" t="s">
        <v>446</v>
      </c>
      <c r="B791" s="4" t="s">
        <v>424</v>
      </c>
      <c r="C791" s="4" t="s">
        <v>49</v>
      </c>
      <c r="D791" s="6">
        <v>3</v>
      </c>
      <c r="E791" s="4" t="s">
        <v>1082</v>
      </c>
      <c r="F791" s="5"/>
      <c r="G791" s="4" t="s">
        <v>429</v>
      </c>
      <c r="H791" s="4" t="s">
        <v>430</v>
      </c>
      <c r="I791" s="5"/>
      <c r="J791" s="4" t="s">
        <v>1083</v>
      </c>
      <c r="K791" s="5"/>
      <c r="L791" s="4" t="s">
        <v>558</v>
      </c>
    </row>
    <row r="792" spans="1:12" ht="31" customHeight="1">
      <c r="A792" s="4" t="s">
        <v>451</v>
      </c>
      <c r="B792" s="4" t="s">
        <v>424</v>
      </c>
      <c r="C792" s="4" t="s">
        <v>40</v>
      </c>
      <c r="D792" s="6">
        <v>3</v>
      </c>
      <c r="E792" s="4" t="s">
        <v>1082</v>
      </c>
      <c r="F792" s="5"/>
      <c r="G792" s="4" t="s">
        <v>429</v>
      </c>
      <c r="H792" s="4" t="s">
        <v>430</v>
      </c>
      <c r="I792" s="5"/>
      <c r="J792" s="4" t="s">
        <v>1083</v>
      </c>
      <c r="K792" s="5"/>
      <c r="L792" s="4" t="s">
        <v>558</v>
      </c>
    </row>
    <row r="793" spans="1:12" ht="31" customHeight="1">
      <c r="A793" s="4" t="s">
        <v>451</v>
      </c>
      <c r="B793" s="4" t="s">
        <v>424</v>
      </c>
      <c r="C793" s="4" t="s">
        <v>41</v>
      </c>
      <c r="D793" s="6">
        <v>0</v>
      </c>
      <c r="E793" s="4" t="s">
        <v>1082</v>
      </c>
      <c r="F793" s="5"/>
      <c r="G793" s="4" t="s">
        <v>429</v>
      </c>
      <c r="H793" s="4" t="s">
        <v>430</v>
      </c>
      <c r="I793" s="5"/>
      <c r="J793" s="4" t="s">
        <v>1083</v>
      </c>
      <c r="K793" s="5"/>
      <c r="L793" s="4" t="s">
        <v>558</v>
      </c>
    </row>
    <row r="794" spans="1:12" ht="31" customHeight="1">
      <c r="A794" s="4" t="s">
        <v>451</v>
      </c>
      <c r="B794" s="4" t="s">
        <v>424</v>
      </c>
      <c r="C794" s="4" t="s">
        <v>42</v>
      </c>
      <c r="D794" s="6">
        <v>3</v>
      </c>
      <c r="E794" s="4" t="s">
        <v>1082</v>
      </c>
      <c r="F794" s="5"/>
      <c r="G794" s="4" t="s">
        <v>429</v>
      </c>
      <c r="H794" s="4" t="s">
        <v>430</v>
      </c>
      <c r="I794" s="5"/>
      <c r="J794" s="4" t="s">
        <v>1083</v>
      </c>
      <c r="K794" s="5"/>
      <c r="L794" s="4" t="s">
        <v>558</v>
      </c>
    </row>
    <row r="795" spans="1:12" ht="31" customHeight="1">
      <c r="A795" s="4" t="s">
        <v>451</v>
      </c>
      <c r="B795" s="4" t="s">
        <v>424</v>
      </c>
      <c r="C795" s="4" t="s">
        <v>43</v>
      </c>
      <c r="D795" s="6">
        <v>3</v>
      </c>
      <c r="E795" s="4" t="s">
        <v>1082</v>
      </c>
      <c r="F795" s="5"/>
      <c r="G795" s="4" t="s">
        <v>429</v>
      </c>
      <c r="H795" s="4" t="s">
        <v>430</v>
      </c>
      <c r="I795" s="5"/>
      <c r="J795" s="4" t="s">
        <v>1083</v>
      </c>
      <c r="K795" s="5"/>
      <c r="L795" s="4" t="s">
        <v>558</v>
      </c>
    </row>
    <row r="796" spans="1:12" ht="31" customHeight="1">
      <c r="A796" s="4" t="s">
        <v>451</v>
      </c>
      <c r="B796" s="4" t="s">
        <v>424</v>
      </c>
      <c r="C796" s="4" t="s">
        <v>44</v>
      </c>
      <c r="D796" s="6">
        <v>3</v>
      </c>
      <c r="E796" s="4" t="s">
        <v>1082</v>
      </c>
      <c r="F796" s="5"/>
      <c r="G796" s="4" t="s">
        <v>429</v>
      </c>
      <c r="H796" s="4" t="s">
        <v>430</v>
      </c>
      <c r="I796" s="5"/>
      <c r="J796" s="4" t="s">
        <v>1083</v>
      </c>
      <c r="K796" s="5"/>
      <c r="L796" s="4" t="s">
        <v>558</v>
      </c>
    </row>
    <row r="797" spans="1:12" ht="31" customHeight="1">
      <c r="A797" s="4" t="s">
        <v>451</v>
      </c>
      <c r="B797" s="4" t="s">
        <v>424</v>
      </c>
      <c r="C797" s="4" t="s">
        <v>45</v>
      </c>
      <c r="D797" s="6">
        <v>3</v>
      </c>
      <c r="E797" s="4" t="s">
        <v>1082</v>
      </c>
      <c r="F797" s="5"/>
      <c r="G797" s="4" t="s">
        <v>429</v>
      </c>
      <c r="H797" s="4" t="s">
        <v>430</v>
      </c>
      <c r="I797" s="5"/>
      <c r="J797" s="4" t="s">
        <v>1083</v>
      </c>
      <c r="K797" s="5"/>
      <c r="L797" s="4" t="s">
        <v>558</v>
      </c>
    </row>
    <row r="798" spans="1:12" ht="31" customHeight="1">
      <c r="A798" s="4" t="s">
        <v>451</v>
      </c>
      <c r="B798" s="4" t="s">
        <v>424</v>
      </c>
      <c r="C798" s="4" t="s">
        <v>46</v>
      </c>
      <c r="D798" s="6">
        <v>3</v>
      </c>
      <c r="E798" s="4" t="s">
        <v>1082</v>
      </c>
      <c r="F798" s="5"/>
      <c r="G798" s="4" t="s">
        <v>429</v>
      </c>
      <c r="H798" s="4" t="s">
        <v>430</v>
      </c>
      <c r="I798" s="5"/>
      <c r="J798" s="4" t="s">
        <v>1083</v>
      </c>
      <c r="K798" s="5"/>
      <c r="L798" s="4" t="s">
        <v>558</v>
      </c>
    </row>
    <row r="799" spans="1:12" ht="31" customHeight="1">
      <c r="A799" s="4" t="s">
        <v>451</v>
      </c>
      <c r="B799" s="4" t="s">
        <v>424</v>
      </c>
      <c r="C799" s="4" t="s">
        <v>47</v>
      </c>
      <c r="D799" s="6">
        <v>3</v>
      </c>
      <c r="E799" s="4" t="s">
        <v>1082</v>
      </c>
      <c r="F799" s="5"/>
      <c r="G799" s="4" t="s">
        <v>429</v>
      </c>
      <c r="H799" s="4" t="s">
        <v>430</v>
      </c>
      <c r="I799" s="5"/>
      <c r="J799" s="4" t="s">
        <v>1083</v>
      </c>
      <c r="K799" s="5"/>
      <c r="L799" s="4" t="s">
        <v>558</v>
      </c>
    </row>
    <row r="800" spans="1:12" ht="31" customHeight="1">
      <c r="A800" s="4" t="s">
        <v>451</v>
      </c>
      <c r="B800" s="4" t="s">
        <v>424</v>
      </c>
      <c r="C800" s="4" t="s">
        <v>48</v>
      </c>
      <c r="D800" s="6">
        <v>3</v>
      </c>
      <c r="E800" s="4" t="s">
        <v>1082</v>
      </c>
      <c r="F800" s="5"/>
      <c r="G800" s="4" t="s">
        <v>429</v>
      </c>
      <c r="H800" s="4" t="s">
        <v>430</v>
      </c>
      <c r="I800" s="5"/>
      <c r="J800" s="4" t="s">
        <v>1083</v>
      </c>
      <c r="K800" s="5"/>
      <c r="L800" s="4" t="s">
        <v>558</v>
      </c>
    </row>
    <row r="801" spans="1:12" ht="31" customHeight="1">
      <c r="A801" s="4" t="s">
        <v>451</v>
      </c>
      <c r="B801" s="4" t="s">
        <v>424</v>
      </c>
      <c r="C801" s="4" t="s">
        <v>49</v>
      </c>
      <c r="D801" s="6">
        <v>3</v>
      </c>
      <c r="E801" s="4" t="s">
        <v>1082</v>
      </c>
      <c r="F801" s="5"/>
      <c r="G801" s="4" t="s">
        <v>429</v>
      </c>
      <c r="H801" s="4" t="s">
        <v>430</v>
      </c>
      <c r="I801" s="5"/>
      <c r="J801" s="4" t="s">
        <v>1083</v>
      </c>
      <c r="K801" s="5"/>
      <c r="L801" s="4" t="s">
        <v>558</v>
      </c>
    </row>
    <row r="802" spans="1:12" ht="31" customHeight="1">
      <c r="A802" s="4" t="s">
        <v>455</v>
      </c>
      <c r="B802" s="4" t="s">
        <v>424</v>
      </c>
      <c r="C802" s="4" t="s">
        <v>40</v>
      </c>
      <c r="D802" s="6">
        <v>3</v>
      </c>
      <c r="E802" s="4" t="s">
        <v>1082</v>
      </c>
      <c r="F802" s="5"/>
      <c r="G802" s="4" t="s">
        <v>429</v>
      </c>
      <c r="H802" s="4" t="s">
        <v>430</v>
      </c>
      <c r="I802" s="5"/>
      <c r="J802" s="4" t="s">
        <v>1083</v>
      </c>
      <c r="K802" s="5"/>
      <c r="L802" s="4" t="s">
        <v>558</v>
      </c>
    </row>
    <row r="803" spans="1:12" ht="31" customHeight="1">
      <c r="A803" s="4" t="s">
        <v>455</v>
      </c>
      <c r="B803" s="4" t="s">
        <v>424</v>
      </c>
      <c r="C803" s="4" t="s">
        <v>41</v>
      </c>
      <c r="D803" s="6">
        <v>3</v>
      </c>
      <c r="E803" s="4" t="s">
        <v>1082</v>
      </c>
      <c r="F803" s="5"/>
      <c r="G803" s="4" t="s">
        <v>429</v>
      </c>
      <c r="H803" s="4" t="s">
        <v>430</v>
      </c>
      <c r="I803" s="5"/>
      <c r="J803" s="4" t="s">
        <v>1083</v>
      </c>
      <c r="K803" s="5"/>
      <c r="L803" s="4" t="s">
        <v>558</v>
      </c>
    </row>
    <row r="804" spans="1:12" ht="31" customHeight="1">
      <c r="A804" s="4" t="s">
        <v>455</v>
      </c>
      <c r="B804" s="4" t="s">
        <v>424</v>
      </c>
      <c r="C804" s="4" t="s">
        <v>42</v>
      </c>
      <c r="D804" s="6">
        <v>3</v>
      </c>
      <c r="E804" s="4" t="s">
        <v>1082</v>
      </c>
      <c r="F804" s="5"/>
      <c r="G804" s="4" t="s">
        <v>429</v>
      </c>
      <c r="H804" s="4" t="s">
        <v>430</v>
      </c>
      <c r="I804" s="5"/>
      <c r="J804" s="4" t="s">
        <v>1083</v>
      </c>
      <c r="K804" s="5"/>
      <c r="L804" s="4" t="s">
        <v>558</v>
      </c>
    </row>
    <row r="805" spans="1:12" ht="31" customHeight="1">
      <c r="A805" s="4" t="s">
        <v>455</v>
      </c>
      <c r="B805" s="4" t="s">
        <v>424</v>
      </c>
      <c r="C805" s="4" t="s">
        <v>43</v>
      </c>
      <c r="D805" s="6">
        <v>3</v>
      </c>
      <c r="E805" s="4" t="s">
        <v>1082</v>
      </c>
      <c r="F805" s="5"/>
      <c r="G805" s="4" t="s">
        <v>429</v>
      </c>
      <c r="H805" s="4" t="s">
        <v>430</v>
      </c>
      <c r="I805" s="5"/>
      <c r="J805" s="4" t="s">
        <v>1083</v>
      </c>
      <c r="K805" s="5"/>
      <c r="L805" s="4" t="s">
        <v>558</v>
      </c>
    </row>
    <row r="806" spans="1:12" ht="31" customHeight="1">
      <c r="A806" s="4" t="s">
        <v>455</v>
      </c>
      <c r="B806" s="4" t="s">
        <v>424</v>
      </c>
      <c r="C806" s="4" t="s">
        <v>44</v>
      </c>
      <c r="D806" s="6">
        <v>3</v>
      </c>
      <c r="E806" s="4" t="s">
        <v>1082</v>
      </c>
      <c r="F806" s="5"/>
      <c r="G806" s="4" t="s">
        <v>429</v>
      </c>
      <c r="H806" s="4" t="s">
        <v>430</v>
      </c>
      <c r="I806" s="5"/>
      <c r="J806" s="4" t="s">
        <v>1083</v>
      </c>
      <c r="K806" s="5"/>
      <c r="L806" s="4" t="s">
        <v>558</v>
      </c>
    </row>
    <row r="807" spans="1:12" ht="31" customHeight="1">
      <c r="A807" s="4" t="s">
        <v>455</v>
      </c>
      <c r="B807" s="4" t="s">
        <v>424</v>
      </c>
      <c r="C807" s="4" t="s">
        <v>45</v>
      </c>
      <c r="D807" s="6">
        <v>3</v>
      </c>
      <c r="E807" s="4" t="s">
        <v>1082</v>
      </c>
      <c r="F807" s="5"/>
      <c r="G807" s="4" t="s">
        <v>429</v>
      </c>
      <c r="H807" s="4" t="s">
        <v>430</v>
      </c>
      <c r="I807" s="5"/>
      <c r="J807" s="4" t="s">
        <v>1083</v>
      </c>
      <c r="K807" s="5"/>
      <c r="L807" s="4" t="s">
        <v>558</v>
      </c>
    </row>
    <row r="808" spans="1:12" ht="31" customHeight="1">
      <c r="A808" s="4" t="s">
        <v>455</v>
      </c>
      <c r="B808" s="4" t="s">
        <v>424</v>
      </c>
      <c r="C808" s="4" t="s">
        <v>46</v>
      </c>
      <c r="D808" s="6">
        <v>1</v>
      </c>
      <c r="E808" s="4" t="s">
        <v>1082</v>
      </c>
      <c r="F808" s="5"/>
      <c r="G808" s="4" t="s">
        <v>429</v>
      </c>
      <c r="H808" s="4" t="s">
        <v>430</v>
      </c>
      <c r="I808" s="5"/>
      <c r="J808" s="4" t="s">
        <v>1083</v>
      </c>
      <c r="K808" s="5"/>
      <c r="L808" s="4" t="s">
        <v>558</v>
      </c>
    </row>
    <row r="809" spans="1:12" ht="31" customHeight="1">
      <c r="A809" s="4" t="s">
        <v>455</v>
      </c>
      <c r="B809" s="4" t="s">
        <v>424</v>
      </c>
      <c r="C809" s="4" t="s">
        <v>47</v>
      </c>
      <c r="D809" s="6">
        <v>3</v>
      </c>
      <c r="E809" s="4" t="s">
        <v>1082</v>
      </c>
      <c r="F809" s="5"/>
      <c r="G809" s="4" t="s">
        <v>429</v>
      </c>
      <c r="H809" s="4" t="s">
        <v>430</v>
      </c>
      <c r="I809" s="5"/>
      <c r="J809" s="4" t="s">
        <v>1083</v>
      </c>
      <c r="K809" s="5"/>
      <c r="L809" s="4" t="s">
        <v>558</v>
      </c>
    </row>
    <row r="810" spans="1:12" ht="31" customHeight="1">
      <c r="A810" s="4" t="s">
        <v>455</v>
      </c>
      <c r="B810" s="4" t="s">
        <v>424</v>
      </c>
      <c r="C810" s="4" t="s">
        <v>48</v>
      </c>
      <c r="D810" s="6">
        <v>3</v>
      </c>
      <c r="E810" s="4" t="s">
        <v>1082</v>
      </c>
      <c r="F810" s="5"/>
      <c r="G810" s="4" t="s">
        <v>429</v>
      </c>
      <c r="H810" s="4" t="s">
        <v>430</v>
      </c>
      <c r="I810" s="5"/>
      <c r="J810" s="4" t="s">
        <v>1083</v>
      </c>
      <c r="K810" s="5"/>
      <c r="L810" s="4" t="s">
        <v>558</v>
      </c>
    </row>
    <row r="811" spans="1:12" ht="31" customHeight="1">
      <c r="A811" s="4" t="s">
        <v>455</v>
      </c>
      <c r="B811" s="4" t="s">
        <v>424</v>
      </c>
      <c r="C811" s="4" t="s">
        <v>49</v>
      </c>
      <c r="D811" s="6">
        <v>3</v>
      </c>
      <c r="E811" s="4" t="s">
        <v>1082</v>
      </c>
      <c r="F811" s="5"/>
      <c r="G811" s="4" t="s">
        <v>429</v>
      </c>
      <c r="H811" s="4" t="s">
        <v>430</v>
      </c>
      <c r="I811" s="5"/>
      <c r="J811" s="4" t="s">
        <v>1083</v>
      </c>
      <c r="K811" s="5"/>
      <c r="L811" s="4" t="s">
        <v>558</v>
      </c>
    </row>
    <row r="812" spans="1:12" ht="31" customHeight="1">
      <c r="A812" s="4" t="s">
        <v>459</v>
      </c>
      <c r="B812" s="4" t="s">
        <v>424</v>
      </c>
      <c r="C812" s="4" t="s">
        <v>40</v>
      </c>
      <c r="D812" s="6">
        <v>3</v>
      </c>
      <c r="E812" s="4" t="s">
        <v>1082</v>
      </c>
      <c r="F812" s="5"/>
      <c r="G812" s="4" t="s">
        <v>429</v>
      </c>
      <c r="H812" s="4" t="s">
        <v>430</v>
      </c>
      <c r="I812" s="5"/>
      <c r="J812" s="4" t="s">
        <v>1083</v>
      </c>
      <c r="K812" s="5"/>
      <c r="L812" s="4" t="s">
        <v>558</v>
      </c>
    </row>
    <row r="813" spans="1:12" ht="31" customHeight="1">
      <c r="A813" s="4" t="s">
        <v>459</v>
      </c>
      <c r="B813" s="4" t="s">
        <v>424</v>
      </c>
      <c r="C813" s="4" t="s">
        <v>41</v>
      </c>
      <c r="D813" s="6">
        <v>3</v>
      </c>
      <c r="E813" s="4" t="s">
        <v>1082</v>
      </c>
      <c r="F813" s="5"/>
      <c r="G813" s="4" t="s">
        <v>429</v>
      </c>
      <c r="H813" s="4" t="s">
        <v>430</v>
      </c>
      <c r="I813" s="5"/>
      <c r="J813" s="4" t="s">
        <v>1083</v>
      </c>
      <c r="K813" s="5"/>
      <c r="L813" s="4" t="s">
        <v>558</v>
      </c>
    </row>
    <row r="814" spans="1:12" ht="31" customHeight="1">
      <c r="A814" s="4" t="s">
        <v>459</v>
      </c>
      <c r="B814" s="4" t="s">
        <v>424</v>
      </c>
      <c r="C814" s="4" t="s">
        <v>42</v>
      </c>
      <c r="D814" s="6">
        <v>3</v>
      </c>
      <c r="E814" s="4" t="s">
        <v>1082</v>
      </c>
      <c r="F814" s="5"/>
      <c r="G814" s="4" t="s">
        <v>429</v>
      </c>
      <c r="H814" s="4" t="s">
        <v>430</v>
      </c>
      <c r="I814" s="5"/>
      <c r="J814" s="4" t="s">
        <v>1083</v>
      </c>
      <c r="K814" s="5"/>
      <c r="L814" s="4" t="s">
        <v>558</v>
      </c>
    </row>
    <row r="815" spans="1:12" ht="31" customHeight="1">
      <c r="A815" s="4" t="s">
        <v>459</v>
      </c>
      <c r="B815" s="4" t="s">
        <v>424</v>
      </c>
      <c r="C815" s="4" t="s">
        <v>43</v>
      </c>
      <c r="D815" s="6">
        <v>3</v>
      </c>
      <c r="E815" s="4" t="s">
        <v>1082</v>
      </c>
      <c r="F815" s="5"/>
      <c r="G815" s="4" t="s">
        <v>429</v>
      </c>
      <c r="H815" s="4" t="s">
        <v>430</v>
      </c>
      <c r="I815" s="5"/>
      <c r="J815" s="4" t="s">
        <v>1083</v>
      </c>
      <c r="K815" s="5"/>
      <c r="L815" s="4" t="s">
        <v>558</v>
      </c>
    </row>
    <row r="816" spans="1:12" ht="31" customHeight="1">
      <c r="A816" s="4" t="s">
        <v>459</v>
      </c>
      <c r="B816" s="4" t="s">
        <v>424</v>
      </c>
      <c r="C816" s="4" t="s">
        <v>44</v>
      </c>
      <c r="D816" s="6">
        <v>3</v>
      </c>
      <c r="E816" s="4" t="s">
        <v>1082</v>
      </c>
      <c r="F816" s="5"/>
      <c r="G816" s="4" t="s">
        <v>429</v>
      </c>
      <c r="H816" s="4" t="s">
        <v>430</v>
      </c>
      <c r="I816" s="5"/>
      <c r="J816" s="4" t="s">
        <v>1083</v>
      </c>
      <c r="K816" s="5"/>
      <c r="L816" s="4" t="s">
        <v>558</v>
      </c>
    </row>
    <row r="817" spans="1:12" ht="31" customHeight="1">
      <c r="A817" s="4" t="s">
        <v>459</v>
      </c>
      <c r="B817" s="4" t="s">
        <v>424</v>
      </c>
      <c r="C817" s="4" t="s">
        <v>45</v>
      </c>
      <c r="D817" s="6">
        <v>3</v>
      </c>
      <c r="E817" s="4" t="s">
        <v>1082</v>
      </c>
      <c r="F817" s="5"/>
      <c r="G817" s="4" t="s">
        <v>429</v>
      </c>
      <c r="H817" s="4" t="s">
        <v>430</v>
      </c>
      <c r="I817" s="5"/>
      <c r="J817" s="4" t="s">
        <v>1083</v>
      </c>
      <c r="K817" s="5"/>
      <c r="L817" s="4" t="s">
        <v>558</v>
      </c>
    </row>
    <row r="818" spans="1:12" ht="31" customHeight="1">
      <c r="A818" s="4" t="s">
        <v>459</v>
      </c>
      <c r="B818" s="4" t="s">
        <v>424</v>
      </c>
      <c r="C818" s="4" t="s">
        <v>46</v>
      </c>
      <c r="D818" s="6">
        <v>3</v>
      </c>
      <c r="E818" s="4" t="s">
        <v>1082</v>
      </c>
      <c r="F818" s="5"/>
      <c r="G818" s="4" t="s">
        <v>429</v>
      </c>
      <c r="H818" s="4" t="s">
        <v>430</v>
      </c>
      <c r="I818" s="5"/>
      <c r="J818" s="4" t="s">
        <v>1083</v>
      </c>
      <c r="K818" s="5"/>
      <c r="L818" s="4" t="s">
        <v>558</v>
      </c>
    </row>
    <row r="819" spans="1:12" ht="31" customHeight="1">
      <c r="A819" s="4" t="s">
        <v>459</v>
      </c>
      <c r="B819" s="4" t="s">
        <v>424</v>
      </c>
      <c r="C819" s="4" t="s">
        <v>47</v>
      </c>
      <c r="D819" s="6">
        <v>3</v>
      </c>
      <c r="E819" s="4" t="s">
        <v>1082</v>
      </c>
      <c r="F819" s="5"/>
      <c r="G819" s="4" t="s">
        <v>429</v>
      </c>
      <c r="H819" s="4" t="s">
        <v>430</v>
      </c>
      <c r="I819" s="5"/>
      <c r="J819" s="4" t="s">
        <v>1083</v>
      </c>
      <c r="K819" s="5"/>
      <c r="L819" s="4" t="s">
        <v>558</v>
      </c>
    </row>
    <row r="820" spans="1:12" ht="31" customHeight="1">
      <c r="A820" s="4" t="s">
        <v>459</v>
      </c>
      <c r="B820" s="4" t="s">
        <v>424</v>
      </c>
      <c r="C820" s="4" t="s">
        <v>48</v>
      </c>
      <c r="D820" s="6">
        <v>3</v>
      </c>
      <c r="E820" s="4" t="s">
        <v>1082</v>
      </c>
      <c r="F820" s="5"/>
      <c r="G820" s="4" t="s">
        <v>429</v>
      </c>
      <c r="H820" s="4" t="s">
        <v>430</v>
      </c>
      <c r="I820" s="5"/>
      <c r="J820" s="4" t="s">
        <v>1083</v>
      </c>
      <c r="K820" s="5"/>
      <c r="L820" s="4" t="s">
        <v>558</v>
      </c>
    </row>
    <row r="821" spans="1:12" ht="31" customHeight="1">
      <c r="A821" s="4" t="s">
        <v>459</v>
      </c>
      <c r="B821" s="4" t="s">
        <v>424</v>
      </c>
      <c r="C821" s="4" t="s">
        <v>49</v>
      </c>
      <c r="D821" s="6">
        <v>3</v>
      </c>
      <c r="E821" s="4" t="s">
        <v>1082</v>
      </c>
      <c r="F821" s="5"/>
      <c r="G821" s="4" t="s">
        <v>429</v>
      </c>
      <c r="H821" s="4" t="s">
        <v>430</v>
      </c>
      <c r="I821" s="5"/>
      <c r="J821" s="4" t="s">
        <v>1083</v>
      </c>
      <c r="K821" s="5"/>
      <c r="L821" s="4" t="s">
        <v>558</v>
      </c>
    </row>
    <row r="822" spans="1:12" ht="31" customHeight="1">
      <c r="A822" s="4" t="s">
        <v>282</v>
      </c>
      <c r="B822" s="4" t="s">
        <v>424</v>
      </c>
      <c r="C822" s="4" t="s">
        <v>40</v>
      </c>
      <c r="D822" s="6">
        <v>3</v>
      </c>
      <c r="E822" s="4" t="s">
        <v>1082</v>
      </c>
      <c r="F822" s="5"/>
      <c r="G822" s="4" t="s">
        <v>429</v>
      </c>
      <c r="H822" s="4" t="s">
        <v>430</v>
      </c>
      <c r="I822" s="5"/>
      <c r="J822" s="4" t="s">
        <v>1083</v>
      </c>
      <c r="K822" s="5"/>
      <c r="L822" s="4" t="s">
        <v>558</v>
      </c>
    </row>
    <row r="823" spans="1:12" ht="31" customHeight="1">
      <c r="A823" s="4" t="s">
        <v>282</v>
      </c>
      <c r="B823" s="4" t="s">
        <v>424</v>
      </c>
      <c r="C823" s="4" t="s">
        <v>41</v>
      </c>
      <c r="D823" s="6">
        <v>0</v>
      </c>
      <c r="E823" s="4" t="s">
        <v>1082</v>
      </c>
      <c r="F823" s="5"/>
      <c r="G823" s="4" t="s">
        <v>429</v>
      </c>
      <c r="H823" s="4" t="s">
        <v>430</v>
      </c>
      <c r="I823" s="5"/>
      <c r="J823" s="4" t="s">
        <v>1083</v>
      </c>
      <c r="K823" s="5"/>
      <c r="L823" s="4" t="s">
        <v>558</v>
      </c>
    </row>
    <row r="824" spans="1:12" ht="31" customHeight="1">
      <c r="A824" s="4" t="s">
        <v>282</v>
      </c>
      <c r="B824" s="4" t="s">
        <v>424</v>
      </c>
      <c r="C824" s="4" t="s">
        <v>42</v>
      </c>
      <c r="D824" s="6">
        <v>3</v>
      </c>
      <c r="E824" s="4" t="s">
        <v>1082</v>
      </c>
      <c r="F824" s="5"/>
      <c r="G824" s="4" t="s">
        <v>429</v>
      </c>
      <c r="H824" s="4" t="s">
        <v>430</v>
      </c>
      <c r="I824" s="5"/>
      <c r="J824" s="4" t="s">
        <v>1083</v>
      </c>
      <c r="K824" s="5"/>
      <c r="L824" s="4" t="s">
        <v>558</v>
      </c>
    </row>
    <row r="825" spans="1:12" ht="31" customHeight="1">
      <c r="A825" s="4" t="s">
        <v>282</v>
      </c>
      <c r="B825" s="4" t="s">
        <v>424</v>
      </c>
      <c r="C825" s="4" t="s">
        <v>43</v>
      </c>
      <c r="D825" s="6">
        <v>3</v>
      </c>
      <c r="E825" s="4" t="s">
        <v>1082</v>
      </c>
      <c r="F825" s="5"/>
      <c r="G825" s="4" t="s">
        <v>429</v>
      </c>
      <c r="H825" s="4" t="s">
        <v>430</v>
      </c>
      <c r="I825" s="5"/>
      <c r="J825" s="4" t="s">
        <v>1083</v>
      </c>
      <c r="K825" s="5"/>
      <c r="L825" s="4" t="s">
        <v>558</v>
      </c>
    </row>
    <row r="826" spans="1:12" ht="31" customHeight="1">
      <c r="A826" s="4" t="s">
        <v>282</v>
      </c>
      <c r="B826" s="4" t="s">
        <v>424</v>
      </c>
      <c r="C826" s="4" t="s">
        <v>44</v>
      </c>
      <c r="D826" s="6">
        <v>3</v>
      </c>
      <c r="E826" s="4" t="s">
        <v>1082</v>
      </c>
      <c r="F826" s="5"/>
      <c r="G826" s="4" t="s">
        <v>429</v>
      </c>
      <c r="H826" s="4" t="s">
        <v>430</v>
      </c>
      <c r="I826" s="5"/>
      <c r="J826" s="4" t="s">
        <v>1083</v>
      </c>
      <c r="K826" s="5"/>
      <c r="L826" s="4" t="s">
        <v>558</v>
      </c>
    </row>
    <row r="827" spans="1:12" ht="31" customHeight="1">
      <c r="A827" s="4" t="s">
        <v>282</v>
      </c>
      <c r="B827" s="4" t="s">
        <v>424</v>
      </c>
      <c r="C827" s="4" t="s">
        <v>45</v>
      </c>
      <c r="D827" s="6">
        <v>0</v>
      </c>
      <c r="E827" s="4" t="s">
        <v>1082</v>
      </c>
      <c r="F827" s="5"/>
      <c r="G827" s="4" t="s">
        <v>429</v>
      </c>
      <c r="H827" s="4" t="s">
        <v>430</v>
      </c>
      <c r="I827" s="5"/>
      <c r="J827" s="4" t="s">
        <v>1083</v>
      </c>
      <c r="K827" s="5"/>
      <c r="L827" s="4" t="s">
        <v>558</v>
      </c>
    </row>
    <row r="828" spans="1:12" ht="31" customHeight="1">
      <c r="A828" s="4" t="s">
        <v>282</v>
      </c>
      <c r="B828" s="4" t="s">
        <v>424</v>
      </c>
      <c r="C828" s="4" t="s">
        <v>46</v>
      </c>
      <c r="D828" s="6">
        <v>0</v>
      </c>
      <c r="E828" s="4" t="s">
        <v>1082</v>
      </c>
      <c r="F828" s="5"/>
      <c r="G828" s="4" t="s">
        <v>429</v>
      </c>
      <c r="H828" s="4" t="s">
        <v>430</v>
      </c>
      <c r="I828" s="5"/>
      <c r="J828" s="4" t="s">
        <v>1083</v>
      </c>
      <c r="K828" s="5"/>
      <c r="L828" s="4" t="s">
        <v>558</v>
      </c>
    </row>
    <row r="829" spans="1:12" ht="31" customHeight="1">
      <c r="A829" s="4" t="s">
        <v>282</v>
      </c>
      <c r="B829" s="4" t="s">
        <v>424</v>
      </c>
      <c r="C829" s="4" t="s">
        <v>47</v>
      </c>
      <c r="D829" s="6">
        <v>3</v>
      </c>
      <c r="E829" s="4" t="s">
        <v>1082</v>
      </c>
      <c r="F829" s="5"/>
      <c r="G829" s="4" t="s">
        <v>429</v>
      </c>
      <c r="H829" s="4" t="s">
        <v>430</v>
      </c>
      <c r="I829" s="5"/>
      <c r="J829" s="4" t="s">
        <v>1083</v>
      </c>
      <c r="K829" s="5"/>
      <c r="L829" s="4" t="s">
        <v>558</v>
      </c>
    </row>
    <row r="830" spans="1:12" ht="31" customHeight="1">
      <c r="A830" s="4" t="s">
        <v>282</v>
      </c>
      <c r="B830" s="4" t="s">
        <v>424</v>
      </c>
      <c r="C830" s="4" t="s">
        <v>48</v>
      </c>
      <c r="D830" s="6">
        <v>1</v>
      </c>
      <c r="E830" s="4" t="s">
        <v>1082</v>
      </c>
      <c r="F830" s="5"/>
      <c r="G830" s="4" t="s">
        <v>429</v>
      </c>
      <c r="H830" s="4" t="s">
        <v>430</v>
      </c>
      <c r="I830" s="5"/>
      <c r="J830" s="4" t="s">
        <v>1083</v>
      </c>
      <c r="K830" s="5"/>
      <c r="L830" s="4" t="s">
        <v>558</v>
      </c>
    </row>
    <row r="831" spans="1:12" ht="31" customHeight="1">
      <c r="A831" s="4" t="s">
        <v>282</v>
      </c>
      <c r="B831" s="4" t="s">
        <v>424</v>
      </c>
      <c r="C831" s="4" t="s">
        <v>49</v>
      </c>
      <c r="D831" s="6">
        <v>3</v>
      </c>
      <c r="E831" s="4" t="s">
        <v>1082</v>
      </c>
      <c r="F831" s="5"/>
      <c r="G831" s="4" t="s">
        <v>429</v>
      </c>
      <c r="H831" s="4" t="s">
        <v>430</v>
      </c>
      <c r="I831" s="5"/>
      <c r="J831" s="4" t="s">
        <v>1083</v>
      </c>
      <c r="K831" s="5"/>
      <c r="L831" s="4" t="s">
        <v>558</v>
      </c>
    </row>
  </sheetData>
  <autoFilter ref="A1:L831"/>
  <pageMargins left="0.7" right="0.7" top="0.75" bottom="0.75" header="0.3" footer="0.3"/>
  <pageSetup fitToHeight="0" orientation="landscape"/>
</worksheet>
</file>

<file path=xl/worksheets/sheet12.xml><?xml version="1.0" encoding="utf-8"?>
<worksheet xmlns="http://schemas.openxmlformats.org/spreadsheetml/2006/main" xmlns:r="http://schemas.openxmlformats.org/officeDocument/2006/relationships">
  <sheetPr>
    <tabColor rgb="FF237C89"/>
    <pageSetUpPr fitToPage="1"/>
  </sheetPr>
  <dimension ref="A1:AR7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44" width="20.7109375" customWidth="1"/>
  </cols>
  <sheetData>
    <row r="1" spans="1:44" ht="42" customHeight="1">
      <c r="A1" s="2" t="s">
        <v>33</v>
      </c>
      <c r="B1" s="2" t="s">
        <v>34</v>
      </c>
      <c r="C1" s="2" t="s">
        <v>35</v>
      </c>
      <c r="D1" s="2" t="s">
        <v>36</v>
      </c>
      <c r="E1" s="2" t="s">
        <v>37</v>
      </c>
      <c r="F1" s="2" t="s">
        <v>38</v>
      </c>
      <c r="G1" s="2" t="s">
        <v>39</v>
      </c>
      <c r="H1" s="2" t="s">
        <v>40</v>
      </c>
      <c r="I1" s="2" t="s">
        <v>41</v>
      </c>
      <c r="J1" s="2" t="s">
        <v>42</v>
      </c>
      <c r="K1" s="2" t="s">
        <v>43</v>
      </c>
      <c r="L1" s="2" t="s">
        <v>44</v>
      </c>
      <c r="M1" s="2" t="s">
        <v>45</v>
      </c>
      <c r="N1" s="2" t="s">
        <v>46</v>
      </c>
      <c r="O1" s="2" t="s">
        <v>47</v>
      </c>
      <c r="P1" s="2" t="s">
        <v>48</v>
      </c>
      <c r="Q1" s="2" t="s">
        <v>49</v>
      </c>
      <c r="R1" s="2" t="s">
        <v>50</v>
      </c>
      <c r="S1" s="2" t="s">
        <v>51</v>
      </c>
      <c r="T1" s="2" t="s">
        <v>52</v>
      </c>
      <c r="U1" s="2" t="s">
        <v>53</v>
      </c>
      <c r="V1" s="2" t="s">
        <v>54</v>
      </c>
      <c r="W1" s="2" t="s">
        <v>55</v>
      </c>
      <c r="X1" s="2" t="s">
        <v>56</v>
      </c>
      <c r="Y1" s="2" t="s">
        <v>57</v>
      </c>
      <c r="Z1" s="2" t="s">
        <v>58</v>
      </c>
      <c r="AA1" s="2" t="s">
        <v>59</v>
      </c>
      <c r="AB1" s="2" t="s">
        <v>60</v>
      </c>
      <c r="AC1" s="2" t="s">
        <v>61</v>
      </c>
      <c r="AD1" s="2" t="s">
        <v>62</v>
      </c>
      <c r="AE1" s="2" t="s">
        <v>63</v>
      </c>
      <c r="AF1" s="2" t="s">
        <v>64</v>
      </c>
      <c r="AG1" s="2" t="s">
        <v>65</v>
      </c>
      <c r="AH1" s="2" t="s">
        <v>66</v>
      </c>
      <c r="AI1" s="2" t="s">
        <v>67</v>
      </c>
      <c r="AJ1" s="2" t="s">
        <v>68</v>
      </c>
      <c r="AK1" s="2" t="s">
        <v>69</v>
      </c>
      <c r="AL1" s="2" t="s">
        <v>70</v>
      </c>
      <c r="AM1" s="2" t="s">
        <v>71</v>
      </c>
      <c r="AN1" s="2" t="s">
        <v>72</v>
      </c>
      <c r="AO1" s="2" t="s">
        <v>73</v>
      </c>
      <c r="AP1" s="2" t="s">
        <v>74</v>
      </c>
      <c r="AQ1" s="2" t="s">
        <v>75</v>
      </c>
      <c r="AR1" s="2" t="s">
        <v>76</v>
      </c>
    </row>
    <row r="2" spans="1:44" ht="31" customHeight="1">
      <c r="A2" s="4" t="s">
        <v>109</v>
      </c>
      <c r="B2" s="4" t="s">
        <v>110</v>
      </c>
      <c r="C2" s="6">
        <v>1</v>
      </c>
      <c r="D2" s="6">
        <v>1</v>
      </c>
      <c r="E2" s="4" t="s">
        <v>111</v>
      </c>
      <c r="F2" s="4" t="s">
        <v>112</v>
      </c>
      <c r="G2" s="6">
        <v>1</v>
      </c>
      <c r="H2" s="6">
        <v>3</v>
      </c>
      <c r="I2" s="6">
        <v>2</v>
      </c>
      <c r="J2" s="6">
        <v>1</v>
      </c>
      <c r="K2" s="6">
        <v>2</v>
      </c>
      <c r="L2" s="6">
        <v>2</v>
      </c>
      <c r="M2" s="6">
        <v>1</v>
      </c>
      <c r="N2" s="6">
        <v>0</v>
      </c>
      <c r="O2" s="6">
        <v>1</v>
      </c>
      <c r="P2" s="6">
        <v>3</v>
      </c>
      <c r="Q2" s="6">
        <v>3</v>
      </c>
      <c r="R2" s="6">
        <v>18</v>
      </c>
      <c r="S2" s="6">
        <v>60</v>
      </c>
      <c r="T2" s="6">
        <v>8</v>
      </c>
      <c r="U2" s="6">
        <v>4</v>
      </c>
      <c r="V2" s="6">
        <v>6</v>
      </c>
      <c r="W2" s="5"/>
      <c r="X2" s="4" t="s">
        <v>114</v>
      </c>
      <c r="Y2" s="6">
        <v>30</v>
      </c>
      <c r="Z2" s="6">
        <v>18</v>
      </c>
      <c r="AA2" s="5"/>
      <c r="AB2" s="6">
        <v>0.0332507103865143</v>
      </c>
      <c r="AC2" s="4" t="s">
        <v>135</v>
      </c>
      <c r="AD2" s="5"/>
      <c r="AE2" s="6">
        <v>218543</v>
      </c>
      <c r="AF2" s="6">
        <v>275459</v>
      </c>
      <c r="AG2" s="6">
        <v>3174</v>
      </c>
      <c r="AH2" s="6">
        <v>0.0115225859383792</v>
      </c>
      <c r="AI2" s="6">
        <v>94801</v>
      </c>
      <c r="AJ2" s="6">
        <v>7341</v>
      </c>
      <c r="AK2" s="5"/>
      <c r="AL2" s="5"/>
      <c r="AM2" s="4" t="s">
        <v>115</v>
      </c>
      <c r="AN2" s="4" t="s">
        <v>116</v>
      </c>
      <c r="AO2" s="4" t="s">
        <v>117</v>
      </c>
      <c r="AP2" s="4" t="s">
        <v>118</v>
      </c>
      <c r="AQ2" s="5"/>
      <c r="AR2" s="5"/>
    </row>
    <row r="3" spans="1:44" ht="31" customHeight="1">
      <c r="A3" s="4" t="s">
        <v>129</v>
      </c>
      <c r="B3" s="4" t="s">
        <v>110</v>
      </c>
      <c r="C3" s="6">
        <v>1</v>
      </c>
      <c r="D3" s="6">
        <v>1</v>
      </c>
      <c r="E3" s="4" t="s">
        <v>111</v>
      </c>
      <c r="F3" s="4" t="s">
        <v>112</v>
      </c>
      <c r="G3" s="6">
        <v>1</v>
      </c>
      <c r="H3" s="6">
        <v>2</v>
      </c>
      <c r="I3" s="6">
        <v>2</v>
      </c>
      <c r="J3" s="6">
        <v>3</v>
      </c>
      <c r="K3" s="6">
        <v>2</v>
      </c>
      <c r="L3" s="6">
        <v>1</v>
      </c>
      <c r="M3" s="6">
        <v>1</v>
      </c>
      <c r="N3" s="6">
        <v>0</v>
      </c>
      <c r="O3" s="6">
        <v>1</v>
      </c>
      <c r="P3" s="6">
        <v>3</v>
      </c>
      <c r="Q3" s="6">
        <v>1</v>
      </c>
      <c r="R3" s="6">
        <v>16</v>
      </c>
      <c r="S3" s="6">
        <v>53.3333333333333</v>
      </c>
      <c r="T3" s="6">
        <v>8</v>
      </c>
      <c r="U3" s="6">
        <v>4</v>
      </c>
      <c r="V3" s="6">
        <v>4</v>
      </c>
      <c r="W3" s="4" t="s">
        <v>130</v>
      </c>
      <c r="X3" s="4" t="s">
        <v>114</v>
      </c>
      <c r="Y3" s="6">
        <v>16</v>
      </c>
      <c r="Z3" s="6">
        <v>16</v>
      </c>
      <c r="AA3" s="5"/>
      <c r="AB3" s="6">
        <v>0.047558404018386</v>
      </c>
      <c r="AC3" s="4" t="s">
        <v>135</v>
      </c>
      <c r="AD3" s="5"/>
      <c r="AE3" s="6">
        <v>168824</v>
      </c>
      <c r="AF3" s="6">
        <v>240445</v>
      </c>
      <c r="AG3" s="6">
        <v>3491</v>
      </c>
      <c r="AH3" s="6">
        <v>0.0145189128490923</v>
      </c>
      <c r="AI3" s="6">
        <v>98752</v>
      </c>
      <c r="AJ3" s="6">
        <v>8412</v>
      </c>
      <c r="AK3" s="5"/>
      <c r="AL3" s="5"/>
      <c r="AM3" s="4" t="s">
        <v>115</v>
      </c>
      <c r="AN3" s="4" t="s">
        <v>131</v>
      </c>
      <c r="AO3" s="4" t="s">
        <v>117</v>
      </c>
      <c r="AP3" s="4" t="s">
        <v>118</v>
      </c>
      <c r="AQ3" s="5"/>
      <c r="AR3" s="5"/>
    </row>
    <row r="4" spans="1:44" ht="31" customHeight="1">
      <c r="A4" s="4" t="s">
        <v>133</v>
      </c>
      <c r="B4" s="4" t="s">
        <v>110</v>
      </c>
      <c r="C4" s="6">
        <v>1</v>
      </c>
      <c r="D4" s="6">
        <v>1</v>
      </c>
      <c r="E4" s="4" t="s">
        <v>111</v>
      </c>
      <c r="F4" s="4" t="s">
        <v>134</v>
      </c>
      <c r="G4" s="6">
        <v>1</v>
      </c>
      <c r="H4" s="6">
        <v>2</v>
      </c>
      <c r="I4" s="6">
        <v>2</v>
      </c>
      <c r="J4" s="6">
        <v>2</v>
      </c>
      <c r="K4" s="6">
        <v>2</v>
      </c>
      <c r="L4" s="6">
        <v>1</v>
      </c>
      <c r="M4" s="6">
        <v>0</v>
      </c>
      <c r="N4" s="6">
        <v>0</v>
      </c>
      <c r="O4" s="6">
        <v>1</v>
      </c>
      <c r="P4" s="6">
        <v>3</v>
      </c>
      <c r="Q4" s="6">
        <v>3</v>
      </c>
      <c r="R4" s="6">
        <v>16</v>
      </c>
      <c r="S4" s="6">
        <v>53.3333333333333</v>
      </c>
      <c r="T4" s="6">
        <v>7</v>
      </c>
      <c r="U4" s="6">
        <v>3</v>
      </c>
      <c r="V4" s="6">
        <v>6</v>
      </c>
      <c r="W4" s="5"/>
      <c r="X4" s="4" t="s">
        <v>114</v>
      </c>
      <c r="Y4" s="6">
        <v>17</v>
      </c>
      <c r="Z4" s="6">
        <v>16</v>
      </c>
      <c r="AA4" s="5"/>
      <c r="AB4" s="6">
        <v>0.00480127635905893</v>
      </c>
      <c r="AC4" s="4" t="s">
        <v>135</v>
      </c>
      <c r="AD4" s="5"/>
      <c r="AE4" s="6">
        <v>102479</v>
      </c>
      <c r="AF4" s="6">
        <v>136718</v>
      </c>
      <c r="AG4" s="6">
        <v>2372</v>
      </c>
      <c r="AH4" s="6">
        <v>0.0173495808891295</v>
      </c>
      <c r="AI4" s="6">
        <v>36934</v>
      </c>
      <c r="AJ4" s="6">
        <v>2793</v>
      </c>
      <c r="AK4" s="5"/>
      <c r="AL4" s="5"/>
      <c r="AM4" s="4" t="s">
        <v>115</v>
      </c>
      <c r="AN4" s="4" t="s">
        <v>131</v>
      </c>
      <c r="AO4" s="4" t="s">
        <v>117</v>
      </c>
      <c r="AP4" s="4" t="s">
        <v>118</v>
      </c>
      <c r="AQ4" s="5"/>
      <c r="AR4" s="5"/>
    </row>
    <row r="5" spans="1:44" ht="31" customHeight="1">
      <c r="A5" s="4" t="s">
        <v>138</v>
      </c>
      <c r="B5" s="4" t="s">
        <v>110</v>
      </c>
      <c r="C5" s="6">
        <v>1</v>
      </c>
      <c r="D5" s="6">
        <v>1</v>
      </c>
      <c r="E5" s="4" t="s">
        <v>111</v>
      </c>
      <c r="F5" s="4" t="s">
        <v>112</v>
      </c>
      <c r="G5" s="6">
        <v>1</v>
      </c>
      <c r="H5" s="6">
        <v>2</v>
      </c>
      <c r="I5" s="6">
        <v>2</v>
      </c>
      <c r="J5" s="6">
        <v>3</v>
      </c>
      <c r="K5" s="6">
        <v>3</v>
      </c>
      <c r="L5" s="6">
        <v>1</v>
      </c>
      <c r="M5" s="6">
        <v>2</v>
      </c>
      <c r="N5" s="6">
        <v>0</v>
      </c>
      <c r="O5" s="6">
        <v>2</v>
      </c>
      <c r="P5" s="6">
        <v>3</v>
      </c>
      <c r="Q5" s="6">
        <v>1</v>
      </c>
      <c r="R5" s="6">
        <v>19</v>
      </c>
      <c r="S5" s="6">
        <v>63.3333333333333</v>
      </c>
      <c r="T5" s="6">
        <v>8</v>
      </c>
      <c r="U5" s="6">
        <v>7</v>
      </c>
      <c r="V5" s="6">
        <v>4</v>
      </c>
      <c r="W5" s="4" t="s">
        <v>130</v>
      </c>
      <c r="X5" s="4" t="s">
        <v>114</v>
      </c>
      <c r="Y5" s="6">
        <v>21</v>
      </c>
      <c r="Z5" s="6">
        <v>19</v>
      </c>
      <c r="AA5" s="5"/>
      <c r="AB5" s="6">
        <v>0.0524516746793273</v>
      </c>
      <c r="AC5" s="4" t="s">
        <v>135</v>
      </c>
      <c r="AD5" s="5"/>
      <c r="AE5" s="6">
        <v>50129</v>
      </c>
      <c r="AF5" s="6">
        <v>85766</v>
      </c>
      <c r="AG5" s="6">
        <v>2846</v>
      </c>
      <c r="AH5" s="6">
        <v>0.0331833127346501</v>
      </c>
      <c r="AI5" s="6">
        <v>18406</v>
      </c>
      <c r="AJ5" s="6">
        <v>1312</v>
      </c>
      <c r="AK5" s="5"/>
      <c r="AL5" s="5"/>
      <c r="AM5" s="4" t="s">
        <v>115</v>
      </c>
      <c r="AN5" s="4" t="s">
        <v>139</v>
      </c>
      <c r="AO5" s="4" t="s">
        <v>117</v>
      </c>
      <c r="AP5" s="4" t="s">
        <v>118</v>
      </c>
      <c r="AQ5" s="5"/>
      <c r="AR5" s="5"/>
    </row>
    <row r="6" spans="1:44" ht="31" customHeight="1">
      <c r="A6" s="4" t="s">
        <v>141</v>
      </c>
      <c r="B6" s="4" t="s">
        <v>110</v>
      </c>
      <c r="C6" s="6">
        <v>1</v>
      </c>
      <c r="D6" s="6">
        <v>1</v>
      </c>
      <c r="E6" s="4" t="s">
        <v>111</v>
      </c>
      <c r="F6" s="4" t="s">
        <v>112</v>
      </c>
      <c r="G6" s="6">
        <v>1</v>
      </c>
      <c r="H6" s="6">
        <v>3</v>
      </c>
      <c r="I6" s="6">
        <v>2</v>
      </c>
      <c r="J6" s="6">
        <v>2</v>
      </c>
      <c r="K6" s="6">
        <v>2</v>
      </c>
      <c r="L6" s="6">
        <v>2</v>
      </c>
      <c r="M6" s="6">
        <v>0</v>
      </c>
      <c r="N6" s="6">
        <v>0</v>
      </c>
      <c r="O6" s="6">
        <v>1</v>
      </c>
      <c r="P6" s="6">
        <v>3</v>
      </c>
      <c r="Q6" s="6">
        <v>2</v>
      </c>
      <c r="R6" s="6">
        <v>17</v>
      </c>
      <c r="S6" s="6">
        <v>56.6666666666667</v>
      </c>
      <c r="T6" s="6">
        <v>9</v>
      </c>
      <c r="U6" s="6">
        <v>3</v>
      </c>
      <c r="V6" s="6">
        <v>5</v>
      </c>
      <c r="W6" s="5"/>
      <c r="X6" s="4" t="s">
        <v>114</v>
      </c>
      <c r="Y6" s="6">
        <v>17</v>
      </c>
      <c r="Z6" s="6">
        <v>17</v>
      </c>
      <c r="AA6" s="5"/>
      <c r="AB6" s="6">
        <v>0.147224511599512</v>
      </c>
      <c r="AC6" s="6">
        <v>1</v>
      </c>
      <c r="AD6" s="5"/>
      <c r="AE6" s="6">
        <v>39312</v>
      </c>
      <c r="AF6" s="6">
        <v>35917</v>
      </c>
      <c r="AG6" s="6">
        <v>2500</v>
      </c>
      <c r="AH6" s="6">
        <v>0.0696049224601164</v>
      </c>
      <c r="AI6" s="6">
        <v>6402</v>
      </c>
      <c r="AJ6" s="6">
        <v>612</v>
      </c>
      <c r="AK6" s="5"/>
      <c r="AL6" s="5"/>
      <c r="AM6" s="4" t="s">
        <v>115</v>
      </c>
      <c r="AN6" s="4" t="s">
        <v>131</v>
      </c>
      <c r="AO6" s="4" t="s">
        <v>117</v>
      </c>
      <c r="AP6" s="4" t="s">
        <v>118</v>
      </c>
      <c r="AQ6" s="5"/>
      <c r="AR6" s="5"/>
    </row>
    <row r="7" spans="1:44" ht="31" customHeight="1">
      <c r="A7" s="4" t="s">
        <v>143</v>
      </c>
      <c r="B7" s="4" t="s">
        <v>110</v>
      </c>
      <c r="C7" s="6">
        <v>1</v>
      </c>
      <c r="D7" s="6">
        <v>1</v>
      </c>
      <c r="E7" s="4" t="s">
        <v>111</v>
      </c>
      <c r="F7" s="4" t="s">
        <v>134</v>
      </c>
      <c r="G7" s="6">
        <v>1</v>
      </c>
      <c r="H7" s="6">
        <v>3</v>
      </c>
      <c r="I7" s="6">
        <v>2</v>
      </c>
      <c r="J7" s="6">
        <v>1</v>
      </c>
      <c r="K7" s="6">
        <v>1</v>
      </c>
      <c r="L7" s="6">
        <v>1</v>
      </c>
      <c r="M7" s="6">
        <v>1</v>
      </c>
      <c r="N7" s="6">
        <v>0</v>
      </c>
      <c r="O7" s="6">
        <v>1</v>
      </c>
      <c r="P7" s="6">
        <v>3</v>
      </c>
      <c r="Q7" s="6">
        <v>1</v>
      </c>
      <c r="R7" s="6">
        <v>14</v>
      </c>
      <c r="S7" s="6">
        <v>46.6666666666667</v>
      </c>
      <c r="T7" s="6">
        <v>7</v>
      </c>
      <c r="U7" s="6">
        <v>3</v>
      </c>
      <c r="V7" s="6">
        <v>4</v>
      </c>
      <c r="W7" s="5"/>
      <c r="X7" s="4" t="s">
        <v>114</v>
      </c>
      <c r="Y7" s="6">
        <v>14</v>
      </c>
      <c r="Z7" s="6">
        <v>14</v>
      </c>
      <c r="AA7" s="5"/>
      <c r="AB7" s="6">
        <v>0</v>
      </c>
      <c r="AC7" s="4" t="s">
        <v>135</v>
      </c>
      <c r="AD7" s="5"/>
      <c r="AE7" s="6">
        <v>8503</v>
      </c>
      <c r="AF7" s="6">
        <v>28470</v>
      </c>
      <c r="AG7" s="6">
        <v>-2374</v>
      </c>
      <c r="AH7" s="6">
        <v>-0.0833860203723218</v>
      </c>
      <c r="AI7" s="6">
        <v>5909</v>
      </c>
      <c r="AJ7" s="6">
        <v>652</v>
      </c>
      <c r="AK7" s="5"/>
      <c r="AL7" s="5"/>
      <c r="AM7" s="4" t="s">
        <v>144</v>
      </c>
      <c r="AN7" s="4" t="s">
        <v>145</v>
      </c>
      <c r="AO7" s="4" t="s">
        <v>117</v>
      </c>
      <c r="AP7" s="4" t="s">
        <v>118</v>
      </c>
      <c r="AQ7" s="5"/>
      <c r="AR7" s="5"/>
    </row>
    <row r="8" spans="1:44" ht="31" customHeight="1">
      <c r="A8" s="4" t="s">
        <v>148</v>
      </c>
      <c r="B8" s="4" t="s">
        <v>110</v>
      </c>
      <c r="C8" s="6">
        <v>1</v>
      </c>
      <c r="D8" s="6">
        <v>1</v>
      </c>
      <c r="E8" s="4" t="s">
        <v>111</v>
      </c>
      <c r="F8" s="4" t="s">
        <v>112</v>
      </c>
      <c r="G8" s="6">
        <v>1</v>
      </c>
      <c r="H8" s="6">
        <v>2</v>
      </c>
      <c r="I8" s="6">
        <v>1</v>
      </c>
      <c r="J8" s="6">
        <v>0</v>
      </c>
      <c r="K8" s="6">
        <v>0</v>
      </c>
      <c r="L8" s="6">
        <v>0</v>
      </c>
      <c r="M8" s="6">
        <v>1</v>
      </c>
      <c r="N8" s="6">
        <v>0</v>
      </c>
      <c r="O8" s="6">
        <v>1</v>
      </c>
      <c r="P8" s="6">
        <v>0</v>
      </c>
      <c r="Q8" s="6">
        <v>1</v>
      </c>
      <c r="R8" s="6">
        <v>6</v>
      </c>
      <c r="S8" s="6">
        <v>20</v>
      </c>
      <c r="T8" s="6">
        <v>3</v>
      </c>
      <c r="U8" s="6">
        <v>2</v>
      </c>
      <c r="V8" s="6">
        <v>1</v>
      </c>
      <c r="W8" s="4" t="s">
        <v>113</v>
      </c>
      <c r="X8" s="4" t="s">
        <v>114</v>
      </c>
      <c r="Y8" s="6">
        <v>6</v>
      </c>
      <c r="Z8" s="6">
        <v>6</v>
      </c>
      <c r="AA8" s="5"/>
      <c r="AB8" s="6">
        <v>0.00548685427401242</v>
      </c>
      <c r="AC8" s="4" t="s">
        <v>135</v>
      </c>
      <c r="AD8" s="5"/>
      <c r="AE8" s="6">
        <v>15138</v>
      </c>
      <c r="AF8" s="6">
        <v>16320</v>
      </c>
      <c r="AG8" s="6">
        <v>909</v>
      </c>
      <c r="AH8" s="6">
        <v>0.0556985294117647</v>
      </c>
      <c r="AI8" s="6">
        <v>789</v>
      </c>
      <c r="AJ8" s="6">
        <v>144</v>
      </c>
      <c r="AK8" s="5"/>
      <c r="AL8" s="5"/>
      <c r="AM8" s="4" t="s">
        <v>144</v>
      </c>
      <c r="AN8" s="4" t="s">
        <v>149</v>
      </c>
      <c r="AO8" s="4" t="s">
        <v>117</v>
      </c>
      <c r="AP8" s="4" t="s">
        <v>118</v>
      </c>
      <c r="AQ8" s="5"/>
      <c r="AR8" s="5"/>
    </row>
    <row r="9" spans="1:44" ht="31" customHeight="1">
      <c r="A9" s="4" t="s">
        <v>151</v>
      </c>
      <c r="B9" s="4" t="s">
        <v>110</v>
      </c>
      <c r="C9" s="6">
        <v>1</v>
      </c>
      <c r="D9" s="6">
        <v>1</v>
      </c>
      <c r="E9" s="4" t="s">
        <v>111</v>
      </c>
      <c r="F9" s="4" t="s">
        <v>112</v>
      </c>
      <c r="G9" s="6">
        <v>1</v>
      </c>
      <c r="H9" s="6">
        <v>3</v>
      </c>
      <c r="I9" s="6">
        <v>0</v>
      </c>
      <c r="J9" s="6">
        <v>0</v>
      </c>
      <c r="K9" s="6">
        <v>2</v>
      </c>
      <c r="L9" s="6">
        <v>2</v>
      </c>
      <c r="M9" s="6">
        <v>2</v>
      </c>
      <c r="N9" s="6">
        <v>0</v>
      </c>
      <c r="O9" s="6">
        <v>1</v>
      </c>
      <c r="P9" s="6">
        <v>1</v>
      </c>
      <c r="Q9" s="6">
        <v>2</v>
      </c>
      <c r="R9" s="6">
        <v>13</v>
      </c>
      <c r="S9" s="6">
        <v>43.3333333333333</v>
      </c>
      <c r="T9" s="6">
        <v>5</v>
      </c>
      <c r="U9" s="6">
        <v>5</v>
      </c>
      <c r="V9" s="6">
        <v>3</v>
      </c>
      <c r="W9" s="5"/>
      <c r="X9" s="4" t="s">
        <v>114</v>
      </c>
      <c r="Y9" s="6">
        <v>17</v>
      </c>
      <c r="Z9" s="6">
        <v>13</v>
      </c>
      <c r="AA9" s="5"/>
      <c r="AB9" s="6">
        <v>0.0132986589728279</v>
      </c>
      <c r="AC9" s="4" t="s">
        <v>135</v>
      </c>
      <c r="AD9" s="5"/>
      <c r="AE9" s="6">
        <v>5375.73</v>
      </c>
      <c r="AF9" s="6">
        <v>6157</v>
      </c>
      <c r="AG9" s="6">
        <v>813</v>
      </c>
      <c r="AH9" s="6">
        <v>0.132044827026149</v>
      </c>
      <c r="AI9" s="6">
        <v>309</v>
      </c>
      <c r="AJ9" s="6">
        <v>55.39</v>
      </c>
      <c r="AK9" s="5"/>
      <c r="AL9" s="5"/>
      <c r="AM9" s="4" t="s">
        <v>144</v>
      </c>
      <c r="AN9" s="4" t="s">
        <v>116</v>
      </c>
      <c r="AO9" s="4" t="s">
        <v>117</v>
      </c>
      <c r="AP9" s="4" t="s">
        <v>118</v>
      </c>
      <c r="AQ9" s="5"/>
      <c r="AR9" s="5"/>
    </row>
    <row r="10" spans="1:44" ht="31" customHeight="1">
      <c r="A10" s="4" t="s">
        <v>153</v>
      </c>
      <c r="B10" s="4" t="s">
        <v>110</v>
      </c>
      <c r="C10" s="6">
        <v>1</v>
      </c>
      <c r="D10" s="6">
        <v>1</v>
      </c>
      <c r="E10" s="4" t="s">
        <v>111</v>
      </c>
      <c r="F10" s="4" t="s">
        <v>112</v>
      </c>
      <c r="G10" s="6">
        <v>1</v>
      </c>
      <c r="H10" s="6">
        <v>2</v>
      </c>
      <c r="I10" s="6">
        <v>0</v>
      </c>
      <c r="J10" s="6">
        <v>0</v>
      </c>
      <c r="K10" s="6">
        <v>0</v>
      </c>
      <c r="L10" s="6">
        <v>0</v>
      </c>
      <c r="M10" s="6">
        <v>2</v>
      </c>
      <c r="N10" s="6">
        <v>0</v>
      </c>
      <c r="O10" s="6">
        <v>0</v>
      </c>
      <c r="P10" s="6">
        <v>0</v>
      </c>
      <c r="Q10" s="6">
        <v>1</v>
      </c>
      <c r="R10" s="6">
        <v>5</v>
      </c>
      <c r="S10" s="6">
        <v>16.6666666666667</v>
      </c>
      <c r="T10" s="6">
        <v>2</v>
      </c>
      <c r="U10" s="6">
        <v>2</v>
      </c>
      <c r="V10" s="6">
        <v>1</v>
      </c>
      <c r="W10" s="4" t="s">
        <v>130</v>
      </c>
      <c r="X10" s="4" t="s">
        <v>114</v>
      </c>
      <c r="Y10" s="6">
        <v>5</v>
      </c>
      <c r="Z10" s="6">
        <v>5</v>
      </c>
      <c r="AA10" s="5"/>
      <c r="AB10" s="6">
        <v>0.00704793138244198</v>
      </c>
      <c r="AC10" s="4" t="s">
        <v>135</v>
      </c>
      <c r="AD10" s="6">
        <v>1</v>
      </c>
      <c r="AE10" s="6">
        <v>1982</v>
      </c>
      <c r="AF10" s="6">
        <v>2732</v>
      </c>
      <c r="AG10" s="6">
        <v>256</v>
      </c>
      <c r="AH10" s="6">
        <v>0.0937042459736457</v>
      </c>
      <c r="AI10" s="6">
        <v>438</v>
      </c>
      <c r="AJ10" s="6">
        <v>19</v>
      </c>
      <c r="AK10" s="5"/>
      <c r="AL10" s="5"/>
      <c r="AM10" s="4" t="s">
        <v>144</v>
      </c>
      <c r="AN10" s="4" t="s">
        <v>116</v>
      </c>
      <c r="AO10" s="4" t="s">
        <v>117</v>
      </c>
      <c r="AP10" s="4" t="s">
        <v>118</v>
      </c>
      <c r="AQ10" s="5"/>
      <c r="AR10" s="5"/>
    </row>
    <row r="11" spans="1:44" ht="31" customHeight="1">
      <c r="A11" s="4" t="s">
        <v>156</v>
      </c>
      <c r="B11" s="4" t="s">
        <v>157</v>
      </c>
      <c r="C11" s="6">
        <v>1</v>
      </c>
      <c r="D11" s="6">
        <v>1</v>
      </c>
      <c r="E11" s="5"/>
      <c r="F11" s="5"/>
      <c r="G11" s="6">
        <v>1</v>
      </c>
      <c r="H11" s="6">
        <v>3</v>
      </c>
      <c r="I11" s="6">
        <v>3</v>
      </c>
      <c r="J11" s="6">
        <v>3</v>
      </c>
      <c r="K11" s="6">
        <v>3</v>
      </c>
      <c r="L11" s="6">
        <v>2</v>
      </c>
      <c r="M11" s="6">
        <v>2</v>
      </c>
      <c r="N11" s="6">
        <v>0</v>
      </c>
      <c r="O11" s="6">
        <v>2</v>
      </c>
      <c r="P11" s="6">
        <v>3</v>
      </c>
      <c r="Q11" s="6">
        <v>2</v>
      </c>
      <c r="R11" s="6">
        <v>23</v>
      </c>
      <c r="S11" s="6">
        <v>76.6666666666667</v>
      </c>
      <c r="T11" s="6">
        <v>11</v>
      </c>
      <c r="U11" s="6">
        <v>7</v>
      </c>
      <c r="V11" s="6">
        <v>5</v>
      </c>
      <c r="W11" s="4" t="s">
        <v>158</v>
      </c>
      <c r="X11" s="5"/>
      <c r="Y11" s="5"/>
      <c r="Z11" s="5"/>
      <c r="AA11" s="5"/>
      <c r="AB11" s="5"/>
      <c r="AC11" s="4" t="s">
        <v>135</v>
      </c>
      <c r="AD11" s="5"/>
      <c r="AE11" s="5"/>
      <c r="AF11" s="5"/>
      <c r="AG11" s="5"/>
      <c r="AH11" s="5"/>
      <c r="AI11" s="5"/>
      <c r="AJ11" s="5"/>
      <c r="AK11" s="5"/>
      <c r="AL11" s="5"/>
      <c r="AM11" s="5"/>
      <c r="AN11" s="4" t="s">
        <v>159</v>
      </c>
      <c r="AO11" s="5"/>
      <c r="AP11" s="4" t="s">
        <v>118</v>
      </c>
      <c r="AQ11" s="5"/>
      <c r="AR11" s="5"/>
    </row>
    <row r="12" spans="1:44" ht="31" customHeight="1">
      <c r="A12" s="4" t="s">
        <v>168</v>
      </c>
      <c r="B12" s="4" t="s">
        <v>157</v>
      </c>
      <c r="C12" s="6">
        <v>1</v>
      </c>
      <c r="D12" s="6">
        <v>1</v>
      </c>
      <c r="E12" s="5"/>
      <c r="F12" s="5"/>
      <c r="G12" s="6">
        <v>1</v>
      </c>
      <c r="H12" s="6">
        <v>3</v>
      </c>
      <c r="I12" s="6">
        <v>3</v>
      </c>
      <c r="J12" s="6">
        <v>3</v>
      </c>
      <c r="K12" s="6">
        <v>3</v>
      </c>
      <c r="L12" s="6">
        <v>2</v>
      </c>
      <c r="M12" s="6">
        <v>2</v>
      </c>
      <c r="N12" s="6">
        <v>0</v>
      </c>
      <c r="O12" s="6">
        <v>1</v>
      </c>
      <c r="P12" s="6">
        <v>3</v>
      </c>
      <c r="Q12" s="6">
        <v>2</v>
      </c>
      <c r="R12" s="6">
        <v>22</v>
      </c>
      <c r="S12" s="6">
        <v>73.3333333333333</v>
      </c>
      <c r="T12" s="6">
        <v>11</v>
      </c>
      <c r="U12" s="6">
        <v>6</v>
      </c>
      <c r="V12" s="6">
        <v>5</v>
      </c>
      <c r="W12" s="4" t="s">
        <v>158</v>
      </c>
      <c r="X12" s="5"/>
      <c r="Y12" s="5"/>
      <c r="Z12" s="5"/>
      <c r="AA12" s="5"/>
      <c r="AB12" s="5"/>
      <c r="AC12" s="4" t="s">
        <v>135</v>
      </c>
      <c r="AD12" s="5"/>
      <c r="AE12" s="5"/>
      <c r="AF12" s="5"/>
      <c r="AG12" s="5"/>
      <c r="AH12" s="5"/>
      <c r="AI12" s="5"/>
      <c r="AJ12" s="5"/>
      <c r="AK12" s="5"/>
      <c r="AL12" s="5"/>
      <c r="AM12" s="5"/>
      <c r="AN12" s="4" t="s">
        <v>169</v>
      </c>
      <c r="AO12" s="5"/>
      <c r="AP12" s="4" t="s">
        <v>118</v>
      </c>
      <c r="AQ12" s="5"/>
      <c r="AR12" s="5"/>
    </row>
    <row r="13" spans="1:44" ht="31" customHeight="1">
      <c r="A13" s="4" t="s">
        <v>172</v>
      </c>
      <c r="B13" s="4" t="s">
        <v>157</v>
      </c>
      <c r="C13" s="6">
        <v>1</v>
      </c>
      <c r="D13" s="6">
        <v>1</v>
      </c>
      <c r="E13" s="5"/>
      <c r="F13" s="5"/>
      <c r="G13" s="6">
        <v>1</v>
      </c>
      <c r="H13" s="6">
        <v>3</v>
      </c>
      <c r="I13" s="6">
        <v>2</v>
      </c>
      <c r="J13" s="6">
        <v>3</v>
      </c>
      <c r="K13" s="6">
        <v>3</v>
      </c>
      <c r="L13" s="6">
        <v>2</v>
      </c>
      <c r="M13" s="6">
        <v>2</v>
      </c>
      <c r="N13" s="6">
        <v>3</v>
      </c>
      <c r="O13" s="6">
        <v>3</v>
      </c>
      <c r="P13" s="6">
        <v>2</v>
      </c>
      <c r="Q13" s="6">
        <v>2</v>
      </c>
      <c r="R13" s="6">
        <v>25</v>
      </c>
      <c r="S13" s="6">
        <v>83.3333333333333</v>
      </c>
      <c r="T13" s="6">
        <v>10</v>
      </c>
      <c r="U13" s="6">
        <v>11</v>
      </c>
      <c r="V13" s="6">
        <v>4</v>
      </c>
      <c r="W13" s="4" t="s">
        <v>173</v>
      </c>
      <c r="X13" s="5"/>
      <c r="Y13" s="5"/>
      <c r="Z13" s="5"/>
      <c r="AA13" s="5"/>
      <c r="AB13" s="5"/>
      <c r="AC13" s="4" t="s">
        <v>135</v>
      </c>
      <c r="AD13" s="5"/>
      <c r="AE13" s="5"/>
      <c r="AF13" s="5"/>
      <c r="AG13" s="5"/>
      <c r="AH13" s="5"/>
      <c r="AI13" s="5"/>
      <c r="AJ13" s="5"/>
      <c r="AK13" s="5"/>
      <c r="AL13" s="5"/>
      <c r="AM13" s="5"/>
      <c r="AN13" s="4" t="s">
        <v>174</v>
      </c>
      <c r="AO13" s="5"/>
      <c r="AP13" s="4" t="s">
        <v>118</v>
      </c>
      <c r="AQ13" s="5"/>
      <c r="AR13" s="5"/>
    </row>
    <row r="14" spans="1:44" ht="31" customHeight="1">
      <c r="A14" s="4" t="s">
        <v>177</v>
      </c>
      <c r="B14" s="4" t="s">
        <v>157</v>
      </c>
      <c r="C14" s="6">
        <v>1</v>
      </c>
      <c r="D14" s="6">
        <v>1</v>
      </c>
      <c r="E14" s="5"/>
      <c r="F14" s="5"/>
      <c r="G14" s="6">
        <v>1</v>
      </c>
      <c r="H14" s="6">
        <v>3</v>
      </c>
      <c r="I14" s="6">
        <v>3</v>
      </c>
      <c r="J14" s="6">
        <v>3</v>
      </c>
      <c r="K14" s="6">
        <v>3</v>
      </c>
      <c r="L14" s="6">
        <v>3</v>
      </c>
      <c r="M14" s="6">
        <v>3</v>
      </c>
      <c r="N14" s="6">
        <v>3</v>
      </c>
      <c r="O14" s="6">
        <v>3</v>
      </c>
      <c r="P14" s="6">
        <v>3</v>
      </c>
      <c r="Q14" s="6">
        <v>2</v>
      </c>
      <c r="R14" s="6">
        <v>29</v>
      </c>
      <c r="S14" s="6">
        <v>96.6666666666667</v>
      </c>
      <c r="T14" s="6">
        <v>12</v>
      </c>
      <c r="U14" s="6">
        <v>12</v>
      </c>
      <c r="V14" s="6">
        <v>5</v>
      </c>
      <c r="W14" s="4" t="s">
        <v>158</v>
      </c>
      <c r="X14" s="5"/>
      <c r="Y14" s="5"/>
      <c r="Z14" s="5"/>
      <c r="AA14" s="5"/>
      <c r="AB14" s="5"/>
      <c r="AC14" s="4" t="s">
        <v>135</v>
      </c>
      <c r="AD14" s="5"/>
      <c r="AE14" s="5"/>
      <c r="AF14" s="5"/>
      <c r="AG14" s="5"/>
      <c r="AH14" s="5"/>
      <c r="AI14" s="5"/>
      <c r="AJ14" s="5"/>
      <c r="AK14" s="5"/>
      <c r="AL14" s="5"/>
      <c r="AM14" s="5"/>
      <c r="AN14" s="4" t="s">
        <v>178</v>
      </c>
      <c r="AO14" s="5"/>
      <c r="AP14" s="4" t="s">
        <v>118</v>
      </c>
      <c r="AQ14" s="5"/>
      <c r="AR14" s="5"/>
    </row>
    <row r="15" spans="1:44" ht="31" customHeight="1">
      <c r="A15" s="4" t="s">
        <v>181</v>
      </c>
      <c r="B15" s="4" t="s">
        <v>157</v>
      </c>
      <c r="C15" s="6">
        <v>1</v>
      </c>
      <c r="D15" s="6">
        <v>1</v>
      </c>
      <c r="E15" s="5"/>
      <c r="F15" s="5"/>
      <c r="G15" s="6">
        <v>1</v>
      </c>
      <c r="H15" s="6">
        <v>3</v>
      </c>
      <c r="I15" s="6">
        <v>3</v>
      </c>
      <c r="J15" s="6">
        <v>3</v>
      </c>
      <c r="K15" s="6">
        <v>3</v>
      </c>
      <c r="L15" s="6">
        <v>2</v>
      </c>
      <c r="M15" s="6">
        <v>2</v>
      </c>
      <c r="N15" s="6">
        <v>3</v>
      </c>
      <c r="O15" s="6">
        <v>3</v>
      </c>
      <c r="P15" s="6">
        <v>3</v>
      </c>
      <c r="Q15" s="6">
        <v>2</v>
      </c>
      <c r="R15" s="6">
        <v>27</v>
      </c>
      <c r="S15" s="6">
        <v>90</v>
      </c>
      <c r="T15" s="6">
        <v>11</v>
      </c>
      <c r="U15" s="6">
        <v>11</v>
      </c>
      <c r="V15" s="6">
        <v>5</v>
      </c>
      <c r="W15" s="4" t="s">
        <v>158</v>
      </c>
      <c r="X15" s="5"/>
      <c r="Y15" s="5"/>
      <c r="Z15" s="5"/>
      <c r="AA15" s="5"/>
      <c r="AB15" s="5"/>
      <c r="AC15" s="4" t="s">
        <v>135</v>
      </c>
      <c r="AD15" s="5"/>
      <c r="AE15" s="5"/>
      <c r="AF15" s="5"/>
      <c r="AG15" s="5"/>
      <c r="AH15" s="5"/>
      <c r="AI15" s="5"/>
      <c r="AJ15" s="5"/>
      <c r="AK15" s="5"/>
      <c r="AL15" s="5"/>
      <c r="AM15" s="5"/>
      <c r="AN15" s="4" t="s">
        <v>182</v>
      </c>
      <c r="AO15" s="5"/>
      <c r="AP15" s="4" t="s">
        <v>118</v>
      </c>
      <c r="AQ15" s="5"/>
      <c r="AR15" s="5"/>
    </row>
    <row r="16" spans="1:44" ht="31" customHeight="1">
      <c r="A16" s="4" t="s">
        <v>184</v>
      </c>
      <c r="B16" s="4" t="s">
        <v>157</v>
      </c>
      <c r="C16" s="6">
        <v>1</v>
      </c>
      <c r="D16" s="6">
        <v>1</v>
      </c>
      <c r="E16" s="5"/>
      <c r="F16" s="5"/>
      <c r="G16" s="6">
        <v>1</v>
      </c>
      <c r="H16" s="6">
        <v>3</v>
      </c>
      <c r="I16" s="6">
        <v>1</v>
      </c>
      <c r="J16" s="6">
        <v>3</v>
      </c>
      <c r="K16" s="6">
        <v>3</v>
      </c>
      <c r="L16" s="6">
        <v>1</v>
      </c>
      <c r="M16" s="6">
        <v>2</v>
      </c>
      <c r="N16" s="6">
        <v>0</v>
      </c>
      <c r="O16" s="6">
        <v>3</v>
      </c>
      <c r="P16" s="6">
        <v>3</v>
      </c>
      <c r="Q16" s="6">
        <v>2</v>
      </c>
      <c r="R16" s="6">
        <v>21</v>
      </c>
      <c r="S16" s="6">
        <v>70</v>
      </c>
      <c r="T16" s="6">
        <v>8</v>
      </c>
      <c r="U16" s="6">
        <v>8</v>
      </c>
      <c r="V16" s="6">
        <v>5</v>
      </c>
      <c r="W16" s="4" t="s">
        <v>173</v>
      </c>
      <c r="X16" s="5"/>
      <c r="Y16" s="5"/>
      <c r="Z16" s="5"/>
      <c r="AA16" s="5"/>
      <c r="AB16" s="5"/>
      <c r="AC16" s="4" t="s">
        <v>135</v>
      </c>
      <c r="AD16" s="5"/>
      <c r="AE16" s="5"/>
      <c r="AF16" s="5"/>
      <c r="AG16" s="5"/>
      <c r="AH16" s="5"/>
      <c r="AI16" s="5"/>
      <c r="AJ16" s="5"/>
      <c r="AK16" s="5"/>
      <c r="AL16" s="5"/>
      <c r="AM16" s="5"/>
      <c r="AN16" s="4" t="s">
        <v>185</v>
      </c>
      <c r="AO16" s="5"/>
      <c r="AP16" s="4" t="s">
        <v>118</v>
      </c>
      <c r="AQ16" s="5"/>
      <c r="AR16" s="5"/>
    </row>
    <row r="17" spans="1:44" ht="31" customHeight="1">
      <c r="A17" s="4" t="s">
        <v>187</v>
      </c>
      <c r="B17" s="4" t="s">
        <v>157</v>
      </c>
      <c r="C17" s="6">
        <v>1</v>
      </c>
      <c r="D17" s="6">
        <v>1</v>
      </c>
      <c r="E17" s="5"/>
      <c r="F17" s="5"/>
      <c r="G17" s="6">
        <v>1</v>
      </c>
      <c r="H17" s="6">
        <v>3</v>
      </c>
      <c r="I17" s="6">
        <v>2</v>
      </c>
      <c r="J17" s="6">
        <v>3</v>
      </c>
      <c r="K17" s="6">
        <v>3</v>
      </c>
      <c r="L17" s="6">
        <v>1</v>
      </c>
      <c r="M17" s="6">
        <v>2</v>
      </c>
      <c r="N17" s="6">
        <v>0</v>
      </c>
      <c r="O17" s="6">
        <v>2</v>
      </c>
      <c r="P17" s="6">
        <v>3</v>
      </c>
      <c r="Q17" s="6">
        <v>2</v>
      </c>
      <c r="R17" s="6">
        <v>21</v>
      </c>
      <c r="S17" s="6">
        <v>70</v>
      </c>
      <c r="T17" s="6">
        <v>9</v>
      </c>
      <c r="U17" s="6">
        <v>7</v>
      </c>
      <c r="V17" s="6">
        <v>5</v>
      </c>
      <c r="W17" s="4" t="s">
        <v>158</v>
      </c>
      <c r="X17" s="5"/>
      <c r="Y17" s="5"/>
      <c r="Z17" s="5"/>
      <c r="AA17" s="5"/>
      <c r="AB17" s="5"/>
      <c r="AC17" s="4" t="s">
        <v>135</v>
      </c>
      <c r="AD17" s="5"/>
      <c r="AE17" s="5"/>
      <c r="AF17" s="5"/>
      <c r="AG17" s="5"/>
      <c r="AH17" s="5"/>
      <c r="AI17" s="5"/>
      <c r="AJ17" s="5"/>
      <c r="AK17" s="5"/>
      <c r="AL17" s="5"/>
      <c r="AM17" s="5"/>
      <c r="AN17" s="4" t="s">
        <v>188</v>
      </c>
      <c r="AO17" s="5"/>
      <c r="AP17" s="4" t="s">
        <v>118</v>
      </c>
      <c r="AQ17" s="5"/>
      <c r="AR17" s="5"/>
    </row>
    <row r="18" spans="1:44" ht="31" customHeight="1">
      <c r="A18" s="4" t="s">
        <v>190</v>
      </c>
      <c r="B18" s="4" t="s">
        <v>191</v>
      </c>
      <c r="C18" s="6">
        <v>1</v>
      </c>
      <c r="D18" s="6">
        <v>1</v>
      </c>
      <c r="E18" s="5"/>
      <c r="F18" s="4" t="s">
        <v>112</v>
      </c>
      <c r="G18" s="6">
        <v>1</v>
      </c>
      <c r="H18" s="6">
        <v>3</v>
      </c>
      <c r="I18" s="6">
        <v>3</v>
      </c>
      <c r="J18" s="6">
        <v>3</v>
      </c>
      <c r="K18" s="6">
        <v>3</v>
      </c>
      <c r="L18" s="6">
        <v>3</v>
      </c>
      <c r="M18" s="6">
        <v>3</v>
      </c>
      <c r="N18" s="6">
        <v>3</v>
      </c>
      <c r="O18" s="6">
        <v>3</v>
      </c>
      <c r="P18" s="6">
        <v>3</v>
      </c>
      <c r="Q18" s="6">
        <v>3</v>
      </c>
      <c r="R18" s="6">
        <v>30</v>
      </c>
      <c r="S18" s="6">
        <v>100</v>
      </c>
      <c r="T18" s="6">
        <v>12</v>
      </c>
      <c r="U18" s="6">
        <v>12</v>
      </c>
      <c r="V18" s="6">
        <v>6</v>
      </c>
      <c r="W18" s="4" t="s">
        <v>113</v>
      </c>
      <c r="X18" s="5"/>
      <c r="Y18" s="5"/>
      <c r="Z18" s="5"/>
      <c r="AA18" s="6">
        <v>1</v>
      </c>
      <c r="AB18" s="5"/>
      <c r="AC18" s="5"/>
      <c r="AD18" s="5"/>
      <c r="AE18" s="6">
        <v>238496</v>
      </c>
      <c r="AF18" s="6">
        <v>265991</v>
      </c>
      <c r="AG18" s="6">
        <v>16002</v>
      </c>
      <c r="AH18" s="6">
        <v>0.060159930223203</v>
      </c>
      <c r="AI18" s="5"/>
      <c r="AJ18" s="5"/>
      <c r="AK18" s="6">
        <v>0.0587</v>
      </c>
      <c r="AL18" s="5"/>
      <c r="AM18" s="5"/>
      <c r="AN18" s="4" t="s">
        <v>192</v>
      </c>
      <c r="AO18" s="4" t="s">
        <v>113</v>
      </c>
      <c r="AP18" s="4" t="s">
        <v>1084</v>
      </c>
      <c r="AQ18" s="5"/>
      <c r="AR18" s="5"/>
    </row>
    <row r="19" spans="1:44" ht="31" customHeight="1">
      <c r="A19" s="4" t="s">
        <v>202</v>
      </c>
      <c r="B19" s="4" t="s">
        <v>191</v>
      </c>
      <c r="C19" s="6">
        <v>1</v>
      </c>
      <c r="D19" s="6">
        <v>1</v>
      </c>
      <c r="E19" s="5"/>
      <c r="F19" s="4" t="s">
        <v>112</v>
      </c>
      <c r="G19" s="6">
        <v>1</v>
      </c>
      <c r="H19" s="6">
        <v>3</v>
      </c>
      <c r="I19" s="6">
        <v>3</v>
      </c>
      <c r="J19" s="6">
        <v>3</v>
      </c>
      <c r="K19" s="6">
        <v>3</v>
      </c>
      <c r="L19" s="6">
        <v>3</v>
      </c>
      <c r="M19" s="6">
        <v>3</v>
      </c>
      <c r="N19" s="6">
        <v>3</v>
      </c>
      <c r="O19" s="6">
        <v>3</v>
      </c>
      <c r="P19" s="6">
        <v>3</v>
      </c>
      <c r="Q19" s="6">
        <v>3</v>
      </c>
      <c r="R19" s="6">
        <v>30</v>
      </c>
      <c r="S19" s="6">
        <v>100</v>
      </c>
      <c r="T19" s="6">
        <v>12</v>
      </c>
      <c r="U19" s="6">
        <v>12</v>
      </c>
      <c r="V19" s="6">
        <v>6</v>
      </c>
      <c r="W19" s="4" t="s">
        <v>113</v>
      </c>
      <c r="X19" s="5"/>
      <c r="Y19" s="5"/>
      <c r="Z19" s="5"/>
      <c r="AA19" s="6">
        <v>1</v>
      </c>
      <c r="AB19" s="5"/>
      <c r="AC19" s="5"/>
      <c r="AD19" s="5"/>
      <c r="AE19" s="5"/>
      <c r="AF19" s="5"/>
      <c r="AG19" s="5"/>
      <c r="AH19" s="5"/>
      <c r="AI19" s="5"/>
      <c r="AJ19" s="5"/>
      <c r="AK19" s="5"/>
      <c r="AL19" s="5"/>
      <c r="AM19" s="5"/>
      <c r="AN19" s="4" t="s">
        <v>203</v>
      </c>
      <c r="AO19" s="5"/>
      <c r="AP19" s="4" t="s">
        <v>1084</v>
      </c>
      <c r="AQ19" s="4" t="s">
        <v>205</v>
      </c>
      <c r="AR19" s="5"/>
    </row>
    <row r="20" spans="1:44" ht="31" customHeight="1">
      <c r="A20" s="4" t="s">
        <v>208</v>
      </c>
      <c r="B20" s="4" t="s">
        <v>191</v>
      </c>
      <c r="C20" s="6">
        <v>1</v>
      </c>
      <c r="D20" s="6">
        <v>1</v>
      </c>
      <c r="E20" s="5"/>
      <c r="F20" s="4" t="s">
        <v>134</v>
      </c>
      <c r="G20" s="6">
        <v>1</v>
      </c>
      <c r="H20" s="6">
        <v>3</v>
      </c>
      <c r="I20" s="6">
        <v>3</v>
      </c>
      <c r="J20" s="6">
        <v>3</v>
      </c>
      <c r="K20" s="6">
        <v>3</v>
      </c>
      <c r="L20" s="6">
        <v>3</v>
      </c>
      <c r="M20" s="6">
        <v>3</v>
      </c>
      <c r="N20" s="6">
        <v>3</v>
      </c>
      <c r="O20" s="6">
        <v>3</v>
      </c>
      <c r="P20" s="6">
        <v>3</v>
      </c>
      <c r="Q20" s="6">
        <v>3</v>
      </c>
      <c r="R20" s="6">
        <v>30</v>
      </c>
      <c r="S20" s="6">
        <v>100</v>
      </c>
      <c r="T20" s="6">
        <v>12</v>
      </c>
      <c r="U20" s="6">
        <v>12</v>
      </c>
      <c r="V20" s="6">
        <v>6</v>
      </c>
      <c r="W20" s="4" t="s">
        <v>113</v>
      </c>
      <c r="X20" s="5"/>
      <c r="Y20" s="5"/>
      <c r="Z20" s="5"/>
      <c r="AA20" s="6">
        <v>1</v>
      </c>
      <c r="AB20" s="5"/>
      <c r="AC20" s="5"/>
      <c r="AD20" s="5"/>
      <c r="AE20" s="6">
        <v>16662.21</v>
      </c>
      <c r="AF20" s="6">
        <v>22882</v>
      </c>
      <c r="AG20" s="6">
        <v>5324.67</v>
      </c>
      <c r="AH20" s="6">
        <v>0.232701249890744</v>
      </c>
      <c r="AI20" s="5"/>
      <c r="AJ20" s="5"/>
      <c r="AK20" s="5"/>
      <c r="AL20" s="5"/>
      <c r="AM20" s="5"/>
      <c r="AN20" s="4" t="s">
        <v>209</v>
      </c>
      <c r="AO20" s="4" t="s">
        <v>113</v>
      </c>
      <c r="AP20" s="4" t="s">
        <v>1084</v>
      </c>
      <c r="AQ20" s="5"/>
      <c r="AR20" s="5"/>
    </row>
    <row r="21" spans="1:44" ht="31" customHeight="1">
      <c r="A21" s="4" t="s">
        <v>212</v>
      </c>
      <c r="B21" s="4" t="s">
        <v>191</v>
      </c>
      <c r="C21" s="6">
        <v>1</v>
      </c>
      <c r="D21" s="5"/>
      <c r="E21" s="5"/>
      <c r="F21" s="5"/>
      <c r="G21" s="5"/>
      <c r="H21" s="6">
        <v>3</v>
      </c>
      <c r="I21" s="6">
        <v>0</v>
      </c>
      <c r="J21" s="6">
        <v>0</v>
      </c>
      <c r="K21" s="6">
        <v>2</v>
      </c>
      <c r="L21" s="6">
        <v>2</v>
      </c>
      <c r="M21" s="6">
        <v>1</v>
      </c>
      <c r="N21" s="6">
        <v>3</v>
      </c>
      <c r="O21" s="6">
        <v>3</v>
      </c>
      <c r="P21" s="6">
        <v>3</v>
      </c>
      <c r="Q21" s="6">
        <v>0</v>
      </c>
      <c r="R21" s="6">
        <v>17</v>
      </c>
      <c r="S21" s="6">
        <v>56.6666666666667</v>
      </c>
      <c r="T21" s="6">
        <v>5</v>
      </c>
      <c r="U21" s="6">
        <v>9</v>
      </c>
      <c r="V21" s="6">
        <v>3</v>
      </c>
      <c r="W21" s="4" t="s">
        <v>113</v>
      </c>
      <c r="X21" s="5"/>
      <c r="Y21" s="5"/>
      <c r="Z21" s="5"/>
      <c r="AA21" s="6">
        <v>1</v>
      </c>
      <c r="AB21" s="5"/>
      <c r="AC21" s="5"/>
      <c r="AD21" s="5"/>
      <c r="AE21" s="5"/>
      <c r="AF21" s="5"/>
      <c r="AG21" s="5"/>
      <c r="AH21" s="5"/>
      <c r="AI21" s="5"/>
      <c r="AJ21" s="5"/>
      <c r="AK21" s="5"/>
      <c r="AL21" s="5"/>
      <c r="AM21" s="5"/>
      <c r="AN21" s="4" t="s">
        <v>214</v>
      </c>
      <c r="AO21" s="5"/>
      <c r="AP21" s="4" t="s">
        <v>1084</v>
      </c>
      <c r="AQ21" s="5"/>
      <c r="AR21" s="5"/>
    </row>
    <row r="22" spans="1:44" ht="31" customHeight="1">
      <c r="A22" s="4" t="s">
        <v>217</v>
      </c>
      <c r="B22" s="4" t="s">
        <v>191</v>
      </c>
      <c r="C22" s="6">
        <v>1</v>
      </c>
      <c r="D22" s="6">
        <v>1</v>
      </c>
      <c r="E22" s="5"/>
      <c r="F22" s="5"/>
      <c r="G22" s="5"/>
      <c r="H22" s="6">
        <v>3</v>
      </c>
      <c r="I22" s="6">
        <v>0</v>
      </c>
      <c r="J22" s="6">
        <v>0</v>
      </c>
      <c r="K22" s="6">
        <v>0</v>
      </c>
      <c r="L22" s="6">
        <v>0</v>
      </c>
      <c r="M22" s="6">
        <v>0</v>
      </c>
      <c r="N22" s="6">
        <v>3</v>
      </c>
      <c r="O22" s="6">
        <v>2</v>
      </c>
      <c r="P22" s="6">
        <v>2</v>
      </c>
      <c r="Q22" s="6">
        <v>0</v>
      </c>
      <c r="R22" s="6">
        <v>10</v>
      </c>
      <c r="S22" s="6">
        <v>33.3333333333333</v>
      </c>
      <c r="T22" s="6">
        <v>3</v>
      </c>
      <c r="U22" s="6">
        <v>5</v>
      </c>
      <c r="V22" s="6">
        <v>2</v>
      </c>
      <c r="W22" s="4" t="s">
        <v>113</v>
      </c>
      <c r="X22" s="5"/>
      <c r="Y22" s="5"/>
      <c r="Z22" s="5"/>
      <c r="AA22" s="5"/>
      <c r="AB22" s="5"/>
      <c r="AC22" s="5"/>
      <c r="AD22" s="5"/>
      <c r="AE22" s="6">
        <v>810.17</v>
      </c>
      <c r="AF22" s="6">
        <v>299.63</v>
      </c>
      <c r="AG22" s="6">
        <v>15.51</v>
      </c>
      <c r="AH22" s="6">
        <v>0.0517638420718887</v>
      </c>
      <c r="AI22" s="5"/>
      <c r="AJ22" s="5"/>
      <c r="AK22" s="6">
        <v>0.0536</v>
      </c>
      <c r="AL22" s="5"/>
      <c r="AM22" s="5"/>
      <c r="AN22" s="4" t="s">
        <v>218</v>
      </c>
      <c r="AO22" s="4" t="s">
        <v>113</v>
      </c>
      <c r="AP22" s="4" t="s">
        <v>1084</v>
      </c>
      <c r="AQ22" s="5"/>
      <c r="AR22" s="5"/>
    </row>
    <row r="23" spans="1:44" ht="31" customHeight="1">
      <c r="A23" s="4" t="s">
        <v>222</v>
      </c>
      <c r="B23" s="4" t="s">
        <v>191</v>
      </c>
      <c r="C23" s="6">
        <v>1</v>
      </c>
      <c r="D23" s="6">
        <v>1</v>
      </c>
      <c r="E23" s="5"/>
      <c r="F23" s="5"/>
      <c r="G23" s="5"/>
      <c r="H23" s="6">
        <v>3</v>
      </c>
      <c r="I23" s="6">
        <v>0</v>
      </c>
      <c r="J23" s="6">
        <v>0</v>
      </c>
      <c r="K23" s="6">
        <v>0</v>
      </c>
      <c r="L23" s="6">
        <v>0</v>
      </c>
      <c r="M23" s="6">
        <v>0</v>
      </c>
      <c r="N23" s="6">
        <v>2</v>
      </c>
      <c r="O23" s="6">
        <v>2</v>
      </c>
      <c r="P23" s="6">
        <v>2</v>
      </c>
      <c r="Q23" s="6">
        <v>0</v>
      </c>
      <c r="R23" s="6">
        <v>9</v>
      </c>
      <c r="S23" s="6">
        <v>30</v>
      </c>
      <c r="T23" s="6">
        <v>3</v>
      </c>
      <c r="U23" s="6">
        <v>4</v>
      </c>
      <c r="V23" s="6">
        <v>2</v>
      </c>
      <c r="W23" s="4" t="s">
        <v>113</v>
      </c>
      <c r="X23" s="5"/>
      <c r="Y23" s="5"/>
      <c r="Z23" s="5"/>
      <c r="AA23" s="5"/>
      <c r="AB23" s="5"/>
      <c r="AC23" s="5"/>
      <c r="AD23" s="5"/>
      <c r="AE23" s="6">
        <v>479.3</v>
      </c>
      <c r="AF23" s="5"/>
      <c r="AG23" s="6">
        <v>10.97</v>
      </c>
      <c r="AH23" s="5"/>
      <c r="AI23" s="5"/>
      <c r="AJ23" s="5"/>
      <c r="AK23" s="5"/>
      <c r="AL23" s="5"/>
      <c r="AM23" s="5"/>
      <c r="AN23" s="4" t="s">
        <v>218</v>
      </c>
      <c r="AO23" s="4" t="s">
        <v>130</v>
      </c>
      <c r="AP23" s="4" t="s">
        <v>1084</v>
      </c>
      <c r="AQ23" s="5"/>
      <c r="AR23" s="5"/>
    </row>
    <row r="24" spans="1:44" ht="31" customHeight="1">
      <c r="A24" s="4" t="s">
        <v>225</v>
      </c>
      <c r="B24" s="4" t="s">
        <v>191</v>
      </c>
      <c r="C24" s="6">
        <v>1</v>
      </c>
      <c r="D24" s="6">
        <v>1</v>
      </c>
      <c r="E24" s="5"/>
      <c r="F24" s="5"/>
      <c r="G24" s="5"/>
      <c r="H24" s="6">
        <v>3</v>
      </c>
      <c r="I24" s="6">
        <v>0</v>
      </c>
      <c r="J24" s="6">
        <v>0</v>
      </c>
      <c r="K24" s="6">
        <v>0</v>
      </c>
      <c r="L24" s="6">
        <v>0</v>
      </c>
      <c r="M24" s="6">
        <v>0</v>
      </c>
      <c r="N24" s="6">
        <v>2</v>
      </c>
      <c r="O24" s="6">
        <v>2</v>
      </c>
      <c r="P24" s="6">
        <v>2</v>
      </c>
      <c r="Q24" s="6">
        <v>0</v>
      </c>
      <c r="R24" s="6">
        <v>9</v>
      </c>
      <c r="S24" s="6">
        <v>30</v>
      </c>
      <c r="T24" s="6">
        <v>3</v>
      </c>
      <c r="U24" s="6">
        <v>4</v>
      </c>
      <c r="V24" s="6">
        <v>2</v>
      </c>
      <c r="W24" s="4" t="s">
        <v>113</v>
      </c>
      <c r="X24" s="5"/>
      <c r="Y24" s="5"/>
      <c r="Z24" s="5"/>
      <c r="AA24" s="5"/>
      <c r="AB24" s="5"/>
      <c r="AC24" s="5"/>
      <c r="AD24" s="5"/>
      <c r="AE24" s="6">
        <v>491.4</v>
      </c>
      <c r="AF24" s="6">
        <v>423.81</v>
      </c>
      <c r="AG24" s="6">
        <v>31.66</v>
      </c>
      <c r="AH24" s="6">
        <v>0.0747032868502395</v>
      </c>
      <c r="AI24" s="5"/>
      <c r="AJ24" s="5"/>
      <c r="AK24" s="5"/>
      <c r="AL24" s="5"/>
      <c r="AM24" s="5"/>
      <c r="AN24" s="4" t="s">
        <v>226</v>
      </c>
      <c r="AO24" s="4" t="s">
        <v>113</v>
      </c>
      <c r="AP24" s="4" t="s">
        <v>1084</v>
      </c>
      <c r="AQ24" s="5"/>
      <c r="AR24" s="5"/>
    </row>
    <row r="25" spans="1:44" ht="31" customHeight="1">
      <c r="A25" s="4" t="s">
        <v>229</v>
      </c>
      <c r="B25" s="4" t="s">
        <v>191</v>
      </c>
      <c r="C25" s="6">
        <v>1</v>
      </c>
      <c r="D25" s="6">
        <v>1</v>
      </c>
      <c r="E25" s="5"/>
      <c r="F25" s="5"/>
      <c r="G25" s="5"/>
      <c r="H25" s="6">
        <v>3</v>
      </c>
      <c r="I25" s="6">
        <v>0</v>
      </c>
      <c r="J25" s="6">
        <v>0</v>
      </c>
      <c r="K25" s="6">
        <v>0</v>
      </c>
      <c r="L25" s="6">
        <v>0</v>
      </c>
      <c r="M25" s="6">
        <v>0</v>
      </c>
      <c r="N25" s="6">
        <v>2</v>
      </c>
      <c r="O25" s="6">
        <v>1</v>
      </c>
      <c r="P25" s="6">
        <v>2</v>
      </c>
      <c r="Q25" s="6">
        <v>0</v>
      </c>
      <c r="R25" s="6">
        <v>8</v>
      </c>
      <c r="S25" s="6">
        <v>26.6666666666667</v>
      </c>
      <c r="T25" s="6">
        <v>3</v>
      </c>
      <c r="U25" s="6">
        <v>3</v>
      </c>
      <c r="V25" s="6">
        <v>2</v>
      </c>
      <c r="W25" s="4" t="s">
        <v>113</v>
      </c>
      <c r="X25" s="5"/>
      <c r="Y25" s="5"/>
      <c r="Z25" s="5"/>
      <c r="AA25" s="5"/>
      <c r="AB25" s="5"/>
      <c r="AC25" s="5"/>
      <c r="AD25" s="5"/>
      <c r="AE25" s="6">
        <v>509.15</v>
      </c>
      <c r="AF25" s="6">
        <v>504.26</v>
      </c>
      <c r="AG25" s="6">
        <v>6.05</v>
      </c>
      <c r="AH25" s="6">
        <v>0.0119977789235712</v>
      </c>
      <c r="AI25" s="5"/>
      <c r="AJ25" s="5"/>
      <c r="AK25" s="6">
        <v>0.1339</v>
      </c>
      <c r="AL25" s="5"/>
      <c r="AM25" s="5"/>
      <c r="AN25" s="4" t="s">
        <v>218</v>
      </c>
      <c r="AO25" s="4" t="s">
        <v>113</v>
      </c>
      <c r="AP25" s="4" t="s">
        <v>1084</v>
      </c>
      <c r="AQ25" s="5"/>
      <c r="AR25" s="5"/>
    </row>
    <row r="26" spans="1:44" ht="31" customHeight="1">
      <c r="A26" s="4" t="s">
        <v>231</v>
      </c>
      <c r="B26" s="4" t="s">
        <v>191</v>
      </c>
      <c r="C26" s="6">
        <v>1</v>
      </c>
      <c r="D26" s="6">
        <v>1</v>
      </c>
      <c r="E26" s="5"/>
      <c r="F26" s="5"/>
      <c r="G26" s="5"/>
      <c r="H26" s="6">
        <v>3</v>
      </c>
      <c r="I26" s="6">
        <v>0</v>
      </c>
      <c r="J26" s="6">
        <v>0</v>
      </c>
      <c r="K26" s="6">
        <v>0</v>
      </c>
      <c r="L26" s="6">
        <v>0</v>
      </c>
      <c r="M26" s="6">
        <v>0</v>
      </c>
      <c r="N26" s="6">
        <v>2</v>
      </c>
      <c r="O26" s="6">
        <v>1</v>
      </c>
      <c r="P26" s="6">
        <v>2</v>
      </c>
      <c r="Q26" s="6">
        <v>0</v>
      </c>
      <c r="R26" s="6">
        <v>8</v>
      </c>
      <c r="S26" s="6">
        <v>26.6666666666667</v>
      </c>
      <c r="T26" s="6">
        <v>3</v>
      </c>
      <c r="U26" s="6">
        <v>3</v>
      </c>
      <c r="V26" s="6">
        <v>2</v>
      </c>
      <c r="W26" s="4" t="s">
        <v>113</v>
      </c>
      <c r="X26" s="5"/>
      <c r="Y26" s="5"/>
      <c r="Z26" s="5"/>
      <c r="AA26" s="5"/>
      <c r="AB26" s="5"/>
      <c r="AC26" s="5"/>
      <c r="AD26" s="5"/>
      <c r="AE26" s="6">
        <v>188.52</v>
      </c>
      <c r="AF26" s="6">
        <v>149.23</v>
      </c>
      <c r="AG26" s="6">
        <v>18.09</v>
      </c>
      <c r="AH26" s="6">
        <v>0.12122227434162</v>
      </c>
      <c r="AI26" s="5"/>
      <c r="AJ26" s="5"/>
      <c r="AK26" s="6">
        <v>0.1264</v>
      </c>
      <c r="AL26" s="5"/>
      <c r="AM26" s="5"/>
      <c r="AN26" s="4" t="s">
        <v>218</v>
      </c>
      <c r="AO26" s="4" t="s">
        <v>113</v>
      </c>
      <c r="AP26" s="4" t="s">
        <v>1084</v>
      </c>
      <c r="AQ26" s="5"/>
      <c r="AR26" s="5"/>
    </row>
    <row r="27" spans="1:44" ht="31" customHeight="1">
      <c r="A27" s="4" t="s">
        <v>233</v>
      </c>
      <c r="B27" s="4" t="s">
        <v>191</v>
      </c>
      <c r="C27" s="6">
        <v>1</v>
      </c>
      <c r="D27" s="6">
        <v>1</v>
      </c>
      <c r="E27" s="5"/>
      <c r="F27" s="5"/>
      <c r="G27" s="5"/>
      <c r="H27" s="6">
        <v>3</v>
      </c>
      <c r="I27" s="6">
        <v>0</v>
      </c>
      <c r="J27" s="6">
        <v>0</v>
      </c>
      <c r="K27" s="6">
        <v>0</v>
      </c>
      <c r="L27" s="6">
        <v>0</v>
      </c>
      <c r="M27" s="6">
        <v>0</v>
      </c>
      <c r="N27" s="6">
        <v>1</v>
      </c>
      <c r="O27" s="6">
        <v>1</v>
      </c>
      <c r="P27" s="6">
        <v>2</v>
      </c>
      <c r="Q27" s="6">
        <v>0</v>
      </c>
      <c r="R27" s="6">
        <v>7</v>
      </c>
      <c r="S27" s="6">
        <v>23.3333333333333</v>
      </c>
      <c r="T27" s="6">
        <v>3</v>
      </c>
      <c r="U27" s="6">
        <v>2</v>
      </c>
      <c r="V27" s="6">
        <v>2</v>
      </c>
      <c r="W27" s="4" t="s">
        <v>113</v>
      </c>
      <c r="X27" s="5"/>
      <c r="Y27" s="5"/>
      <c r="Z27" s="5"/>
      <c r="AA27" s="5"/>
      <c r="AB27" s="5"/>
      <c r="AC27" s="5"/>
      <c r="AD27" s="5"/>
      <c r="AE27" s="5"/>
      <c r="AF27" s="5"/>
      <c r="AG27" s="5"/>
      <c r="AH27" s="5"/>
      <c r="AI27" s="5"/>
      <c r="AJ27" s="5"/>
      <c r="AK27" s="5"/>
      <c r="AL27" s="5"/>
      <c r="AM27" s="5"/>
      <c r="AN27" s="4" t="s">
        <v>218</v>
      </c>
      <c r="AO27" s="5"/>
      <c r="AP27" s="4" t="s">
        <v>1084</v>
      </c>
      <c r="AQ27" s="5"/>
      <c r="AR27" s="5"/>
    </row>
    <row r="28" spans="1:44" ht="31" customHeight="1">
      <c r="A28" s="4" t="s">
        <v>236</v>
      </c>
      <c r="B28" s="4" t="s">
        <v>237</v>
      </c>
      <c r="C28" s="6">
        <v>1</v>
      </c>
      <c r="D28" s="6">
        <v>0</v>
      </c>
      <c r="E28" s="5"/>
      <c r="F28" s="4" t="s">
        <v>238</v>
      </c>
      <c r="G28" s="6">
        <v>0</v>
      </c>
      <c r="H28" s="5"/>
      <c r="I28" s="5"/>
      <c r="J28" s="5"/>
      <c r="K28" s="5"/>
      <c r="L28" s="5"/>
      <c r="M28" s="5"/>
      <c r="N28" s="5"/>
      <c r="O28" s="5"/>
      <c r="P28" s="5"/>
      <c r="Q28" s="5"/>
      <c r="R28" s="5"/>
      <c r="S28" s="5"/>
      <c r="T28" s="5"/>
      <c r="U28" s="5"/>
      <c r="V28" s="5"/>
      <c r="W28" s="4" t="s">
        <v>130</v>
      </c>
      <c r="X28" s="4" t="s">
        <v>239</v>
      </c>
      <c r="Y28" s="5"/>
      <c r="Z28" s="5"/>
      <c r="AA28" s="5"/>
      <c r="AB28" s="5"/>
      <c r="AC28" s="4" t="s">
        <v>135</v>
      </c>
      <c r="AD28" s="5"/>
      <c r="AE28" s="5"/>
      <c r="AF28" s="5"/>
      <c r="AG28" s="5"/>
      <c r="AH28" s="5"/>
      <c r="AI28" s="5"/>
      <c r="AJ28" s="5"/>
      <c r="AK28" s="5"/>
      <c r="AL28" s="5"/>
      <c r="AM28" s="5"/>
      <c r="AN28" s="4" t="s">
        <v>240</v>
      </c>
      <c r="AO28" s="5"/>
      <c r="AP28" s="4" t="s">
        <v>118</v>
      </c>
      <c r="AQ28" s="4" t="s">
        <v>241</v>
      </c>
      <c r="AR28" s="5"/>
    </row>
    <row r="29" spans="1:44" ht="31" customHeight="1">
      <c r="A29" s="4" t="s">
        <v>252</v>
      </c>
      <c r="B29" s="4" t="s">
        <v>237</v>
      </c>
      <c r="C29" s="6">
        <v>1</v>
      </c>
      <c r="D29" s="5"/>
      <c r="E29" s="5"/>
      <c r="F29" s="5"/>
      <c r="G29" s="5"/>
      <c r="H29" s="6">
        <v>3</v>
      </c>
      <c r="I29" s="6">
        <v>3</v>
      </c>
      <c r="J29" s="6">
        <v>2</v>
      </c>
      <c r="K29" s="6">
        <v>3</v>
      </c>
      <c r="L29" s="6">
        <v>2</v>
      </c>
      <c r="M29" s="6">
        <v>2</v>
      </c>
      <c r="N29" s="6">
        <v>0</v>
      </c>
      <c r="O29" s="6">
        <v>2</v>
      </c>
      <c r="P29" s="6">
        <v>2</v>
      </c>
      <c r="Q29" s="6">
        <v>2</v>
      </c>
      <c r="R29" s="6">
        <v>21</v>
      </c>
      <c r="S29" s="6">
        <v>70</v>
      </c>
      <c r="T29" s="6">
        <v>10</v>
      </c>
      <c r="U29" s="6">
        <v>7</v>
      </c>
      <c r="V29" s="6">
        <v>4</v>
      </c>
      <c r="W29" s="4" t="s">
        <v>113</v>
      </c>
      <c r="X29" s="4" t="s">
        <v>239</v>
      </c>
      <c r="Y29" s="5"/>
      <c r="Z29" s="5"/>
      <c r="AA29" s="5"/>
      <c r="AB29" s="5"/>
      <c r="AC29" s="4" t="s">
        <v>135</v>
      </c>
      <c r="AD29" s="5"/>
      <c r="AE29" s="5"/>
      <c r="AF29" s="5"/>
      <c r="AG29" s="5"/>
      <c r="AH29" s="5"/>
      <c r="AI29" s="5"/>
      <c r="AJ29" s="5"/>
      <c r="AK29" s="5"/>
      <c r="AL29" s="5"/>
      <c r="AM29" s="5"/>
      <c r="AN29" s="4" t="s">
        <v>253</v>
      </c>
      <c r="AO29" s="5"/>
      <c r="AP29" s="4" t="s">
        <v>118</v>
      </c>
      <c r="AQ29" s="4" t="s">
        <v>254</v>
      </c>
      <c r="AR29" s="5"/>
    </row>
    <row r="30" spans="1:44" ht="31" customHeight="1">
      <c r="A30" s="4" t="s">
        <v>263</v>
      </c>
      <c r="B30" s="4" t="s">
        <v>237</v>
      </c>
      <c r="C30" s="6">
        <v>1</v>
      </c>
      <c r="D30" s="6">
        <v>1</v>
      </c>
      <c r="E30" s="5"/>
      <c r="F30" s="5"/>
      <c r="G30" s="6">
        <v>1</v>
      </c>
      <c r="H30" s="6">
        <v>3</v>
      </c>
      <c r="I30" s="6">
        <v>2</v>
      </c>
      <c r="J30" s="6">
        <v>2</v>
      </c>
      <c r="K30" s="6">
        <v>2</v>
      </c>
      <c r="L30" s="6">
        <v>1</v>
      </c>
      <c r="M30" s="6">
        <v>1</v>
      </c>
      <c r="N30" s="6">
        <v>0</v>
      </c>
      <c r="O30" s="6">
        <v>1</v>
      </c>
      <c r="P30" s="6">
        <v>2</v>
      </c>
      <c r="Q30" s="6">
        <v>2</v>
      </c>
      <c r="R30" s="6">
        <v>16</v>
      </c>
      <c r="S30" s="6">
        <v>53.3333333333333</v>
      </c>
      <c r="T30" s="6">
        <v>8</v>
      </c>
      <c r="U30" s="6">
        <v>4</v>
      </c>
      <c r="V30" s="6">
        <v>4</v>
      </c>
      <c r="W30" s="4" t="s">
        <v>113</v>
      </c>
      <c r="X30" s="4" t="s">
        <v>239</v>
      </c>
      <c r="Y30" s="5"/>
      <c r="Z30" s="5"/>
      <c r="AA30" s="5"/>
      <c r="AB30" s="5"/>
      <c r="AC30" s="4" t="s">
        <v>135</v>
      </c>
      <c r="AD30" s="5"/>
      <c r="AE30" s="5"/>
      <c r="AF30" s="5"/>
      <c r="AG30" s="5"/>
      <c r="AH30" s="5"/>
      <c r="AI30" s="5"/>
      <c r="AJ30" s="5"/>
      <c r="AK30" s="5"/>
      <c r="AL30" s="5"/>
      <c r="AM30" s="5"/>
      <c r="AN30" s="4" t="s">
        <v>264</v>
      </c>
      <c r="AO30" s="5"/>
      <c r="AP30" s="4" t="s">
        <v>118</v>
      </c>
      <c r="AQ30" s="4" t="s">
        <v>254</v>
      </c>
      <c r="AR30" s="5"/>
    </row>
    <row r="31" spans="1:44" ht="31" customHeight="1">
      <c r="A31" s="4" t="s">
        <v>268</v>
      </c>
      <c r="B31" s="4" t="s">
        <v>237</v>
      </c>
      <c r="C31" s="6">
        <v>1</v>
      </c>
      <c r="D31" s="6">
        <v>1</v>
      </c>
      <c r="E31" s="5"/>
      <c r="F31" s="5"/>
      <c r="G31" s="6">
        <v>1</v>
      </c>
      <c r="H31" s="6">
        <v>2</v>
      </c>
      <c r="I31" s="6">
        <v>1</v>
      </c>
      <c r="J31" s="6">
        <v>2</v>
      </c>
      <c r="K31" s="6">
        <v>2</v>
      </c>
      <c r="L31" s="6">
        <v>2</v>
      </c>
      <c r="M31" s="6">
        <v>1</v>
      </c>
      <c r="N31" s="6">
        <v>0</v>
      </c>
      <c r="O31" s="6">
        <v>1</v>
      </c>
      <c r="P31" s="6">
        <v>3</v>
      </c>
      <c r="Q31" s="6">
        <v>2</v>
      </c>
      <c r="R31" s="6">
        <v>16</v>
      </c>
      <c r="S31" s="6">
        <v>53.3333333333333</v>
      </c>
      <c r="T31" s="6">
        <v>7</v>
      </c>
      <c r="U31" s="6">
        <v>4</v>
      </c>
      <c r="V31" s="6">
        <v>5</v>
      </c>
      <c r="W31" s="4" t="s">
        <v>113</v>
      </c>
      <c r="X31" s="4" t="s">
        <v>239</v>
      </c>
      <c r="Y31" s="5"/>
      <c r="Z31" s="5"/>
      <c r="AA31" s="5"/>
      <c r="AB31" s="5"/>
      <c r="AC31" s="4" t="s">
        <v>135</v>
      </c>
      <c r="AD31" s="5"/>
      <c r="AE31" s="5"/>
      <c r="AF31" s="5"/>
      <c r="AG31" s="5"/>
      <c r="AH31" s="5"/>
      <c r="AI31" s="5"/>
      <c r="AJ31" s="5"/>
      <c r="AK31" s="5"/>
      <c r="AL31" s="5"/>
      <c r="AM31" s="5"/>
      <c r="AN31" s="4" t="s">
        <v>269</v>
      </c>
      <c r="AO31" s="5"/>
      <c r="AP31" s="4" t="s">
        <v>118</v>
      </c>
      <c r="AQ31" s="4" t="s">
        <v>254</v>
      </c>
      <c r="AR31" s="5"/>
    </row>
    <row r="32" spans="1:44" ht="31" customHeight="1">
      <c r="A32" s="4" t="s">
        <v>274</v>
      </c>
      <c r="B32" s="4" t="s">
        <v>237</v>
      </c>
      <c r="C32" s="6">
        <v>1</v>
      </c>
      <c r="D32" s="5"/>
      <c r="E32" s="5"/>
      <c r="F32" s="5"/>
      <c r="G32" s="5"/>
      <c r="H32" s="6">
        <v>3</v>
      </c>
      <c r="I32" s="6">
        <v>2</v>
      </c>
      <c r="J32" s="6">
        <v>2</v>
      </c>
      <c r="K32" s="6">
        <v>2</v>
      </c>
      <c r="L32" s="6">
        <v>1</v>
      </c>
      <c r="M32" s="6">
        <v>1</v>
      </c>
      <c r="N32" s="6">
        <v>0</v>
      </c>
      <c r="O32" s="6">
        <v>1</v>
      </c>
      <c r="P32" s="6">
        <v>3</v>
      </c>
      <c r="Q32" s="6">
        <v>2</v>
      </c>
      <c r="R32" s="6">
        <v>17</v>
      </c>
      <c r="S32" s="6">
        <v>56.6666666666667</v>
      </c>
      <c r="T32" s="6">
        <v>8</v>
      </c>
      <c r="U32" s="6">
        <v>4</v>
      </c>
      <c r="V32" s="6">
        <v>5</v>
      </c>
      <c r="W32" s="4" t="s">
        <v>113</v>
      </c>
      <c r="X32" s="4" t="s">
        <v>239</v>
      </c>
      <c r="Y32" s="5"/>
      <c r="Z32" s="5"/>
      <c r="AA32" s="5"/>
      <c r="AB32" s="5"/>
      <c r="AC32" s="4" t="s">
        <v>135</v>
      </c>
      <c r="AD32" s="5"/>
      <c r="AE32" s="5"/>
      <c r="AF32" s="5"/>
      <c r="AG32" s="5"/>
      <c r="AH32" s="5"/>
      <c r="AI32" s="5"/>
      <c r="AJ32" s="5"/>
      <c r="AK32" s="5"/>
      <c r="AL32" s="5"/>
      <c r="AM32" s="5"/>
      <c r="AN32" s="4" t="s">
        <v>275</v>
      </c>
      <c r="AO32" s="5"/>
      <c r="AP32" s="4" t="s">
        <v>118</v>
      </c>
      <c r="AQ32" s="4" t="s">
        <v>254</v>
      </c>
      <c r="AR32" s="5"/>
    </row>
    <row r="33" spans="1:44" ht="31" customHeight="1">
      <c r="A33" s="4" t="s">
        <v>282</v>
      </c>
      <c r="B33" s="4" t="s">
        <v>237</v>
      </c>
      <c r="C33" s="6">
        <v>1</v>
      </c>
      <c r="D33" s="6">
        <v>1</v>
      </c>
      <c r="E33" s="5"/>
      <c r="F33" s="5"/>
      <c r="G33" s="6">
        <v>1</v>
      </c>
      <c r="H33" s="6">
        <v>3</v>
      </c>
      <c r="I33" s="6">
        <v>2</v>
      </c>
      <c r="J33" s="6">
        <v>2</v>
      </c>
      <c r="K33" s="6">
        <v>2</v>
      </c>
      <c r="L33" s="6">
        <v>2</v>
      </c>
      <c r="M33" s="6">
        <v>2</v>
      </c>
      <c r="N33" s="6">
        <v>0</v>
      </c>
      <c r="O33" s="6">
        <v>1</v>
      </c>
      <c r="P33" s="6">
        <v>3</v>
      </c>
      <c r="Q33" s="6">
        <v>2</v>
      </c>
      <c r="R33" s="6">
        <v>19</v>
      </c>
      <c r="S33" s="6">
        <v>63.3333333333333</v>
      </c>
      <c r="T33" s="6">
        <v>9</v>
      </c>
      <c r="U33" s="6">
        <v>5</v>
      </c>
      <c r="V33" s="6">
        <v>5</v>
      </c>
      <c r="W33" s="4" t="s">
        <v>113</v>
      </c>
      <c r="X33" s="4" t="s">
        <v>239</v>
      </c>
      <c r="Y33" s="5"/>
      <c r="Z33" s="5"/>
      <c r="AA33" s="5"/>
      <c r="AB33" s="5"/>
      <c r="AC33" s="4" t="s">
        <v>135</v>
      </c>
      <c r="AD33" s="5"/>
      <c r="AE33" s="5"/>
      <c r="AF33" s="5"/>
      <c r="AG33" s="5"/>
      <c r="AH33" s="5"/>
      <c r="AI33" s="5"/>
      <c r="AJ33" s="5"/>
      <c r="AK33" s="5"/>
      <c r="AL33" s="5"/>
      <c r="AM33" s="5"/>
      <c r="AN33" s="4" t="s">
        <v>283</v>
      </c>
      <c r="AO33" s="5"/>
      <c r="AP33" s="4" t="s">
        <v>118</v>
      </c>
      <c r="AQ33" s="4" t="s">
        <v>254</v>
      </c>
      <c r="AR33" s="5"/>
    </row>
    <row r="34" spans="1:44" ht="31" customHeight="1">
      <c r="A34" s="4" t="s">
        <v>290</v>
      </c>
      <c r="B34" s="4" t="s">
        <v>237</v>
      </c>
      <c r="C34" s="6">
        <v>1</v>
      </c>
      <c r="D34" s="6">
        <v>1</v>
      </c>
      <c r="E34" s="5"/>
      <c r="F34" s="5"/>
      <c r="G34" s="6">
        <v>1</v>
      </c>
      <c r="H34" s="6">
        <v>2</v>
      </c>
      <c r="I34" s="6">
        <v>2</v>
      </c>
      <c r="J34" s="6">
        <v>2</v>
      </c>
      <c r="K34" s="6">
        <v>1</v>
      </c>
      <c r="L34" s="6">
        <v>1</v>
      </c>
      <c r="M34" s="6">
        <v>0</v>
      </c>
      <c r="N34" s="6">
        <v>0</v>
      </c>
      <c r="O34" s="6">
        <v>0</v>
      </c>
      <c r="P34" s="6">
        <v>0</v>
      </c>
      <c r="Q34" s="6">
        <v>2</v>
      </c>
      <c r="R34" s="6">
        <v>10</v>
      </c>
      <c r="S34" s="6">
        <v>33.3333333333333</v>
      </c>
      <c r="T34" s="6">
        <v>7</v>
      </c>
      <c r="U34" s="6">
        <v>1</v>
      </c>
      <c r="V34" s="6">
        <v>2</v>
      </c>
      <c r="W34" s="4" t="s">
        <v>113</v>
      </c>
      <c r="X34" s="4" t="s">
        <v>239</v>
      </c>
      <c r="Y34" s="5"/>
      <c r="Z34" s="5"/>
      <c r="AA34" s="5"/>
      <c r="AB34" s="5"/>
      <c r="AC34" s="4" t="s">
        <v>135</v>
      </c>
      <c r="AD34" s="5"/>
      <c r="AE34" s="5"/>
      <c r="AF34" s="5"/>
      <c r="AG34" s="5"/>
      <c r="AH34" s="5"/>
      <c r="AI34" s="5"/>
      <c r="AJ34" s="5"/>
      <c r="AK34" s="5"/>
      <c r="AL34" s="5"/>
      <c r="AM34" s="5"/>
      <c r="AN34" s="4" t="s">
        <v>291</v>
      </c>
      <c r="AO34" s="5"/>
      <c r="AP34" s="4" t="s">
        <v>118</v>
      </c>
      <c r="AQ34" s="4" t="s">
        <v>254</v>
      </c>
      <c r="AR34" s="5"/>
    </row>
    <row r="35" spans="1:44" ht="31" customHeight="1">
      <c r="A35" s="4" t="s">
        <v>296</v>
      </c>
      <c r="B35" s="4" t="s">
        <v>237</v>
      </c>
      <c r="C35" s="6">
        <v>1</v>
      </c>
      <c r="D35" s="6">
        <v>1</v>
      </c>
      <c r="E35" s="5"/>
      <c r="F35" s="5"/>
      <c r="G35" s="6">
        <v>1</v>
      </c>
      <c r="H35" s="6">
        <v>1</v>
      </c>
      <c r="I35" s="6">
        <v>1</v>
      </c>
      <c r="J35" s="6">
        <v>1</v>
      </c>
      <c r="K35" s="6">
        <v>1</v>
      </c>
      <c r="L35" s="6">
        <v>1</v>
      </c>
      <c r="M35" s="6">
        <v>0</v>
      </c>
      <c r="N35" s="6">
        <v>0</v>
      </c>
      <c r="O35" s="6">
        <v>0</v>
      </c>
      <c r="P35" s="6">
        <v>0</v>
      </c>
      <c r="Q35" s="6">
        <v>1</v>
      </c>
      <c r="R35" s="6">
        <v>6</v>
      </c>
      <c r="S35" s="6">
        <v>20</v>
      </c>
      <c r="T35" s="6">
        <v>4</v>
      </c>
      <c r="U35" s="6">
        <v>1</v>
      </c>
      <c r="V35" s="6">
        <v>1</v>
      </c>
      <c r="W35" s="4" t="s">
        <v>113</v>
      </c>
      <c r="X35" s="4" t="s">
        <v>239</v>
      </c>
      <c r="Y35" s="5"/>
      <c r="Z35" s="5"/>
      <c r="AA35" s="5"/>
      <c r="AB35" s="5"/>
      <c r="AC35" s="4" t="s">
        <v>135</v>
      </c>
      <c r="AD35" s="5"/>
      <c r="AE35" s="5"/>
      <c r="AF35" s="5"/>
      <c r="AG35" s="5"/>
      <c r="AH35" s="5"/>
      <c r="AI35" s="5"/>
      <c r="AJ35" s="5"/>
      <c r="AK35" s="5"/>
      <c r="AL35" s="5"/>
      <c r="AM35" s="5"/>
      <c r="AN35" s="4" t="s">
        <v>269</v>
      </c>
      <c r="AO35" s="5"/>
      <c r="AP35" s="4" t="s">
        <v>118</v>
      </c>
      <c r="AQ35" s="4" t="s">
        <v>254</v>
      </c>
      <c r="AR35" s="5"/>
    </row>
    <row r="36" spans="1:44" ht="31" customHeight="1">
      <c r="A36" s="4" t="s">
        <v>298</v>
      </c>
      <c r="B36" s="4" t="s">
        <v>237</v>
      </c>
      <c r="C36" s="6">
        <v>1</v>
      </c>
      <c r="D36" s="6">
        <v>1</v>
      </c>
      <c r="E36" s="5"/>
      <c r="F36" s="5"/>
      <c r="G36" s="6">
        <v>1</v>
      </c>
      <c r="H36" s="6">
        <v>0</v>
      </c>
      <c r="I36" s="6">
        <v>0</v>
      </c>
      <c r="J36" s="6">
        <v>1</v>
      </c>
      <c r="K36" s="6">
        <v>1</v>
      </c>
      <c r="L36" s="6">
        <v>1</v>
      </c>
      <c r="M36" s="6">
        <v>0</v>
      </c>
      <c r="N36" s="6">
        <v>0</v>
      </c>
      <c r="O36" s="6">
        <v>0</v>
      </c>
      <c r="P36" s="6">
        <v>0</v>
      </c>
      <c r="Q36" s="6">
        <v>1</v>
      </c>
      <c r="R36" s="6">
        <v>4</v>
      </c>
      <c r="S36" s="6">
        <v>13.3333333333333</v>
      </c>
      <c r="T36" s="6">
        <v>2</v>
      </c>
      <c r="U36" s="6">
        <v>1</v>
      </c>
      <c r="V36" s="6">
        <v>1</v>
      </c>
      <c r="W36" s="4" t="s">
        <v>113</v>
      </c>
      <c r="X36" s="4" t="s">
        <v>239</v>
      </c>
      <c r="Y36" s="5"/>
      <c r="Z36" s="5"/>
      <c r="AA36" s="5"/>
      <c r="AB36" s="5"/>
      <c r="AC36" s="4" t="s">
        <v>135</v>
      </c>
      <c r="AD36" s="5"/>
      <c r="AE36" s="5"/>
      <c r="AF36" s="5"/>
      <c r="AG36" s="5"/>
      <c r="AH36" s="5"/>
      <c r="AI36" s="5"/>
      <c r="AJ36" s="5"/>
      <c r="AK36" s="5"/>
      <c r="AL36" s="5"/>
      <c r="AM36" s="5"/>
      <c r="AN36" s="4" t="s">
        <v>291</v>
      </c>
      <c r="AO36" s="5"/>
      <c r="AP36" s="4" t="s">
        <v>118</v>
      </c>
      <c r="AQ36" s="4" t="s">
        <v>254</v>
      </c>
      <c r="AR36" s="5"/>
    </row>
    <row r="37" spans="1:44" ht="31" customHeight="1">
      <c r="A37" s="4" t="s">
        <v>300</v>
      </c>
      <c r="B37" s="4" t="s">
        <v>237</v>
      </c>
      <c r="C37" s="6">
        <v>1</v>
      </c>
      <c r="D37" s="6">
        <v>1</v>
      </c>
      <c r="E37" s="5"/>
      <c r="F37" s="5"/>
      <c r="G37" s="6">
        <v>1</v>
      </c>
      <c r="H37" s="6">
        <v>3</v>
      </c>
      <c r="I37" s="6">
        <v>2</v>
      </c>
      <c r="J37" s="6">
        <v>2</v>
      </c>
      <c r="K37" s="6">
        <v>2</v>
      </c>
      <c r="L37" s="6">
        <v>1</v>
      </c>
      <c r="M37" s="6">
        <v>1</v>
      </c>
      <c r="N37" s="6">
        <v>0</v>
      </c>
      <c r="O37" s="6">
        <v>1</v>
      </c>
      <c r="P37" s="6">
        <v>2</v>
      </c>
      <c r="Q37" s="6">
        <v>2</v>
      </c>
      <c r="R37" s="6">
        <v>16</v>
      </c>
      <c r="S37" s="6">
        <v>53.3333333333333</v>
      </c>
      <c r="T37" s="6">
        <v>8</v>
      </c>
      <c r="U37" s="6">
        <v>4</v>
      </c>
      <c r="V37" s="6">
        <v>4</v>
      </c>
      <c r="W37" s="4" t="s">
        <v>113</v>
      </c>
      <c r="X37" s="4" t="s">
        <v>239</v>
      </c>
      <c r="Y37" s="5"/>
      <c r="Z37" s="5"/>
      <c r="AA37" s="5"/>
      <c r="AB37" s="5"/>
      <c r="AC37" s="4" t="s">
        <v>135</v>
      </c>
      <c r="AD37" s="5"/>
      <c r="AE37" s="5"/>
      <c r="AF37" s="5"/>
      <c r="AG37" s="5"/>
      <c r="AH37" s="5"/>
      <c r="AI37" s="5"/>
      <c r="AJ37" s="5"/>
      <c r="AK37" s="5"/>
      <c r="AL37" s="5"/>
      <c r="AM37" s="5"/>
      <c r="AN37" s="4" t="s">
        <v>301</v>
      </c>
      <c r="AO37" s="5"/>
      <c r="AP37" s="4" t="s">
        <v>118</v>
      </c>
      <c r="AQ37" s="4" t="s">
        <v>254</v>
      </c>
      <c r="AR37" s="5"/>
    </row>
    <row r="38" spans="1:44" ht="31" customHeight="1">
      <c r="A38" s="4" t="s">
        <v>304</v>
      </c>
      <c r="B38" s="4" t="s">
        <v>237</v>
      </c>
      <c r="C38" s="6">
        <v>1</v>
      </c>
      <c r="D38" s="6">
        <v>1</v>
      </c>
      <c r="E38" s="5"/>
      <c r="F38" s="5"/>
      <c r="G38" s="6">
        <v>1</v>
      </c>
      <c r="H38" s="6">
        <v>3</v>
      </c>
      <c r="I38" s="6">
        <v>2</v>
      </c>
      <c r="J38" s="6">
        <v>2</v>
      </c>
      <c r="K38" s="6">
        <v>2</v>
      </c>
      <c r="L38" s="6">
        <v>1</v>
      </c>
      <c r="M38" s="6">
        <v>1</v>
      </c>
      <c r="N38" s="6">
        <v>0</v>
      </c>
      <c r="O38" s="6">
        <v>1</v>
      </c>
      <c r="P38" s="6">
        <v>2</v>
      </c>
      <c r="Q38" s="6">
        <v>2</v>
      </c>
      <c r="R38" s="6">
        <v>16</v>
      </c>
      <c r="S38" s="6">
        <v>53.3333333333333</v>
      </c>
      <c r="T38" s="6">
        <v>8</v>
      </c>
      <c r="U38" s="6">
        <v>4</v>
      </c>
      <c r="V38" s="6">
        <v>4</v>
      </c>
      <c r="W38" s="4" t="s">
        <v>113</v>
      </c>
      <c r="X38" s="4" t="s">
        <v>239</v>
      </c>
      <c r="Y38" s="5"/>
      <c r="Z38" s="5"/>
      <c r="AA38" s="5"/>
      <c r="AB38" s="5"/>
      <c r="AC38" s="4" t="s">
        <v>135</v>
      </c>
      <c r="AD38" s="5"/>
      <c r="AE38" s="5"/>
      <c r="AF38" s="5"/>
      <c r="AG38" s="5"/>
      <c r="AH38" s="5"/>
      <c r="AI38" s="5"/>
      <c r="AJ38" s="5"/>
      <c r="AK38" s="5"/>
      <c r="AL38" s="5"/>
      <c r="AM38" s="5"/>
      <c r="AN38" s="4" t="s">
        <v>264</v>
      </c>
      <c r="AO38" s="5"/>
      <c r="AP38" s="4" t="s">
        <v>118</v>
      </c>
      <c r="AQ38" s="4" t="s">
        <v>254</v>
      </c>
      <c r="AR38" s="5"/>
    </row>
    <row r="39" spans="1:44" ht="31" customHeight="1">
      <c r="A39" s="4" t="s">
        <v>306</v>
      </c>
      <c r="B39" s="4" t="s">
        <v>237</v>
      </c>
      <c r="C39" s="6">
        <v>1</v>
      </c>
      <c r="D39" s="5"/>
      <c r="E39" s="5"/>
      <c r="F39" s="5"/>
      <c r="G39" s="5"/>
      <c r="H39" s="6">
        <v>3</v>
      </c>
      <c r="I39" s="6">
        <v>3</v>
      </c>
      <c r="J39" s="6">
        <v>2</v>
      </c>
      <c r="K39" s="6">
        <v>2</v>
      </c>
      <c r="L39" s="6">
        <v>2</v>
      </c>
      <c r="M39" s="6">
        <v>2</v>
      </c>
      <c r="N39" s="6">
        <v>0</v>
      </c>
      <c r="O39" s="6">
        <v>2</v>
      </c>
      <c r="P39" s="6">
        <v>3</v>
      </c>
      <c r="Q39" s="6">
        <v>2</v>
      </c>
      <c r="R39" s="6">
        <v>21</v>
      </c>
      <c r="S39" s="6">
        <v>70</v>
      </c>
      <c r="T39" s="6">
        <v>10</v>
      </c>
      <c r="U39" s="6">
        <v>6</v>
      </c>
      <c r="V39" s="6">
        <v>5</v>
      </c>
      <c r="W39" s="4" t="s">
        <v>130</v>
      </c>
      <c r="X39" s="4" t="s">
        <v>239</v>
      </c>
      <c r="Y39" s="5"/>
      <c r="Z39" s="5"/>
      <c r="AA39" s="5"/>
      <c r="AB39" s="5"/>
      <c r="AC39" s="4" t="s">
        <v>135</v>
      </c>
      <c r="AD39" s="5"/>
      <c r="AE39" s="5"/>
      <c r="AF39" s="5"/>
      <c r="AG39" s="5"/>
      <c r="AH39" s="5"/>
      <c r="AI39" s="5"/>
      <c r="AJ39" s="5"/>
      <c r="AK39" s="5"/>
      <c r="AL39" s="5"/>
      <c r="AM39" s="5"/>
      <c r="AN39" s="4" t="s">
        <v>307</v>
      </c>
      <c r="AO39" s="5"/>
      <c r="AP39" s="4" t="s">
        <v>118</v>
      </c>
      <c r="AQ39" s="4" t="s">
        <v>254</v>
      </c>
      <c r="AR39" s="5"/>
    </row>
    <row r="40" spans="1:44" ht="31" customHeight="1">
      <c r="A40" s="4" t="s">
        <v>310</v>
      </c>
      <c r="B40" s="4" t="s">
        <v>311</v>
      </c>
      <c r="C40" s="6">
        <v>1</v>
      </c>
      <c r="D40" s="6">
        <v>1</v>
      </c>
      <c r="E40" s="5"/>
      <c r="F40" s="4" t="s">
        <v>112</v>
      </c>
      <c r="G40" s="6">
        <v>1</v>
      </c>
      <c r="H40" s="5"/>
      <c r="I40" s="5"/>
      <c r="J40" s="5"/>
      <c r="K40" s="5"/>
      <c r="L40" s="5"/>
      <c r="M40" s="5"/>
      <c r="N40" s="5"/>
      <c r="O40" s="5"/>
      <c r="P40" s="5"/>
      <c r="Q40" s="5"/>
      <c r="R40" s="5"/>
      <c r="S40" s="5"/>
      <c r="T40" s="5"/>
      <c r="U40" s="5"/>
      <c r="V40" s="5"/>
      <c r="W40" s="5"/>
      <c r="X40" s="5"/>
      <c r="Y40" s="5"/>
      <c r="Z40" s="5"/>
      <c r="AA40" s="6">
        <v>0</v>
      </c>
      <c r="AB40" s="5"/>
      <c r="AC40" s="5"/>
      <c r="AD40" s="5"/>
      <c r="AE40" s="5"/>
      <c r="AF40" s="5"/>
      <c r="AG40" s="5"/>
      <c r="AH40" s="5"/>
      <c r="AI40" s="5"/>
      <c r="AJ40" s="5"/>
      <c r="AK40" s="5"/>
      <c r="AL40" s="5"/>
      <c r="AM40" s="5"/>
      <c r="AN40" s="4" t="s">
        <v>1085</v>
      </c>
      <c r="AO40" s="5"/>
      <c r="AP40" s="5"/>
      <c r="AQ40" s="5"/>
      <c r="AR40" s="5"/>
    </row>
    <row r="41" spans="1:44" ht="31" customHeight="1">
      <c r="A41" s="4" t="s">
        <v>321</v>
      </c>
      <c r="B41" s="4" t="s">
        <v>311</v>
      </c>
      <c r="C41" s="6">
        <v>1</v>
      </c>
      <c r="D41" s="6">
        <v>1</v>
      </c>
      <c r="E41" s="5"/>
      <c r="F41" s="4" t="s">
        <v>112</v>
      </c>
      <c r="G41" s="6">
        <v>1</v>
      </c>
      <c r="H41" s="5"/>
      <c r="I41" s="5"/>
      <c r="J41" s="5"/>
      <c r="K41" s="5"/>
      <c r="L41" s="5"/>
      <c r="M41" s="5"/>
      <c r="N41" s="5"/>
      <c r="O41" s="5"/>
      <c r="P41" s="5"/>
      <c r="Q41" s="5"/>
      <c r="R41" s="5"/>
      <c r="S41" s="5"/>
      <c r="T41" s="5"/>
      <c r="U41" s="5"/>
      <c r="V41" s="5"/>
      <c r="W41" s="5"/>
      <c r="X41" s="5"/>
      <c r="Y41" s="5"/>
      <c r="Z41" s="5"/>
      <c r="AA41" s="6">
        <v>0</v>
      </c>
      <c r="AB41" s="5"/>
      <c r="AC41" s="5"/>
      <c r="AD41" s="5"/>
      <c r="AE41" s="5"/>
      <c r="AF41" s="5"/>
      <c r="AG41" s="5"/>
      <c r="AH41" s="5"/>
      <c r="AI41" s="5"/>
      <c r="AJ41" s="5"/>
      <c r="AK41" s="5"/>
      <c r="AL41" s="5"/>
      <c r="AM41" s="5"/>
      <c r="AN41" s="4" t="s">
        <v>1085</v>
      </c>
      <c r="AO41" s="5"/>
      <c r="AP41" s="5"/>
      <c r="AQ41" s="5"/>
      <c r="AR41" s="5"/>
    </row>
    <row r="42" spans="1:44" ht="31" customHeight="1">
      <c r="A42" s="4" t="s">
        <v>323</v>
      </c>
      <c r="B42" s="4" t="s">
        <v>311</v>
      </c>
      <c r="C42" s="6">
        <v>1</v>
      </c>
      <c r="D42" s="6">
        <v>1</v>
      </c>
      <c r="E42" s="5"/>
      <c r="F42" s="4" t="s">
        <v>112</v>
      </c>
      <c r="G42" s="6">
        <v>1</v>
      </c>
      <c r="H42" s="5"/>
      <c r="I42" s="5"/>
      <c r="J42" s="5"/>
      <c r="K42" s="5"/>
      <c r="L42" s="5"/>
      <c r="M42" s="5"/>
      <c r="N42" s="5"/>
      <c r="O42" s="5"/>
      <c r="P42" s="5"/>
      <c r="Q42" s="5"/>
      <c r="R42" s="5"/>
      <c r="S42" s="5"/>
      <c r="T42" s="5"/>
      <c r="U42" s="5"/>
      <c r="V42" s="5"/>
      <c r="W42" s="5"/>
      <c r="X42" s="5"/>
      <c r="Y42" s="5"/>
      <c r="Z42" s="5"/>
      <c r="AA42" s="6">
        <v>0</v>
      </c>
      <c r="AB42" s="5"/>
      <c r="AC42" s="5"/>
      <c r="AD42" s="5"/>
      <c r="AE42" s="5"/>
      <c r="AF42" s="5"/>
      <c r="AG42" s="5"/>
      <c r="AH42" s="5"/>
      <c r="AI42" s="5"/>
      <c r="AJ42" s="5"/>
      <c r="AK42" s="5"/>
      <c r="AL42" s="5"/>
      <c r="AM42" s="5"/>
      <c r="AN42" s="4" t="s">
        <v>1085</v>
      </c>
      <c r="AO42" s="5"/>
      <c r="AP42" s="5"/>
      <c r="AQ42" s="5"/>
      <c r="AR42" s="5"/>
    </row>
    <row r="43" spans="1:44" ht="31" customHeight="1">
      <c r="A43" s="4" t="s">
        <v>325</v>
      </c>
      <c r="B43" s="4" t="s">
        <v>311</v>
      </c>
      <c r="C43" s="6">
        <v>1</v>
      </c>
      <c r="D43" s="6">
        <v>1</v>
      </c>
      <c r="E43" s="5"/>
      <c r="F43" s="4" t="s">
        <v>112</v>
      </c>
      <c r="G43" s="6">
        <v>1</v>
      </c>
      <c r="H43" s="5"/>
      <c r="I43" s="5"/>
      <c r="J43" s="5"/>
      <c r="K43" s="5"/>
      <c r="L43" s="5"/>
      <c r="M43" s="5"/>
      <c r="N43" s="5"/>
      <c r="O43" s="5"/>
      <c r="P43" s="5"/>
      <c r="Q43" s="5"/>
      <c r="R43" s="5"/>
      <c r="S43" s="5"/>
      <c r="T43" s="5"/>
      <c r="U43" s="5"/>
      <c r="V43" s="5"/>
      <c r="W43" s="5"/>
      <c r="X43" s="5"/>
      <c r="Y43" s="5"/>
      <c r="Z43" s="5"/>
      <c r="AA43" s="6">
        <v>0</v>
      </c>
      <c r="AB43" s="5"/>
      <c r="AC43" s="5"/>
      <c r="AD43" s="5"/>
      <c r="AE43" s="5"/>
      <c r="AF43" s="5"/>
      <c r="AG43" s="5"/>
      <c r="AH43" s="5"/>
      <c r="AI43" s="5"/>
      <c r="AJ43" s="5"/>
      <c r="AK43" s="5"/>
      <c r="AL43" s="5"/>
      <c r="AM43" s="5"/>
      <c r="AN43" s="4" t="s">
        <v>1085</v>
      </c>
      <c r="AO43" s="5"/>
      <c r="AP43" s="5"/>
      <c r="AQ43" s="5"/>
      <c r="AR43" s="5"/>
    </row>
    <row r="44" spans="1:44" ht="31" customHeight="1">
      <c r="A44" s="4" t="s">
        <v>327</v>
      </c>
      <c r="B44" s="4" t="s">
        <v>311</v>
      </c>
      <c r="C44" s="6">
        <v>1</v>
      </c>
      <c r="D44" s="6">
        <v>1</v>
      </c>
      <c r="E44" s="5"/>
      <c r="F44" s="4" t="s">
        <v>112</v>
      </c>
      <c r="G44" s="6">
        <v>1</v>
      </c>
      <c r="H44" s="5"/>
      <c r="I44" s="5"/>
      <c r="J44" s="5"/>
      <c r="K44" s="5"/>
      <c r="L44" s="5"/>
      <c r="M44" s="5"/>
      <c r="N44" s="5"/>
      <c r="O44" s="5"/>
      <c r="P44" s="5"/>
      <c r="Q44" s="5"/>
      <c r="R44" s="5"/>
      <c r="S44" s="5"/>
      <c r="T44" s="5"/>
      <c r="U44" s="5"/>
      <c r="V44" s="5"/>
      <c r="W44" s="5"/>
      <c r="X44" s="5"/>
      <c r="Y44" s="5"/>
      <c r="Z44" s="5"/>
      <c r="AA44" s="6">
        <v>0</v>
      </c>
      <c r="AB44" s="5"/>
      <c r="AC44" s="5"/>
      <c r="AD44" s="5"/>
      <c r="AE44" s="5"/>
      <c r="AF44" s="5"/>
      <c r="AG44" s="5"/>
      <c r="AH44" s="5"/>
      <c r="AI44" s="5"/>
      <c r="AJ44" s="5"/>
      <c r="AK44" s="5"/>
      <c r="AL44" s="5"/>
      <c r="AM44" s="5"/>
      <c r="AN44" s="4" t="s">
        <v>1085</v>
      </c>
      <c r="AO44" s="5"/>
      <c r="AP44" s="5"/>
      <c r="AQ44" s="5"/>
      <c r="AR44" s="5"/>
    </row>
    <row r="45" spans="1:44" ht="31" customHeight="1">
      <c r="A45" s="4" t="s">
        <v>1086</v>
      </c>
      <c r="B45" s="4" t="s">
        <v>311</v>
      </c>
      <c r="C45" s="6">
        <v>1</v>
      </c>
      <c r="D45" s="6">
        <v>1</v>
      </c>
      <c r="E45" s="5"/>
      <c r="F45" s="4" t="s">
        <v>112</v>
      </c>
      <c r="G45" s="6">
        <v>1</v>
      </c>
      <c r="H45" s="5"/>
      <c r="I45" s="5"/>
      <c r="J45" s="5"/>
      <c r="K45" s="5"/>
      <c r="L45" s="5"/>
      <c r="M45" s="5"/>
      <c r="N45" s="5"/>
      <c r="O45" s="5"/>
      <c r="P45" s="5"/>
      <c r="Q45" s="5"/>
      <c r="R45" s="5"/>
      <c r="S45" s="5"/>
      <c r="T45" s="5"/>
      <c r="U45" s="5"/>
      <c r="V45" s="5"/>
      <c r="W45" s="5"/>
      <c r="X45" s="5"/>
      <c r="Y45" s="5"/>
      <c r="Z45" s="5"/>
      <c r="AA45" s="6">
        <v>0</v>
      </c>
      <c r="AB45" s="5"/>
      <c r="AC45" s="5"/>
      <c r="AD45" s="5"/>
      <c r="AE45" s="5"/>
      <c r="AF45" s="5"/>
      <c r="AG45" s="5"/>
      <c r="AH45" s="5"/>
      <c r="AI45" s="5"/>
      <c r="AJ45" s="5"/>
      <c r="AK45" s="5"/>
      <c r="AL45" s="5"/>
      <c r="AM45" s="5"/>
      <c r="AN45" s="4" t="s">
        <v>1085</v>
      </c>
      <c r="AO45" s="5"/>
      <c r="AP45" s="5"/>
      <c r="AQ45" s="5"/>
      <c r="AR45" s="5"/>
    </row>
    <row r="46" spans="1:44" ht="31" customHeight="1">
      <c r="A46" s="4" t="s">
        <v>331</v>
      </c>
      <c r="B46" s="4" t="s">
        <v>311</v>
      </c>
      <c r="C46" s="6">
        <v>1</v>
      </c>
      <c r="D46" s="6">
        <v>1</v>
      </c>
      <c r="E46" s="5"/>
      <c r="F46" s="4" t="s">
        <v>112</v>
      </c>
      <c r="G46" s="6">
        <v>1</v>
      </c>
      <c r="H46" s="5"/>
      <c r="I46" s="5"/>
      <c r="J46" s="5"/>
      <c r="K46" s="5"/>
      <c r="L46" s="5"/>
      <c r="M46" s="5"/>
      <c r="N46" s="5"/>
      <c r="O46" s="5"/>
      <c r="P46" s="5"/>
      <c r="Q46" s="5"/>
      <c r="R46" s="5"/>
      <c r="S46" s="5"/>
      <c r="T46" s="5"/>
      <c r="U46" s="5"/>
      <c r="V46" s="5"/>
      <c r="W46" s="5"/>
      <c r="X46" s="5"/>
      <c r="Y46" s="5"/>
      <c r="Z46" s="5"/>
      <c r="AA46" s="6">
        <v>0</v>
      </c>
      <c r="AB46" s="5"/>
      <c r="AC46" s="5"/>
      <c r="AD46" s="5"/>
      <c r="AE46" s="5"/>
      <c r="AF46" s="5"/>
      <c r="AG46" s="5"/>
      <c r="AH46" s="5"/>
      <c r="AI46" s="5"/>
      <c r="AJ46" s="5"/>
      <c r="AK46" s="5"/>
      <c r="AL46" s="5"/>
      <c r="AM46" s="5"/>
      <c r="AN46" s="4" t="s">
        <v>1085</v>
      </c>
      <c r="AO46" s="5"/>
      <c r="AP46" s="5"/>
      <c r="AQ46" s="5"/>
      <c r="AR46" s="5"/>
    </row>
    <row r="47" spans="1:44" ht="31" customHeight="1">
      <c r="A47" s="4" t="s">
        <v>333</v>
      </c>
      <c r="B47" s="4" t="s">
        <v>311</v>
      </c>
      <c r="C47" s="6">
        <v>1</v>
      </c>
      <c r="D47" s="6">
        <v>1</v>
      </c>
      <c r="E47" s="5"/>
      <c r="F47" s="4" t="s">
        <v>112</v>
      </c>
      <c r="G47" s="6">
        <v>1</v>
      </c>
      <c r="H47" s="5"/>
      <c r="I47" s="5"/>
      <c r="J47" s="5"/>
      <c r="K47" s="5"/>
      <c r="L47" s="5"/>
      <c r="M47" s="5"/>
      <c r="N47" s="5"/>
      <c r="O47" s="5"/>
      <c r="P47" s="5"/>
      <c r="Q47" s="5"/>
      <c r="R47" s="5"/>
      <c r="S47" s="5"/>
      <c r="T47" s="5"/>
      <c r="U47" s="5"/>
      <c r="V47" s="5"/>
      <c r="W47" s="5"/>
      <c r="X47" s="5"/>
      <c r="Y47" s="5"/>
      <c r="Z47" s="5"/>
      <c r="AA47" s="6">
        <v>0</v>
      </c>
      <c r="AB47" s="5"/>
      <c r="AC47" s="5"/>
      <c r="AD47" s="5"/>
      <c r="AE47" s="5"/>
      <c r="AF47" s="5"/>
      <c r="AG47" s="5"/>
      <c r="AH47" s="5"/>
      <c r="AI47" s="5"/>
      <c r="AJ47" s="5"/>
      <c r="AK47" s="5"/>
      <c r="AL47" s="5"/>
      <c r="AM47" s="5"/>
      <c r="AN47" s="4" t="s">
        <v>1085</v>
      </c>
      <c r="AO47" s="5"/>
      <c r="AP47" s="5"/>
      <c r="AQ47" s="5"/>
      <c r="AR47" s="5"/>
    </row>
    <row r="48" spans="1:44" ht="31" customHeight="1">
      <c r="A48" s="4" t="s">
        <v>335</v>
      </c>
      <c r="B48" s="4" t="s">
        <v>311</v>
      </c>
      <c r="C48" s="6">
        <v>1</v>
      </c>
      <c r="D48" s="6">
        <v>1</v>
      </c>
      <c r="E48" s="5"/>
      <c r="F48" s="4" t="s">
        <v>112</v>
      </c>
      <c r="G48" s="6">
        <v>1</v>
      </c>
      <c r="H48" s="5"/>
      <c r="I48" s="5"/>
      <c r="J48" s="5"/>
      <c r="K48" s="5"/>
      <c r="L48" s="5"/>
      <c r="M48" s="5"/>
      <c r="N48" s="5"/>
      <c r="O48" s="5"/>
      <c r="P48" s="5"/>
      <c r="Q48" s="5"/>
      <c r="R48" s="5"/>
      <c r="S48" s="5"/>
      <c r="T48" s="5"/>
      <c r="U48" s="5"/>
      <c r="V48" s="5"/>
      <c r="W48" s="5"/>
      <c r="X48" s="5"/>
      <c r="Y48" s="5"/>
      <c r="Z48" s="5"/>
      <c r="AA48" s="6">
        <v>0</v>
      </c>
      <c r="AB48" s="5"/>
      <c r="AC48" s="5"/>
      <c r="AD48" s="5"/>
      <c r="AE48" s="5"/>
      <c r="AF48" s="5"/>
      <c r="AG48" s="5"/>
      <c r="AH48" s="5"/>
      <c r="AI48" s="5"/>
      <c r="AJ48" s="5"/>
      <c r="AK48" s="5"/>
      <c r="AL48" s="5"/>
      <c r="AM48" s="5"/>
      <c r="AN48" s="4" t="s">
        <v>1085</v>
      </c>
      <c r="AO48" s="5"/>
      <c r="AP48" s="5"/>
      <c r="AQ48" s="5"/>
      <c r="AR48" s="5"/>
    </row>
    <row r="49" spans="1:44" ht="31" customHeight="1">
      <c r="A49" s="4" t="s">
        <v>337</v>
      </c>
      <c r="B49" s="4" t="s">
        <v>311</v>
      </c>
      <c r="C49" s="6">
        <v>1</v>
      </c>
      <c r="D49" s="6">
        <v>1</v>
      </c>
      <c r="E49" s="5"/>
      <c r="F49" s="4" t="s">
        <v>112</v>
      </c>
      <c r="G49" s="6">
        <v>1</v>
      </c>
      <c r="H49" s="5"/>
      <c r="I49" s="5"/>
      <c r="J49" s="5"/>
      <c r="K49" s="5"/>
      <c r="L49" s="5"/>
      <c r="M49" s="5"/>
      <c r="N49" s="5"/>
      <c r="O49" s="5"/>
      <c r="P49" s="5"/>
      <c r="Q49" s="5"/>
      <c r="R49" s="5"/>
      <c r="S49" s="5"/>
      <c r="T49" s="5"/>
      <c r="U49" s="5"/>
      <c r="V49" s="5"/>
      <c r="W49" s="5"/>
      <c r="X49" s="5"/>
      <c r="Y49" s="5"/>
      <c r="Z49" s="5"/>
      <c r="AA49" s="6">
        <v>0</v>
      </c>
      <c r="AB49" s="5"/>
      <c r="AC49" s="5"/>
      <c r="AD49" s="5"/>
      <c r="AE49" s="5"/>
      <c r="AF49" s="5"/>
      <c r="AG49" s="5"/>
      <c r="AH49" s="5"/>
      <c r="AI49" s="5"/>
      <c r="AJ49" s="5"/>
      <c r="AK49" s="5"/>
      <c r="AL49" s="5"/>
      <c r="AM49" s="5"/>
      <c r="AN49" s="4" t="s">
        <v>1085</v>
      </c>
      <c r="AO49" s="5"/>
      <c r="AP49" s="5"/>
      <c r="AQ49" s="5"/>
      <c r="AR49" s="5"/>
    </row>
    <row r="50" spans="1:44" ht="31" customHeight="1">
      <c r="A50" s="4" t="s">
        <v>339</v>
      </c>
      <c r="B50" s="4" t="s">
        <v>311</v>
      </c>
      <c r="C50" s="6">
        <v>1</v>
      </c>
      <c r="D50" s="6">
        <v>1</v>
      </c>
      <c r="E50" s="5"/>
      <c r="F50" s="4" t="s">
        <v>112</v>
      </c>
      <c r="G50" s="6">
        <v>1</v>
      </c>
      <c r="H50" s="5"/>
      <c r="I50" s="5"/>
      <c r="J50" s="5"/>
      <c r="K50" s="5"/>
      <c r="L50" s="5"/>
      <c r="M50" s="5"/>
      <c r="N50" s="5"/>
      <c r="O50" s="5"/>
      <c r="P50" s="5"/>
      <c r="Q50" s="5"/>
      <c r="R50" s="5"/>
      <c r="S50" s="5"/>
      <c r="T50" s="5"/>
      <c r="U50" s="5"/>
      <c r="V50" s="5"/>
      <c r="W50" s="5"/>
      <c r="X50" s="5"/>
      <c r="Y50" s="5"/>
      <c r="Z50" s="5"/>
      <c r="AA50" s="6">
        <v>0</v>
      </c>
      <c r="AB50" s="5"/>
      <c r="AC50" s="5"/>
      <c r="AD50" s="5"/>
      <c r="AE50" s="5"/>
      <c r="AF50" s="5"/>
      <c r="AG50" s="5"/>
      <c r="AH50" s="5"/>
      <c r="AI50" s="5"/>
      <c r="AJ50" s="5"/>
      <c r="AK50" s="5"/>
      <c r="AL50" s="5"/>
      <c r="AM50" s="5"/>
      <c r="AN50" s="4" t="s">
        <v>1085</v>
      </c>
      <c r="AO50" s="5"/>
      <c r="AP50" s="5"/>
      <c r="AQ50" s="5"/>
      <c r="AR50" s="5"/>
    </row>
    <row r="51" spans="1:44" ht="31" customHeight="1">
      <c r="A51" s="4" t="s">
        <v>341</v>
      </c>
      <c r="B51" s="4" t="s">
        <v>311</v>
      </c>
      <c r="C51" s="6">
        <v>1</v>
      </c>
      <c r="D51" s="6">
        <v>1</v>
      </c>
      <c r="E51" s="5"/>
      <c r="F51" s="4" t="s">
        <v>112</v>
      </c>
      <c r="G51" s="6">
        <v>1</v>
      </c>
      <c r="H51" s="5"/>
      <c r="I51" s="5"/>
      <c r="J51" s="5"/>
      <c r="K51" s="5"/>
      <c r="L51" s="5"/>
      <c r="M51" s="5"/>
      <c r="N51" s="5"/>
      <c r="O51" s="5"/>
      <c r="P51" s="5"/>
      <c r="Q51" s="5"/>
      <c r="R51" s="5"/>
      <c r="S51" s="5"/>
      <c r="T51" s="5"/>
      <c r="U51" s="5"/>
      <c r="V51" s="5"/>
      <c r="W51" s="5"/>
      <c r="X51" s="5"/>
      <c r="Y51" s="5"/>
      <c r="Z51" s="5"/>
      <c r="AA51" s="6">
        <v>0</v>
      </c>
      <c r="AB51" s="5"/>
      <c r="AC51" s="5"/>
      <c r="AD51" s="5"/>
      <c r="AE51" s="5"/>
      <c r="AF51" s="5"/>
      <c r="AG51" s="5"/>
      <c r="AH51" s="5"/>
      <c r="AI51" s="5"/>
      <c r="AJ51" s="5"/>
      <c r="AK51" s="5"/>
      <c r="AL51" s="5"/>
      <c r="AM51" s="5"/>
      <c r="AN51" s="4" t="s">
        <v>1085</v>
      </c>
      <c r="AO51" s="5"/>
      <c r="AP51" s="5"/>
      <c r="AQ51" s="5"/>
      <c r="AR51" s="5"/>
    </row>
    <row r="52" spans="1:44" ht="31" customHeight="1">
      <c r="A52" s="4" t="s">
        <v>343</v>
      </c>
      <c r="B52" s="4" t="s">
        <v>311</v>
      </c>
      <c r="C52" s="6">
        <v>1</v>
      </c>
      <c r="D52" s="6">
        <v>1</v>
      </c>
      <c r="E52" s="5"/>
      <c r="F52" s="4" t="s">
        <v>112</v>
      </c>
      <c r="G52" s="6">
        <v>1</v>
      </c>
      <c r="H52" s="5"/>
      <c r="I52" s="5"/>
      <c r="J52" s="5"/>
      <c r="K52" s="5"/>
      <c r="L52" s="5"/>
      <c r="M52" s="5"/>
      <c r="N52" s="5"/>
      <c r="O52" s="5"/>
      <c r="P52" s="5"/>
      <c r="Q52" s="5"/>
      <c r="R52" s="5"/>
      <c r="S52" s="5"/>
      <c r="T52" s="5"/>
      <c r="U52" s="5"/>
      <c r="V52" s="5"/>
      <c r="W52" s="5"/>
      <c r="X52" s="5"/>
      <c r="Y52" s="5"/>
      <c r="Z52" s="5"/>
      <c r="AA52" s="6">
        <v>0</v>
      </c>
      <c r="AB52" s="5"/>
      <c r="AC52" s="5"/>
      <c r="AD52" s="5"/>
      <c r="AE52" s="5"/>
      <c r="AF52" s="5"/>
      <c r="AG52" s="5"/>
      <c r="AH52" s="5"/>
      <c r="AI52" s="5"/>
      <c r="AJ52" s="5"/>
      <c r="AK52" s="5"/>
      <c r="AL52" s="5"/>
      <c r="AM52" s="5"/>
      <c r="AN52" s="4" t="s">
        <v>1085</v>
      </c>
      <c r="AO52" s="5"/>
      <c r="AP52" s="5"/>
      <c r="AQ52" s="5"/>
      <c r="AR52" s="5"/>
    </row>
    <row r="53" spans="1:44" ht="31" customHeight="1">
      <c r="A53" s="4" t="s">
        <v>345</v>
      </c>
      <c r="B53" s="4" t="s">
        <v>346</v>
      </c>
      <c r="C53" s="6">
        <v>0</v>
      </c>
      <c r="D53" s="6">
        <v>1</v>
      </c>
      <c r="E53" s="5"/>
      <c r="F53" s="4" t="s">
        <v>112</v>
      </c>
      <c r="G53" s="6">
        <v>1</v>
      </c>
      <c r="H53" s="6">
        <v>1</v>
      </c>
      <c r="I53" s="6">
        <v>1</v>
      </c>
      <c r="J53" s="6">
        <v>0</v>
      </c>
      <c r="K53" s="6">
        <v>1</v>
      </c>
      <c r="L53" s="6">
        <v>2</v>
      </c>
      <c r="M53" s="6">
        <v>0</v>
      </c>
      <c r="N53" s="6">
        <v>0</v>
      </c>
      <c r="O53" s="6">
        <v>0</v>
      </c>
      <c r="P53" s="6">
        <v>1</v>
      </c>
      <c r="Q53" s="6">
        <v>2</v>
      </c>
      <c r="R53" s="6">
        <v>8</v>
      </c>
      <c r="S53" s="6">
        <v>26.6666666666667</v>
      </c>
      <c r="T53" s="6">
        <v>4</v>
      </c>
      <c r="U53" s="6">
        <v>1</v>
      </c>
      <c r="V53" s="6">
        <v>3</v>
      </c>
      <c r="W53" s="4" t="s">
        <v>173</v>
      </c>
      <c r="X53" s="4" t="s">
        <v>347</v>
      </c>
      <c r="Y53" s="6">
        <v>8</v>
      </c>
      <c r="Z53" s="6">
        <v>8</v>
      </c>
      <c r="AA53" s="6">
        <v>0</v>
      </c>
      <c r="AB53" s="6">
        <v>0</v>
      </c>
      <c r="AC53" s="4" t="s">
        <v>135</v>
      </c>
      <c r="AD53" s="5"/>
      <c r="AE53" s="6">
        <v>4098.62</v>
      </c>
      <c r="AF53" s="6">
        <v>3705.95</v>
      </c>
      <c r="AG53" s="6">
        <v>202.08</v>
      </c>
      <c r="AH53" s="6">
        <v>0.0545285284474966</v>
      </c>
      <c r="AI53" s="6">
        <v>14</v>
      </c>
      <c r="AJ53" s="5"/>
      <c r="AK53" s="6">
        <v>1.8385</v>
      </c>
      <c r="AL53" s="5"/>
      <c r="AM53" s="4" t="s">
        <v>115</v>
      </c>
      <c r="AN53" s="4" t="s">
        <v>348</v>
      </c>
      <c r="AO53" s="4" t="s">
        <v>173</v>
      </c>
      <c r="AP53" s="4" t="s">
        <v>118</v>
      </c>
      <c r="AQ53" s="5"/>
      <c r="AR53" s="5"/>
    </row>
    <row r="54" spans="1:44" ht="31" customHeight="1">
      <c r="A54" s="4" t="s">
        <v>354</v>
      </c>
      <c r="B54" s="4" t="s">
        <v>346</v>
      </c>
      <c r="C54" s="6">
        <v>0</v>
      </c>
      <c r="D54" s="6">
        <v>1</v>
      </c>
      <c r="E54" s="5"/>
      <c r="F54" s="4" t="s">
        <v>112</v>
      </c>
      <c r="G54" s="6">
        <v>1</v>
      </c>
      <c r="H54" s="6">
        <v>3</v>
      </c>
      <c r="I54" s="6">
        <v>1</v>
      </c>
      <c r="J54" s="6">
        <v>2</v>
      </c>
      <c r="K54" s="6">
        <v>2</v>
      </c>
      <c r="L54" s="6">
        <v>2</v>
      </c>
      <c r="M54" s="6">
        <v>1</v>
      </c>
      <c r="N54" s="6">
        <v>0</v>
      </c>
      <c r="O54" s="6">
        <v>1</v>
      </c>
      <c r="P54" s="6">
        <v>3</v>
      </c>
      <c r="Q54" s="6">
        <v>2</v>
      </c>
      <c r="R54" s="6">
        <v>17</v>
      </c>
      <c r="S54" s="6">
        <v>56.6666666666667</v>
      </c>
      <c r="T54" s="6">
        <v>8</v>
      </c>
      <c r="U54" s="6">
        <v>4</v>
      </c>
      <c r="V54" s="6">
        <v>5</v>
      </c>
      <c r="W54" s="4" t="s">
        <v>158</v>
      </c>
      <c r="X54" s="4" t="s">
        <v>347</v>
      </c>
      <c r="Y54" s="6">
        <v>16</v>
      </c>
      <c r="Z54" s="6">
        <v>17</v>
      </c>
      <c r="AA54" s="6">
        <v>0</v>
      </c>
      <c r="AB54" s="6">
        <v>0.0756463891365476</v>
      </c>
      <c r="AC54" s="4" t="s">
        <v>135</v>
      </c>
      <c r="AD54" s="5"/>
      <c r="AE54" s="6">
        <v>5832.4</v>
      </c>
      <c r="AF54" s="6">
        <v>5056</v>
      </c>
      <c r="AG54" s="6">
        <v>518.9</v>
      </c>
      <c r="AH54" s="6">
        <v>0.102630537974684</v>
      </c>
      <c r="AI54" s="6">
        <v>143.9</v>
      </c>
      <c r="AJ54" s="5"/>
      <c r="AK54" s="6">
        <v>0.3437</v>
      </c>
      <c r="AL54" s="5"/>
      <c r="AM54" s="4" t="s">
        <v>115</v>
      </c>
      <c r="AN54" s="4" t="s">
        <v>348</v>
      </c>
      <c r="AO54" s="4" t="s">
        <v>173</v>
      </c>
      <c r="AP54" s="4" t="s">
        <v>118</v>
      </c>
      <c r="AQ54" s="5"/>
      <c r="AR54" s="5"/>
    </row>
    <row r="55" spans="1:44" ht="31" customHeight="1">
      <c r="A55" s="4" t="s">
        <v>357</v>
      </c>
      <c r="B55" s="4" t="s">
        <v>346</v>
      </c>
      <c r="C55" s="6">
        <v>0</v>
      </c>
      <c r="D55" s="6">
        <v>1</v>
      </c>
      <c r="E55" s="5"/>
      <c r="F55" s="5"/>
      <c r="G55" s="6">
        <v>1</v>
      </c>
      <c r="H55" s="6">
        <v>3</v>
      </c>
      <c r="I55" s="6">
        <v>0</v>
      </c>
      <c r="J55" s="6">
        <v>1</v>
      </c>
      <c r="K55" s="6">
        <v>2</v>
      </c>
      <c r="L55" s="6">
        <v>2</v>
      </c>
      <c r="M55" s="6">
        <v>1</v>
      </c>
      <c r="N55" s="6">
        <v>0</v>
      </c>
      <c r="O55" s="6">
        <v>1</v>
      </c>
      <c r="P55" s="6">
        <v>1</v>
      </c>
      <c r="Q55" s="6">
        <v>2</v>
      </c>
      <c r="R55" s="6">
        <v>13</v>
      </c>
      <c r="S55" s="6">
        <v>43.3333333333333</v>
      </c>
      <c r="T55" s="6">
        <v>6</v>
      </c>
      <c r="U55" s="6">
        <v>4</v>
      </c>
      <c r="V55" s="6">
        <v>3</v>
      </c>
      <c r="W55" s="4" t="s">
        <v>173</v>
      </c>
      <c r="X55" s="4" t="s">
        <v>347</v>
      </c>
      <c r="Y55" s="6">
        <v>14</v>
      </c>
      <c r="Z55" s="6">
        <v>13</v>
      </c>
      <c r="AA55" s="5"/>
      <c r="AB55" s="5"/>
      <c r="AC55" s="4" t="s">
        <v>135</v>
      </c>
      <c r="AD55" s="5"/>
      <c r="AE55" s="5"/>
      <c r="AF55" s="5"/>
      <c r="AG55" s="5"/>
      <c r="AH55" s="5"/>
      <c r="AI55" s="5"/>
      <c r="AJ55" s="5"/>
      <c r="AK55" s="5"/>
      <c r="AL55" s="5"/>
      <c r="AM55" s="5"/>
      <c r="AN55" s="4" t="s">
        <v>348</v>
      </c>
      <c r="AO55" s="5"/>
      <c r="AP55" s="4" t="s">
        <v>118</v>
      </c>
      <c r="AQ55" s="5"/>
      <c r="AR55" s="5"/>
    </row>
    <row r="56" spans="1:44" ht="31" customHeight="1">
      <c r="A56" s="4" t="s">
        <v>360</v>
      </c>
      <c r="B56" s="4" t="s">
        <v>346</v>
      </c>
      <c r="C56" s="6">
        <v>0</v>
      </c>
      <c r="D56" s="6">
        <v>1</v>
      </c>
      <c r="E56" s="5"/>
      <c r="F56" s="4" t="s">
        <v>112</v>
      </c>
      <c r="G56" s="6">
        <v>1</v>
      </c>
      <c r="H56" s="6">
        <v>3</v>
      </c>
      <c r="I56" s="6">
        <v>0</v>
      </c>
      <c r="J56" s="6">
        <v>1</v>
      </c>
      <c r="K56" s="6">
        <v>2</v>
      </c>
      <c r="L56" s="6">
        <v>1</v>
      </c>
      <c r="M56" s="6">
        <v>0</v>
      </c>
      <c r="N56" s="6">
        <v>0</v>
      </c>
      <c r="O56" s="6">
        <v>0</v>
      </c>
      <c r="P56" s="6">
        <v>1</v>
      </c>
      <c r="Q56" s="6">
        <v>2</v>
      </c>
      <c r="R56" s="6">
        <v>10</v>
      </c>
      <c r="S56" s="6">
        <v>33.3333333333333</v>
      </c>
      <c r="T56" s="6">
        <v>5</v>
      </c>
      <c r="U56" s="6">
        <v>2</v>
      </c>
      <c r="V56" s="6">
        <v>3</v>
      </c>
      <c r="W56" s="4" t="s">
        <v>173</v>
      </c>
      <c r="X56" s="4" t="s">
        <v>347</v>
      </c>
      <c r="Y56" s="6">
        <v>9</v>
      </c>
      <c r="Z56" s="6">
        <v>10</v>
      </c>
      <c r="AA56" s="6">
        <v>0</v>
      </c>
      <c r="AB56" s="6">
        <v>0.0118207492011987</v>
      </c>
      <c r="AC56" s="4" t="s">
        <v>135</v>
      </c>
      <c r="AD56" s="5"/>
      <c r="AE56" s="6">
        <v>4635.07</v>
      </c>
      <c r="AF56" s="6">
        <v>3756.2</v>
      </c>
      <c r="AG56" s="6">
        <v>300.02</v>
      </c>
      <c r="AH56" s="6">
        <v>0.07987327618337681</v>
      </c>
      <c r="AI56" s="6">
        <v>175.94</v>
      </c>
      <c r="AJ56" s="5"/>
      <c r="AK56" s="6">
        <v>0.1156</v>
      </c>
      <c r="AL56" s="5"/>
      <c r="AM56" s="4" t="s">
        <v>115</v>
      </c>
      <c r="AN56" s="4" t="s">
        <v>348</v>
      </c>
      <c r="AO56" s="4" t="s">
        <v>173</v>
      </c>
      <c r="AP56" s="4" t="s">
        <v>118</v>
      </c>
      <c r="AQ56" s="5"/>
      <c r="AR56" s="5"/>
    </row>
    <row r="57" spans="1:44" ht="31" customHeight="1">
      <c r="A57" s="4" t="s">
        <v>363</v>
      </c>
      <c r="B57" s="4" t="s">
        <v>346</v>
      </c>
      <c r="C57" s="6">
        <v>0</v>
      </c>
      <c r="D57" s="6">
        <v>1</v>
      </c>
      <c r="E57" s="5"/>
      <c r="F57" s="4" t="s">
        <v>112</v>
      </c>
      <c r="G57" s="6">
        <v>1</v>
      </c>
      <c r="H57" s="6">
        <v>3</v>
      </c>
      <c r="I57" s="6">
        <v>3</v>
      </c>
      <c r="J57" s="6">
        <v>3</v>
      </c>
      <c r="K57" s="6">
        <v>3</v>
      </c>
      <c r="L57" s="6">
        <v>2</v>
      </c>
      <c r="M57" s="6">
        <v>1</v>
      </c>
      <c r="N57" s="6">
        <v>0</v>
      </c>
      <c r="O57" s="6">
        <v>2</v>
      </c>
      <c r="P57" s="6">
        <v>3</v>
      </c>
      <c r="Q57" s="6">
        <v>3</v>
      </c>
      <c r="R57" s="6">
        <v>23</v>
      </c>
      <c r="S57" s="6">
        <v>76.6666666666667</v>
      </c>
      <c r="T57" s="6">
        <v>11</v>
      </c>
      <c r="U57" s="6">
        <v>6</v>
      </c>
      <c r="V57" s="6">
        <v>6</v>
      </c>
      <c r="W57" s="4" t="s">
        <v>158</v>
      </c>
      <c r="X57" s="4" t="s">
        <v>347</v>
      </c>
      <c r="Y57" s="6">
        <v>24</v>
      </c>
      <c r="Z57" s="6">
        <v>23</v>
      </c>
      <c r="AA57" s="6">
        <v>0</v>
      </c>
      <c r="AB57" s="6">
        <v>0</v>
      </c>
      <c r="AC57" s="4" t="s">
        <v>135</v>
      </c>
      <c r="AD57" s="5"/>
      <c r="AE57" s="6">
        <v>372.27</v>
      </c>
      <c r="AF57" s="6">
        <v>6420.77</v>
      </c>
      <c r="AG57" s="6">
        <v>61.35</v>
      </c>
      <c r="AH57" s="6">
        <v>0.009554928770225381</v>
      </c>
      <c r="AI57" s="6">
        <v>1431.74</v>
      </c>
      <c r="AJ57" s="5"/>
      <c r="AK57" s="6">
        <v>0.0927</v>
      </c>
      <c r="AL57" s="5"/>
      <c r="AM57" s="4" t="s">
        <v>115</v>
      </c>
      <c r="AN57" s="4" t="s">
        <v>348</v>
      </c>
      <c r="AO57" s="4" t="s">
        <v>173</v>
      </c>
      <c r="AP57" s="4" t="s">
        <v>118</v>
      </c>
      <c r="AQ57" s="5"/>
      <c r="AR57" s="5"/>
    </row>
    <row r="58" spans="1:44" ht="31" customHeight="1">
      <c r="A58" s="4" t="s">
        <v>366</v>
      </c>
      <c r="B58" s="4" t="s">
        <v>346</v>
      </c>
      <c r="C58" s="6">
        <v>0</v>
      </c>
      <c r="D58" s="6">
        <v>1</v>
      </c>
      <c r="E58" s="5"/>
      <c r="F58" s="4" t="s">
        <v>112</v>
      </c>
      <c r="G58" s="6">
        <v>1</v>
      </c>
      <c r="H58" s="6">
        <v>3</v>
      </c>
      <c r="I58" s="6">
        <v>1</v>
      </c>
      <c r="J58" s="6">
        <v>2</v>
      </c>
      <c r="K58" s="6">
        <v>2</v>
      </c>
      <c r="L58" s="6">
        <v>2</v>
      </c>
      <c r="M58" s="6">
        <v>1</v>
      </c>
      <c r="N58" s="6">
        <v>0</v>
      </c>
      <c r="O58" s="6">
        <v>2</v>
      </c>
      <c r="P58" s="6">
        <v>3</v>
      </c>
      <c r="Q58" s="6">
        <v>2</v>
      </c>
      <c r="R58" s="6">
        <v>18</v>
      </c>
      <c r="S58" s="6">
        <v>60</v>
      </c>
      <c r="T58" s="6">
        <v>8</v>
      </c>
      <c r="U58" s="6">
        <v>5</v>
      </c>
      <c r="V58" s="6">
        <v>5</v>
      </c>
      <c r="W58" s="4" t="s">
        <v>130</v>
      </c>
      <c r="X58" s="4" t="s">
        <v>367</v>
      </c>
      <c r="Y58" s="6">
        <v>18</v>
      </c>
      <c r="Z58" s="6">
        <v>18</v>
      </c>
      <c r="AA58" s="6">
        <v>0</v>
      </c>
      <c r="AB58" s="6">
        <v>0</v>
      </c>
      <c r="AC58" s="4" t="s">
        <v>135</v>
      </c>
      <c r="AD58" s="5"/>
      <c r="AE58" s="6">
        <v>7993.66</v>
      </c>
      <c r="AF58" s="6">
        <v>69475.37</v>
      </c>
      <c r="AG58" s="6">
        <v>4366.82</v>
      </c>
      <c r="AH58" s="6">
        <v>0.0628542172571373</v>
      </c>
      <c r="AI58" s="6">
        <v>3854.03</v>
      </c>
      <c r="AJ58" s="5"/>
      <c r="AK58" s="6">
        <v>0.094</v>
      </c>
      <c r="AL58" s="5"/>
      <c r="AM58" s="4" t="s">
        <v>115</v>
      </c>
      <c r="AN58" s="4" t="s">
        <v>348</v>
      </c>
      <c r="AO58" s="4" t="s">
        <v>173</v>
      </c>
      <c r="AP58" s="4" t="s">
        <v>118</v>
      </c>
      <c r="AQ58" s="5"/>
      <c r="AR58" s="5"/>
    </row>
    <row r="59" spans="1:44" ht="31" customHeight="1">
      <c r="A59" s="4" t="s">
        <v>371</v>
      </c>
      <c r="B59" s="4" t="s">
        <v>346</v>
      </c>
      <c r="C59" s="6">
        <v>0</v>
      </c>
      <c r="D59" s="6">
        <v>1</v>
      </c>
      <c r="E59" s="5"/>
      <c r="F59" s="4" t="s">
        <v>112</v>
      </c>
      <c r="G59" s="6">
        <v>1</v>
      </c>
      <c r="H59" s="6">
        <v>3</v>
      </c>
      <c r="I59" s="6">
        <v>3</v>
      </c>
      <c r="J59" s="6">
        <v>3</v>
      </c>
      <c r="K59" s="6">
        <v>3</v>
      </c>
      <c r="L59" s="6">
        <v>2</v>
      </c>
      <c r="M59" s="6">
        <v>2</v>
      </c>
      <c r="N59" s="6">
        <v>1</v>
      </c>
      <c r="O59" s="6">
        <v>2</v>
      </c>
      <c r="P59" s="6">
        <v>3</v>
      </c>
      <c r="Q59" s="6">
        <v>2</v>
      </c>
      <c r="R59" s="6">
        <v>24</v>
      </c>
      <c r="S59" s="6">
        <v>80</v>
      </c>
      <c r="T59" s="6">
        <v>11</v>
      </c>
      <c r="U59" s="6">
        <v>8</v>
      </c>
      <c r="V59" s="6">
        <v>5</v>
      </c>
      <c r="W59" s="4" t="s">
        <v>130</v>
      </c>
      <c r="X59" s="4" t="s">
        <v>367</v>
      </c>
      <c r="Y59" s="6">
        <v>22</v>
      </c>
      <c r="Z59" s="6">
        <v>24</v>
      </c>
      <c r="AA59" s="6">
        <v>1</v>
      </c>
      <c r="AB59" s="6">
        <v>0.498821609681449</v>
      </c>
      <c r="AC59" s="4" t="s">
        <v>135</v>
      </c>
      <c r="AD59" s="5"/>
      <c r="AE59" s="6">
        <v>255734.45</v>
      </c>
      <c r="AF59" s="6">
        <v>379524.1</v>
      </c>
      <c r="AG59" s="6">
        <v>17673.33</v>
      </c>
      <c r="AH59" s="6">
        <v>0.0465670823012294</v>
      </c>
      <c r="AI59" s="6">
        <v>129559.34</v>
      </c>
      <c r="AJ59" s="5"/>
      <c r="AK59" s="6">
        <v>0.0775</v>
      </c>
      <c r="AL59" s="5"/>
      <c r="AM59" s="4" t="s">
        <v>115</v>
      </c>
      <c r="AN59" s="4" t="s">
        <v>348</v>
      </c>
      <c r="AO59" s="4" t="s">
        <v>173</v>
      </c>
      <c r="AP59" s="4" t="s">
        <v>118</v>
      </c>
      <c r="AQ59" s="5"/>
      <c r="AR59" s="5"/>
    </row>
    <row r="60" spans="1:44" ht="31" customHeight="1">
      <c r="A60" s="4" t="s">
        <v>375</v>
      </c>
      <c r="B60" s="4" t="s">
        <v>346</v>
      </c>
      <c r="C60" s="6">
        <v>0</v>
      </c>
      <c r="D60" s="6">
        <v>1</v>
      </c>
      <c r="E60" s="5"/>
      <c r="F60" s="4" t="s">
        <v>112</v>
      </c>
      <c r="G60" s="6">
        <v>1</v>
      </c>
      <c r="H60" s="6">
        <v>3</v>
      </c>
      <c r="I60" s="6">
        <v>3</v>
      </c>
      <c r="J60" s="6">
        <v>3</v>
      </c>
      <c r="K60" s="6">
        <v>2</v>
      </c>
      <c r="L60" s="6">
        <v>2</v>
      </c>
      <c r="M60" s="6">
        <v>1</v>
      </c>
      <c r="N60" s="6">
        <v>0</v>
      </c>
      <c r="O60" s="6">
        <v>1</v>
      </c>
      <c r="P60" s="6">
        <v>3</v>
      </c>
      <c r="Q60" s="6">
        <v>2</v>
      </c>
      <c r="R60" s="6">
        <v>20</v>
      </c>
      <c r="S60" s="6">
        <v>66.6666666666667</v>
      </c>
      <c r="T60" s="6">
        <v>11</v>
      </c>
      <c r="U60" s="6">
        <v>4</v>
      </c>
      <c r="V60" s="6">
        <v>5</v>
      </c>
      <c r="W60" s="4" t="s">
        <v>130</v>
      </c>
      <c r="X60" s="4" t="s">
        <v>367</v>
      </c>
      <c r="Y60" s="6">
        <v>20</v>
      </c>
      <c r="Z60" s="6">
        <v>20</v>
      </c>
      <c r="AA60" s="6">
        <v>0</v>
      </c>
      <c r="AB60" s="6">
        <v>0</v>
      </c>
      <c r="AC60" s="4" t="s">
        <v>135</v>
      </c>
      <c r="AD60" s="5"/>
      <c r="AE60" s="6">
        <v>13779.5</v>
      </c>
      <c r="AF60" s="6">
        <v>49840.6</v>
      </c>
      <c r="AG60" s="6">
        <v>2766.6</v>
      </c>
      <c r="AH60" s="6">
        <v>0.0555089625726817</v>
      </c>
      <c r="AI60" s="6">
        <v>7080.4</v>
      </c>
      <c r="AJ60" s="5"/>
      <c r="AK60" s="6">
        <v>0.0958</v>
      </c>
      <c r="AL60" s="5"/>
      <c r="AM60" s="4" t="s">
        <v>115</v>
      </c>
      <c r="AN60" s="4" t="s">
        <v>348</v>
      </c>
      <c r="AO60" s="4" t="s">
        <v>173</v>
      </c>
      <c r="AP60" s="4" t="s">
        <v>118</v>
      </c>
      <c r="AQ60" s="5"/>
      <c r="AR60" s="5"/>
    </row>
    <row r="61" spans="1:44" ht="31" customHeight="1">
      <c r="A61" s="4" t="s">
        <v>378</v>
      </c>
      <c r="B61" s="4" t="s">
        <v>346</v>
      </c>
      <c r="C61" s="6">
        <v>0</v>
      </c>
      <c r="D61" s="6">
        <v>1</v>
      </c>
      <c r="E61" s="5"/>
      <c r="F61" s="4" t="s">
        <v>112</v>
      </c>
      <c r="G61" s="6">
        <v>1</v>
      </c>
      <c r="H61" s="6">
        <v>3</v>
      </c>
      <c r="I61" s="6">
        <v>3</v>
      </c>
      <c r="J61" s="6">
        <v>3</v>
      </c>
      <c r="K61" s="6">
        <v>2</v>
      </c>
      <c r="L61" s="6">
        <v>2</v>
      </c>
      <c r="M61" s="6">
        <v>1</v>
      </c>
      <c r="N61" s="6">
        <v>0</v>
      </c>
      <c r="O61" s="6">
        <v>1</v>
      </c>
      <c r="P61" s="6">
        <v>3</v>
      </c>
      <c r="Q61" s="6">
        <v>3</v>
      </c>
      <c r="R61" s="6">
        <v>21</v>
      </c>
      <c r="S61" s="6">
        <v>70</v>
      </c>
      <c r="T61" s="6">
        <v>11</v>
      </c>
      <c r="U61" s="6">
        <v>4</v>
      </c>
      <c r="V61" s="6">
        <v>6</v>
      </c>
      <c r="W61" s="4" t="s">
        <v>130</v>
      </c>
      <c r="X61" s="4" t="s">
        <v>367</v>
      </c>
      <c r="Y61" s="6">
        <v>21</v>
      </c>
      <c r="Z61" s="6">
        <v>21</v>
      </c>
      <c r="AA61" s="6">
        <v>0</v>
      </c>
      <c r="AB61" s="6">
        <v>0</v>
      </c>
      <c r="AC61" s="4" t="s">
        <v>135</v>
      </c>
      <c r="AD61" s="5"/>
      <c r="AE61" s="6">
        <v>4922.84</v>
      </c>
      <c r="AF61" s="6">
        <v>55465.52</v>
      </c>
      <c r="AG61" s="6">
        <v>1389.23</v>
      </c>
      <c r="AH61" s="6">
        <v>0.0250467317353195</v>
      </c>
      <c r="AI61" s="6">
        <v>12561.16</v>
      </c>
      <c r="AJ61" s="5"/>
      <c r="AK61" s="6">
        <v>0.0898</v>
      </c>
      <c r="AL61" s="5"/>
      <c r="AM61" s="4" t="s">
        <v>115</v>
      </c>
      <c r="AN61" s="4" t="s">
        <v>348</v>
      </c>
      <c r="AO61" s="4" t="s">
        <v>173</v>
      </c>
      <c r="AP61" s="4" t="s">
        <v>118</v>
      </c>
      <c r="AQ61" s="5"/>
      <c r="AR61" s="5"/>
    </row>
    <row r="62" spans="1:44" ht="31" customHeight="1">
      <c r="A62" s="4" t="s">
        <v>381</v>
      </c>
      <c r="B62" s="4" t="s">
        <v>346</v>
      </c>
      <c r="C62" s="6">
        <v>0</v>
      </c>
      <c r="D62" s="6">
        <v>1</v>
      </c>
      <c r="E62" s="5"/>
      <c r="F62" s="4" t="s">
        <v>112</v>
      </c>
      <c r="G62" s="6">
        <v>1</v>
      </c>
      <c r="H62" s="6">
        <v>3</v>
      </c>
      <c r="I62" s="6">
        <v>3</v>
      </c>
      <c r="J62" s="6">
        <v>1</v>
      </c>
      <c r="K62" s="6">
        <v>2</v>
      </c>
      <c r="L62" s="6">
        <v>2</v>
      </c>
      <c r="M62" s="6">
        <v>1</v>
      </c>
      <c r="N62" s="6">
        <v>0</v>
      </c>
      <c r="O62" s="6">
        <v>1</v>
      </c>
      <c r="P62" s="6">
        <v>3</v>
      </c>
      <c r="Q62" s="6">
        <v>2</v>
      </c>
      <c r="R62" s="6">
        <v>18</v>
      </c>
      <c r="S62" s="6">
        <v>60</v>
      </c>
      <c r="T62" s="6">
        <v>9</v>
      </c>
      <c r="U62" s="6">
        <v>4</v>
      </c>
      <c r="V62" s="6">
        <v>5</v>
      </c>
      <c r="W62" s="4" t="s">
        <v>130</v>
      </c>
      <c r="X62" s="4" t="s">
        <v>367</v>
      </c>
      <c r="Y62" s="6">
        <v>18</v>
      </c>
      <c r="Z62" s="6">
        <v>18</v>
      </c>
      <c r="AA62" s="6">
        <v>0</v>
      </c>
      <c r="AB62" s="6">
        <v>0.00166040822798495</v>
      </c>
      <c r="AC62" s="4" t="s">
        <v>135</v>
      </c>
      <c r="AD62" s="5"/>
      <c r="AE62" s="6">
        <v>22199.36</v>
      </c>
      <c r="AF62" s="6">
        <v>21006.38</v>
      </c>
      <c r="AG62" s="6">
        <v>868.25</v>
      </c>
      <c r="AH62" s="6">
        <v>0.0413326808331564</v>
      </c>
      <c r="AI62" s="6">
        <v>1593.58</v>
      </c>
      <c r="AJ62" s="5"/>
      <c r="AK62" s="6">
        <v>0.5285</v>
      </c>
      <c r="AL62" s="5"/>
      <c r="AM62" s="4" t="s">
        <v>115</v>
      </c>
      <c r="AN62" s="4" t="s">
        <v>348</v>
      </c>
      <c r="AO62" s="4" t="s">
        <v>173</v>
      </c>
      <c r="AP62" s="4" t="s">
        <v>118</v>
      </c>
      <c r="AQ62" s="5"/>
      <c r="AR62" s="5"/>
    </row>
    <row r="63" spans="1:44" ht="31" customHeight="1">
      <c r="A63" s="4" t="s">
        <v>384</v>
      </c>
      <c r="B63" s="4" t="s">
        <v>385</v>
      </c>
      <c r="C63" s="6">
        <v>0</v>
      </c>
      <c r="D63" s="5"/>
      <c r="E63" s="5"/>
      <c r="F63" s="5"/>
      <c r="G63" s="5"/>
      <c r="H63" s="5"/>
      <c r="I63" s="5"/>
      <c r="J63" s="5"/>
      <c r="K63" s="5"/>
      <c r="L63" s="5"/>
      <c r="M63" s="5"/>
      <c r="N63" s="5"/>
      <c r="O63" s="5"/>
      <c r="P63" s="5"/>
      <c r="Q63" s="5"/>
      <c r="R63" s="5"/>
      <c r="S63" s="5"/>
      <c r="T63" s="5"/>
      <c r="U63" s="5"/>
      <c r="V63" s="5"/>
      <c r="W63" s="4" t="s">
        <v>113</v>
      </c>
      <c r="X63" s="5"/>
      <c r="Y63" s="5"/>
      <c r="Z63" s="5"/>
      <c r="AA63" s="6">
        <v>0</v>
      </c>
      <c r="AB63" s="5"/>
      <c r="AC63" s="5"/>
      <c r="AD63" s="5"/>
      <c r="AE63" s="5"/>
      <c r="AF63" s="5"/>
      <c r="AG63" s="5"/>
      <c r="AH63" s="5"/>
      <c r="AI63" s="5"/>
      <c r="AJ63" s="5"/>
      <c r="AK63" s="6">
        <v>0.06809999999999999</v>
      </c>
      <c r="AL63" s="5"/>
      <c r="AM63" s="5"/>
      <c r="AN63" s="4" t="s">
        <v>1087</v>
      </c>
      <c r="AO63" s="5"/>
      <c r="AP63" s="5"/>
      <c r="AQ63" s="5"/>
      <c r="AR63" s="5"/>
    </row>
    <row r="64" spans="1:44" ht="31" customHeight="1">
      <c r="A64" s="4" t="s">
        <v>395</v>
      </c>
      <c r="B64" s="4" t="s">
        <v>385</v>
      </c>
      <c r="C64" s="6">
        <v>0</v>
      </c>
      <c r="D64" s="5"/>
      <c r="E64" s="5"/>
      <c r="F64" s="5"/>
      <c r="G64" s="5"/>
      <c r="H64" s="5"/>
      <c r="I64" s="5"/>
      <c r="J64" s="5"/>
      <c r="K64" s="5"/>
      <c r="L64" s="5"/>
      <c r="M64" s="5"/>
      <c r="N64" s="5"/>
      <c r="O64" s="5"/>
      <c r="P64" s="5"/>
      <c r="Q64" s="5"/>
      <c r="R64" s="5"/>
      <c r="S64" s="5"/>
      <c r="T64" s="5"/>
      <c r="U64" s="5"/>
      <c r="V64" s="5"/>
      <c r="W64" s="4" t="s">
        <v>113</v>
      </c>
      <c r="X64" s="5"/>
      <c r="Y64" s="5"/>
      <c r="Z64" s="5"/>
      <c r="AA64" s="6">
        <v>0</v>
      </c>
      <c r="AB64" s="5"/>
      <c r="AC64" s="5"/>
      <c r="AD64" s="5"/>
      <c r="AE64" s="5"/>
      <c r="AF64" s="5"/>
      <c r="AG64" s="5"/>
      <c r="AH64" s="5"/>
      <c r="AI64" s="5"/>
      <c r="AJ64" s="5"/>
      <c r="AK64" s="6">
        <v>0.0621</v>
      </c>
      <c r="AL64" s="5"/>
      <c r="AM64" s="5"/>
      <c r="AN64" s="4" t="s">
        <v>1087</v>
      </c>
      <c r="AO64" s="5"/>
      <c r="AP64" s="5"/>
      <c r="AQ64" s="5"/>
      <c r="AR64" s="5"/>
    </row>
    <row r="65" spans="1:44" ht="31" customHeight="1">
      <c r="A65" s="4" t="s">
        <v>397</v>
      </c>
      <c r="B65" s="4" t="s">
        <v>385</v>
      </c>
      <c r="C65" s="6">
        <v>0</v>
      </c>
      <c r="D65" s="5"/>
      <c r="E65" s="5"/>
      <c r="F65" s="5"/>
      <c r="G65" s="5"/>
      <c r="H65" s="5"/>
      <c r="I65" s="5"/>
      <c r="J65" s="5"/>
      <c r="K65" s="5"/>
      <c r="L65" s="5"/>
      <c r="M65" s="5"/>
      <c r="N65" s="5"/>
      <c r="O65" s="5"/>
      <c r="P65" s="5"/>
      <c r="Q65" s="5"/>
      <c r="R65" s="5"/>
      <c r="S65" s="5"/>
      <c r="T65" s="5"/>
      <c r="U65" s="5"/>
      <c r="V65" s="5"/>
      <c r="W65" s="4" t="s">
        <v>113</v>
      </c>
      <c r="X65" s="5"/>
      <c r="Y65" s="5"/>
      <c r="Z65" s="5"/>
      <c r="AA65" s="6">
        <v>0</v>
      </c>
      <c r="AB65" s="5"/>
      <c r="AC65" s="5"/>
      <c r="AD65" s="5"/>
      <c r="AE65" s="5"/>
      <c r="AF65" s="5"/>
      <c r="AG65" s="5"/>
      <c r="AH65" s="5"/>
      <c r="AI65" s="5"/>
      <c r="AJ65" s="5"/>
      <c r="AK65" s="6">
        <v>0.1649</v>
      </c>
      <c r="AL65" s="5"/>
      <c r="AM65" s="5"/>
      <c r="AN65" s="4" t="s">
        <v>1087</v>
      </c>
      <c r="AO65" s="5"/>
      <c r="AP65" s="5"/>
      <c r="AQ65" s="5"/>
      <c r="AR65" s="5"/>
    </row>
    <row r="66" spans="1:44" ht="31" customHeight="1">
      <c r="A66" s="4" t="s">
        <v>399</v>
      </c>
      <c r="B66" s="4" t="s">
        <v>385</v>
      </c>
      <c r="C66" s="6">
        <v>0</v>
      </c>
      <c r="D66" s="5"/>
      <c r="E66" s="5"/>
      <c r="F66" s="5"/>
      <c r="G66" s="5"/>
      <c r="H66" s="5"/>
      <c r="I66" s="5"/>
      <c r="J66" s="5"/>
      <c r="K66" s="5"/>
      <c r="L66" s="5"/>
      <c r="M66" s="5"/>
      <c r="N66" s="5"/>
      <c r="O66" s="5"/>
      <c r="P66" s="5"/>
      <c r="Q66" s="5"/>
      <c r="R66" s="5"/>
      <c r="S66" s="5"/>
      <c r="T66" s="5"/>
      <c r="U66" s="5"/>
      <c r="V66" s="5"/>
      <c r="W66" s="4" t="s">
        <v>113</v>
      </c>
      <c r="X66" s="5"/>
      <c r="Y66" s="5"/>
      <c r="Z66" s="5"/>
      <c r="AA66" s="6">
        <v>0</v>
      </c>
      <c r="AB66" s="5"/>
      <c r="AC66" s="5"/>
      <c r="AD66" s="5"/>
      <c r="AE66" s="5"/>
      <c r="AF66" s="5"/>
      <c r="AG66" s="5"/>
      <c r="AH66" s="5"/>
      <c r="AI66" s="5"/>
      <c r="AJ66" s="5"/>
      <c r="AK66" s="5"/>
      <c r="AL66" s="5"/>
      <c r="AM66" s="5"/>
      <c r="AN66" s="4" t="s">
        <v>1087</v>
      </c>
      <c r="AO66" s="5"/>
      <c r="AP66" s="5"/>
      <c r="AQ66" s="5"/>
      <c r="AR66" s="5"/>
    </row>
    <row r="67" spans="1:44" ht="31" customHeight="1">
      <c r="A67" s="4" t="s">
        <v>404</v>
      </c>
      <c r="B67" s="4" t="s">
        <v>385</v>
      </c>
      <c r="C67" s="6">
        <v>0</v>
      </c>
      <c r="D67" s="5"/>
      <c r="E67" s="5"/>
      <c r="F67" s="5"/>
      <c r="G67" s="5"/>
      <c r="H67" s="5"/>
      <c r="I67" s="5"/>
      <c r="J67" s="5"/>
      <c r="K67" s="5"/>
      <c r="L67" s="5"/>
      <c r="M67" s="5"/>
      <c r="N67" s="5"/>
      <c r="O67" s="5"/>
      <c r="P67" s="5"/>
      <c r="Q67" s="5"/>
      <c r="R67" s="5"/>
      <c r="S67" s="5"/>
      <c r="T67" s="5"/>
      <c r="U67" s="5"/>
      <c r="V67" s="5"/>
      <c r="W67" s="4" t="s">
        <v>113</v>
      </c>
      <c r="X67" s="5"/>
      <c r="Y67" s="5"/>
      <c r="Z67" s="5"/>
      <c r="AA67" s="6">
        <v>0</v>
      </c>
      <c r="AB67" s="5"/>
      <c r="AC67" s="5"/>
      <c r="AD67" s="5"/>
      <c r="AE67" s="5"/>
      <c r="AF67" s="5"/>
      <c r="AG67" s="5"/>
      <c r="AH67" s="5"/>
      <c r="AI67" s="5"/>
      <c r="AJ67" s="5"/>
      <c r="AK67" s="6">
        <v>1.5222</v>
      </c>
      <c r="AL67" s="5"/>
      <c r="AM67" s="5"/>
      <c r="AN67" s="4" t="s">
        <v>1087</v>
      </c>
      <c r="AO67" s="5"/>
      <c r="AP67" s="5"/>
      <c r="AQ67" s="5"/>
      <c r="AR67" s="5"/>
    </row>
    <row r="68" spans="1:44" ht="31" customHeight="1">
      <c r="A68" s="4" t="s">
        <v>407</v>
      </c>
      <c r="B68" s="4" t="s">
        <v>385</v>
      </c>
      <c r="C68" s="6">
        <v>0</v>
      </c>
      <c r="D68" s="5"/>
      <c r="E68" s="5"/>
      <c r="F68" s="5"/>
      <c r="G68" s="5"/>
      <c r="H68" s="5"/>
      <c r="I68" s="5"/>
      <c r="J68" s="5"/>
      <c r="K68" s="5"/>
      <c r="L68" s="5"/>
      <c r="M68" s="5"/>
      <c r="N68" s="5"/>
      <c r="O68" s="5"/>
      <c r="P68" s="5"/>
      <c r="Q68" s="5"/>
      <c r="R68" s="5"/>
      <c r="S68" s="5"/>
      <c r="T68" s="5"/>
      <c r="U68" s="5"/>
      <c r="V68" s="5"/>
      <c r="W68" s="4" t="s">
        <v>113</v>
      </c>
      <c r="X68" s="5"/>
      <c r="Y68" s="5"/>
      <c r="Z68" s="5"/>
      <c r="AA68" s="6">
        <v>0</v>
      </c>
      <c r="AB68" s="5"/>
      <c r="AC68" s="5"/>
      <c r="AD68" s="5"/>
      <c r="AE68" s="5"/>
      <c r="AF68" s="5"/>
      <c r="AG68" s="5"/>
      <c r="AH68" s="5"/>
      <c r="AI68" s="5"/>
      <c r="AJ68" s="5"/>
      <c r="AK68" s="5"/>
      <c r="AL68" s="5"/>
      <c r="AM68" s="5"/>
      <c r="AN68" s="4" t="s">
        <v>1087</v>
      </c>
      <c r="AO68" s="5"/>
      <c r="AP68" s="5"/>
      <c r="AQ68" s="5"/>
      <c r="AR68" s="5"/>
    </row>
    <row r="69" spans="1:44" ht="31" customHeight="1">
      <c r="A69" s="4" t="s">
        <v>412</v>
      </c>
      <c r="B69" s="4" t="s">
        <v>385</v>
      </c>
      <c r="C69" s="6">
        <v>0</v>
      </c>
      <c r="D69" s="5"/>
      <c r="E69" s="5"/>
      <c r="F69" s="5"/>
      <c r="G69" s="5"/>
      <c r="H69" s="5"/>
      <c r="I69" s="5"/>
      <c r="J69" s="5"/>
      <c r="K69" s="5"/>
      <c r="L69" s="5"/>
      <c r="M69" s="5"/>
      <c r="N69" s="5"/>
      <c r="O69" s="5"/>
      <c r="P69" s="5"/>
      <c r="Q69" s="5"/>
      <c r="R69" s="5"/>
      <c r="S69" s="5"/>
      <c r="T69" s="5"/>
      <c r="U69" s="5"/>
      <c r="V69" s="5"/>
      <c r="W69" s="4" t="s">
        <v>113</v>
      </c>
      <c r="X69" s="5"/>
      <c r="Y69" s="5"/>
      <c r="Z69" s="5"/>
      <c r="AA69" s="6">
        <v>0</v>
      </c>
      <c r="AB69" s="5"/>
      <c r="AC69" s="5"/>
      <c r="AD69" s="5"/>
      <c r="AE69" s="5"/>
      <c r="AF69" s="5"/>
      <c r="AG69" s="5"/>
      <c r="AH69" s="5"/>
      <c r="AI69" s="5"/>
      <c r="AJ69" s="5"/>
      <c r="AK69" s="5"/>
      <c r="AL69" s="5"/>
      <c r="AM69" s="5"/>
      <c r="AN69" s="4" t="s">
        <v>1087</v>
      </c>
      <c r="AO69" s="5"/>
      <c r="AP69" s="5"/>
      <c r="AQ69" s="5"/>
      <c r="AR69" s="5"/>
    </row>
    <row r="70" spans="1:44" ht="31" customHeight="1">
      <c r="A70" s="4" t="s">
        <v>417</v>
      </c>
      <c r="B70" s="4" t="s">
        <v>385</v>
      </c>
      <c r="C70" s="6">
        <v>0</v>
      </c>
      <c r="D70" s="5"/>
      <c r="E70" s="5"/>
      <c r="F70" s="5"/>
      <c r="G70" s="5"/>
      <c r="H70" s="5"/>
      <c r="I70" s="5"/>
      <c r="J70" s="5"/>
      <c r="K70" s="5"/>
      <c r="L70" s="5"/>
      <c r="M70" s="5"/>
      <c r="N70" s="5"/>
      <c r="O70" s="5"/>
      <c r="P70" s="5"/>
      <c r="Q70" s="5"/>
      <c r="R70" s="5"/>
      <c r="S70" s="5"/>
      <c r="T70" s="5"/>
      <c r="U70" s="5"/>
      <c r="V70" s="5"/>
      <c r="W70" s="4" t="s">
        <v>113</v>
      </c>
      <c r="X70" s="5"/>
      <c r="Y70" s="5"/>
      <c r="Z70" s="5"/>
      <c r="AA70" s="6">
        <v>0</v>
      </c>
      <c r="AB70" s="5"/>
      <c r="AC70" s="5"/>
      <c r="AD70" s="5"/>
      <c r="AE70" s="5"/>
      <c r="AF70" s="5"/>
      <c r="AG70" s="5"/>
      <c r="AH70" s="5"/>
      <c r="AI70" s="5"/>
      <c r="AJ70" s="5"/>
      <c r="AK70" s="6">
        <v>0.4595</v>
      </c>
      <c r="AL70" s="5"/>
      <c r="AM70" s="5"/>
      <c r="AN70" s="4" t="s">
        <v>1087</v>
      </c>
      <c r="AO70" s="5"/>
      <c r="AP70" s="5"/>
      <c r="AQ70" s="5"/>
      <c r="AR70" s="5"/>
    </row>
    <row r="71" spans="1:44" ht="31" customHeight="1">
      <c r="A71" s="4" t="s">
        <v>419</v>
      </c>
      <c r="B71" s="4" t="s">
        <v>385</v>
      </c>
      <c r="C71" s="6">
        <v>0</v>
      </c>
      <c r="D71" s="5"/>
      <c r="E71" s="5"/>
      <c r="F71" s="5"/>
      <c r="G71" s="5"/>
      <c r="H71" s="5"/>
      <c r="I71" s="5"/>
      <c r="J71" s="5"/>
      <c r="K71" s="5"/>
      <c r="L71" s="5"/>
      <c r="M71" s="5"/>
      <c r="N71" s="5"/>
      <c r="O71" s="5"/>
      <c r="P71" s="5"/>
      <c r="Q71" s="5"/>
      <c r="R71" s="5"/>
      <c r="S71" s="5"/>
      <c r="T71" s="5"/>
      <c r="U71" s="5"/>
      <c r="V71" s="5"/>
      <c r="W71" s="4" t="s">
        <v>113</v>
      </c>
      <c r="X71" s="5"/>
      <c r="Y71" s="5"/>
      <c r="Z71" s="5"/>
      <c r="AA71" s="6">
        <v>0</v>
      </c>
      <c r="AB71" s="5"/>
      <c r="AC71" s="5"/>
      <c r="AD71" s="5"/>
      <c r="AE71" s="5"/>
      <c r="AF71" s="5"/>
      <c r="AG71" s="5"/>
      <c r="AH71" s="5"/>
      <c r="AI71" s="5"/>
      <c r="AJ71" s="5"/>
      <c r="AK71" s="6">
        <v>0.2611</v>
      </c>
      <c r="AL71" s="5"/>
      <c r="AM71" s="5"/>
      <c r="AN71" s="4" t="s">
        <v>1087</v>
      </c>
      <c r="AO71" s="5"/>
      <c r="AP71" s="5"/>
      <c r="AQ71" s="5"/>
      <c r="AR71" s="5"/>
    </row>
    <row r="72" spans="1:44" ht="31" customHeight="1">
      <c r="A72" s="4" t="s">
        <v>421</v>
      </c>
      <c r="B72" s="4" t="s">
        <v>385</v>
      </c>
      <c r="C72" s="6">
        <v>0</v>
      </c>
      <c r="D72" s="5"/>
      <c r="E72" s="5"/>
      <c r="F72" s="5"/>
      <c r="G72" s="5"/>
      <c r="H72" s="5"/>
      <c r="I72" s="5"/>
      <c r="J72" s="5"/>
      <c r="K72" s="5"/>
      <c r="L72" s="5"/>
      <c r="M72" s="5"/>
      <c r="N72" s="5"/>
      <c r="O72" s="5"/>
      <c r="P72" s="5"/>
      <c r="Q72" s="5"/>
      <c r="R72" s="5"/>
      <c r="S72" s="5"/>
      <c r="T72" s="5"/>
      <c r="U72" s="5"/>
      <c r="V72" s="5"/>
      <c r="W72" s="4" t="s">
        <v>113</v>
      </c>
      <c r="X72" s="5"/>
      <c r="Y72" s="5"/>
      <c r="Z72" s="5"/>
      <c r="AA72" s="6">
        <v>0</v>
      </c>
      <c r="AB72" s="5"/>
      <c r="AC72" s="5"/>
      <c r="AD72" s="5"/>
      <c r="AE72" s="5"/>
      <c r="AF72" s="5"/>
      <c r="AG72" s="5"/>
      <c r="AH72" s="5"/>
      <c r="AI72" s="5"/>
      <c r="AJ72" s="5"/>
      <c r="AK72" s="6">
        <v>0.1116</v>
      </c>
      <c r="AL72" s="5"/>
      <c r="AM72" s="5"/>
      <c r="AN72" s="4" t="s">
        <v>1087</v>
      </c>
      <c r="AO72" s="5"/>
      <c r="AP72" s="5"/>
      <c r="AQ72" s="5"/>
      <c r="AR72" s="5"/>
    </row>
    <row r="73" spans="1:44" ht="31" customHeight="1">
      <c r="A73" s="4" t="s">
        <v>423</v>
      </c>
      <c r="B73" s="4" t="s">
        <v>424</v>
      </c>
      <c r="C73" s="6">
        <v>0</v>
      </c>
      <c r="D73" s="5"/>
      <c r="E73" s="5"/>
      <c r="F73" s="5"/>
      <c r="G73" s="5"/>
      <c r="H73" s="6">
        <v>3</v>
      </c>
      <c r="I73" s="6">
        <v>3</v>
      </c>
      <c r="J73" s="6">
        <v>3</v>
      </c>
      <c r="K73" s="6">
        <v>3</v>
      </c>
      <c r="L73" s="6">
        <v>3</v>
      </c>
      <c r="M73" s="6">
        <v>3</v>
      </c>
      <c r="N73" s="6">
        <v>2</v>
      </c>
      <c r="O73" s="6">
        <v>3</v>
      </c>
      <c r="P73" s="6">
        <v>3</v>
      </c>
      <c r="Q73" s="6">
        <v>3</v>
      </c>
      <c r="R73" s="6">
        <v>29</v>
      </c>
      <c r="S73" s="6">
        <v>96.6666666666667</v>
      </c>
      <c r="T73" s="6">
        <v>12</v>
      </c>
      <c r="U73" s="6">
        <v>11</v>
      </c>
      <c r="V73" s="6">
        <v>6</v>
      </c>
      <c r="W73" s="5"/>
      <c r="X73" s="5"/>
      <c r="Y73" s="5"/>
      <c r="Z73" s="5"/>
      <c r="AA73" s="6">
        <v>0</v>
      </c>
      <c r="AB73" s="5"/>
      <c r="AC73" s="5"/>
      <c r="AD73" s="5"/>
      <c r="AE73" s="5"/>
      <c r="AF73" s="5"/>
      <c r="AG73" s="5"/>
      <c r="AH73" s="5"/>
      <c r="AI73" s="5"/>
      <c r="AJ73" s="5"/>
      <c r="AK73" s="5"/>
      <c r="AL73" s="5"/>
      <c r="AM73" s="5"/>
      <c r="AN73" s="4" t="s">
        <v>425</v>
      </c>
      <c r="AO73" s="5"/>
      <c r="AP73" s="4" t="s">
        <v>1084</v>
      </c>
      <c r="AQ73" s="4" t="s">
        <v>427</v>
      </c>
      <c r="AR73" s="5"/>
    </row>
    <row r="74" spans="1:44" ht="31" customHeight="1">
      <c r="A74" s="4" t="s">
        <v>435</v>
      </c>
      <c r="B74" s="4" t="s">
        <v>424</v>
      </c>
      <c r="C74" s="6">
        <v>0</v>
      </c>
      <c r="D74" s="5"/>
      <c r="E74" s="5"/>
      <c r="F74" s="5"/>
      <c r="G74" s="5"/>
      <c r="H74" s="6">
        <v>3</v>
      </c>
      <c r="I74" s="6">
        <v>3</v>
      </c>
      <c r="J74" s="6">
        <v>3</v>
      </c>
      <c r="K74" s="6">
        <v>3</v>
      </c>
      <c r="L74" s="6">
        <v>3</v>
      </c>
      <c r="M74" s="6">
        <v>3</v>
      </c>
      <c r="N74" s="6">
        <v>0</v>
      </c>
      <c r="O74" s="6">
        <v>3</v>
      </c>
      <c r="P74" s="6">
        <v>3</v>
      </c>
      <c r="Q74" s="6">
        <v>3</v>
      </c>
      <c r="R74" s="6">
        <v>27</v>
      </c>
      <c r="S74" s="6">
        <v>90</v>
      </c>
      <c r="T74" s="6">
        <v>12</v>
      </c>
      <c r="U74" s="6">
        <v>9</v>
      </c>
      <c r="V74" s="6">
        <v>6</v>
      </c>
      <c r="W74" s="4" t="s">
        <v>130</v>
      </c>
      <c r="X74" s="5"/>
      <c r="Y74" s="5"/>
      <c r="Z74" s="5"/>
      <c r="AA74" s="6">
        <v>0</v>
      </c>
      <c r="AB74" s="5"/>
      <c r="AC74" s="5"/>
      <c r="AD74" s="5"/>
      <c r="AE74" s="5"/>
      <c r="AF74" s="5"/>
      <c r="AG74" s="5"/>
      <c r="AH74" s="5"/>
      <c r="AI74" s="5"/>
      <c r="AJ74" s="5"/>
      <c r="AK74" s="5"/>
      <c r="AL74" s="5"/>
      <c r="AM74" s="5"/>
      <c r="AN74" s="4" t="s">
        <v>436</v>
      </c>
      <c r="AO74" s="5"/>
      <c r="AP74" s="4" t="s">
        <v>1084</v>
      </c>
      <c r="AQ74" s="4" t="s">
        <v>437</v>
      </c>
      <c r="AR74" s="5"/>
    </row>
    <row r="75" spans="1:44" ht="31" customHeight="1">
      <c r="A75" s="4" t="s">
        <v>440</v>
      </c>
      <c r="B75" s="4" t="s">
        <v>424</v>
      </c>
      <c r="C75" s="6">
        <v>0</v>
      </c>
      <c r="D75" s="5"/>
      <c r="E75" s="5"/>
      <c r="F75" s="4" t="s">
        <v>441</v>
      </c>
      <c r="G75" s="5"/>
      <c r="H75" s="6">
        <v>3</v>
      </c>
      <c r="I75" s="6">
        <v>3</v>
      </c>
      <c r="J75" s="6">
        <v>3</v>
      </c>
      <c r="K75" s="6">
        <v>3</v>
      </c>
      <c r="L75" s="6">
        <v>3</v>
      </c>
      <c r="M75" s="6">
        <v>3</v>
      </c>
      <c r="N75" s="6">
        <v>3</v>
      </c>
      <c r="O75" s="6">
        <v>3</v>
      </c>
      <c r="P75" s="6">
        <v>3</v>
      </c>
      <c r="Q75" s="6">
        <v>3</v>
      </c>
      <c r="R75" s="6">
        <v>30</v>
      </c>
      <c r="S75" s="6">
        <v>100</v>
      </c>
      <c r="T75" s="6">
        <v>12</v>
      </c>
      <c r="U75" s="6">
        <v>12</v>
      </c>
      <c r="V75" s="6">
        <v>6</v>
      </c>
      <c r="W75" s="5"/>
      <c r="X75" s="5"/>
      <c r="Y75" s="5"/>
      <c r="Z75" s="5"/>
      <c r="AA75" s="6">
        <v>0</v>
      </c>
      <c r="AB75" s="5"/>
      <c r="AC75" s="5"/>
      <c r="AD75" s="5"/>
      <c r="AE75" s="5"/>
      <c r="AF75" s="5"/>
      <c r="AG75" s="5"/>
      <c r="AH75" s="5"/>
      <c r="AI75" s="5"/>
      <c r="AJ75" s="5"/>
      <c r="AK75" s="5"/>
      <c r="AL75" s="5"/>
      <c r="AM75" s="5"/>
      <c r="AN75" s="4" t="s">
        <v>442</v>
      </c>
      <c r="AO75" s="5"/>
      <c r="AP75" s="4" t="s">
        <v>1084</v>
      </c>
      <c r="AQ75" s="4" t="s">
        <v>443</v>
      </c>
      <c r="AR75" s="5"/>
    </row>
    <row r="76" spans="1:44" ht="31" customHeight="1">
      <c r="A76" s="4" t="s">
        <v>446</v>
      </c>
      <c r="B76" s="4" t="s">
        <v>424</v>
      </c>
      <c r="C76" s="6">
        <v>0</v>
      </c>
      <c r="D76" s="5"/>
      <c r="E76" s="5"/>
      <c r="F76" s="4" t="s">
        <v>441</v>
      </c>
      <c r="G76" s="5"/>
      <c r="H76" s="6">
        <v>3</v>
      </c>
      <c r="I76" s="6">
        <v>3</v>
      </c>
      <c r="J76" s="6">
        <v>3</v>
      </c>
      <c r="K76" s="6">
        <v>3</v>
      </c>
      <c r="L76" s="6">
        <v>3</v>
      </c>
      <c r="M76" s="6">
        <v>3</v>
      </c>
      <c r="N76" s="6">
        <v>3</v>
      </c>
      <c r="O76" s="6">
        <v>3</v>
      </c>
      <c r="P76" s="6">
        <v>3</v>
      </c>
      <c r="Q76" s="6">
        <v>3</v>
      </c>
      <c r="R76" s="6">
        <v>30</v>
      </c>
      <c r="S76" s="6">
        <v>100</v>
      </c>
      <c r="T76" s="6">
        <v>12</v>
      </c>
      <c r="U76" s="6">
        <v>12</v>
      </c>
      <c r="V76" s="6">
        <v>6</v>
      </c>
      <c r="W76" s="5"/>
      <c r="X76" s="5"/>
      <c r="Y76" s="5"/>
      <c r="Z76" s="5"/>
      <c r="AA76" s="6">
        <v>0</v>
      </c>
      <c r="AB76" s="5"/>
      <c r="AC76" s="5"/>
      <c r="AD76" s="5"/>
      <c r="AE76" s="5"/>
      <c r="AF76" s="5"/>
      <c r="AG76" s="5"/>
      <c r="AH76" s="5"/>
      <c r="AI76" s="5"/>
      <c r="AJ76" s="5"/>
      <c r="AK76" s="5"/>
      <c r="AL76" s="5"/>
      <c r="AM76" s="5"/>
      <c r="AN76" s="4" t="s">
        <v>447</v>
      </c>
      <c r="AO76" s="5"/>
      <c r="AP76" s="4" t="s">
        <v>1084</v>
      </c>
      <c r="AQ76" s="5"/>
      <c r="AR76" s="5"/>
    </row>
    <row r="77" spans="1:44" ht="31" customHeight="1">
      <c r="A77" s="4" t="s">
        <v>451</v>
      </c>
      <c r="B77" s="4" t="s">
        <v>424</v>
      </c>
      <c r="C77" s="6">
        <v>0</v>
      </c>
      <c r="D77" s="5"/>
      <c r="E77" s="5"/>
      <c r="F77" s="5"/>
      <c r="G77" s="5"/>
      <c r="H77" s="6">
        <v>3</v>
      </c>
      <c r="I77" s="6">
        <v>0</v>
      </c>
      <c r="J77" s="6">
        <v>3</v>
      </c>
      <c r="K77" s="6">
        <v>3</v>
      </c>
      <c r="L77" s="6">
        <v>3</v>
      </c>
      <c r="M77" s="6">
        <v>3</v>
      </c>
      <c r="N77" s="6">
        <v>3</v>
      </c>
      <c r="O77" s="6">
        <v>3</v>
      </c>
      <c r="P77" s="6">
        <v>3</v>
      </c>
      <c r="Q77" s="6">
        <v>3</v>
      </c>
      <c r="R77" s="6">
        <v>27</v>
      </c>
      <c r="S77" s="6">
        <v>90</v>
      </c>
      <c r="T77" s="6">
        <v>9</v>
      </c>
      <c r="U77" s="6">
        <v>12</v>
      </c>
      <c r="V77" s="6">
        <v>6</v>
      </c>
      <c r="W77" s="5"/>
      <c r="X77" s="5"/>
      <c r="Y77" s="5"/>
      <c r="Z77" s="5"/>
      <c r="AA77" s="6">
        <v>0</v>
      </c>
      <c r="AB77" s="5"/>
      <c r="AC77" s="5"/>
      <c r="AD77" s="5"/>
      <c r="AE77" s="5"/>
      <c r="AF77" s="5"/>
      <c r="AG77" s="5"/>
      <c r="AH77" s="5"/>
      <c r="AI77" s="5"/>
      <c r="AJ77" s="5"/>
      <c r="AK77" s="5"/>
      <c r="AL77" s="5"/>
      <c r="AM77" s="5"/>
      <c r="AN77" s="4" t="s">
        <v>452</v>
      </c>
      <c r="AO77" s="5"/>
      <c r="AP77" s="4" t="s">
        <v>1084</v>
      </c>
      <c r="AQ77" s="4" t="s">
        <v>453</v>
      </c>
      <c r="AR77" s="5"/>
    </row>
    <row r="78" spans="1:44" ht="31" customHeight="1">
      <c r="A78" s="4" t="s">
        <v>455</v>
      </c>
      <c r="B78" s="4" t="s">
        <v>424</v>
      </c>
      <c r="C78" s="6">
        <v>0</v>
      </c>
      <c r="D78" s="5"/>
      <c r="E78" s="5"/>
      <c r="F78" s="5"/>
      <c r="G78" s="5"/>
      <c r="H78" s="6">
        <v>3</v>
      </c>
      <c r="I78" s="6">
        <v>3</v>
      </c>
      <c r="J78" s="6">
        <v>3</v>
      </c>
      <c r="K78" s="6">
        <v>3</v>
      </c>
      <c r="L78" s="6">
        <v>3</v>
      </c>
      <c r="M78" s="6">
        <v>3</v>
      </c>
      <c r="N78" s="6">
        <v>1</v>
      </c>
      <c r="O78" s="6">
        <v>3</v>
      </c>
      <c r="P78" s="6">
        <v>3</v>
      </c>
      <c r="Q78" s="6">
        <v>3</v>
      </c>
      <c r="R78" s="6">
        <v>28</v>
      </c>
      <c r="S78" s="6">
        <v>93.3333333333333</v>
      </c>
      <c r="T78" s="6">
        <v>12</v>
      </c>
      <c r="U78" s="6">
        <v>10</v>
      </c>
      <c r="V78" s="6">
        <v>6</v>
      </c>
      <c r="W78" s="5"/>
      <c r="X78" s="5"/>
      <c r="Y78" s="5"/>
      <c r="Z78" s="5"/>
      <c r="AA78" s="6">
        <v>0</v>
      </c>
      <c r="AB78" s="5"/>
      <c r="AC78" s="5"/>
      <c r="AD78" s="5"/>
      <c r="AE78" s="5"/>
      <c r="AF78" s="5"/>
      <c r="AG78" s="5"/>
      <c r="AH78" s="5"/>
      <c r="AI78" s="5"/>
      <c r="AJ78" s="5"/>
      <c r="AK78" s="5"/>
      <c r="AL78" s="5"/>
      <c r="AM78" s="5"/>
      <c r="AN78" s="4" t="s">
        <v>447</v>
      </c>
      <c r="AO78" s="5"/>
      <c r="AP78" s="4" t="s">
        <v>1084</v>
      </c>
      <c r="AQ78" s="5"/>
      <c r="AR78" s="5"/>
    </row>
    <row r="79" spans="1:44" ht="31" customHeight="1">
      <c r="A79" s="4" t="s">
        <v>459</v>
      </c>
      <c r="B79" s="4" t="s">
        <v>424</v>
      </c>
      <c r="C79" s="6">
        <v>0</v>
      </c>
      <c r="D79" s="5"/>
      <c r="E79" s="5"/>
      <c r="F79" s="4" t="s">
        <v>441</v>
      </c>
      <c r="G79" s="5"/>
      <c r="H79" s="6">
        <v>3</v>
      </c>
      <c r="I79" s="6">
        <v>3</v>
      </c>
      <c r="J79" s="6">
        <v>3</v>
      </c>
      <c r="K79" s="6">
        <v>3</v>
      </c>
      <c r="L79" s="6">
        <v>3</v>
      </c>
      <c r="M79" s="6">
        <v>3</v>
      </c>
      <c r="N79" s="6">
        <v>3</v>
      </c>
      <c r="O79" s="6">
        <v>3</v>
      </c>
      <c r="P79" s="6">
        <v>3</v>
      </c>
      <c r="Q79" s="6">
        <v>3</v>
      </c>
      <c r="R79" s="6">
        <v>30</v>
      </c>
      <c r="S79" s="6">
        <v>100</v>
      </c>
      <c r="T79" s="6">
        <v>12</v>
      </c>
      <c r="U79" s="6">
        <v>12</v>
      </c>
      <c r="V79" s="6">
        <v>6</v>
      </c>
      <c r="W79" s="5"/>
      <c r="X79" s="5"/>
      <c r="Y79" s="5"/>
      <c r="Z79" s="5"/>
      <c r="AA79" s="6">
        <v>0</v>
      </c>
      <c r="AB79" s="5"/>
      <c r="AC79" s="5"/>
      <c r="AD79" s="5"/>
      <c r="AE79" s="5"/>
      <c r="AF79" s="5"/>
      <c r="AG79" s="5"/>
      <c r="AH79" s="5"/>
      <c r="AI79" s="5"/>
      <c r="AJ79" s="5"/>
      <c r="AK79" s="5"/>
      <c r="AL79" s="5"/>
      <c r="AM79" s="5"/>
      <c r="AN79" s="4" t="s">
        <v>460</v>
      </c>
      <c r="AO79" s="5"/>
      <c r="AP79" s="4" t="s">
        <v>1084</v>
      </c>
      <c r="AQ79" s="4" t="s">
        <v>461</v>
      </c>
      <c r="AR79" s="5"/>
    </row>
  </sheetData>
  <autoFilter ref="A1:AR79"/>
  <pageMargins left="0.7" right="0.7" top="0.75" bottom="0.75" header="0.3" footer="0.3"/>
  <pageSetup fitToHeight="0" orientation="landscape"/>
</worksheet>
</file>

<file path=xl/worksheets/sheet13.xml><?xml version="1.0" encoding="utf-8"?>
<worksheet xmlns="http://schemas.openxmlformats.org/spreadsheetml/2006/main" xmlns:r="http://schemas.openxmlformats.org/officeDocument/2006/relationships">
  <sheetPr>
    <tabColor rgb="FF237C89"/>
    <pageSetUpPr fitToPage="1"/>
  </sheetPr>
  <dimension ref="A1:O7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15" width="20.7109375" customWidth="1"/>
  </cols>
  <sheetData>
    <row r="1" spans="1:15" ht="42" customHeight="1">
      <c r="A1" s="2" t="s">
        <v>33</v>
      </c>
      <c r="B1" s="2" t="s">
        <v>34</v>
      </c>
      <c r="C1" s="2" t="s">
        <v>489</v>
      </c>
      <c r="D1" s="2" t="s">
        <v>490</v>
      </c>
      <c r="E1" s="2" t="s">
        <v>491</v>
      </c>
      <c r="F1" s="2" t="s">
        <v>492</v>
      </c>
      <c r="G1" s="2" t="s">
        <v>493</v>
      </c>
      <c r="H1" s="2" t="s">
        <v>494</v>
      </c>
      <c r="I1" s="2" t="s">
        <v>495</v>
      </c>
      <c r="J1" s="2" t="s">
        <v>496</v>
      </c>
      <c r="K1" s="2" t="s">
        <v>78</v>
      </c>
      <c r="L1" s="2" t="s">
        <v>497</v>
      </c>
      <c r="M1" s="2" t="s">
        <v>498</v>
      </c>
      <c r="N1" s="2" t="s">
        <v>499</v>
      </c>
      <c r="O1" s="2" t="s">
        <v>500</v>
      </c>
    </row>
    <row r="2" spans="1:15" ht="31" customHeight="1">
      <c r="A2" s="4" t="s">
        <v>109</v>
      </c>
      <c r="B2" s="4" t="s">
        <v>110</v>
      </c>
      <c r="C2" s="5"/>
      <c r="D2" s="6">
        <v>12.2947380704946</v>
      </c>
      <c r="E2" s="4" t="s">
        <v>503</v>
      </c>
      <c r="F2" s="4" t="s">
        <v>504</v>
      </c>
      <c r="G2" s="5"/>
      <c r="H2" s="5"/>
      <c r="I2" s="5"/>
      <c r="J2" s="6">
        <v>0.0774358920264554</v>
      </c>
      <c r="K2" s="4" t="s">
        <v>1088</v>
      </c>
      <c r="L2" s="4" t="s">
        <v>505</v>
      </c>
      <c r="M2" s="5"/>
      <c r="N2" s="4" t="s">
        <v>506</v>
      </c>
      <c r="O2" s="4" t="s">
        <v>507</v>
      </c>
    </row>
    <row r="3" spans="1:15" ht="31" customHeight="1">
      <c r="A3" s="4" t="s">
        <v>129</v>
      </c>
      <c r="B3" s="4" t="s">
        <v>110</v>
      </c>
      <c r="C3" s="5"/>
      <c r="D3" s="6">
        <v>12.0366120311322</v>
      </c>
      <c r="E3" s="4" t="s">
        <v>503</v>
      </c>
      <c r="F3" s="4" t="s">
        <v>510</v>
      </c>
      <c r="G3" s="5"/>
      <c r="H3" s="6">
        <v>0.0202</v>
      </c>
      <c r="I3" s="5"/>
      <c r="J3" s="6">
        <v>0.0851830848995463</v>
      </c>
      <c r="K3" s="4" t="s">
        <v>1088</v>
      </c>
      <c r="L3" s="4" t="s">
        <v>505</v>
      </c>
      <c r="M3" s="5"/>
      <c r="N3" s="4" t="s">
        <v>506</v>
      </c>
      <c r="O3" s="4" t="s">
        <v>507</v>
      </c>
    </row>
    <row r="4" spans="1:15" ht="31" customHeight="1">
      <c r="A4" s="4" t="s">
        <v>133</v>
      </c>
      <c r="B4" s="4" t="s">
        <v>110</v>
      </c>
      <c r="C4" s="5"/>
      <c r="D4" s="6">
        <v>11.5374131785214</v>
      </c>
      <c r="E4" s="4" t="s">
        <v>503</v>
      </c>
      <c r="F4" s="4" t="s">
        <v>510</v>
      </c>
      <c r="G4" s="5"/>
      <c r="H4" s="5"/>
      <c r="I4" s="5"/>
      <c r="J4" s="6">
        <v>0.07562137867547521</v>
      </c>
      <c r="K4" s="4" t="s">
        <v>1088</v>
      </c>
      <c r="L4" s="4" t="s">
        <v>505</v>
      </c>
      <c r="M4" s="5"/>
      <c r="N4" s="4" t="s">
        <v>503</v>
      </c>
      <c r="O4" s="4" t="s">
        <v>507</v>
      </c>
    </row>
    <row r="5" spans="1:15" ht="31" customHeight="1">
      <c r="A5" s="4" t="s">
        <v>138</v>
      </c>
      <c r="B5" s="4" t="s">
        <v>110</v>
      </c>
      <c r="C5" s="5"/>
      <c r="D5" s="6">
        <v>10.8223549619237</v>
      </c>
      <c r="E5" s="4" t="s">
        <v>503</v>
      </c>
      <c r="F5" s="4" t="s">
        <v>504</v>
      </c>
      <c r="G5" s="5"/>
      <c r="H5" s="6">
        <v>0.0321</v>
      </c>
      <c r="I5" s="5"/>
      <c r="J5" s="6">
        <v>0.07128110398783009</v>
      </c>
      <c r="K5" s="4" t="s">
        <v>1088</v>
      </c>
      <c r="L5" s="4" t="s">
        <v>505</v>
      </c>
      <c r="M5" s="5"/>
      <c r="N5" s="4" t="s">
        <v>506</v>
      </c>
      <c r="O5" s="4" t="s">
        <v>507</v>
      </c>
    </row>
    <row r="6" spans="1:15" ht="31" customHeight="1">
      <c r="A6" s="4" t="s">
        <v>141</v>
      </c>
      <c r="B6" s="4" t="s">
        <v>110</v>
      </c>
      <c r="C6" s="5"/>
      <c r="D6" s="6">
        <v>10.579285094761</v>
      </c>
      <c r="E6" s="4" t="s">
        <v>503</v>
      </c>
      <c r="F6" s="4" t="s">
        <v>504</v>
      </c>
      <c r="G6" s="5"/>
      <c r="H6" s="5"/>
      <c r="I6" s="5"/>
      <c r="J6" s="6">
        <v>0.09559512652296159</v>
      </c>
      <c r="K6" s="4" t="s">
        <v>1088</v>
      </c>
      <c r="L6" s="4" t="s">
        <v>505</v>
      </c>
      <c r="M6" s="5"/>
      <c r="N6" s="4" t="s">
        <v>506</v>
      </c>
      <c r="O6" s="4" t="s">
        <v>507</v>
      </c>
    </row>
    <row r="7" spans="1:15" ht="31" customHeight="1">
      <c r="A7" s="4" t="s">
        <v>143</v>
      </c>
      <c r="B7" s="4" t="s">
        <v>110</v>
      </c>
      <c r="C7" s="5"/>
      <c r="D7" s="6">
        <v>9.04817432138579</v>
      </c>
      <c r="E7" s="4" t="s">
        <v>503</v>
      </c>
      <c r="F7" s="4" t="s">
        <v>510</v>
      </c>
      <c r="G7" s="5"/>
      <c r="H7" s="5"/>
      <c r="I7" s="5"/>
      <c r="J7" s="6">
        <v>0.11034015907937</v>
      </c>
      <c r="K7" s="4" t="s">
        <v>1088</v>
      </c>
      <c r="L7" s="4" t="s">
        <v>505</v>
      </c>
      <c r="M7" s="5"/>
      <c r="N7" s="4" t="s">
        <v>503</v>
      </c>
      <c r="O7" s="4" t="s">
        <v>507</v>
      </c>
    </row>
    <row r="8" spans="1:15" ht="31" customHeight="1">
      <c r="A8" s="4" t="s">
        <v>148</v>
      </c>
      <c r="B8" s="4" t="s">
        <v>110</v>
      </c>
      <c r="C8" s="5"/>
      <c r="D8" s="6">
        <v>9.624963417869109</v>
      </c>
      <c r="E8" s="4" t="s">
        <v>503</v>
      </c>
      <c r="F8" s="4" t="s">
        <v>510</v>
      </c>
      <c r="G8" s="5"/>
      <c r="H8" s="5"/>
      <c r="I8" s="5"/>
      <c r="J8" s="6">
        <v>0.182509505703422</v>
      </c>
      <c r="K8" s="4" t="s">
        <v>1088</v>
      </c>
      <c r="L8" s="4" t="s">
        <v>505</v>
      </c>
      <c r="M8" s="5"/>
      <c r="N8" s="4" t="s">
        <v>503</v>
      </c>
      <c r="O8" s="4" t="s">
        <v>507</v>
      </c>
    </row>
    <row r="9" spans="1:15" ht="31" customHeight="1">
      <c r="A9" s="4" t="s">
        <v>151</v>
      </c>
      <c r="B9" s="4" t="s">
        <v>110</v>
      </c>
      <c r="C9" s="5"/>
      <c r="D9" s="6">
        <v>8.58964965772747</v>
      </c>
      <c r="E9" s="4" t="s">
        <v>503</v>
      </c>
      <c r="F9" s="4" t="s">
        <v>510</v>
      </c>
      <c r="G9" s="5"/>
      <c r="H9" s="5"/>
      <c r="I9" s="5"/>
      <c r="J9" s="6">
        <v>0.179255663430421</v>
      </c>
      <c r="K9" s="4" t="s">
        <v>1088</v>
      </c>
      <c r="L9" s="4" t="s">
        <v>505</v>
      </c>
      <c r="M9" s="5"/>
      <c r="N9" s="4" t="s">
        <v>506</v>
      </c>
      <c r="O9" s="4" t="s">
        <v>507</v>
      </c>
    </row>
    <row r="10" spans="1:15" ht="31" customHeight="1">
      <c r="A10" s="4" t="s">
        <v>153</v>
      </c>
      <c r="B10" s="4" t="s">
        <v>110</v>
      </c>
      <c r="C10" s="5"/>
      <c r="D10" s="6">
        <v>7.59186171488993</v>
      </c>
      <c r="E10" s="4" t="s">
        <v>503</v>
      </c>
      <c r="F10" s="4" t="s">
        <v>510</v>
      </c>
      <c r="G10" s="5"/>
      <c r="H10" s="5"/>
      <c r="I10" s="5"/>
      <c r="J10" s="6">
        <v>0.04337899543379</v>
      </c>
      <c r="K10" s="4" t="s">
        <v>1088</v>
      </c>
      <c r="L10" s="4" t="s">
        <v>505</v>
      </c>
      <c r="M10" s="5"/>
      <c r="N10" s="4" t="s">
        <v>503</v>
      </c>
      <c r="O10" s="4" t="s">
        <v>507</v>
      </c>
    </row>
    <row r="11" spans="1:15" ht="31" customHeight="1">
      <c r="A11" s="4" t="s">
        <v>156</v>
      </c>
      <c r="B11" s="4" t="s">
        <v>157</v>
      </c>
      <c r="C11" s="5"/>
      <c r="D11" s="5"/>
      <c r="E11" s="5"/>
      <c r="F11" s="4" t="s">
        <v>510</v>
      </c>
      <c r="G11" s="5"/>
      <c r="H11" s="5"/>
      <c r="I11" s="5"/>
      <c r="J11" s="5"/>
      <c r="K11" s="4" t="s">
        <v>1089</v>
      </c>
      <c r="L11" s="4" t="s">
        <v>511</v>
      </c>
      <c r="M11" s="5"/>
      <c r="N11" s="5"/>
      <c r="O11" s="4" t="s">
        <v>512</v>
      </c>
    </row>
    <row r="12" spans="1:15" ht="31" customHeight="1">
      <c r="A12" s="4" t="s">
        <v>168</v>
      </c>
      <c r="B12" s="4" t="s">
        <v>157</v>
      </c>
      <c r="C12" s="5"/>
      <c r="D12" s="5"/>
      <c r="E12" s="5"/>
      <c r="F12" s="4" t="s">
        <v>510</v>
      </c>
      <c r="G12" s="5"/>
      <c r="H12" s="5"/>
      <c r="I12" s="5"/>
      <c r="J12" s="5"/>
      <c r="K12" s="4" t="s">
        <v>1089</v>
      </c>
      <c r="L12" s="4" t="s">
        <v>511</v>
      </c>
      <c r="M12" s="5"/>
      <c r="N12" s="5"/>
      <c r="O12" s="4" t="s">
        <v>512</v>
      </c>
    </row>
    <row r="13" spans="1:15" ht="31" customHeight="1">
      <c r="A13" s="4" t="s">
        <v>172</v>
      </c>
      <c r="B13" s="4" t="s">
        <v>157</v>
      </c>
      <c r="C13" s="5"/>
      <c r="D13" s="5"/>
      <c r="E13" s="5"/>
      <c r="F13" s="4" t="s">
        <v>504</v>
      </c>
      <c r="G13" s="5"/>
      <c r="H13" s="5"/>
      <c r="I13" s="5"/>
      <c r="J13" s="5"/>
      <c r="K13" s="4" t="s">
        <v>1089</v>
      </c>
      <c r="L13" s="4" t="s">
        <v>511</v>
      </c>
      <c r="M13" s="5"/>
      <c r="N13" s="5"/>
      <c r="O13" s="4" t="s">
        <v>512</v>
      </c>
    </row>
    <row r="14" spans="1:15" ht="31" customHeight="1">
      <c r="A14" s="4" t="s">
        <v>177</v>
      </c>
      <c r="B14" s="4" t="s">
        <v>157</v>
      </c>
      <c r="C14" s="5"/>
      <c r="D14" s="5"/>
      <c r="E14" s="5"/>
      <c r="F14" s="4" t="s">
        <v>504</v>
      </c>
      <c r="G14" s="5"/>
      <c r="H14" s="5"/>
      <c r="I14" s="5"/>
      <c r="J14" s="5"/>
      <c r="K14" s="4" t="s">
        <v>1089</v>
      </c>
      <c r="L14" s="4" t="s">
        <v>511</v>
      </c>
      <c r="M14" s="5"/>
      <c r="N14" s="5"/>
      <c r="O14" s="4" t="s">
        <v>512</v>
      </c>
    </row>
    <row r="15" spans="1:15" ht="31" customHeight="1">
      <c r="A15" s="4" t="s">
        <v>181</v>
      </c>
      <c r="B15" s="4" t="s">
        <v>157</v>
      </c>
      <c r="C15" s="5"/>
      <c r="D15" s="5"/>
      <c r="E15" s="5"/>
      <c r="F15" s="4" t="s">
        <v>504</v>
      </c>
      <c r="G15" s="5"/>
      <c r="H15" s="5"/>
      <c r="I15" s="5"/>
      <c r="J15" s="5"/>
      <c r="K15" s="4" t="s">
        <v>1089</v>
      </c>
      <c r="L15" s="4" t="s">
        <v>511</v>
      </c>
      <c r="M15" s="5"/>
      <c r="N15" s="5"/>
      <c r="O15" s="4" t="s">
        <v>512</v>
      </c>
    </row>
    <row r="16" spans="1:15" ht="31" customHeight="1">
      <c r="A16" s="4" t="s">
        <v>184</v>
      </c>
      <c r="B16" s="4" t="s">
        <v>157</v>
      </c>
      <c r="C16" s="5"/>
      <c r="D16" s="5"/>
      <c r="E16" s="5"/>
      <c r="F16" s="4" t="s">
        <v>510</v>
      </c>
      <c r="G16" s="5"/>
      <c r="H16" s="5"/>
      <c r="I16" s="5"/>
      <c r="J16" s="5"/>
      <c r="K16" s="4" t="s">
        <v>1089</v>
      </c>
      <c r="L16" s="4" t="s">
        <v>511</v>
      </c>
      <c r="M16" s="5"/>
      <c r="N16" s="5"/>
      <c r="O16" s="4" t="s">
        <v>512</v>
      </c>
    </row>
    <row r="17" spans="1:15" ht="31" customHeight="1">
      <c r="A17" s="4" t="s">
        <v>187</v>
      </c>
      <c r="B17" s="4" t="s">
        <v>157</v>
      </c>
      <c r="C17" s="5"/>
      <c r="D17" s="5"/>
      <c r="E17" s="5"/>
      <c r="F17" s="4" t="s">
        <v>510</v>
      </c>
      <c r="G17" s="5"/>
      <c r="H17" s="5"/>
      <c r="I17" s="5"/>
      <c r="J17" s="5"/>
      <c r="K17" s="4" t="s">
        <v>1089</v>
      </c>
      <c r="L17" s="4" t="s">
        <v>511</v>
      </c>
      <c r="M17" s="5"/>
      <c r="N17" s="5"/>
      <c r="O17" s="4" t="s">
        <v>512</v>
      </c>
    </row>
    <row r="18" spans="1:15" ht="31" customHeight="1">
      <c r="A18" s="4" t="s">
        <v>190</v>
      </c>
      <c r="B18" s="4" t="s">
        <v>191</v>
      </c>
      <c r="C18" s="5"/>
      <c r="D18" s="6">
        <v>12.3821078176814</v>
      </c>
      <c r="E18" s="5"/>
      <c r="F18" s="5"/>
      <c r="G18" s="5"/>
      <c r="H18" s="5"/>
      <c r="I18" s="5"/>
      <c r="J18" s="5"/>
      <c r="K18" s="4" t="s">
        <v>1090</v>
      </c>
      <c r="L18" s="4" t="s">
        <v>513</v>
      </c>
      <c r="M18" s="5"/>
      <c r="N18" s="5"/>
      <c r="O18" s="4" t="s">
        <v>514</v>
      </c>
    </row>
    <row r="19" spans="1:15" ht="31" customHeight="1">
      <c r="A19" s="4" t="s">
        <v>202</v>
      </c>
      <c r="B19" s="4" t="s">
        <v>191</v>
      </c>
      <c r="C19" s="5"/>
      <c r="D19" s="5"/>
      <c r="E19" s="5"/>
      <c r="F19" s="5"/>
      <c r="G19" s="5"/>
      <c r="H19" s="5"/>
      <c r="I19" s="5"/>
      <c r="J19" s="5"/>
      <c r="K19" s="4" t="s">
        <v>1090</v>
      </c>
      <c r="L19" s="4" t="s">
        <v>513</v>
      </c>
      <c r="M19" s="5"/>
      <c r="N19" s="5"/>
      <c r="O19" s="4" t="s">
        <v>514</v>
      </c>
    </row>
    <row r="20" spans="1:15" ht="31" customHeight="1">
      <c r="A20" s="4" t="s">
        <v>208</v>
      </c>
      <c r="B20" s="4" t="s">
        <v>191</v>
      </c>
      <c r="C20" s="5"/>
      <c r="D20" s="6">
        <v>9.72089855998442</v>
      </c>
      <c r="E20" s="5"/>
      <c r="F20" s="5"/>
      <c r="G20" s="5"/>
      <c r="H20" s="5"/>
      <c r="I20" s="5"/>
      <c r="J20" s="5"/>
      <c r="K20" s="4" t="s">
        <v>1090</v>
      </c>
      <c r="L20" s="4" t="s">
        <v>513</v>
      </c>
      <c r="M20" s="5"/>
      <c r="N20" s="5"/>
      <c r="O20" s="4" t="s">
        <v>514</v>
      </c>
    </row>
    <row r="21" spans="1:15" ht="31" customHeight="1">
      <c r="A21" s="4" t="s">
        <v>212</v>
      </c>
      <c r="B21" s="4" t="s">
        <v>191</v>
      </c>
      <c r="C21" s="5"/>
      <c r="D21" s="5"/>
      <c r="E21" s="5"/>
      <c r="F21" s="5"/>
      <c r="G21" s="5"/>
      <c r="H21" s="5"/>
      <c r="I21" s="5"/>
      <c r="J21" s="5"/>
      <c r="K21" s="4" t="s">
        <v>1090</v>
      </c>
      <c r="L21" s="4" t="s">
        <v>513</v>
      </c>
      <c r="M21" s="5"/>
      <c r="N21" s="5"/>
      <c r="O21" s="4" t="s">
        <v>514</v>
      </c>
    </row>
    <row r="22" spans="1:15" ht="31" customHeight="1">
      <c r="A22" s="4" t="s">
        <v>217</v>
      </c>
      <c r="B22" s="4" t="s">
        <v>191</v>
      </c>
      <c r="C22" s="5"/>
      <c r="D22" s="6">
        <v>6.69724410218869</v>
      </c>
      <c r="E22" s="5"/>
      <c r="F22" s="5"/>
      <c r="G22" s="5"/>
      <c r="H22" s="5"/>
      <c r="I22" s="5"/>
      <c r="J22" s="5"/>
      <c r="K22" s="4" t="s">
        <v>1090</v>
      </c>
      <c r="L22" s="4" t="s">
        <v>513</v>
      </c>
      <c r="M22" s="5"/>
      <c r="N22" s="5"/>
      <c r="O22" s="4" t="s">
        <v>514</v>
      </c>
    </row>
    <row r="23" spans="1:15" ht="31" customHeight="1">
      <c r="A23" s="4" t="s">
        <v>222</v>
      </c>
      <c r="B23" s="4" t="s">
        <v>191</v>
      </c>
      <c r="C23" s="5"/>
      <c r="D23" s="6">
        <v>6.17232670616559</v>
      </c>
      <c r="E23" s="5"/>
      <c r="F23" s="5"/>
      <c r="G23" s="5"/>
      <c r="H23" s="5"/>
      <c r="I23" s="5"/>
      <c r="J23" s="5"/>
      <c r="K23" s="4" t="s">
        <v>1090</v>
      </c>
      <c r="L23" s="4" t="s">
        <v>513</v>
      </c>
      <c r="M23" s="5"/>
      <c r="N23" s="5"/>
      <c r="O23" s="4" t="s">
        <v>514</v>
      </c>
    </row>
    <row r="24" spans="1:15" ht="31" customHeight="1">
      <c r="A24" s="4" t="s">
        <v>225</v>
      </c>
      <c r="B24" s="4" t="s">
        <v>191</v>
      </c>
      <c r="C24" s="5"/>
      <c r="D24" s="6">
        <v>6.19725846008708</v>
      </c>
      <c r="E24" s="5"/>
      <c r="F24" s="5"/>
      <c r="G24" s="5"/>
      <c r="H24" s="5"/>
      <c r="I24" s="5"/>
      <c r="J24" s="5"/>
      <c r="K24" s="4" t="s">
        <v>1090</v>
      </c>
      <c r="L24" s="4" t="s">
        <v>513</v>
      </c>
      <c r="M24" s="5"/>
      <c r="N24" s="5"/>
      <c r="O24" s="4" t="s">
        <v>514</v>
      </c>
    </row>
    <row r="25" spans="1:15" ht="31" customHeight="1">
      <c r="A25" s="4" t="s">
        <v>229</v>
      </c>
      <c r="B25" s="4" t="s">
        <v>191</v>
      </c>
      <c r="C25" s="5"/>
      <c r="D25" s="6">
        <v>6.23274266861767</v>
      </c>
      <c r="E25" s="5"/>
      <c r="F25" s="5"/>
      <c r="G25" s="5"/>
      <c r="H25" s="5"/>
      <c r="I25" s="5"/>
      <c r="J25" s="5"/>
      <c r="K25" s="4" t="s">
        <v>1090</v>
      </c>
      <c r="L25" s="4" t="s">
        <v>513</v>
      </c>
      <c r="M25" s="5"/>
      <c r="N25" s="5"/>
      <c r="O25" s="4" t="s">
        <v>514</v>
      </c>
    </row>
    <row r="26" spans="1:15" ht="31" customHeight="1">
      <c r="A26" s="4" t="s">
        <v>231</v>
      </c>
      <c r="B26" s="4" t="s">
        <v>191</v>
      </c>
      <c r="C26" s="5"/>
      <c r="D26" s="6">
        <v>5.23920410205553</v>
      </c>
      <c r="E26" s="5"/>
      <c r="F26" s="5"/>
      <c r="G26" s="5"/>
      <c r="H26" s="5"/>
      <c r="I26" s="5"/>
      <c r="J26" s="5"/>
      <c r="K26" s="4" t="s">
        <v>1090</v>
      </c>
      <c r="L26" s="4" t="s">
        <v>513</v>
      </c>
      <c r="M26" s="5"/>
      <c r="N26" s="5"/>
      <c r="O26" s="4" t="s">
        <v>514</v>
      </c>
    </row>
    <row r="27" spans="1:15" ht="31" customHeight="1">
      <c r="A27" s="4" t="s">
        <v>233</v>
      </c>
      <c r="B27" s="4" t="s">
        <v>191</v>
      </c>
      <c r="C27" s="5"/>
      <c r="D27" s="5"/>
      <c r="E27" s="5"/>
      <c r="F27" s="5"/>
      <c r="G27" s="5"/>
      <c r="H27" s="5"/>
      <c r="I27" s="5"/>
      <c r="J27" s="5"/>
      <c r="K27" s="4" t="s">
        <v>1090</v>
      </c>
      <c r="L27" s="4" t="s">
        <v>513</v>
      </c>
      <c r="M27" s="5"/>
      <c r="N27" s="5"/>
      <c r="O27" s="4" t="s">
        <v>514</v>
      </c>
    </row>
    <row r="28" spans="1:15" ht="31" customHeight="1">
      <c r="A28" s="4" t="s">
        <v>236</v>
      </c>
      <c r="B28" s="4" t="s">
        <v>237</v>
      </c>
      <c r="C28" s="5"/>
      <c r="D28" s="5"/>
      <c r="E28" s="5"/>
      <c r="F28" s="5"/>
      <c r="G28" s="5"/>
      <c r="H28" s="5"/>
      <c r="I28" s="5"/>
      <c r="J28" s="5"/>
      <c r="K28" s="4" t="s">
        <v>1091</v>
      </c>
      <c r="L28" s="4" t="s">
        <v>515</v>
      </c>
      <c r="M28" s="5"/>
      <c r="N28" s="5"/>
      <c r="O28" s="4" t="s">
        <v>516</v>
      </c>
    </row>
    <row r="29" spans="1:15" ht="31" customHeight="1">
      <c r="A29" s="4" t="s">
        <v>252</v>
      </c>
      <c r="B29" s="4" t="s">
        <v>237</v>
      </c>
      <c r="C29" s="5"/>
      <c r="D29" s="5"/>
      <c r="E29" s="5"/>
      <c r="F29" s="4" t="s">
        <v>504</v>
      </c>
      <c r="G29" s="5"/>
      <c r="H29" s="5"/>
      <c r="I29" s="5"/>
      <c r="J29" s="5"/>
      <c r="K29" s="4" t="s">
        <v>1092</v>
      </c>
      <c r="L29" s="4" t="s">
        <v>515</v>
      </c>
      <c r="M29" s="5"/>
      <c r="N29" s="5"/>
      <c r="O29" s="4" t="s">
        <v>516</v>
      </c>
    </row>
    <row r="30" spans="1:15" ht="31" customHeight="1">
      <c r="A30" s="4" t="s">
        <v>263</v>
      </c>
      <c r="B30" s="4" t="s">
        <v>237</v>
      </c>
      <c r="C30" s="5"/>
      <c r="D30" s="5"/>
      <c r="E30" s="5"/>
      <c r="F30" s="4" t="s">
        <v>510</v>
      </c>
      <c r="G30" s="5"/>
      <c r="H30" s="5"/>
      <c r="I30" s="5"/>
      <c r="J30" s="5"/>
      <c r="K30" s="4" t="s">
        <v>1092</v>
      </c>
      <c r="L30" s="4" t="s">
        <v>515</v>
      </c>
      <c r="M30" s="5"/>
      <c r="N30" s="5"/>
      <c r="O30" s="4" t="s">
        <v>516</v>
      </c>
    </row>
    <row r="31" spans="1:15" ht="31" customHeight="1">
      <c r="A31" s="4" t="s">
        <v>268</v>
      </c>
      <c r="B31" s="4" t="s">
        <v>237</v>
      </c>
      <c r="C31" s="5"/>
      <c r="D31" s="5"/>
      <c r="E31" s="5"/>
      <c r="F31" s="4" t="s">
        <v>510</v>
      </c>
      <c r="G31" s="5"/>
      <c r="H31" s="5"/>
      <c r="I31" s="5"/>
      <c r="J31" s="5"/>
      <c r="K31" s="4" t="s">
        <v>1092</v>
      </c>
      <c r="L31" s="4" t="s">
        <v>515</v>
      </c>
      <c r="M31" s="5"/>
      <c r="N31" s="5"/>
      <c r="O31" s="4" t="s">
        <v>516</v>
      </c>
    </row>
    <row r="32" spans="1:15" ht="31" customHeight="1">
      <c r="A32" s="4" t="s">
        <v>274</v>
      </c>
      <c r="B32" s="4" t="s">
        <v>237</v>
      </c>
      <c r="C32" s="5"/>
      <c r="D32" s="5"/>
      <c r="E32" s="5"/>
      <c r="F32" s="4" t="s">
        <v>504</v>
      </c>
      <c r="G32" s="5"/>
      <c r="H32" s="5"/>
      <c r="I32" s="5"/>
      <c r="J32" s="5"/>
      <c r="K32" s="4" t="s">
        <v>1092</v>
      </c>
      <c r="L32" s="4" t="s">
        <v>515</v>
      </c>
      <c r="M32" s="5"/>
      <c r="N32" s="5"/>
      <c r="O32" s="4" t="s">
        <v>516</v>
      </c>
    </row>
    <row r="33" spans="1:15" ht="31" customHeight="1">
      <c r="A33" s="4" t="s">
        <v>282</v>
      </c>
      <c r="B33" s="4" t="s">
        <v>237</v>
      </c>
      <c r="C33" s="5"/>
      <c r="D33" s="5"/>
      <c r="E33" s="5"/>
      <c r="F33" s="4" t="s">
        <v>504</v>
      </c>
      <c r="G33" s="5"/>
      <c r="H33" s="5"/>
      <c r="I33" s="5"/>
      <c r="J33" s="5"/>
      <c r="K33" s="4" t="s">
        <v>1092</v>
      </c>
      <c r="L33" s="4" t="s">
        <v>515</v>
      </c>
      <c r="M33" s="5"/>
      <c r="N33" s="5"/>
      <c r="O33" s="4" t="s">
        <v>516</v>
      </c>
    </row>
    <row r="34" spans="1:15" ht="31" customHeight="1">
      <c r="A34" s="4" t="s">
        <v>290</v>
      </c>
      <c r="B34" s="4" t="s">
        <v>237</v>
      </c>
      <c r="C34" s="5"/>
      <c r="D34" s="5"/>
      <c r="E34" s="5"/>
      <c r="F34" s="4" t="s">
        <v>510</v>
      </c>
      <c r="G34" s="5"/>
      <c r="H34" s="5"/>
      <c r="I34" s="5"/>
      <c r="J34" s="5"/>
      <c r="K34" s="4" t="s">
        <v>1092</v>
      </c>
      <c r="L34" s="4" t="s">
        <v>515</v>
      </c>
      <c r="M34" s="5"/>
      <c r="N34" s="5"/>
      <c r="O34" s="4" t="s">
        <v>516</v>
      </c>
    </row>
    <row r="35" spans="1:15" ht="31" customHeight="1">
      <c r="A35" s="4" t="s">
        <v>296</v>
      </c>
      <c r="B35" s="4" t="s">
        <v>237</v>
      </c>
      <c r="C35" s="5"/>
      <c r="D35" s="5"/>
      <c r="E35" s="5"/>
      <c r="F35" s="4" t="s">
        <v>510</v>
      </c>
      <c r="G35" s="5"/>
      <c r="H35" s="5"/>
      <c r="I35" s="5"/>
      <c r="J35" s="5"/>
      <c r="K35" s="4" t="s">
        <v>1092</v>
      </c>
      <c r="L35" s="4" t="s">
        <v>515</v>
      </c>
      <c r="M35" s="5"/>
      <c r="N35" s="5"/>
      <c r="O35" s="4" t="s">
        <v>516</v>
      </c>
    </row>
    <row r="36" spans="1:15" ht="31" customHeight="1">
      <c r="A36" s="4" t="s">
        <v>298</v>
      </c>
      <c r="B36" s="4" t="s">
        <v>237</v>
      </c>
      <c r="C36" s="5"/>
      <c r="D36" s="5"/>
      <c r="E36" s="5"/>
      <c r="F36" s="4" t="s">
        <v>510</v>
      </c>
      <c r="G36" s="5"/>
      <c r="H36" s="5"/>
      <c r="I36" s="5"/>
      <c r="J36" s="5"/>
      <c r="K36" s="4" t="s">
        <v>1092</v>
      </c>
      <c r="L36" s="4" t="s">
        <v>515</v>
      </c>
      <c r="M36" s="5"/>
      <c r="N36" s="5"/>
      <c r="O36" s="4" t="s">
        <v>516</v>
      </c>
    </row>
    <row r="37" spans="1:15" ht="31" customHeight="1">
      <c r="A37" s="4" t="s">
        <v>300</v>
      </c>
      <c r="B37" s="4" t="s">
        <v>237</v>
      </c>
      <c r="C37" s="5"/>
      <c r="D37" s="5"/>
      <c r="E37" s="5"/>
      <c r="F37" s="4" t="s">
        <v>510</v>
      </c>
      <c r="G37" s="5"/>
      <c r="H37" s="5"/>
      <c r="I37" s="5"/>
      <c r="J37" s="5"/>
      <c r="K37" s="4" t="s">
        <v>1092</v>
      </c>
      <c r="L37" s="4" t="s">
        <v>515</v>
      </c>
      <c r="M37" s="5"/>
      <c r="N37" s="5"/>
      <c r="O37" s="4" t="s">
        <v>516</v>
      </c>
    </row>
    <row r="38" spans="1:15" ht="31" customHeight="1">
      <c r="A38" s="4" t="s">
        <v>304</v>
      </c>
      <c r="B38" s="4" t="s">
        <v>237</v>
      </c>
      <c r="C38" s="5"/>
      <c r="D38" s="5"/>
      <c r="E38" s="5"/>
      <c r="F38" s="4" t="s">
        <v>510</v>
      </c>
      <c r="G38" s="5"/>
      <c r="H38" s="5"/>
      <c r="I38" s="5"/>
      <c r="J38" s="5"/>
      <c r="K38" s="4" t="s">
        <v>1092</v>
      </c>
      <c r="L38" s="4" t="s">
        <v>515</v>
      </c>
      <c r="M38" s="5"/>
      <c r="N38" s="5"/>
      <c r="O38" s="4" t="s">
        <v>516</v>
      </c>
    </row>
    <row r="39" spans="1:15" ht="31" customHeight="1">
      <c r="A39" s="4" t="s">
        <v>306</v>
      </c>
      <c r="B39" s="4" t="s">
        <v>237</v>
      </c>
      <c r="C39" s="5"/>
      <c r="D39" s="5"/>
      <c r="E39" s="5"/>
      <c r="F39" s="4" t="s">
        <v>504</v>
      </c>
      <c r="G39" s="5"/>
      <c r="H39" s="5"/>
      <c r="I39" s="5"/>
      <c r="J39" s="5"/>
      <c r="K39" s="4" t="s">
        <v>1092</v>
      </c>
      <c r="L39" s="4" t="s">
        <v>515</v>
      </c>
      <c r="M39" s="5"/>
      <c r="N39" s="5"/>
      <c r="O39" s="4" t="s">
        <v>516</v>
      </c>
    </row>
    <row r="40" spans="1:15" ht="31" customHeight="1">
      <c r="A40" s="4" t="s">
        <v>310</v>
      </c>
      <c r="B40" s="4" t="s">
        <v>311</v>
      </c>
      <c r="C40" s="5"/>
      <c r="D40" s="5"/>
      <c r="E40" s="5"/>
      <c r="F40" s="5"/>
      <c r="G40" s="5"/>
      <c r="H40" s="5"/>
      <c r="I40" s="5"/>
      <c r="J40" s="5"/>
      <c r="K40" s="4" t="s">
        <v>1093</v>
      </c>
      <c r="L40" s="4" t="s">
        <v>517</v>
      </c>
      <c r="M40" s="6">
        <v>25</v>
      </c>
      <c r="N40" s="5"/>
      <c r="O40" s="4" t="s">
        <v>518</v>
      </c>
    </row>
    <row r="41" spans="1:15" ht="31" customHeight="1">
      <c r="A41" s="4" t="s">
        <v>321</v>
      </c>
      <c r="B41" s="4" t="s">
        <v>311</v>
      </c>
      <c r="C41" s="5"/>
      <c r="D41" s="5"/>
      <c r="E41" s="5"/>
      <c r="F41" s="5"/>
      <c r="G41" s="5"/>
      <c r="H41" s="5"/>
      <c r="I41" s="5"/>
      <c r="J41" s="5"/>
      <c r="K41" s="4" t="s">
        <v>1093</v>
      </c>
      <c r="L41" s="4" t="s">
        <v>517</v>
      </c>
      <c r="M41" s="6">
        <v>24</v>
      </c>
      <c r="N41" s="5"/>
      <c r="O41" s="4" t="s">
        <v>518</v>
      </c>
    </row>
    <row r="42" spans="1:15" ht="31" customHeight="1">
      <c r="A42" s="4" t="s">
        <v>323</v>
      </c>
      <c r="B42" s="4" t="s">
        <v>311</v>
      </c>
      <c r="C42" s="5"/>
      <c r="D42" s="5"/>
      <c r="E42" s="5"/>
      <c r="F42" s="5"/>
      <c r="G42" s="5"/>
      <c r="H42" s="5"/>
      <c r="I42" s="5"/>
      <c r="J42" s="5"/>
      <c r="K42" s="4" t="s">
        <v>1093</v>
      </c>
      <c r="L42" s="4" t="s">
        <v>517</v>
      </c>
      <c r="M42" s="6">
        <v>18</v>
      </c>
      <c r="N42" s="5"/>
      <c r="O42" s="4" t="s">
        <v>518</v>
      </c>
    </row>
    <row r="43" spans="1:15" ht="31" customHeight="1">
      <c r="A43" s="4" t="s">
        <v>325</v>
      </c>
      <c r="B43" s="4" t="s">
        <v>311</v>
      </c>
      <c r="C43" s="5"/>
      <c r="D43" s="5"/>
      <c r="E43" s="5"/>
      <c r="F43" s="5"/>
      <c r="G43" s="5"/>
      <c r="H43" s="5"/>
      <c r="I43" s="5"/>
      <c r="J43" s="5"/>
      <c r="K43" s="4" t="s">
        <v>1093</v>
      </c>
      <c r="L43" s="4" t="s">
        <v>517</v>
      </c>
      <c r="M43" s="6">
        <v>17</v>
      </c>
      <c r="N43" s="5"/>
      <c r="O43" s="4" t="s">
        <v>518</v>
      </c>
    </row>
    <row r="44" spans="1:15" ht="31" customHeight="1">
      <c r="A44" s="4" t="s">
        <v>327</v>
      </c>
      <c r="B44" s="4" t="s">
        <v>311</v>
      </c>
      <c r="C44" s="5"/>
      <c r="D44" s="5"/>
      <c r="E44" s="5"/>
      <c r="F44" s="5"/>
      <c r="G44" s="5"/>
      <c r="H44" s="5"/>
      <c r="I44" s="5"/>
      <c r="J44" s="5"/>
      <c r="K44" s="4" t="s">
        <v>1093</v>
      </c>
      <c r="L44" s="4" t="s">
        <v>517</v>
      </c>
      <c r="M44" s="6">
        <v>15</v>
      </c>
      <c r="N44" s="5"/>
      <c r="O44" s="4" t="s">
        <v>518</v>
      </c>
    </row>
    <row r="45" spans="1:15" ht="31" customHeight="1">
      <c r="A45" s="4" t="s">
        <v>1086</v>
      </c>
      <c r="B45" s="4" t="s">
        <v>311</v>
      </c>
      <c r="C45" s="5"/>
      <c r="D45" s="5"/>
      <c r="E45" s="5"/>
      <c r="F45" s="5"/>
      <c r="G45" s="5"/>
      <c r="H45" s="5"/>
      <c r="I45" s="5"/>
      <c r="J45" s="5"/>
      <c r="K45" s="4" t="s">
        <v>1093</v>
      </c>
      <c r="L45" s="4" t="s">
        <v>517</v>
      </c>
      <c r="M45" s="6">
        <v>12</v>
      </c>
      <c r="N45" s="5"/>
      <c r="O45" s="4" t="s">
        <v>518</v>
      </c>
    </row>
    <row r="46" spans="1:15" ht="31" customHeight="1">
      <c r="A46" s="4" t="s">
        <v>331</v>
      </c>
      <c r="B46" s="4" t="s">
        <v>311</v>
      </c>
      <c r="C46" s="5"/>
      <c r="D46" s="5"/>
      <c r="E46" s="5"/>
      <c r="F46" s="5"/>
      <c r="G46" s="5"/>
      <c r="H46" s="5"/>
      <c r="I46" s="5"/>
      <c r="J46" s="5"/>
      <c r="K46" s="4" t="s">
        <v>1093</v>
      </c>
      <c r="L46" s="4" t="s">
        <v>517</v>
      </c>
      <c r="M46" s="6">
        <v>12</v>
      </c>
      <c r="N46" s="5"/>
      <c r="O46" s="4" t="s">
        <v>518</v>
      </c>
    </row>
    <row r="47" spans="1:15" ht="31" customHeight="1">
      <c r="A47" s="4" t="s">
        <v>333</v>
      </c>
      <c r="B47" s="4" t="s">
        <v>311</v>
      </c>
      <c r="C47" s="5"/>
      <c r="D47" s="5"/>
      <c r="E47" s="5"/>
      <c r="F47" s="5"/>
      <c r="G47" s="5"/>
      <c r="H47" s="5"/>
      <c r="I47" s="5"/>
      <c r="J47" s="5"/>
      <c r="K47" s="4" t="s">
        <v>1093</v>
      </c>
      <c r="L47" s="4" t="s">
        <v>517</v>
      </c>
      <c r="M47" s="6">
        <v>12</v>
      </c>
      <c r="N47" s="5"/>
      <c r="O47" s="4" t="s">
        <v>518</v>
      </c>
    </row>
    <row r="48" spans="1:15" ht="31" customHeight="1">
      <c r="A48" s="4" t="s">
        <v>335</v>
      </c>
      <c r="B48" s="4" t="s">
        <v>311</v>
      </c>
      <c r="C48" s="5"/>
      <c r="D48" s="5"/>
      <c r="E48" s="5"/>
      <c r="F48" s="5"/>
      <c r="G48" s="5"/>
      <c r="H48" s="5"/>
      <c r="I48" s="5"/>
      <c r="J48" s="5"/>
      <c r="K48" s="4" t="s">
        <v>1093</v>
      </c>
      <c r="L48" s="4" t="s">
        <v>517</v>
      </c>
      <c r="M48" s="6">
        <v>10</v>
      </c>
      <c r="N48" s="5"/>
      <c r="O48" s="4" t="s">
        <v>518</v>
      </c>
    </row>
    <row r="49" spans="1:15" ht="31" customHeight="1">
      <c r="A49" s="4" t="s">
        <v>337</v>
      </c>
      <c r="B49" s="4" t="s">
        <v>311</v>
      </c>
      <c r="C49" s="5"/>
      <c r="D49" s="5"/>
      <c r="E49" s="5"/>
      <c r="F49" s="5"/>
      <c r="G49" s="5"/>
      <c r="H49" s="5"/>
      <c r="I49" s="5"/>
      <c r="J49" s="5"/>
      <c r="K49" s="4" t="s">
        <v>1093</v>
      </c>
      <c r="L49" s="4" t="s">
        <v>517</v>
      </c>
      <c r="M49" s="6">
        <v>10</v>
      </c>
      <c r="N49" s="5"/>
      <c r="O49" s="4" t="s">
        <v>518</v>
      </c>
    </row>
    <row r="50" spans="1:15" ht="31" customHeight="1">
      <c r="A50" s="4" t="s">
        <v>339</v>
      </c>
      <c r="B50" s="4" t="s">
        <v>311</v>
      </c>
      <c r="C50" s="5"/>
      <c r="D50" s="5"/>
      <c r="E50" s="5"/>
      <c r="F50" s="5"/>
      <c r="G50" s="5"/>
      <c r="H50" s="5"/>
      <c r="I50" s="5"/>
      <c r="J50" s="5"/>
      <c r="K50" s="4" t="s">
        <v>1093</v>
      </c>
      <c r="L50" s="4" t="s">
        <v>517</v>
      </c>
      <c r="M50" s="6">
        <v>9</v>
      </c>
      <c r="N50" s="5"/>
      <c r="O50" s="4" t="s">
        <v>518</v>
      </c>
    </row>
    <row r="51" spans="1:15" ht="31" customHeight="1">
      <c r="A51" s="4" t="s">
        <v>341</v>
      </c>
      <c r="B51" s="4" t="s">
        <v>311</v>
      </c>
      <c r="C51" s="5"/>
      <c r="D51" s="5"/>
      <c r="E51" s="5"/>
      <c r="F51" s="5"/>
      <c r="G51" s="5"/>
      <c r="H51" s="5"/>
      <c r="I51" s="5"/>
      <c r="J51" s="5"/>
      <c r="K51" s="4" t="s">
        <v>1093</v>
      </c>
      <c r="L51" s="4" t="s">
        <v>517</v>
      </c>
      <c r="M51" s="6">
        <v>6</v>
      </c>
      <c r="N51" s="5"/>
      <c r="O51" s="4" t="s">
        <v>518</v>
      </c>
    </row>
    <row r="52" spans="1:15" ht="31" customHeight="1">
      <c r="A52" s="4" t="s">
        <v>343</v>
      </c>
      <c r="B52" s="4" t="s">
        <v>311</v>
      </c>
      <c r="C52" s="5"/>
      <c r="D52" s="5"/>
      <c r="E52" s="5"/>
      <c r="F52" s="5"/>
      <c r="G52" s="5"/>
      <c r="H52" s="5"/>
      <c r="I52" s="5"/>
      <c r="J52" s="5"/>
      <c r="K52" s="4" t="s">
        <v>1093</v>
      </c>
      <c r="L52" s="4" t="s">
        <v>517</v>
      </c>
      <c r="M52" s="6">
        <v>3</v>
      </c>
      <c r="N52" s="5"/>
      <c r="O52" s="4" t="s">
        <v>518</v>
      </c>
    </row>
    <row r="53" spans="1:15" ht="31" customHeight="1">
      <c r="A53" s="4" t="s">
        <v>345</v>
      </c>
      <c r="B53" s="4" t="s">
        <v>346</v>
      </c>
      <c r="C53" s="5"/>
      <c r="D53" s="6">
        <v>8.318405610668981</v>
      </c>
      <c r="E53" s="4" t="s">
        <v>503</v>
      </c>
      <c r="F53" s="4" t="s">
        <v>510</v>
      </c>
      <c r="G53" s="6">
        <v>3.49007756679363</v>
      </c>
      <c r="H53" s="6">
        <v>0.055</v>
      </c>
      <c r="I53" s="4" t="s">
        <v>519</v>
      </c>
      <c r="J53" s="5"/>
      <c r="K53" s="4" t="s">
        <v>1088</v>
      </c>
      <c r="L53" s="4" t="s">
        <v>520</v>
      </c>
      <c r="M53" s="5"/>
      <c r="N53" s="5"/>
      <c r="O53" s="4" t="s">
        <v>521</v>
      </c>
    </row>
    <row r="54" spans="1:15" ht="31" customHeight="1">
      <c r="A54" s="4" t="s">
        <v>354</v>
      </c>
      <c r="B54" s="4" t="s">
        <v>346</v>
      </c>
      <c r="C54" s="5"/>
      <c r="D54" s="6">
        <v>8.671183858442131</v>
      </c>
      <c r="E54" s="4" t="s">
        <v>503</v>
      </c>
      <c r="F54" s="4" t="s">
        <v>510</v>
      </c>
      <c r="G54" s="6">
        <v>14.8768651664094</v>
      </c>
      <c r="H54" s="6">
        <v>0.091</v>
      </c>
      <c r="I54" s="4" t="s">
        <v>522</v>
      </c>
      <c r="J54" s="5"/>
      <c r="K54" s="4" t="s">
        <v>1088</v>
      </c>
      <c r="L54" s="4" t="s">
        <v>520</v>
      </c>
      <c r="M54" s="5"/>
      <c r="N54" s="5"/>
      <c r="O54" s="4" t="s">
        <v>521</v>
      </c>
    </row>
    <row r="55" spans="1:15" ht="31" customHeight="1">
      <c r="A55" s="4" t="s">
        <v>357</v>
      </c>
      <c r="B55" s="4" t="s">
        <v>346</v>
      </c>
      <c r="C55" s="5"/>
      <c r="D55" s="5"/>
      <c r="E55" s="5"/>
      <c r="F55" s="4" t="s">
        <v>510</v>
      </c>
      <c r="G55" s="5"/>
      <c r="H55" s="5"/>
      <c r="I55" s="5"/>
      <c r="J55" s="5"/>
      <c r="K55" s="4" t="s">
        <v>1088</v>
      </c>
      <c r="L55" s="4" t="s">
        <v>520</v>
      </c>
      <c r="M55" s="5"/>
      <c r="N55" s="5"/>
      <c r="O55" s="4" t="s">
        <v>521</v>
      </c>
    </row>
    <row r="56" spans="1:15" ht="31" customHeight="1">
      <c r="A56" s="4" t="s">
        <v>360</v>
      </c>
      <c r="B56" s="4" t="s">
        <v>346</v>
      </c>
      <c r="C56" s="5"/>
      <c r="D56" s="6">
        <v>8.44140658036704</v>
      </c>
      <c r="E56" s="4" t="s">
        <v>503</v>
      </c>
      <c r="F56" s="4" t="s">
        <v>510</v>
      </c>
      <c r="G56" s="6">
        <v>6.88646271115872</v>
      </c>
      <c r="H56" s="6">
        <v>0.052</v>
      </c>
      <c r="I56" s="4" t="s">
        <v>523</v>
      </c>
      <c r="J56" s="5"/>
      <c r="K56" s="4" t="s">
        <v>1088</v>
      </c>
      <c r="L56" s="4" t="s">
        <v>520</v>
      </c>
      <c r="M56" s="5"/>
      <c r="N56" s="5"/>
      <c r="O56" s="4" t="s">
        <v>521</v>
      </c>
    </row>
    <row r="57" spans="1:15" ht="31" customHeight="1">
      <c r="A57" s="4" t="s">
        <v>363</v>
      </c>
      <c r="B57" s="4" t="s">
        <v>346</v>
      </c>
      <c r="C57" s="5"/>
      <c r="D57" s="6">
        <v>5.91961939745464</v>
      </c>
      <c r="E57" s="4" t="s">
        <v>503</v>
      </c>
      <c r="F57" s="4" t="s">
        <v>504</v>
      </c>
      <c r="G57" s="6">
        <v>4.35097664901808</v>
      </c>
      <c r="H57" s="6">
        <v>0.092</v>
      </c>
      <c r="I57" s="4" t="s">
        <v>524</v>
      </c>
      <c r="J57" s="5"/>
      <c r="K57" s="4" t="s">
        <v>1088</v>
      </c>
      <c r="L57" s="4" t="s">
        <v>520</v>
      </c>
      <c r="M57" s="5"/>
      <c r="N57" s="5"/>
      <c r="O57" s="4" t="s">
        <v>521</v>
      </c>
    </row>
    <row r="58" spans="1:15" ht="31" customHeight="1">
      <c r="A58" s="4" t="s">
        <v>366</v>
      </c>
      <c r="B58" s="4" t="s">
        <v>346</v>
      </c>
      <c r="C58" s="5"/>
      <c r="D58" s="6">
        <v>8.98640400646784</v>
      </c>
      <c r="E58" s="4" t="s">
        <v>503</v>
      </c>
      <c r="F58" s="4" t="s">
        <v>510</v>
      </c>
      <c r="G58" s="6">
        <v>4.84995706250167</v>
      </c>
      <c r="H58" s="6">
        <v>0.06</v>
      </c>
      <c r="I58" s="4" t="s">
        <v>525</v>
      </c>
      <c r="J58" s="5"/>
      <c r="K58" s="4" t="s">
        <v>1088</v>
      </c>
      <c r="L58" s="4" t="s">
        <v>520</v>
      </c>
      <c r="M58" s="5"/>
      <c r="N58" s="5"/>
      <c r="O58" s="4" t="s">
        <v>521</v>
      </c>
    </row>
    <row r="59" spans="1:15" ht="31" customHeight="1">
      <c r="A59" s="4" t="s">
        <v>371</v>
      </c>
      <c r="B59" s="4" t="s">
        <v>346</v>
      </c>
      <c r="C59" s="5"/>
      <c r="D59" s="6">
        <v>12.4518948804014</v>
      </c>
      <c r="E59" s="4" t="s">
        <v>506</v>
      </c>
      <c r="F59" s="4" t="s">
        <v>504</v>
      </c>
      <c r="G59" s="6">
        <v>3.95270809388401</v>
      </c>
      <c r="H59" s="6">
        <v>0.12</v>
      </c>
      <c r="I59" s="4" t="s">
        <v>526</v>
      </c>
      <c r="J59" s="5"/>
      <c r="K59" s="4" t="s">
        <v>1088</v>
      </c>
      <c r="L59" s="4" t="s">
        <v>520</v>
      </c>
      <c r="M59" s="5"/>
      <c r="N59" s="5"/>
      <c r="O59" s="4" t="s">
        <v>521</v>
      </c>
    </row>
    <row r="60" spans="1:15" ht="31" customHeight="1">
      <c r="A60" s="4" t="s">
        <v>375</v>
      </c>
      <c r="B60" s="4" t="s">
        <v>346</v>
      </c>
      <c r="C60" s="5"/>
      <c r="D60" s="6">
        <v>9.53093725943911</v>
      </c>
      <c r="E60" s="4" t="s">
        <v>503</v>
      </c>
      <c r="F60" s="4" t="s">
        <v>504</v>
      </c>
      <c r="G60" s="6">
        <v>5.81448717695408</v>
      </c>
      <c r="H60" s="6">
        <v>0.075</v>
      </c>
      <c r="I60" s="4" t="s">
        <v>527</v>
      </c>
      <c r="J60" s="5"/>
      <c r="K60" s="4" t="s">
        <v>1088</v>
      </c>
      <c r="L60" s="4" t="s">
        <v>520</v>
      </c>
      <c r="M60" s="5"/>
      <c r="N60" s="5"/>
      <c r="O60" s="4" t="s">
        <v>521</v>
      </c>
    </row>
    <row r="61" spans="1:15" ht="31" customHeight="1">
      <c r="A61" s="4" t="s">
        <v>378</v>
      </c>
      <c r="B61" s="4" t="s">
        <v>346</v>
      </c>
      <c r="C61" s="5"/>
      <c r="D61" s="6">
        <v>8.501640878722229</v>
      </c>
      <c r="E61" s="4" t="s">
        <v>503</v>
      </c>
      <c r="F61" s="4" t="s">
        <v>504</v>
      </c>
      <c r="G61" s="6">
        <v>3.6847470628034</v>
      </c>
      <c r="H61" s="6">
        <v>0.058</v>
      </c>
      <c r="I61" s="4" t="s">
        <v>528</v>
      </c>
      <c r="J61" s="5"/>
      <c r="K61" s="4" t="s">
        <v>1088</v>
      </c>
      <c r="L61" s="4" t="s">
        <v>520</v>
      </c>
      <c r="M61" s="5"/>
      <c r="N61" s="5"/>
      <c r="O61" s="4" t="s">
        <v>521</v>
      </c>
    </row>
    <row r="62" spans="1:15" ht="31" customHeight="1">
      <c r="A62" s="4" t="s">
        <v>381</v>
      </c>
      <c r="B62" s="4" t="s">
        <v>346</v>
      </c>
      <c r="C62" s="5"/>
      <c r="D62" s="6">
        <v>10.007818738616</v>
      </c>
      <c r="E62" s="4" t="s">
        <v>503</v>
      </c>
      <c r="F62" s="4" t="s">
        <v>510</v>
      </c>
      <c r="G62" s="6">
        <v>2.05029830295211</v>
      </c>
      <c r="H62" s="6">
        <v>0.07099999999999999</v>
      </c>
      <c r="I62" s="4" t="s">
        <v>524</v>
      </c>
      <c r="J62" s="5"/>
      <c r="K62" s="4" t="s">
        <v>1088</v>
      </c>
      <c r="L62" s="4" t="s">
        <v>520</v>
      </c>
      <c r="M62" s="5"/>
      <c r="N62" s="5"/>
      <c r="O62" s="4" t="s">
        <v>521</v>
      </c>
    </row>
    <row r="63" spans="1:15" ht="31" customHeight="1">
      <c r="A63" s="4" t="s">
        <v>384</v>
      </c>
      <c r="B63" s="4" t="s">
        <v>385</v>
      </c>
      <c r="C63" s="5"/>
      <c r="D63" s="5"/>
      <c r="E63" s="5"/>
      <c r="F63" s="5"/>
      <c r="G63" s="5"/>
      <c r="H63" s="5"/>
      <c r="I63" s="5"/>
      <c r="J63" s="5"/>
      <c r="K63" s="4" t="s">
        <v>1093</v>
      </c>
      <c r="L63" s="4" t="s">
        <v>529</v>
      </c>
      <c r="M63" s="6">
        <v>24</v>
      </c>
      <c r="N63" s="5"/>
      <c r="O63" s="4" t="s">
        <v>521</v>
      </c>
    </row>
    <row r="64" spans="1:15" ht="31" customHeight="1">
      <c r="A64" s="4" t="s">
        <v>395</v>
      </c>
      <c r="B64" s="4" t="s">
        <v>385</v>
      </c>
      <c r="C64" s="5"/>
      <c r="D64" s="5"/>
      <c r="E64" s="5"/>
      <c r="F64" s="5"/>
      <c r="G64" s="5"/>
      <c r="H64" s="5"/>
      <c r="I64" s="5"/>
      <c r="J64" s="5"/>
      <c r="K64" s="4" t="s">
        <v>1093</v>
      </c>
      <c r="L64" s="4" t="s">
        <v>529</v>
      </c>
      <c r="M64" s="6">
        <v>21</v>
      </c>
      <c r="N64" s="5"/>
      <c r="O64" s="4" t="s">
        <v>521</v>
      </c>
    </row>
    <row r="65" spans="1:15" ht="31" customHeight="1">
      <c r="A65" s="4" t="s">
        <v>397</v>
      </c>
      <c r="B65" s="4" t="s">
        <v>385</v>
      </c>
      <c r="C65" s="5"/>
      <c r="D65" s="5"/>
      <c r="E65" s="5"/>
      <c r="F65" s="5"/>
      <c r="G65" s="5"/>
      <c r="H65" s="5"/>
      <c r="I65" s="5"/>
      <c r="J65" s="5"/>
      <c r="K65" s="4" t="s">
        <v>1093</v>
      </c>
      <c r="L65" s="4" t="s">
        <v>529</v>
      </c>
      <c r="M65" s="6">
        <v>17</v>
      </c>
      <c r="N65" s="5"/>
      <c r="O65" s="4" t="s">
        <v>521</v>
      </c>
    </row>
    <row r="66" spans="1:15" ht="31" customHeight="1">
      <c r="A66" s="4" t="s">
        <v>399</v>
      </c>
      <c r="B66" s="4" t="s">
        <v>385</v>
      </c>
      <c r="C66" s="5"/>
      <c r="D66" s="5"/>
      <c r="E66" s="5"/>
      <c r="F66" s="5"/>
      <c r="G66" s="5"/>
      <c r="H66" s="5"/>
      <c r="I66" s="5"/>
      <c r="J66" s="5"/>
      <c r="K66" s="4" t="s">
        <v>1093</v>
      </c>
      <c r="L66" s="4" t="s">
        <v>529</v>
      </c>
      <c r="M66" s="6">
        <v>17</v>
      </c>
      <c r="N66" s="5"/>
      <c r="O66" s="4" t="s">
        <v>521</v>
      </c>
    </row>
    <row r="67" spans="1:15" ht="31" customHeight="1">
      <c r="A67" s="4" t="s">
        <v>404</v>
      </c>
      <c r="B67" s="4" t="s">
        <v>385</v>
      </c>
      <c r="C67" s="5"/>
      <c r="D67" s="5"/>
      <c r="E67" s="5"/>
      <c r="F67" s="5"/>
      <c r="G67" s="5"/>
      <c r="H67" s="5"/>
      <c r="I67" s="5"/>
      <c r="J67" s="5"/>
      <c r="K67" s="4" t="s">
        <v>1093</v>
      </c>
      <c r="L67" s="4" t="s">
        <v>529</v>
      </c>
      <c r="M67" s="6">
        <v>17</v>
      </c>
      <c r="N67" s="5"/>
      <c r="O67" s="4" t="s">
        <v>521</v>
      </c>
    </row>
    <row r="68" spans="1:15" ht="31" customHeight="1">
      <c r="A68" s="4" t="s">
        <v>407</v>
      </c>
      <c r="B68" s="4" t="s">
        <v>385</v>
      </c>
      <c r="C68" s="5"/>
      <c r="D68" s="5"/>
      <c r="E68" s="5"/>
      <c r="F68" s="5"/>
      <c r="G68" s="5"/>
      <c r="H68" s="5"/>
      <c r="I68" s="5"/>
      <c r="J68" s="5"/>
      <c r="K68" s="4" t="s">
        <v>1093</v>
      </c>
      <c r="L68" s="4" t="s">
        <v>529</v>
      </c>
      <c r="M68" s="6">
        <v>17</v>
      </c>
      <c r="N68" s="5"/>
      <c r="O68" s="4" t="s">
        <v>521</v>
      </c>
    </row>
    <row r="69" spans="1:15" ht="31" customHeight="1">
      <c r="A69" s="4" t="s">
        <v>412</v>
      </c>
      <c r="B69" s="4" t="s">
        <v>385</v>
      </c>
      <c r="C69" s="5"/>
      <c r="D69" s="5"/>
      <c r="E69" s="5"/>
      <c r="F69" s="5"/>
      <c r="G69" s="5"/>
      <c r="H69" s="5"/>
      <c r="I69" s="5"/>
      <c r="J69" s="5"/>
      <c r="K69" s="4" t="s">
        <v>1093</v>
      </c>
      <c r="L69" s="4" t="s">
        <v>529</v>
      </c>
      <c r="M69" s="6">
        <v>16</v>
      </c>
      <c r="N69" s="5"/>
      <c r="O69" s="4" t="s">
        <v>521</v>
      </c>
    </row>
    <row r="70" spans="1:15" ht="31" customHeight="1">
      <c r="A70" s="4" t="s">
        <v>417</v>
      </c>
      <c r="B70" s="4" t="s">
        <v>385</v>
      </c>
      <c r="C70" s="5"/>
      <c r="D70" s="5"/>
      <c r="E70" s="5"/>
      <c r="F70" s="5"/>
      <c r="G70" s="5"/>
      <c r="H70" s="5"/>
      <c r="I70" s="5"/>
      <c r="J70" s="5"/>
      <c r="K70" s="4" t="s">
        <v>1093</v>
      </c>
      <c r="L70" s="4" t="s">
        <v>529</v>
      </c>
      <c r="M70" s="6">
        <v>14</v>
      </c>
      <c r="N70" s="5"/>
      <c r="O70" s="4" t="s">
        <v>521</v>
      </c>
    </row>
    <row r="71" spans="1:15" ht="31" customHeight="1">
      <c r="A71" s="4" t="s">
        <v>419</v>
      </c>
      <c r="B71" s="4" t="s">
        <v>385</v>
      </c>
      <c r="C71" s="5"/>
      <c r="D71" s="5"/>
      <c r="E71" s="5"/>
      <c r="F71" s="5"/>
      <c r="G71" s="5"/>
      <c r="H71" s="5"/>
      <c r="I71" s="5"/>
      <c r="J71" s="5"/>
      <c r="K71" s="4" t="s">
        <v>1093</v>
      </c>
      <c r="L71" s="4" t="s">
        <v>529</v>
      </c>
      <c r="M71" s="6">
        <v>10</v>
      </c>
      <c r="N71" s="5"/>
      <c r="O71" s="4" t="s">
        <v>521</v>
      </c>
    </row>
    <row r="72" spans="1:15" ht="31" customHeight="1">
      <c r="A72" s="4" t="s">
        <v>421</v>
      </c>
      <c r="B72" s="4" t="s">
        <v>385</v>
      </c>
      <c r="C72" s="5"/>
      <c r="D72" s="5"/>
      <c r="E72" s="5"/>
      <c r="F72" s="5"/>
      <c r="G72" s="5"/>
      <c r="H72" s="5"/>
      <c r="I72" s="5"/>
      <c r="J72" s="5"/>
      <c r="K72" s="4" t="s">
        <v>1093</v>
      </c>
      <c r="L72" s="4" t="s">
        <v>529</v>
      </c>
      <c r="M72" s="6">
        <v>10</v>
      </c>
      <c r="N72" s="5"/>
      <c r="O72" s="4" t="s">
        <v>521</v>
      </c>
    </row>
    <row r="73" spans="1:15" ht="31" customHeight="1">
      <c r="A73" s="4" t="s">
        <v>423</v>
      </c>
      <c r="B73" s="4" t="s">
        <v>424</v>
      </c>
      <c r="C73" s="5"/>
      <c r="D73" s="5"/>
      <c r="E73" s="5"/>
      <c r="F73" s="5"/>
      <c r="G73" s="5"/>
      <c r="H73" s="5"/>
      <c r="I73" s="5"/>
      <c r="J73" s="5"/>
      <c r="K73" s="4" t="s">
        <v>1090</v>
      </c>
      <c r="L73" s="4" t="s">
        <v>530</v>
      </c>
      <c r="M73" s="5"/>
      <c r="N73" s="5"/>
      <c r="O73" s="4" t="s">
        <v>531</v>
      </c>
    </row>
    <row r="74" spans="1:15" ht="31" customHeight="1">
      <c r="A74" s="4" t="s">
        <v>435</v>
      </c>
      <c r="B74" s="4" t="s">
        <v>424</v>
      </c>
      <c r="C74" s="5"/>
      <c r="D74" s="5"/>
      <c r="E74" s="5"/>
      <c r="F74" s="5"/>
      <c r="G74" s="5"/>
      <c r="H74" s="5"/>
      <c r="I74" s="5"/>
      <c r="J74" s="5"/>
      <c r="K74" s="4" t="s">
        <v>1090</v>
      </c>
      <c r="L74" s="4" t="s">
        <v>530</v>
      </c>
      <c r="M74" s="5"/>
      <c r="N74" s="5"/>
      <c r="O74" s="4" t="s">
        <v>531</v>
      </c>
    </row>
    <row r="75" spans="1:15" ht="31" customHeight="1">
      <c r="A75" s="4" t="s">
        <v>440</v>
      </c>
      <c r="B75" s="4" t="s">
        <v>424</v>
      </c>
      <c r="C75" s="5"/>
      <c r="D75" s="5"/>
      <c r="E75" s="5"/>
      <c r="F75" s="5"/>
      <c r="G75" s="5"/>
      <c r="H75" s="5"/>
      <c r="I75" s="5"/>
      <c r="J75" s="5"/>
      <c r="K75" s="4" t="s">
        <v>1090</v>
      </c>
      <c r="L75" s="4" t="s">
        <v>530</v>
      </c>
      <c r="M75" s="5"/>
      <c r="N75" s="5"/>
      <c r="O75" s="4" t="s">
        <v>531</v>
      </c>
    </row>
    <row r="76" spans="1:15" ht="31" customHeight="1">
      <c r="A76" s="4" t="s">
        <v>446</v>
      </c>
      <c r="B76" s="4" t="s">
        <v>424</v>
      </c>
      <c r="C76" s="5"/>
      <c r="D76" s="5"/>
      <c r="E76" s="5"/>
      <c r="F76" s="5"/>
      <c r="G76" s="5"/>
      <c r="H76" s="5"/>
      <c r="I76" s="5"/>
      <c r="J76" s="5"/>
      <c r="K76" s="4" t="s">
        <v>1090</v>
      </c>
      <c r="L76" s="4" t="s">
        <v>530</v>
      </c>
      <c r="M76" s="5"/>
      <c r="N76" s="5"/>
      <c r="O76" s="4" t="s">
        <v>531</v>
      </c>
    </row>
    <row r="77" spans="1:15" ht="31" customHeight="1">
      <c r="A77" s="4" t="s">
        <v>451</v>
      </c>
      <c r="B77" s="4" t="s">
        <v>424</v>
      </c>
      <c r="C77" s="5"/>
      <c r="D77" s="5"/>
      <c r="E77" s="5"/>
      <c r="F77" s="5"/>
      <c r="G77" s="5"/>
      <c r="H77" s="5"/>
      <c r="I77" s="5"/>
      <c r="J77" s="5"/>
      <c r="K77" s="4" t="s">
        <v>1090</v>
      </c>
      <c r="L77" s="4" t="s">
        <v>530</v>
      </c>
      <c r="M77" s="5"/>
      <c r="N77" s="5"/>
      <c r="O77" s="4" t="s">
        <v>531</v>
      </c>
    </row>
    <row r="78" spans="1:15" ht="31" customHeight="1">
      <c r="A78" s="4" t="s">
        <v>455</v>
      </c>
      <c r="B78" s="4" t="s">
        <v>424</v>
      </c>
      <c r="C78" s="5"/>
      <c r="D78" s="5"/>
      <c r="E78" s="5"/>
      <c r="F78" s="5"/>
      <c r="G78" s="5"/>
      <c r="H78" s="5"/>
      <c r="I78" s="5"/>
      <c r="J78" s="5"/>
      <c r="K78" s="4" t="s">
        <v>1090</v>
      </c>
      <c r="L78" s="4" t="s">
        <v>530</v>
      </c>
      <c r="M78" s="5"/>
      <c r="N78" s="5"/>
      <c r="O78" s="4" t="s">
        <v>531</v>
      </c>
    </row>
    <row r="79" spans="1:15" ht="31" customHeight="1">
      <c r="A79" s="4" t="s">
        <v>459</v>
      </c>
      <c r="B79" s="4" t="s">
        <v>424</v>
      </c>
      <c r="C79" s="5"/>
      <c r="D79" s="5"/>
      <c r="E79" s="5"/>
      <c r="F79" s="5"/>
      <c r="G79" s="5"/>
      <c r="H79" s="5"/>
      <c r="I79" s="5"/>
      <c r="J79" s="5"/>
      <c r="K79" s="4" t="s">
        <v>1090</v>
      </c>
      <c r="L79" s="4" t="s">
        <v>530</v>
      </c>
      <c r="M79" s="5"/>
      <c r="N79" s="5"/>
      <c r="O79" s="4" t="s">
        <v>531</v>
      </c>
    </row>
  </sheetData>
  <autoFilter ref="A1:O79"/>
  <pageMargins left="0.7" right="0.7" top="0.75" bottom="0.75" header="0.3" footer="0.3"/>
  <pageSetup fitToHeight="0" orientation="landscape"/>
</worksheet>
</file>

<file path=xl/worksheets/sheet14.xml><?xml version="1.0" encoding="utf-8"?>
<worksheet xmlns="http://schemas.openxmlformats.org/spreadsheetml/2006/main" xmlns:r="http://schemas.openxmlformats.org/officeDocument/2006/relationships">
  <sheetPr>
    <tabColor rgb="FF237C89"/>
    <pageSetUpPr fitToPage="1"/>
  </sheetPr>
  <dimension ref="A1:D5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0.7109375" customWidth="1"/>
    <col min="2" max="4" width="20.7109375" customWidth="1"/>
  </cols>
  <sheetData>
    <row r="1" spans="1:4" ht="42" customHeight="1">
      <c r="A1" s="2" t="s">
        <v>34</v>
      </c>
      <c r="B1" s="2" t="s">
        <v>1094</v>
      </c>
      <c r="C1" s="2" t="s">
        <v>1095</v>
      </c>
      <c r="D1" s="2" t="s">
        <v>1096</v>
      </c>
    </row>
    <row r="2" spans="1:4" ht="31" customHeight="1">
      <c r="A2" s="4" t="s">
        <v>110</v>
      </c>
      <c r="B2" s="4" t="s">
        <v>129</v>
      </c>
      <c r="C2" s="4" t="s">
        <v>1097</v>
      </c>
      <c r="D2" s="4" t="s">
        <v>1098</v>
      </c>
    </row>
    <row r="3" spans="1:4" ht="31" customHeight="1">
      <c r="A3" s="4" t="s">
        <v>110</v>
      </c>
      <c r="B3" s="4" t="s">
        <v>141</v>
      </c>
      <c r="C3" s="4" t="s">
        <v>1099</v>
      </c>
      <c r="D3" s="4" t="s">
        <v>1098</v>
      </c>
    </row>
    <row r="4" spans="1:4" ht="31" customHeight="1">
      <c r="A4" s="4" t="s">
        <v>110</v>
      </c>
      <c r="B4" s="4" t="s">
        <v>143</v>
      </c>
      <c r="C4" s="4" t="s">
        <v>1100</v>
      </c>
      <c r="D4" s="4" t="s">
        <v>1098</v>
      </c>
    </row>
    <row r="5" spans="1:4" ht="31" customHeight="1">
      <c r="A5" s="4" t="s">
        <v>110</v>
      </c>
      <c r="B5" s="4" t="s">
        <v>148</v>
      </c>
      <c r="C5" s="4" t="s">
        <v>1101</v>
      </c>
      <c r="D5" s="4" t="s">
        <v>1098</v>
      </c>
    </row>
    <row r="6" spans="1:4" ht="31" customHeight="1">
      <c r="A6" s="4" t="s">
        <v>110</v>
      </c>
      <c r="B6" s="4" t="s">
        <v>153</v>
      </c>
      <c r="C6" s="4" t="s">
        <v>1102</v>
      </c>
      <c r="D6" s="4" t="s">
        <v>1098</v>
      </c>
    </row>
    <row r="7" spans="1:4" ht="31" customHeight="1">
      <c r="A7" s="4" t="s">
        <v>110</v>
      </c>
      <c r="B7" s="4" t="s">
        <v>1103</v>
      </c>
      <c r="C7" s="4" t="s">
        <v>1104</v>
      </c>
      <c r="D7" s="4" t="s">
        <v>1105</v>
      </c>
    </row>
    <row r="8" spans="1:4" ht="31" customHeight="1">
      <c r="A8" s="4" t="s">
        <v>110</v>
      </c>
      <c r="B8" s="4" t="s">
        <v>1106</v>
      </c>
      <c r="C8" s="4" t="s">
        <v>1107</v>
      </c>
      <c r="D8" s="4" t="s">
        <v>1108</v>
      </c>
    </row>
    <row r="9" spans="1:4" ht="31" customHeight="1">
      <c r="A9" s="4" t="s">
        <v>110</v>
      </c>
      <c r="B9" s="4" t="s">
        <v>1109</v>
      </c>
      <c r="C9" s="4" t="s">
        <v>1110</v>
      </c>
      <c r="D9" s="4" t="s">
        <v>1111</v>
      </c>
    </row>
    <row r="10" spans="1:4" ht="31" customHeight="1">
      <c r="A10" s="4" t="s">
        <v>110</v>
      </c>
      <c r="B10" s="4" t="s">
        <v>1109</v>
      </c>
      <c r="C10" s="4" t="s">
        <v>1112</v>
      </c>
      <c r="D10" s="4" t="s">
        <v>1113</v>
      </c>
    </row>
    <row r="11" spans="1:4" ht="31" customHeight="1">
      <c r="A11" s="4" t="s">
        <v>110</v>
      </c>
      <c r="B11" s="4" t="s">
        <v>1109</v>
      </c>
      <c r="C11" s="4" t="s">
        <v>1114</v>
      </c>
      <c r="D11" s="4" t="s">
        <v>1115</v>
      </c>
    </row>
    <row r="12" spans="1:4" ht="31" customHeight="1">
      <c r="A12" s="4" t="s">
        <v>110</v>
      </c>
      <c r="B12" s="4" t="s">
        <v>1109</v>
      </c>
      <c r="C12" s="4" t="s">
        <v>1116</v>
      </c>
      <c r="D12" s="4" t="s">
        <v>1117</v>
      </c>
    </row>
    <row r="13" spans="1:4" ht="31" customHeight="1">
      <c r="A13" s="4" t="s">
        <v>110</v>
      </c>
      <c r="B13" s="4" t="s">
        <v>55</v>
      </c>
      <c r="C13" s="4" t="s">
        <v>1118</v>
      </c>
      <c r="D13" s="4" t="s">
        <v>1119</v>
      </c>
    </row>
    <row r="14" spans="1:4" ht="31" customHeight="1">
      <c r="A14" s="4" t="s">
        <v>110</v>
      </c>
      <c r="B14" s="4" t="s">
        <v>143</v>
      </c>
      <c r="C14" s="4" t="s">
        <v>1120</v>
      </c>
      <c r="D14" s="4" t="s">
        <v>1121</v>
      </c>
    </row>
    <row r="15" spans="1:4" ht="31" customHeight="1">
      <c r="A15" s="4" t="s">
        <v>157</v>
      </c>
      <c r="B15" s="4" t="s">
        <v>1122</v>
      </c>
      <c r="C15" s="4" t="s">
        <v>1123</v>
      </c>
      <c r="D15" s="4" t="s">
        <v>1124</v>
      </c>
    </row>
    <row r="16" spans="1:4" ht="31" customHeight="1">
      <c r="A16" s="4" t="s">
        <v>157</v>
      </c>
      <c r="B16" s="4" t="s">
        <v>1122</v>
      </c>
      <c r="C16" s="4" t="s">
        <v>1125</v>
      </c>
      <c r="D16" s="4" t="s">
        <v>1126</v>
      </c>
    </row>
    <row r="17" spans="1:4" ht="31" customHeight="1">
      <c r="A17" s="4" t="s">
        <v>1127</v>
      </c>
      <c r="B17" s="4" t="s">
        <v>357</v>
      </c>
      <c r="C17" s="4" t="s">
        <v>1128</v>
      </c>
      <c r="D17" s="4" t="s">
        <v>1129</v>
      </c>
    </row>
    <row r="18" spans="1:4" ht="31" customHeight="1">
      <c r="A18" s="4" t="s">
        <v>1127</v>
      </c>
      <c r="B18" s="4" t="s">
        <v>1130</v>
      </c>
      <c r="C18" s="4" t="s">
        <v>1131</v>
      </c>
      <c r="D18" s="4" t="s">
        <v>1132</v>
      </c>
    </row>
    <row r="19" spans="1:4" ht="31" customHeight="1">
      <c r="A19" s="4" t="s">
        <v>1127</v>
      </c>
      <c r="B19" s="4" t="s">
        <v>1133</v>
      </c>
      <c r="C19" s="4" t="s">
        <v>1134</v>
      </c>
      <c r="D19" s="4" t="s">
        <v>1135</v>
      </c>
    </row>
    <row r="20" spans="1:4" ht="31" customHeight="1">
      <c r="A20" s="4" t="s">
        <v>1127</v>
      </c>
      <c r="B20" s="4" t="s">
        <v>1136</v>
      </c>
      <c r="C20" s="4" t="s">
        <v>1137</v>
      </c>
      <c r="D20" s="4" t="s">
        <v>1138</v>
      </c>
    </row>
    <row r="21" spans="1:4" ht="31" customHeight="1">
      <c r="A21" s="4" t="s">
        <v>1127</v>
      </c>
      <c r="B21" s="4" t="s">
        <v>1139</v>
      </c>
      <c r="C21" s="4" t="s">
        <v>1140</v>
      </c>
      <c r="D21" s="4" t="s">
        <v>1141</v>
      </c>
    </row>
    <row r="22" spans="1:4" ht="31" customHeight="1">
      <c r="A22" s="4" t="s">
        <v>1142</v>
      </c>
      <c r="B22" s="4" t="s">
        <v>236</v>
      </c>
      <c r="C22" s="4" t="s">
        <v>1143</v>
      </c>
      <c r="D22" s="4" t="s">
        <v>1144</v>
      </c>
    </row>
    <row r="23" spans="1:4" ht="31" customHeight="1">
      <c r="A23" s="4" t="s">
        <v>1142</v>
      </c>
      <c r="B23" s="4" t="s">
        <v>1145</v>
      </c>
      <c r="C23" s="4" t="s">
        <v>1146</v>
      </c>
      <c r="D23" s="4" t="s">
        <v>1147</v>
      </c>
    </row>
    <row r="24" spans="1:4" ht="31" customHeight="1">
      <c r="A24" s="4" t="s">
        <v>1142</v>
      </c>
      <c r="B24" s="4" t="s">
        <v>1148</v>
      </c>
      <c r="C24" s="4" t="s">
        <v>1149</v>
      </c>
      <c r="D24" s="4" t="s">
        <v>1150</v>
      </c>
    </row>
    <row r="25" spans="1:4" ht="31" customHeight="1">
      <c r="A25" s="4" t="s">
        <v>1142</v>
      </c>
      <c r="B25" s="4" t="s">
        <v>282</v>
      </c>
      <c r="C25" s="4" t="s">
        <v>1151</v>
      </c>
      <c r="D25" s="4" t="s">
        <v>1152</v>
      </c>
    </row>
    <row r="26" spans="1:4" ht="31" customHeight="1">
      <c r="A26" s="4" t="s">
        <v>1153</v>
      </c>
      <c r="B26" s="4" t="s">
        <v>1154</v>
      </c>
      <c r="C26" s="4" t="s">
        <v>1155</v>
      </c>
      <c r="D26" s="4" t="s">
        <v>1156</v>
      </c>
    </row>
    <row r="27" spans="1:4" ht="31" customHeight="1">
      <c r="A27" s="4" t="s">
        <v>191</v>
      </c>
      <c r="B27" s="4" t="s">
        <v>1157</v>
      </c>
      <c r="C27" s="4" t="s">
        <v>1158</v>
      </c>
      <c r="D27" s="4" t="s">
        <v>1159</v>
      </c>
    </row>
    <row r="28" spans="1:4" ht="31" customHeight="1">
      <c r="A28" s="4" t="s">
        <v>1160</v>
      </c>
      <c r="B28" s="4" t="s">
        <v>1157</v>
      </c>
      <c r="C28" s="4" t="s">
        <v>1161</v>
      </c>
      <c r="D28" s="4" t="s">
        <v>1162</v>
      </c>
    </row>
    <row r="29" spans="1:4" ht="31" customHeight="1">
      <c r="A29" s="4" t="s">
        <v>1163</v>
      </c>
      <c r="B29" s="4" t="s">
        <v>1164</v>
      </c>
      <c r="C29" s="4" t="s">
        <v>1165</v>
      </c>
      <c r="D29" s="4" t="s">
        <v>1166</v>
      </c>
    </row>
    <row r="30" spans="1:4" ht="31" customHeight="1">
      <c r="A30" s="4" t="s">
        <v>1167</v>
      </c>
      <c r="B30" s="4" t="s">
        <v>35</v>
      </c>
      <c r="C30" s="4" t="s">
        <v>1168</v>
      </c>
      <c r="D30" s="4" t="s">
        <v>1169</v>
      </c>
    </row>
    <row r="31" spans="1:4" ht="31" customHeight="1">
      <c r="A31" s="4" t="s">
        <v>1167</v>
      </c>
      <c r="B31" s="4" t="s">
        <v>1170</v>
      </c>
      <c r="C31" s="4" t="s">
        <v>1171</v>
      </c>
      <c r="D31" s="4" t="s">
        <v>1172</v>
      </c>
    </row>
    <row r="32" spans="1:4" ht="31" customHeight="1">
      <c r="A32" s="4" t="s">
        <v>191</v>
      </c>
      <c r="B32" s="4" t="s">
        <v>1173</v>
      </c>
      <c r="C32" s="4" t="s">
        <v>1174</v>
      </c>
      <c r="D32" s="4" t="s">
        <v>1175</v>
      </c>
    </row>
    <row r="33" spans="1:4" ht="31" customHeight="1">
      <c r="A33" s="4" t="s">
        <v>191</v>
      </c>
      <c r="B33" s="4" t="s">
        <v>1176</v>
      </c>
      <c r="C33" s="4" t="s">
        <v>1177</v>
      </c>
      <c r="D33" s="4" t="s">
        <v>1178</v>
      </c>
    </row>
    <row r="34" spans="1:4" ht="31" customHeight="1">
      <c r="A34" s="4" t="s">
        <v>191</v>
      </c>
      <c r="B34" s="4" t="s">
        <v>35</v>
      </c>
      <c r="C34" s="4" t="s">
        <v>1179</v>
      </c>
      <c r="D34" s="4" t="s">
        <v>1180</v>
      </c>
    </row>
    <row r="35" spans="1:4" ht="31" customHeight="1">
      <c r="A35" s="4" t="s">
        <v>191</v>
      </c>
      <c r="B35" s="4" t="s">
        <v>1181</v>
      </c>
      <c r="C35" s="4" t="s">
        <v>1182</v>
      </c>
      <c r="D35" s="4" t="s">
        <v>1183</v>
      </c>
    </row>
    <row r="36" spans="1:4" ht="31" customHeight="1">
      <c r="A36" s="4" t="s">
        <v>1153</v>
      </c>
      <c r="B36" s="4" t="s">
        <v>1154</v>
      </c>
      <c r="C36" s="4" t="s">
        <v>1184</v>
      </c>
      <c r="D36" s="4" t="s">
        <v>1185</v>
      </c>
    </row>
    <row r="37" spans="1:4" ht="31" customHeight="1">
      <c r="A37" s="4" t="s">
        <v>1153</v>
      </c>
      <c r="B37" s="4" t="s">
        <v>35</v>
      </c>
      <c r="C37" s="4" t="s">
        <v>1186</v>
      </c>
      <c r="D37" s="4" t="s">
        <v>1187</v>
      </c>
    </row>
    <row r="38" spans="1:4" ht="31" customHeight="1">
      <c r="A38" s="4" t="s">
        <v>1153</v>
      </c>
      <c r="B38" s="4" t="s">
        <v>1188</v>
      </c>
      <c r="C38" s="4" t="s">
        <v>1189</v>
      </c>
      <c r="D38" s="4" t="s">
        <v>1183</v>
      </c>
    </row>
    <row r="39" spans="1:4" ht="31" customHeight="1">
      <c r="A39" s="4" t="s">
        <v>1163</v>
      </c>
      <c r="B39" s="4" t="s">
        <v>1190</v>
      </c>
      <c r="C39" s="4" t="s">
        <v>1191</v>
      </c>
      <c r="D39" s="4" t="s">
        <v>1192</v>
      </c>
    </row>
    <row r="40" spans="1:4" ht="31" customHeight="1">
      <c r="A40" s="4" t="s">
        <v>1163</v>
      </c>
      <c r="B40" s="4" t="s">
        <v>282</v>
      </c>
      <c r="C40" s="4" t="s">
        <v>1193</v>
      </c>
      <c r="D40" s="4" t="s">
        <v>1194</v>
      </c>
    </row>
    <row r="41" spans="1:4" ht="31" customHeight="1">
      <c r="A41" s="4" t="s">
        <v>1163</v>
      </c>
      <c r="B41" s="4" t="s">
        <v>1195</v>
      </c>
      <c r="C41" s="4" t="s">
        <v>1196</v>
      </c>
      <c r="D41" s="4" t="s">
        <v>1197</v>
      </c>
    </row>
    <row r="42" spans="1:4" ht="31" customHeight="1">
      <c r="A42" s="4" t="s">
        <v>1160</v>
      </c>
      <c r="B42" s="4" t="s">
        <v>69</v>
      </c>
      <c r="C42" s="4" t="s">
        <v>1198</v>
      </c>
      <c r="D42" s="4" t="s">
        <v>1199</v>
      </c>
    </row>
    <row r="43" spans="1:4" ht="31" customHeight="1">
      <c r="A43" s="4" t="s">
        <v>1160</v>
      </c>
      <c r="B43" s="4" t="s">
        <v>1200</v>
      </c>
      <c r="C43" s="4" t="s">
        <v>1201</v>
      </c>
      <c r="D43" s="4" t="s">
        <v>1202</v>
      </c>
    </row>
    <row r="44" spans="1:4" ht="31" customHeight="1">
      <c r="A44" s="4" t="s">
        <v>1160</v>
      </c>
      <c r="B44" s="4" t="s">
        <v>1203</v>
      </c>
      <c r="C44" s="4" t="s">
        <v>1204</v>
      </c>
      <c r="D44" s="4" t="s">
        <v>1205</v>
      </c>
    </row>
    <row r="45" spans="1:4" ht="31" customHeight="1">
      <c r="A45" s="4" t="s">
        <v>1160</v>
      </c>
      <c r="B45" s="4" t="s">
        <v>76</v>
      </c>
      <c r="C45" s="4" t="s">
        <v>1206</v>
      </c>
      <c r="D45" s="4" t="s">
        <v>1207</v>
      </c>
    </row>
    <row r="46" spans="1:4" ht="31" customHeight="1">
      <c r="A46" s="4" t="s">
        <v>110</v>
      </c>
      <c r="B46" s="4" t="s">
        <v>35</v>
      </c>
      <c r="C46" s="4" t="s">
        <v>1208</v>
      </c>
      <c r="D46" s="4" t="s">
        <v>1209</v>
      </c>
    </row>
    <row r="47" spans="1:4" ht="31" customHeight="1">
      <c r="A47" s="4" t="s">
        <v>1142</v>
      </c>
      <c r="B47" s="4" t="s">
        <v>35</v>
      </c>
      <c r="C47" s="4" t="s">
        <v>1210</v>
      </c>
      <c r="D47" s="4" t="s">
        <v>1211</v>
      </c>
    </row>
    <row r="48" spans="1:4" ht="31" customHeight="1">
      <c r="A48" s="4" t="s">
        <v>1167</v>
      </c>
      <c r="B48" s="4" t="s">
        <v>1212</v>
      </c>
      <c r="C48" s="4" t="s">
        <v>1213</v>
      </c>
      <c r="D48" s="4" t="s">
        <v>1214</v>
      </c>
    </row>
    <row r="49" spans="1:4" ht="31" customHeight="1">
      <c r="A49" s="4" t="s">
        <v>1127</v>
      </c>
      <c r="B49" s="4" t="s">
        <v>381</v>
      </c>
      <c r="C49" s="4" t="s">
        <v>1215</v>
      </c>
      <c r="D49" s="4" t="s">
        <v>1216</v>
      </c>
    </row>
    <row r="50" spans="1:4" ht="31" customHeight="1">
      <c r="A50" s="4" t="s">
        <v>1167</v>
      </c>
      <c r="B50" s="4" t="s">
        <v>1217</v>
      </c>
      <c r="C50" s="4" t="s">
        <v>1218</v>
      </c>
      <c r="D50" s="4" t="s">
        <v>1219</v>
      </c>
    </row>
    <row r="51" spans="1:4" ht="31" customHeight="1">
      <c r="A51" s="4" t="s">
        <v>1167</v>
      </c>
      <c r="B51" s="4" t="s">
        <v>38</v>
      </c>
      <c r="C51" s="4" t="s">
        <v>1220</v>
      </c>
      <c r="D51" s="4" t="s">
        <v>1221</v>
      </c>
    </row>
    <row r="52" spans="1:4" ht="31" customHeight="1">
      <c r="A52" s="4" t="s">
        <v>1167</v>
      </c>
      <c r="B52" s="4" t="s">
        <v>1222</v>
      </c>
      <c r="C52" s="4" t="s">
        <v>1223</v>
      </c>
      <c r="D52" s="4" t="s">
        <v>1224</v>
      </c>
    </row>
  </sheetData>
  <autoFilter ref="A1:D52"/>
  <pageMargins left="0.7" right="0.7" top="0.75" bottom="0.75" header="0.3" footer="0.3"/>
  <pageSetup fitToHeight="0" orientation="landscape"/>
</worksheet>
</file>

<file path=xl/worksheets/sheet15.xml><?xml version="1.0" encoding="utf-8"?>
<worksheet xmlns="http://schemas.openxmlformats.org/spreadsheetml/2006/main" xmlns:r="http://schemas.openxmlformats.org/officeDocument/2006/relationships">
  <sheetPr>
    <tabColor rgb="FF237C89"/>
    <pageSetUpPr fitToPage="1"/>
  </sheetPr>
  <dimension ref="A1:F265"/>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2" width="20.7109375" customWidth="1"/>
    <col min="3" max="3" width="32.7109375" customWidth="1"/>
    <col min="4" max="5" width="20.7109375" customWidth="1"/>
    <col min="6" max="6" width="100.7109375" customWidth="1"/>
  </cols>
  <sheetData>
    <row r="1" spans="1:6" ht="42" customHeight="1">
      <c r="A1" s="2" t="s">
        <v>1094</v>
      </c>
      <c r="B1" s="2" t="s">
        <v>34</v>
      </c>
      <c r="C1" s="2" t="s">
        <v>1225</v>
      </c>
      <c r="D1" s="2" t="s">
        <v>1226</v>
      </c>
      <c r="E1" s="2" t="s">
        <v>1227</v>
      </c>
      <c r="F1" s="2" t="s">
        <v>535</v>
      </c>
    </row>
    <row r="2" spans="1:6" ht="31" customHeight="1">
      <c r="A2" s="4" t="s">
        <v>463</v>
      </c>
      <c r="B2" s="4" t="s">
        <v>237</v>
      </c>
      <c r="C2" s="4" t="s">
        <v>1228</v>
      </c>
      <c r="D2" s="5"/>
      <c r="E2" s="4" t="s">
        <v>1229</v>
      </c>
      <c r="F2" s="4" t="s">
        <v>1230</v>
      </c>
    </row>
    <row r="3" spans="1:6" ht="31" customHeight="1">
      <c r="A3" s="4" t="s">
        <v>469</v>
      </c>
      <c r="B3" s="4" t="s">
        <v>237</v>
      </c>
      <c r="C3" s="4" t="s">
        <v>1228</v>
      </c>
      <c r="D3" s="5"/>
      <c r="E3" s="4" t="s">
        <v>1229</v>
      </c>
      <c r="F3" s="4" t="s">
        <v>1230</v>
      </c>
    </row>
    <row r="4" spans="1:6" ht="31" customHeight="1">
      <c r="A4" s="4" t="s">
        <v>472</v>
      </c>
      <c r="B4" s="4" t="s">
        <v>237</v>
      </c>
      <c r="C4" s="4" t="s">
        <v>1228</v>
      </c>
      <c r="D4" s="5"/>
      <c r="E4" s="4" t="s">
        <v>1229</v>
      </c>
      <c r="F4" s="4" t="s">
        <v>1230</v>
      </c>
    </row>
    <row r="5" spans="1:6" ht="31" customHeight="1">
      <c r="A5" s="4" t="s">
        <v>282</v>
      </c>
      <c r="B5" s="4" t="s">
        <v>424</v>
      </c>
      <c r="C5" s="4" t="s">
        <v>1228</v>
      </c>
      <c r="D5" s="5"/>
      <c r="E5" s="4" t="s">
        <v>1229</v>
      </c>
      <c r="F5" s="4" t="s">
        <v>1230</v>
      </c>
    </row>
    <row r="6" spans="1:6" ht="31" customHeight="1">
      <c r="A6" s="4" t="s">
        <v>1086</v>
      </c>
      <c r="B6" s="4" t="s">
        <v>311</v>
      </c>
      <c r="C6" s="4" t="s">
        <v>33</v>
      </c>
      <c r="D6" s="4" t="s">
        <v>1086</v>
      </c>
      <c r="E6" s="4" t="s">
        <v>329</v>
      </c>
      <c r="F6" s="4" t="s">
        <v>1231</v>
      </c>
    </row>
    <row r="7" spans="1:6" ht="31" customHeight="1">
      <c r="A7" s="4" t="s">
        <v>109</v>
      </c>
      <c r="B7" s="4" t="s">
        <v>110</v>
      </c>
      <c r="C7" s="4" t="s">
        <v>35</v>
      </c>
      <c r="D7" s="6">
        <v>1</v>
      </c>
      <c r="E7" s="5"/>
      <c r="F7" s="4" t="s">
        <v>1232</v>
      </c>
    </row>
    <row r="8" spans="1:6" ht="31" customHeight="1">
      <c r="A8" s="4" t="s">
        <v>129</v>
      </c>
      <c r="B8" s="4" t="s">
        <v>110</v>
      </c>
      <c r="C8" s="4" t="s">
        <v>35</v>
      </c>
      <c r="D8" s="6">
        <v>1</v>
      </c>
      <c r="E8" s="5"/>
      <c r="F8" s="4" t="s">
        <v>1232</v>
      </c>
    </row>
    <row r="9" spans="1:6" ht="31" customHeight="1">
      <c r="A9" s="4" t="s">
        <v>133</v>
      </c>
      <c r="B9" s="4" t="s">
        <v>110</v>
      </c>
      <c r="C9" s="4" t="s">
        <v>35</v>
      </c>
      <c r="D9" s="6">
        <v>1</v>
      </c>
      <c r="E9" s="5"/>
      <c r="F9" s="4" t="s">
        <v>1232</v>
      </c>
    </row>
    <row r="10" spans="1:6" ht="31" customHeight="1">
      <c r="A10" s="4" t="s">
        <v>138</v>
      </c>
      <c r="B10" s="4" t="s">
        <v>110</v>
      </c>
      <c r="C10" s="4" t="s">
        <v>35</v>
      </c>
      <c r="D10" s="6">
        <v>1</v>
      </c>
      <c r="E10" s="5"/>
      <c r="F10" s="4" t="s">
        <v>1232</v>
      </c>
    </row>
    <row r="11" spans="1:6" ht="31" customHeight="1">
      <c r="A11" s="4" t="s">
        <v>141</v>
      </c>
      <c r="B11" s="4" t="s">
        <v>110</v>
      </c>
      <c r="C11" s="4" t="s">
        <v>35</v>
      </c>
      <c r="D11" s="6">
        <v>1</v>
      </c>
      <c r="E11" s="5"/>
      <c r="F11" s="4" t="s">
        <v>1232</v>
      </c>
    </row>
    <row r="12" spans="1:6" ht="31" customHeight="1">
      <c r="A12" s="4" t="s">
        <v>143</v>
      </c>
      <c r="B12" s="4" t="s">
        <v>110</v>
      </c>
      <c r="C12" s="4" t="s">
        <v>35</v>
      </c>
      <c r="D12" s="6">
        <v>1</v>
      </c>
      <c r="E12" s="5"/>
      <c r="F12" s="4" t="s">
        <v>1232</v>
      </c>
    </row>
    <row r="13" spans="1:6" ht="31" customHeight="1">
      <c r="A13" s="4" t="s">
        <v>148</v>
      </c>
      <c r="B13" s="4" t="s">
        <v>110</v>
      </c>
      <c r="C13" s="4" t="s">
        <v>35</v>
      </c>
      <c r="D13" s="6">
        <v>1</v>
      </c>
      <c r="E13" s="5"/>
      <c r="F13" s="4" t="s">
        <v>1232</v>
      </c>
    </row>
    <row r="14" spans="1:6" ht="31" customHeight="1">
      <c r="A14" s="4" t="s">
        <v>151</v>
      </c>
      <c r="B14" s="4" t="s">
        <v>110</v>
      </c>
      <c r="C14" s="4" t="s">
        <v>35</v>
      </c>
      <c r="D14" s="6">
        <v>1</v>
      </c>
      <c r="E14" s="5"/>
      <c r="F14" s="4" t="s">
        <v>1232</v>
      </c>
    </row>
    <row r="15" spans="1:6" ht="31" customHeight="1">
      <c r="A15" s="4" t="s">
        <v>153</v>
      </c>
      <c r="B15" s="4" t="s">
        <v>110</v>
      </c>
      <c r="C15" s="4" t="s">
        <v>35</v>
      </c>
      <c r="D15" s="6">
        <v>1</v>
      </c>
      <c r="E15" s="5"/>
      <c r="F15" s="4" t="s">
        <v>1232</v>
      </c>
    </row>
    <row r="16" spans="1:6" ht="31" customHeight="1">
      <c r="A16" s="4" t="s">
        <v>156</v>
      </c>
      <c r="B16" s="4" t="s">
        <v>157</v>
      </c>
      <c r="C16" s="4" t="s">
        <v>35</v>
      </c>
      <c r="D16" s="6">
        <v>1</v>
      </c>
      <c r="E16" s="5"/>
      <c r="F16" s="4" t="s">
        <v>1232</v>
      </c>
    </row>
    <row r="17" spans="1:6" ht="31" customHeight="1">
      <c r="A17" s="4" t="s">
        <v>168</v>
      </c>
      <c r="B17" s="4" t="s">
        <v>157</v>
      </c>
      <c r="C17" s="4" t="s">
        <v>35</v>
      </c>
      <c r="D17" s="6">
        <v>1</v>
      </c>
      <c r="E17" s="5"/>
      <c r="F17" s="4" t="s">
        <v>1232</v>
      </c>
    </row>
    <row r="18" spans="1:6" ht="31" customHeight="1">
      <c r="A18" s="4" t="s">
        <v>172</v>
      </c>
      <c r="B18" s="4" t="s">
        <v>157</v>
      </c>
      <c r="C18" s="4" t="s">
        <v>35</v>
      </c>
      <c r="D18" s="6">
        <v>1</v>
      </c>
      <c r="E18" s="5"/>
      <c r="F18" s="4" t="s">
        <v>1232</v>
      </c>
    </row>
    <row r="19" spans="1:6" ht="31" customHeight="1">
      <c r="A19" s="4" t="s">
        <v>177</v>
      </c>
      <c r="B19" s="4" t="s">
        <v>157</v>
      </c>
      <c r="C19" s="4" t="s">
        <v>35</v>
      </c>
      <c r="D19" s="6">
        <v>1</v>
      </c>
      <c r="E19" s="5"/>
      <c r="F19" s="4" t="s">
        <v>1232</v>
      </c>
    </row>
    <row r="20" spans="1:6" ht="31" customHeight="1">
      <c r="A20" s="4" t="s">
        <v>181</v>
      </c>
      <c r="B20" s="4" t="s">
        <v>157</v>
      </c>
      <c r="C20" s="4" t="s">
        <v>35</v>
      </c>
      <c r="D20" s="6">
        <v>1</v>
      </c>
      <c r="E20" s="5"/>
      <c r="F20" s="4" t="s">
        <v>1232</v>
      </c>
    </row>
    <row r="21" spans="1:6" ht="31" customHeight="1">
      <c r="A21" s="4" t="s">
        <v>184</v>
      </c>
      <c r="B21" s="4" t="s">
        <v>157</v>
      </c>
      <c r="C21" s="4" t="s">
        <v>35</v>
      </c>
      <c r="D21" s="6">
        <v>1</v>
      </c>
      <c r="E21" s="5"/>
      <c r="F21" s="4" t="s">
        <v>1232</v>
      </c>
    </row>
    <row r="22" spans="1:6" ht="31" customHeight="1">
      <c r="A22" s="4" t="s">
        <v>187</v>
      </c>
      <c r="B22" s="4" t="s">
        <v>157</v>
      </c>
      <c r="C22" s="4" t="s">
        <v>35</v>
      </c>
      <c r="D22" s="6">
        <v>1</v>
      </c>
      <c r="E22" s="5"/>
      <c r="F22" s="4" t="s">
        <v>1232</v>
      </c>
    </row>
    <row r="23" spans="1:6" ht="31" customHeight="1">
      <c r="A23" s="4" t="s">
        <v>190</v>
      </c>
      <c r="B23" s="4" t="s">
        <v>191</v>
      </c>
      <c r="C23" s="4" t="s">
        <v>35</v>
      </c>
      <c r="D23" s="6">
        <v>1</v>
      </c>
      <c r="E23" s="5"/>
      <c r="F23" s="4" t="s">
        <v>1232</v>
      </c>
    </row>
    <row r="24" spans="1:6" ht="31" customHeight="1">
      <c r="A24" s="4" t="s">
        <v>202</v>
      </c>
      <c r="B24" s="4" t="s">
        <v>191</v>
      </c>
      <c r="C24" s="4" t="s">
        <v>35</v>
      </c>
      <c r="D24" s="6">
        <v>1</v>
      </c>
      <c r="E24" s="5"/>
      <c r="F24" s="4" t="s">
        <v>1232</v>
      </c>
    </row>
    <row r="25" spans="1:6" ht="31" customHeight="1">
      <c r="A25" s="4" t="s">
        <v>208</v>
      </c>
      <c r="B25" s="4" t="s">
        <v>191</v>
      </c>
      <c r="C25" s="4" t="s">
        <v>35</v>
      </c>
      <c r="D25" s="6">
        <v>1</v>
      </c>
      <c r="E25" s="5"/>
      <c r="F25" s="4" t="s">
        <v>1232</v>
      </c>
    </row>
    <row r="26" spans="1:6" ht="31" customHeight="1">
      <c r="A26" s="4" t="s">
        <v>212</v>
      </c>
      <c r="B26" s="4" t="s">
        <v>191</v>
      </c>
      <c r="C26" s="4" t="s">
        <v>35</v>
      </c>
      <c r="D26" s="6">
        <v>1</v>
      </c>
      <c r="E26" s="5"/>
      <c r="F26" s="4" t="s">
        <v>1232</v>
      </c>
    </row>
    <row r="27" spans="1:6" ht="31" customHeight="1">
      <c r="A27" s="4" t="s">
        <v>217</v>
      </c>
      <c r="B27" s="4" t="s">
        <v>191</v>
      </c>
      <c r="C27" s="4" t="s">
        <v>35</v>
      </c>
      <c r="D27" s="6">
        <v>1</v>
      </c>
      <c r="E27" s="5"/>
      <c r="F27" s="4" t="s">
        <v>1232</v>
      </c>
    </row>
    <row r="28" spans="1:6" ht="31" customHeight="1">
      <c r="A28" s="4" t="s">
        <v>222</v>
      </c>
      <c r="B28" s="4" t="s">
        <v>191</v>
      </c>
      <c r="C28" s="4" t="s">
        <v>35</v>
      </c>
      <c r="D28" s="6">
        <v>1</v>
      </c>
      <c r="E28" s="5"/>
      <c r="F28" s="4" t="s">
        <v>1232</v>
      </c>
    </row>
    <row r="29" spans="1:6" ht="31" customHeight="1">
      <c r="A29" s="4" t="s">
        <v>225</v>
      </c>
      <c r="B29" s="4" t="s">
        <v>191</v>
      </c>
      <c r="C29" s="4" t="s">
        <v>35</v>
      </c>
      <c r="D29" s="6">
        <v>1</v>
      </c>
      <c r="E29" s="5"/>
      <c r="F29" s="4" t="s">
        <v>1232</v>
      </c>
    </row>
    <row r="30" spans="1:6" ht="31" customHeight="1">
      <c r="A30" s="4" t="s">
        <v>229</v>
      </c>
      <c r="B30" s="4" t="s">
        <v>191</v>
      </c>
      <c r="C30" s="4" t="s">
        <v>35</v>
      </c>
      <c r="D30" s="6">
        <v>1</v>
      </c>
      <c r="E30" s="5"/>
      <c r="F30" s="4" t="s">
        <v>1232</v>
      </c>
    </row>
    <row r="31" spans="1:6" ht="31" customHeight="1">
      <c r="A31" s="4" t="s">
        <v>231</v>
      </c>
      <c r="B31" s="4" t="s">
        <v>191</v>
      </c>
      <c r="C31" s="4" t="s">
        <v>35</v>
      </c>
      <c r="D31" s="6">
        <v>1</v>
      </c>
      <c r="E31" s="5"/>
      <c r="F31" s="4" t="s">
        <v>1232</v>
      </c>
    </row>
    <row r="32" spans="1:6" ht="31" customHeight="1">
      <c r="A32" s="4" t="s">
        <v>233</v>
      </c>
      <c r="B32" s="4" t="s">
        <v>191</v>
      </c>
      <c r="C32" s="4" t="s">
        <v>35</v>
      </c>
      <c r="D32" s="6">
        <v>1</v>
      </c>
      <c r="E32" s="5"/>
      <c r="F32" s="4" t="s">
        <v>1232</v>
      </c>
    </row>
    <row r="33" spans="1:6" ht="31" customHeight="1">
      <c r="A33" s="4" t="s">
        <v>236</v>
      </c>
      <c r="B33" s="4" t="s">
        <v>237</v>
      </c>
      <c r="C33" s="4" t="s">
        <v>35</v>
      </c>
      <c r="D33" s="6">
        <v>1</v>
      </c>
      <c r="E33" s="5"/>
      <c r="F33" s="4" t="s">
        <v>1232</v>
      </c>
    </row>
    <row r="34" spans="1:6" ht="31" customHeight="1">
      <c r="A34" s="4" t="s">
        <v>252</v>
      </c>
      <c r="B34" s="4" t="s">
        <v>237</v>
      </c>
      <c r="C34" s="4" t="s">
        <v>35</v>
      </c>
      <c r="D34" s="6">
        <v>1</v>
      </c>
      <c r="E34" s="5"/>
      <c r="F34" s="4" t="s">
        <v>1232</v>
      </c>
    </row>
    <row r="35" spans="1:6" ht="31" customHeight="1">
      <c r="A35" s="4" t="s">
        <v>263</v>
      </c>
      <c r="B35" s="4" t="s">
        <v>237</v>
      </c>
      <c r="C35" s="4" t="s">
        <v>35</v>
      </c>
      <c r="D35" s="6">
        <v>1</v>
      </c>
      <c r="E35" s="5"/>
      <c r="F35" s="4" t="s">
        <v>1232</v>
      </c>
    </row>
    <row r="36" spans="1:6" ht="31" customHeight="1">
      <c r="A36" s="4" t="s">
        <v>268</v>
      </c>
      <c r="B36" s="4" t="s">
        <v>237</v>
      </c>
      <c r="C36" s="4" t="s">
        <v>35</v>
      </c>
      <c r="D36" s="6">
        <v>1</v>
      </c>
      <c r="E36" s="5"/>
      <c r="F36" s="4" t="s">
        <v>1232</v>
      </c>
    </row>
    <row r="37" spans="1:6" ht="31" customHeight="1">
      <c r="A37" s="4" t="s">
        <v>274</v>
      </c>
      <c r="B37" s="4" t="s">
        <v>237</v>
      </c>
      <c r="C37" s="4" t="s">
        <v>35</v>
      </c>
      <c r="D37" s="6">
        <v>1</v>
      </c>
      <c r="E37" s="5"/>
      <c r="F37" s="4" t="s">
        <v>1232</v>
      </c>
    </row>
    <row r="38" spans="1:6" ht="31" customHeight="1">
      <c r="A38" s="4" t="s">
        <v>282</v>
      </c>
      <c r="B38" s="4" t="s">
        <v>237</v>
      </c>
      <c r="C38" s="4" t="s">
        <v>35</v>
      </c>
      <c r="D38" s="6">
        <v>1</v>
      </c>
      <c r="E38" s="5"/>
      <c r="F38" s="4" t="s">
        <v>1232</v>
      </c>
    </row>
    <row r="39" spans="1:6" ht="31" customHeight="1">
      <c r="A39" s="4" t="s">
        <v>290</v>
      </c>
      <c r="B39" s="4" t="s">
        <v>237</v>
      </c>
      <c r="C39" s="4" t="s">
        <v>35</v>
      </c>
      <c r="D39" s="6">
        <v>1</v>
      </c>
      <c r="E39" s="5"/>
      <c r="F39" s="4" t="s">
        <v>1232</v>
      </c>
    </row>
    <row r="40" spans="1:6" ht="31" customHeight="1">
      <c r="A40" s="4" t="s">
        <v>296</v>
      </c>
      <c r="B40" s="4" t="s">
        <v>237</v>
      </c>
      <c r="C40" s="4" t="s">
        <v>35</v>
      </c>
      <c r="D40" s="6">
        <v>1</v>
      </c>
      <c r="E40" s="5"/>
      <c r="F40" s="4" t="s">
        <v>1232</v>
      </c>
    </row>
    <row r="41" spans="1:6" ht="31" customHeight="1">
      <c r="A41" s="4" t="s">
        <v>298</v>
      </c>
      <c r="B41" s="4" t="s">
        <v>237</v>
      </c>
      <c r="C41" s="4" t="s">
        <v>35</v>
      </c>
      <c r="D41" s="6">
        <v>1</v>
      </c>
      <c r="E41" s="5"/>
      <c r="F41" s="4" t="s">
        <v>1232</v>
      </c>
    </row>
    <row r="42" spans="1:6" ht="31" customHeight="1">
      <c r="A42" s="4" t="s">
        <v>300</v>
      </c>
      <c r="B42" s="4" t="s">
        <v>237</v>
      </c>
      <c r="C42" s="4" t="s">
        <v>35</v>
      </c>
      <c r="D42" s="6">
        <v>1</v>
      </c>
      <c r="E42" s="5"/>
      <c r="F42" s="4" t="s">
        <v>1232</v>
      </c>
    </row>
    <row r="43" spans="1:6" ht="31" customHeight="1">
      <c r="A43" s="4" t="s">
        <v>304</v>
      </c>
      <c r="B43" s="4" t="s">
        <v>237</v>
      </c>
      <c r="C43" s="4" t="s">
        <v>35</v>
      </c>
      <c r="D43" s="6">
        <v>1</v>
      </c>
      <c r="E43" s="5"/>
      <c r="F43" s="4" t="s">
        <v>1232</v>
      </c>
    </row>
    <row r="44" spans="1:6" ht="31" customHeight="1">
      <c r="A44" s="4" t="s">
        <v>306</v>
      </c>
      <c r="B44" s="4" t="s">
        <v>237</v>
      </c>
      <c r="C44" s="4" t="s">
        <v>35</v>
      </c>
      <c r="D44" s="6">
        <v>1</v>
      </c>
      <c r="E44" s="5"/>
      <c r="F44" s="4" t="s">
        <v>1232</v>
      </c>
    </row>
    <row r="45" spans="1:6" ht="31" customHeight="1">
      <c r="A45" s="4" t="s">
        <v>310</v>
      </c>
      <c r="B45" s="4" t="s">
        <v>311</v>
      </c>
      <c r="C45" s="4" t="s">
        <v>35</v>
      </c>
      <c r="D45" s="6">
        <v>1</v>
      </c>
      <c r="E45" s="5"/>
      <c r="F45" s="4" t="s">
        <v>1232</v>
      </c>
    </row>
    <row r="46" spans="1:6" ht="31" customHeight="1">
      <c r="A46" s="4" t="s">
        <v>321</v>
      </c>
      <c r="B46" s="4" t="s">
        <v>311</v>
      </c>
      <c r="C46" s="4" t="s">
        <v>35</v>
      </c>
      <c r="D46" s="6">
        <v>1</v>
      </c>
      <c r="E46" s="5"/>
      <c r="F46" s="4" t="s">
        <v>1232</v>
      </c>
    </row>
    <row r="47" spans="1:6" ht="31" customHeight="1">
      <c r="A47" s="4" t="s">
        <v>323</v>
      </c>
      <c r="B47" s="4" t="s">
        <v>311</v>
      </c>
      <c r="C47" s="4" t="s">
        <v>35</v>
      </c>
      <c r="D47" s="6">
        <v>1</v>
      </c>
      <c r="E47" s="5"/>
      <c r="F47" s="4" t="s">
        <v>1232</v>
      </c>
    </row>
    <row r="48" spans="1:6" ht="31" customHeight="1">
      <c r="A48" s="4" t="s">
        <v>325</v>
      </c>
      <c r="B48" s="4" t="s">
        <v>311</v>
      </c>
      <c r="C48" s="4" t="s">
        <v>35</v>
      </c>
      <c r="D48" s="6">
        <v>1</v>
      </c>
      <c r="E48" s="5"/>
      <c r="F48" s="4" t="s">
        <v>1232</v>
      </c>
    </row>
    <row r="49" spans="1:6" ht="31" customHeight="1">
      <c r="A49" s="4" t="s">
        <v>327</v>
      </c>
      <c r="B49" s="4" t="s">
        <v>311</v>
      </c>
      <c r="C49" s="4" t="s">
        <v>35</v>
      </c>
      <c r="D49" s="6">
        <v>1</v>
      </c>
      <c r="E49" s="5"/>
      <c r="F49" s="4" t="s">
        <v>1232</v>
      </c>
    </row>
    <row r="50" spans="1:6" ht="31" customHeight="1">
      <c r="A50" s="4" t="s">
        <v>329</v>
      </c>
      <c r="B50" s="4" t="s">
        <v>311</v>
      </c>
      <c r="C50" s="4" t="s">
        <v>35</v>
      </c>
      <c r="D50" s="6">
        <v>1</v>
      </c>
      <c r="E50" s="5"/>
      <c r="F50" s="4" t="s">
        <v>1232</v>
      </c>
    </row>
    <row r="51" spans="1:6" ht="31" customHeight="1">
      <c r="A51" s="4" t="s">
        <v>331</v>
      </c>
      <c r="B51" s="4" t="s">
        <v>311</v>
      </c>
      <c r="C51" s="4" t="s">
        <v>35</v>
      </c>
      <c r="D51" s="6">
        <v>1</v>
      </c>
      <c r="E51" s="5"/>
      <c r="F51" s="4" t="s">
        <v>1232</v>
      </c>
    </row>
    <row r="52" spans="1:6" ht="31" customHeight="1">
      <c r="A52" s="4" t="s">
        <v>333</v>
      </c>
      <c r="B52" s="4" t="s">
        <v>311</v>
      </c>
      <c r="C52" s="4" t="s">
        <v>35</v>
      </c>
      <c r="D52" s="6">
        <v>1</v>
      </c>
      <c r="E52" s="5"/>
      <c r="F52" s="4" t="s">
        <v>1232</v>
      </c>
    </row>
    <row r="53" spans="1:6" ht="31" customHeight="1">
      <c r="A53" s="4" t="s">
        <v>335</v>
      </c>
      <c r="B53" s="4" t="s">
        <v>311</v>
      </c>
      <c r="C53" s="4" t="s">
        <v>35</v>
      </c>
      <c r="D53" s="6">
        <v>1</v>
      </c>
      <c r="E53" s="5"/>
      <c r="F53" s="4" t="s">
        <v>1232</v>
      </c>
    </row>
    <row r="54" spans="1:6" ht="31" customHeight="1">
      <c r="A54" s="4" t="s">
        <v>337</v>
      </c>
      <c r="B54" s="4" t="s">
        <v>311</v>
      </c>
      <c r="C54" s="4" t="s">
        <v>35</v>
      </c>
      <c r="D54" s="6">
        <v>1</v>
      </c>
      <c r="E54" s="5"/>
      <c r="F54" s="4" t="s">
        <v>1232</v>
      </c>
    </row>
    <row r="55" spans="1:6" ht="31" customHeight="1">
      <c r="A55" s="4" t="s">
        <v>339</v>
      </c>
      <c r="B55" s="4" t="s">
        <v>311</v>
      </c>
      <c r="C55" s="4" t="s">
        <v>35</v>
      </c>
      <c r="D55" s="6">
        <v>1</v>
      </c>
      <c r="E55" s="5"/>
      <c r="F55" s="4" t="s">
        <v>1232</v>
      </c>
    </row>
    <row r="56" spans="1:6" ht="31" customHeight="1">
      <c r="A56" s="4" t="s">
        <v>341</v>
      </c>
      <c r="B56" s="4" t="s">
        <v>311</v>
      </c>
      <c r="C56" s="4" t="s">
        <v>35</v>
      </c>
      <c r="D56" s="6">
        <v>1</v>
      </c>
      <c r="E56" s="5"/>
      <c r="F56" s="4" t="s">
        <v>1232</v>
      </c>
    </row>
    <row r="57" spans="1:6" ht="31" customHeight="1">
      <c r="A57" s="4" t="s">
        <v>343</v>
      </c>
      <c r="B57" s="4" t="s">
        <v>311</v>
      </c>
      <c r="C57" s="4" t="s">
        <v>35</v>
      </c>
      <c r="D57" s="6">
        <v>1</v>
      </c>
      <c r="E57" s="5"/>
      <c r="F57" s="4" t="s">
        <v>1232</v>
      </c>
    </row>
    <row r="58" spans="1:6" ht="31" customHeight="1">
      <c r="A58" s="4" t="s">
        <v>345</v>
      </c>
      <c r="B58" s="4" t="s">
        <v>346</v>
      </c>
      <c r="C58" s="4" t="s">
        <v>35</v>
      </c>
      <c r="D58" s="6">
        <v>0</v>
      </c>
      <c r="E58" s="5"/>
      <c r="F58" s="4" t="s">
        <v>1232</v>
      </c>
    </row>
    <row r="59" spans="1:6" ht="31" customHeight="1">
      <c r="A59" s="4" t="s">
        <v>354</v>
      </c>
      <c r="B59" s="4" t="s">
        <v>346</v>
      </c>
      <c r="C59" s="4" t="s">
        <v>35</v>
      </c>
      <c r="D59" s="6">
        <v>0</v>
      </c>
      <c r="E59" s="5"/>
      <c r="F59" s="4" t="s">
        <v>1232</v>
      </c>
    </row>
    <row r="60" spans="1:6" ht="31" customHeight="1">
      <c r="A60" s="4" t="s">
        <v>357</v>
      </c>
      <c r="B60" s="4" t="s">
        <v>346</v>
      </c>
      <c r="C60" s="4" t="s">
        <v>35</v>
      </c>
      <c r="D60" s="6">
        <v>0</v>
      </c>
      <c r="E60" s="5"/>
      <c r="F60" s="4" t="s">
        <v>1232</v>
      </c>
    </row>
    <row r="61" spans="1:6" ht="31" customHeight="1">
      <c r="A61" s="4" t="s">
        <v>360</v>
      </c>
      <c r="B61" s="4" t="s">
        <v>346</v>
      </c>
      <c r="C61" s="4" t="s">
        <v>35</v>
      </c>
      <c r="D61" s="6">
        <v>0</v>
      </c>
      <c r="E61" s="5"/>
      <c r="F61" s="4" t="s">
        <v>1232</v>
      </c>
    </row>
    <row r="62" spans="1:6" ht="31" customHeight="1">
      <c r="A62" s="4" t="s">
        <v>363</v>
      </c>
      <c r="B62" s="4" t="s">
        <v>346</v>
      </c>
      <c r="C62" s="4" t="s">
        <v>35</v>
      </c>
      <c r="D62" s="6">
        <v>0</v>
      </c>
      <c r="E62" s="5"/>
      <c r="F62" s="4" t="s">
        <v>1232</v>
      </c>
    </row>
    <row r="63" spans="1:6" ht="31" customHeight="1">
      <c r="A63" s="4" t="s">
        <v>366</v>
      </c>
      <c r="B63" s="4" t="s">
        <v>346</v>
      </c>
      <c r="C63" s="4" t="s">
        <v>35</v>
      </c>
      <c r="D63" s="6">
        <v>0</v>
      </c>
      <c r="E63" s="5"/>
      <c r="F63" s="4" t="s">
        <v>1232</v>
      </c>
    </row>
    <row r="64" spans="1:6" ht="31" customHeight="1">
      <c r="A64" s="4" t="s">
        <v>371</v>
      </c>
      <c r="B64" s="4" t="s">
        <v>346</v>
      </c>
      <c r="C64" s="4" t="s">
        <v>35</v>
      </c>
      <c r="D64" s="6">
        <v>0</v>
      </c>
      <c r="E64" s="5"/>
      <c r="F64" s="4" t="s">
        <v>1232</v>
      </c>
    </row>
    <row r="65" spans="1:6" ht="31" customHeight="1">
      <c r="A65" s="4" t="s">
        <v>375</v>
      </c>
      <c r="B65" s="4" t="s">
        <v>346</v>
      </c>
      <c r="C65" s="4" t="s">
        <v>35</v>
      </c>
      <c r="D65" s="6">
        <v>0</v>
      </c>
      <c r="E65" s="5"/>
      <c r="F65" s="4" t="s">
        <v>1232</v>
      </c>
    </row>
    <row r="66" spans="1:6" ht="31" customHeight="1">
      <c r="A66" s="4" t="s">
        <v>378</v>
      </c>
      <c r="B66" s="4" t="s">
        <v>346</v>
      </c>
      <c r="C66" s="4" t="s">
        <v>35</v>
      </c>
      <c r="D66" s="6">
        <v>0</v>
      </c>
      <c r="E66" s="5"/>
      <c r="F66" s="4" t="s">
        <v>1232</v>
      </c>
    </row>
    <row r="67" spans="1:6" ht="31" customHeight="1">
      <c r="A67" s="4" t="s">
        <v>381</v>
      </c>
      <c r="B67" s="4" t="s">
        <v>346</v>
      </c>
      <c r="C67" s="4" t="s">
        <v>35</v>
      </c>
      <c r="D67" s="6">
        <v>0</v>
      </c>
      <c r="E67" s="5"/>
      <c r="F67" s="4" t="s">
        <v>1232</v>
      </c>
    </row>
    <row r="68" spans="1:6" ht="31" customHeight="1">
      <c r="A68" s="4" t="s">
        <v>384</v>
      </c>
      <c r="B68" s="4" t="s">
        <v>385</v>
      </c>
      <c r="C68" s="4" t="s">
        <v>35</v>
      </c>
      <c r="D68" s="6">
        <v>0</v>
      </c>
      <c r="E68" s="5"/>
      <c r="F68" s="4" t="s">
        <v>1232</v>
      </c>
    </row>
    <row r="69" spans="1:6" ht="31" customHeight="1">
      <c r="A69" s="4" t="s">
        <v>395</v>
      </c>
      <c r="B69" s="4" t="s">
        <v>385</v>
      </c>
      <c r="C69" s="4" t="s">
        <v>35</v>
      </c>
      <c r="D69" s="6">
        <v>0</v>
      </c>
      <c r="E69" s="5"/>
      <c r="F69" s="4" t="s">
        <v>1232</v>
      </c>
    </row>
    <row r="70" spans="1:6" ht="31" customHeight="1">
      <c r="A70" s="4" t="s">
        <v>397</v>
      </c>
      <c r="B70" s="4" t="s">
        <v>385</v>
      </c>
      <c r="C70" s="4" t="s">
        <v>35</v>
      </c>
      <c r="D70" s="6">
        <v>0</v>
      </c>
      <c r="E70" s="5"/>
      <c r="F70" s="4" t="s">
        <v>1232</v>
      </c>
    </row>
    <row r="71" spans="1:6" ht="31" customHeight="1">
      <c r="A71" s="4" t="s">
        <v>399</v>
      </c>
      <c r="B71" s="4" t="s">
        <v>385</v>
      </c>
      <c r="C71" s="4" t="s">
        <v>35</v>
      </c>
      <c r="D71" s="6">
        <v>0</v>
      </c>
      <c r="E71" s="5"/>
      <c r="F71" s="4" t="s">
        <v>1232</v>
      </c>
    </row>
    <row r="72" spans="1:6" ht="31" customHeight="1">
      <c r="A72" s="4" t="s">
        <v>404</v>
      </c>
      <c r="B72" s="4" t="s">
        <v>385</v>
      </c>
      <c r="C72" s="4" t="s">
        <v>35</v>
      </c>
      <c r="D72" s="6">
        <v>0</v>
      </c>
      <c r="E72" s="5"/>
      <c r="F72" s="4" t="s">
        <v>1232</v>
      </c>
    </row>
    <row r="73" spans="1:6" ht="31" customHeight="1">
      <c r="A73" s="4" t="s">
        <v>407</v>
      </c>
      <c r="B73" s="4" t="s">
        <v>385</v>
      </c>
      <c r="C73" s="4" t="s">
        <v>35</v>
      </c>
      <c r="D73" s="6">
        <v>0</v>
      </c>
      <c r="E73" s="5"/>
      <c r="F73" s="4" t="s">
        <v>1232</v>
      </c>
    </row>
    <row r="74" spans="1:6" ht="31" customHeight="1">
      <c r="A74" s="4" t="s">
        <v>412</v>
      </c>
      <c r="B74" s="4" t="s">
        <v>385</v>
      </c>
      <c r="C74" s="4" t="s">
        <v>35</v>
      </c>
      <c r="D74" s="6">
        <v>0</v>
      </c>
      <c r="E74" s="5"/>
      <c r="F74" s="4" t="s">
        <v>1232</v>
      </c>
    </row>
    <row r="75" spans="1:6" ht="31" customHeight="1">
      <c r="A75" s="4" t="s">
        <v>417</v>
      </c>
      <c r="B75" s="4" t="s">
        <v>385</v>
      </c>
      <c r="C75" s="4" t="s">
        <v>35</v>
      </c>
      <c r="D75" s="6">
        <v>0</v>
      </c>
      <c r="E75" s="5"/>
      <c r="F75" s="4" t="s">
        <v>1232</v>
      </c>
    </row>
    <row r="76" spans="1:6" ht="31" customHeight="1">
      <c r="A76" s="4" t="s">
        <v>419</v>
      </c>
      <c r="B76" s="4" t="s">
        <v>385</v>
      </c>
      <c r="C76" s="4" t="s">
        <v>35</v>
      </c>
      <c r="D76" s="6">
        <v>0</v>
      </c>
      <c r="E76" s="5"/>
      <c r="F76" s="4" t="s">
        <v>1232</v>
      </c>
    </row>
    <row r="77" spans="1:6" ht="31" customHeight="1">
      <c r="A77" s="4" t="s">
        <v>421</v>
      </c>
      <c r="B77" s="4" t="s">
        <v>385</v>
      </c>
      <c r="C77" s="4" t="s">
        <v>35</v>
      </c>
      <c r="D77" s="6">
        <v>0</v>
      </c>
      <c r="E77" s="5"/>
      <c r="F77" s="4" t="s">
        <v>1232</v>
      </c>
    </row>
    <row r="78" spans="1:6" ht="31" customHeight="1">
      <c r="A78" s="4" t="s">
        <v>423</v>
      </c>
      <c r="B78" s="4" t="s">
        <v>424</v>
      </c>
      <c r="C78" s="4" t="s">
        <v>35</v>
      </c>
      <c r="D78" s="6">
        <v>0</v>
      </c>
      <c r="E78" s="5"/>
      <c r="F78" s="4" t="s">
        <v>1232</v>
      </c>
    </row>
    <row r="79" spans="1:6" ht="31" customHeight="1">
      <c r="A79" s="4" t="s">
        <v>435</v>
      </c>
      <c r="B79" s="4" t="s">
        <v>424</v>
      </c>
      <c r="C79" s="4" t="s">
        <v>35</v>
      </c>
      <c r="D79" s="6">
        <v>0</v>
      </c>
      <c r="E79" s="5"/>
      <c r="F79" s="4" t="s">
        <v>1232</v>
      </c>
    </row>
    <row r="80" spans="1:6" ht="31" customHeight="1">
      <c r="A80" s="4" t="s">
        <v>440</v>
      </c>
      <c r="B80" s="4" t="s">
        <v>424</v>
      </c>
      <c r="C80" s="4" t="s">
        <v>35</v>
      </c>
      <c r="D80" s="6">
        <v>0</v>
      </c>
      <c r="E80" s="5"/>
      <c r="F80" s="4" t="s">
        <v>1232</v>
      </c>
    </row>
    <row r="81" spans="1:6" ht="31" customHeight="1">
      <c r="A81" s="4" t="s">
        <v>446</v>
      </c>
      <c r="B81" s="4" t="s">
        <v>424</v>
      </c>
      <c r="C81" s="4" t="s">
        <v>35</v>
      </c>
      <c r="D81" s="6">
        <v>0</v>
      </c>
      <c r="E81" s="5"/>
      <c r="F81" s="4" t="s">
        <v>1232</v>
      </c>
    </row>
    <row r="82" spans="1:6" ht="31" customHeight="1">
      <c r="A82" s="4" t="s">
        <v>451</v>
      </c>
      <c r="B82" s="4" t="s">
        <v>424</v>
      </c>
      <c r="C82" s="4" t="s">
        <v>35</v>
      </c>
      <c r="D82" s="6">
        <v>0</v>
      </c>
      <c r="E82" s="5"/>
      <c r="F82" s="4" t="s">
        <v>1232</v>
      </c>
    </row>
    <row r="83" spans="1:6" ht="31" customHeight="1">
      <c r="A83" s="4" t="s">
        <v>455</v>
      </c>
      <c r="B83" s="4" t="s">
        <v>424</v>
      </c>
      <c r="C83" s="4" t="s">
        <v>35</v>
      </c>
      <c r="D83" s="6">
        <v>0</v>
      </c>
      <c r="E83" s="5"/>
      <c r="F83" s="4" t="s">
        <v>1232</v>
      </c>
    </row>
    <row r="84" spans="1:6" ht="31" customHeight="1">
      <c r="A84" s="4" t="s">
        <v>459</v>
      </c>
      <c r="B84" s="4" t="s">
        <v>424</v>
      </c>
      <c r="C84" s="4" t="s">
        <v>35</v>
      </c>
      <c r="D84" s="6">
        <v>0</v>
      </c>
      <c r="E84" s="5"/>
      <c r="F84" s="4" t="s">
        <v>1232</v>
      </c>
    </row>
    <row r="85" spans="1:6" ht="31" customHeight="1">
      <c r="A85" s="4" t="s">
        <v>252</v>
      </c>
      <c r="B85" s="4" t="s">
        <v>237</v>
      </c>
      <c r="C85" s="4" t="s">
        <v>1233</v>
      </c>
      <c r="D85" s="6">
        <v>21</v>
      </c>
      <c r="E85" s="5"/>
      <c r="F85" s="4" t="s">
        <v>1234</v>
      </c>
    </row>
    <row r="86" spans="1:6" ht="31" customHeight="1">
      <c r="A86" s="4" t="s">
        <v>263</v>
      </c>
      <c r="B86" s="4" t="s">
        <v>237</v>
      </c>
      <c r="C86" s="4" t="s">
        <v>1233</v>
      </c>
      <c r="D86" s="6">
        <v>16</v>
      </c>
      <c r="E86" s="5"/>
      <c r="F86" s="4" t="s">
        <v>1234</v>
      </c>
    </row>
    <row r="87" spans="1:6" ht="31" customHeight="1">
      <c r="A87" s="4" t="s">
        <v>268</v>
      </c>
      <c r="B87" s="4" t="s">
        <v>237</v>
      </c>
      <c r="C87" s="4" t="s">
        <v>1233</v>
      </c>
      <c r="D87" s="6">
        <v>16</v>
      </c>
      <c r="E87" s="6">
        <v>12</v>
      </c>
      <c r="F87" s="4" t="s">
        <v>1234</v>
      </c>
    </row>
    <row r="88" spans="1:6" ht="31" customHeight="1">
      <c r="A88" s="4" t="s">
        <v>274</v>
      </c>
      <c r="B88" s="4" t="s">
        <v>237</v>
      </c>
      <c r="C88" s="4" t="s">
        <v>1233</v>
      </c>
      <c r="D88" s="6">
        <v>17</v>
      </c>
      <c r="E88" s="5"/>
      <c r="F88" s="4" t="s">
        <v>1234</v>
      </c>
    </row>
    <row r="89" spans="1:6" ht="31" customHeight="1">
      <c r="A89" s="4" t="s">
        <v>282</v>
      </c>
      <c r="B89" s="4" t="s">
        <v>237</v>
      </c>
      <c r="C89" s="4" t="s">
        <v>1233</v>
      </c>
      <c r="D89" s="6">
        <v>19</v>
      </c>
      <c r="E89" s="5"/>
      <c r="F89" s="4" t="s">
        <v>1234</v>
      </c>
    </row>
    <row r="90" spans="1:6" ht="31" customHeight="1">
      <c r="A90" s="4" t="s">
        <v>298</v>
      </c>
      <c r="B90" s="4" t="s">
        <v>237</v>
      </c>
      <c r="C90" s="4" t="s">
        <v>1233</v>
      </c>
      <c r="D90" s="6">
        <v>4</v>
      </c>
      <c r="E90" s="6">
        <v>4</v>
      </c>
      <c r="F90" s="4" t="s">
        <v>1234</v>
      </c>
    </row>
    <row r="91" spans="1:6" ht="31" customHeight="1">
      <c r="A91" s="4" t="s">
        <v>300</v>
      </c>
      <c r="B91" s="4" t="s">
        <v>237</v>
      </c>
      <c r="C91" s="4" t="s">
        <v>1233</v>
      </c>
      <c r="D91" s="6">
        <v>16</v>
      </c>
      <c r="E91" s="5"/>
      <c r="F91" s="4" t="s">
        <v>1234</v>
      </c>
    </row>
    <row r="92" spans="1:6" ht="31" customHeight="1">
      <c r="A92" s="4" t="s">
        <v>304</v>
      </c>
      <c r="B92" s="4" t="s">
        <v>237</v>
      </c>
      <c r="C92" s="4" t="s">
        <v>1233</v>
      </c>
      <c r="D92" s="6">
        <v>16</v>
      </c>
      <c r="E92" s="5"/>
      <c r="F92" s="4" t="s">
        <v>1234</v>
      </c>
    </row>
    <row r="93" spans="1:6" ht="31" customHeight="1">
      <c r="A93" s="4" t="s">
        <v>306</v>
      </c>
      <c r="B93" s="4" t="s">
        <v>237</v>
      </c>
      <c r="C93" s="4" t="s">
        <v>1233</v>
      </c>
      <c r="D93" s="6">
        <v>21</v>
      </c>
      <c r="E93" s="5"/>
      <c r="F93" s="4" t="s">
        <v>1234</v>
      </c>
    </row>
    <row r="94" spans="1:6" ht="31" customHeight="1">
      <c r="A94" s="4" t="s">
        <v>109</v>
      </c>
      <c r="B94" s="4" t="s">
        <v>110</v>
      </c>
      <c r="C94" s="4" t="s">
        <v>55</v>
      </c>
      <c r="D94" s="5"/>
      <c r="E94" s="4" t="s">
        <v>113</v>
      </c>
      <c r="F94" s="4" t="s">
        <v>1235</v>
      </c>
    </row>
    <row r="95" spans="1:6" ht="31" customHeight="1">
      <c r="A95" s="4" t="s">
        <v>133</v>
      </c>
      <c r="B95" s="4" t="s">
        <v>110</v>
      </c>
      <c r="C95" s="4" t="s">
        <v>55</v>
      </c>
      <c r="D95" s="5"/>
      <c r="E95" s="4" t="s">
        <v>113</v>
      </c>
      <c r="F95" s="4" t="s">
        <v>1235</v>
      </c>
    </row>
    <row r="96" spans="1:6" ht="31" customHeight="1">
      <c r="A96" s="4" t="s">
        <v>141</v>
      </c>
      <c r="B96" s="4" t="s">
        <v>110</v>
      </c>
      <c r="C96" s="4" t="s">
        <v>55</v>
      </c>
      <c r="D96" s="5"/>
      <c r="E96" s="4" t="s">
        <v>113</v>
      </c>
      <c r="F96" s="4" t="s">
        <v>1235</v>
      </c>
    </row>
    <row r="97" spans="1:6" ht="31" customHeight="1">
      <c r="A97" s="4" t="s">
        <v>151</v>
      </c>
      <c r="B97" s="4" t="s">
        <v>110</v>
      </c>
      <c r="C97" s="4" t="s">
        <v>55</v>
      </c>
      <c r="D97" s="5"/>
      <c r="E97" s="4" t="s">
        <v>113</v>
      </c>
      <c r="F97" s="4" t="s">
        <v>1235</v>
      </c>
    </row>
    <row r="98" spans="1:6" ht="31" customHeight="1">
      <c r="A98" s="4" t="s">
        <v>109</v>
      </c>
      <c r="B98" s="4" t="s">
        <v>110</v>
      </c>
      <c r="C98" s="4" t="s">
        <v>61</v>
      </c>
      <c r="D98" s="4" t="s">
        <v>135</v>
      </c>
      <c r="E98" s="6">
        <v>1</v>
      </c>
      <c r="F98" s="4" t="s">
        <v>1236</v>
      </c>
    </row>
    <row r="99" spans="1:6" ht="31" customHeight="1">
      <c r="A99" s="4" t="s">
        <v>129</v>
      </c>
      <c r="B99" s="4" t="s">
        <v>110</v>
      </c>
      <c r="C99" s="4" t="s">
        <v>61</v>
      </c>
      <c r="D99" s="4" t="s">
        <v>135</v>
      </c>
      <c r="E99" s="6">
        <v>1</v>
      </c>
      <c r="F99" s="4" t="s">
        <v>1236</v>
      </c>
    </row>
    <row r="100" spans="1:6" ht="31" customHeight="1">
      <c r="A100" s="4" t="s">
        <v>181</v>
      </c>
      <c r="B100" s="4" t="s">
        <v>157</v>
      </c>
      <c r="C100" s="4" t="s">
        <v>60</v>
      </c>
      <c r="D100" s="5"/>
      <c r="E100" s="6">
        <v>0.0025</v>
      </c>
      <c r="F100" s="4" t="s">
        <v>1237</v>
      </c>
    </row>
    <row r="101" spans="1:6" ht="31" customHeight="1">
      <c r="A101" s="4" t="s">
        <v>184</v>
      </c>
      <c r="B101" s="4" t="s">
        <v>157</v>
      </c>
      <c r="C101" s="4" t="s">
        <v>60</v>
      </c>
      <c r="D101" s="5"/>
      <c r="E101" s="6">
        <v>0</v>
      </c>
      <c r="F101" s="4" t="s">
        <v>1237</v>
      </c>
    </row>
    <row r="102" spans="1:6" ht="31" customHeight="1">
      <c r="A102" s="4" t="s">
        <v>172</v>
      </c>
      <c r="B102" s="4" t="s">
        <v>157</v>
      </c>
      <c r="C102" s="4" t="s">
        <v>60</v>
      </c>
      <c r="D102" s="5"/>
      <c r="E102" s="6">
        <v>0</v>
      </c>
      <c r="F102" s="4" t="s">
        <v>1237</v>
      </c>
    </row>
    <row r="103" spans="1:6" ht="31" customHeight="1">
      <c r="A103" s="4" t="s">
        <v>168</v>
      </c>
      <c r="B103" s="4" t="s">
        <v>157</v>
      </c>
      <c r="C103" s="4" t="s">
        <v>60</v>
      </c>
      <c r="D103" s="5"/>
      <c r="E103" s="6">
        <v>0</v>
      </c>
      <c r="F103" s="4" t="s">
        <v>1237</v>
      </c>
    </row>
    <row r="104" spans="1:6" ht="31" customHeight="1">
      <c r="A104" s="4" t="s">
        <v>187</v>
      </c>
      <c r="B104" s="4" t="s">
        <v>157</v>
      </c>
      <c r="C104" s="4" t="s">
        <v>60</v>
      </c>
      <c r="D104" s="5"/>
      <c r="E104" s="6">
        <v>0</v>
      </c>
      <c r="F104" s="4" t="s">
        <v>1237</v>
      </c>
    </row>
    <row r="105" spans="1:6" ht="31" customHeight="1">
      <c r="A105" s="4" t="s">
        <v>156</v>
      </c>
      <c r="B105" s="4" t="s">
        <v>157</v>
      </c>
      <c r="C105" s="4" t="s">
        <v>59</v>
      </c>
      <c r="D105" s="5"/>
      <c r="E105" s="6">
        <v>1</v>
      </c>
      <c r="F105" s="4" t="s">
        <v>1238</v>
      </c>
    </row>
    <row r="106" spans="1:6" ht="31" customHeight="1">
      <c r="A106" s="4" t="s">
        <v>168</v>
      </c>
      <c r="B106" s="4" t="s">
        <v>157</v>
      </c>
      <c r="C106" s="4" t="s">
        <v>59</v>
      </c>
      <c r="D106" s="5"/>
      <c r="E106" s="6">
        <v>1</v>
      </c>
      <c r="F106" s="4" t="s">
        <v>1238</v>
      </c>
    </row>
    <row r="107" spans="1:6" ht="31" customHeight="1">
      <c r="A107" s="4" t="s">
        <v>172</v>
      </c>
      <c r="B107" s="4" t="s">
        <v>157</v>
      </c>
      <c r="C107" s="4" t="s">
        <v>59</v>
      </c>
      <c r="D107" s="5"/>
      <c r="E107" s="6">
        <v>1</v>
      </c>
      <c r="F107" s="4" t="s">
        <v>1238</v>
      </c>
    </row>
    <row r="108" spans="1:6" ht="31" customHeight="1">
      <c r="A108" s="4" t="s">
        <v>177</v>
      </c>
      <c r="B108" s="4" t="s">
        <v>157</v>
      </c>
      <c r="C108" s="4" t="s">
        <v>59</v>
      </c>
      <c r="D108" s="5"/>
      <c r="E108" s="6">
        <v>1</v>
      </c>
      <c r="F108" s="4" t="s">
        <v>1238</v>
      </c>
    </row>
    <row r="109" spans="1:6" ht="31" customHeight="1">
      <c r="A109" s="4" t="s">
        <v>181</v>
      </c>
      <c r="B109" s="4" t="s">
        <v>157</v>
      </c>
      <c r="C109" s="4" t="s">
        <v>59</v>
      </c>
      <c r="D109" s="5"/>
      <c r="E109" s="6">
        <v>1</v>
      </c>
      <c r="F109" s="4" t="s">
        <v>1238</v>
      </c>
    </row>
    <row r="110" spans="1:6" ht="31" customHeight="1">
      <c r="A110" s="4" t="s">
        <v>184</v>
      </c>
      <c r="B110" s="4" t="s">
        <v>157</v>
      </c>
      <c r="C110" s="4" t="s">
        <v>59</v>
      </c>
      <c r="D110" s="5"/>
      <c r="E110" s="6">
        <v>1</v>
      </c>
      <c r="F110" s="4" t="s">
        <v>1238</v>
      </c>
    </row>
    <row r="111" spans="1:6" ht="31" customHeight="1">
      <c r="A111" s="4" t="s">
        <v>187</v>
      </c>
      <c r="B111" s="4" t="s">
        <v>157</v>
      </c>
      <c r="C111" s="4" t="s">
        <v>59</v>
      </c>
      <c r="D111" s="5"/>
      <c r="E111" s="6">
        <v>1</v>
      </c>
      <c r="F111" s="4" t="s">
        <v>1238</v>
      </c>
    </row>
    <row r="112" spans="1:6" ht="31" customHeight="1">
      <c r="A112" s="4" t="s">
        <v>184</v>
      </c>
      <c r="B112" s="4" t="s">
        <v>157</v>
      </c>
      <c r="C112" s="4" t="s">
        <v>62</v>
      </c>
      <c r="D112" s="5"/>
      <c r="E112" s="6">
        <v>1</v>
      </c>
      <c r="F112" s="4" t="s">
        <v>1239</v>
      </c>
    </row>
    <row r="113" spans="1:6" ht="31" customHeight="1">
      <c r="A113" s="4" t="s">
        <v>172</v>
      </c>
      <c r="B113" s="4" t="s">
        <v>157</v>
      </c>
      <c r="C113" s="4" t="s">
        <v>62</v>
      </c>
      <c r="D113" s="5"/>
      <c r="E113" s="6">
        <v>1</v>
      </c>
      <c r="F113" s="4" t="s">
        <v>1239</v>
      </c>
    </row>
    <row r="114" spans="1:6" ht="31" customHeight="1">
      <c r="A114" s="4" t="s">
        <v>345</v>
      </c>
      <c r="B114" s="4" t="s">
        <v>346</v>
      </c>
      <c r="C114" s="4" t="s">
        <v>489</v>
      </c>
      <c r="D114" s="5"/>
      <c r="E114" s="6">
        <v>44.97</v>
      </c>
      <c r="F114" s="4" t="s">
        <v>1240</v>
      </c>
    </row>
    <row r="115" spans="1:6" ht="31" customHeight="1">
      <c r="A115" s="4" t="s">
        <v>354</v>
      </c>
      <c r="B115" s="4" t="s">
        <v>346</v>
      </c>
      <c r="C115" s="4" t="s">
        <v>489</v>
      </c>
      <c r="D115" s="5"/>
      <c r="E115" s="6">
        <v>96.40000000000001</v>
      </c>
      <c r="F115" s="4" t="s">
        <v>1241</v>
      </c>
    </row>
    <row r="116" spans="1:6" ht="31" customHeight="1">
      <c r="A116" s="4" t="s">
        <v>381</v>
      </c>
      <c r="B116" s="4" t="s">
        <v>346</v>
      </c>
      <c r="C116" s="4" t="s">
        <v>489</v>
      </c>
      <c r="D116" s="5"/>
      <c r="E116" s="6">
        <v>980.02</v>
      </c>
      <c r="F116" s="4" t="s">
        <v>1242</v>
      </c>
    </row>
    <row r="117" spans="1:6" ht="31" customHeight="1">
      <c r="A117" s="4" t="s">
        <v>360</v>
      </c>
      <c r="B117" s="4" t="s">
        <v>346</v>
      </c>
      <c r="C117" s="4" t="s">
        <v>489</v>
      </c>
      <c r="D117" s="5"/>
      <c r="E117" s="6">
        <v>170.59</v>
      </c>
      <c r="F117" s="4" t="s">
        <v>1243</v>
      </c>
    </row>
    <row r="118" spans="1:6" ht="31" customHeight="1">
      <c r="A118" s="4" t="s">
        <v>371</v>
      </c>
      <c r="B118" s="4" t="s">
        <v>346</v>
      </c>
      <c r="C118" s="4" t="s">
        <v>489</v>
      </c>
      <c r="D118" s="5"/>
      <c r="E118" s="6">
        <v>114039.77</v>
      </c>
      <c r="F118" s="4" t="s">
        <v>1244</v>
      </c>
    </row>
    <row r="119" spans="1:6" ht="31" customHeight="1">
      <c r="A119" s="4" t="s">
        <v>366</v>
      </c>
      <c r="B119" s="4" t="s">
        <v>346</v>
      </c>
      <c r="C119" s="4" t="s">
        <v>489</v>
      </c>
      <c r="D119" s="5"/>
      <c r="E119" s="6">
        <v>4598.71</v>
      </c>
      <c r="F119" s="4" t="s">
        <v>1245</v>
      </c>
    </row>
    <row r="120" spans="1:6" ht="31" customHeight="1">
      <c r="A120" s="4" t="s">
        <v>375</v>
      </c>
      <c r="B120" s="4" t="s">
        <v>346</v>
      </c>
      <c r="C120" s="4" t="s">
        <v>489</v>
      </c>
      <c r="D120" s="5"/>
      <c r="E120" s="6">
        <v>7679.9</v>
      </c>
      <c r="F120" s="4" t="s">
        <v>1246</v>
      </c>
    </row>
    <row r="121" spans="1:6" ht="31" customHeight="1">
      <c r="A121" s="4" t="s">
        <v>378</v>
      </c>
      <c r="B121" s="4" t="s">
        <v>346</v>
      </c>
      <c r="C121" s="4" t="s">
        <v>489</v>
      </c>
      <c r="D121" s="5"/>
      <c r="E121" s="6">
        <v>10656.46</v>
      </c>
      <c r="F121" s="4" t="s">
        <v>1247</v>
      </c>
    </row>
    <row r="122" spans="1:6" ht="31" customHeight="1">
      <c r="A122" s="4" t="s">
        <v>363</v>
      </c>
      <c r="B122" s="4" t="s">
        <v>346</v>
      </c>
      <c r="C122" s="4" t="s">
        <v>489</v>
      </c>
      <c r="D122" s="5"/>
      <c r="E122" s="6">
        <v>872.77</v>
      </c>
      <c r="F122" s="4" t="s">
        <v>1248</v>
      </c>
    </row>
    <row r="123" spans="1:6" ht="31" customHeight="1">
      <c r="A123" s="4" t="s">
        <v>345</v>
      </c>
      <c r="B123" s="4" t="s">
        <v>346</v>
      </c>
      <c r="C123" s="4" t="s">
        <v>61</v>
      </c>
      <c r="D123" s="4" t="s">
        <v>135</v>
      </c>
      <c r="E123" s="6">
        <v>0</v>
      </c>
      <c r="F123" s="4" t="s">
        <v>1249</v>
      </c>
    </row>
    <row r="124" spans="1:6" ht="31" customHeight="1">
      <c r="A124" s="4" t="s">
        <v>366</v>
      </c>
      <c r="B124" s="4" t="s">
        <v>346</v>
      </c>
      <c r="C124" s="4" t="s">
        <v>61</v>
      </c>
      <c r="D124" s="4" t="s">
        <v>135</v>
      </c>
      <c r="E124" s="6">
        <v>0</v>
      </c>
      <c r="F124" s="4" t="s">
        <v>1250</v>
      </c>
    </row>
    <row r="125" spans="1:6" ht="31" customHeight="1">
      <c r="A125" s="4" t="s">
        <v>375</v>
      </c>
      <c r="B125" s="4" t="s">
        <v>346</v>
      </c>
      <c r="C125" s="4" t="s">
        <v>61</v>
      </c>
      <c r="D125" s="4" t="s">
        <v>135</v>
      </c>
      <c r="E125" s="6">
        <v>0</v>
      </c>
      <c r="F125" s="4" t="s">
        <v>1251</v>
      </c>
    </row>
    <row r="126" spans="1:6" ht="31" customHeight="1">
      <c r="A126" s="4" t="s">
        <v>378</v>
      </c>
      <c r="B126" s="4" t="s">
        <v>346</v>
      </c>
      <c r="C126" s="4" t="s">
        <v>61</v>
      </c>
      <c r="D126" s="4" t="s">
        <v>135</v>
      </c>
      <c r="E126" s="6">
        <v>0</v>
      </c>
      <c r="F126" s="4" t="s">
        <v>1252</v>
      </c>
    </row>
    <row r="127" spans="1:6" ht="31" customHeight="1">
      <c r="A127" s="4" t="s">
        <v>363</v>
      </c>
      <c r="B127" s="4" t="s">
        <v>346</v>
      </c>
      <c r="C127" s="4" t="s">
        <v>61</v>
      </c>
      <c r="D127" s="4" t="s">
        <v>135</v>
      </c>
      <c r="E127" s="6">
        <v>0</v>
      </c>
      <c r="F127" s="4" t="s">
        <v>1253</v>
      </c>
    </row>
    <row r="128" spans="1:6" ht="31" customHeight="1">
      <c r="A128" s="4" t="s">
        <v>357</v>
      </c>
      <c r="B128" s="4" t="s">
        <v>346</v>
      </c>
      <c r="C128" s="4" t="s">
        <v>62</v>
      </c>
      <c r="D128" s="5"/>
      <c r="E128" s="6">
        <v>0</v>
      </c>
      <c r="F128" s="4" t="s">
        <v>1254</v>
      </c>
    </row>
    <row r="129" spans="1:6" ht="31" customHeight="1">
      <c r="A129" s="4" t="s">
        <v>357</v>
      </c>
      <c r="B129" s="4" t="s">
        <v>346</v>
      </c>
      <c r="C129" s="4" t="s">
        <v>60</v>
      </c>
      <c r="D129" s="5"/>
      <c r="E129" s="6">
        <v>0.0459</v>
      </c>
      <c r="F129" s="4" t="s">
        <v>1255</v>
      </c>
    </row>
    <row r="130" spans="1:6" ht="31" customHeight="1">
      <c r="A130" s="4" t="s">
        <v>357</v>
      </c>
      <c r="B130" s="4" t="s">
        <v>346</v>
      </c>
      <c r="C130" s="4" t="s">
        <v>38</v>
      </c>
      <c r="D130" s="5"/>
      <c r="E130" s="4" t="s">
        <v>134</v>
      </c>
      <c r="F130" s="4" t="s">
        <v>1256</v>
      </c>
    </row>
    <row r="131" spans="1:6" ht="31" customHeight="1">
      <c r="A131" s="4" t="s">
        <v>360</v>
      </c>
      <c r="B131" s="4" t="s">
        <v>346</v>
      </c>
      <c r="C131" s="4" t="s">
        <v>62</v>
      </c>
      <c r="D131" s="5"/>
      <c r="E131" s="6">
        <v>0</v>
      </c>
      <c r="F131" s="4" t="s">
        <v>1257</v>
      </c>
    </row>
    <row r="132" spans="1:6" ht="31" customHeight="1">
      <c r="A132" s="4" t="s">
        <v>363</v>
      </c>
      <c r="B132" s="4" t="s">
        <v>346</v>
      </c>
      <c r="C132" s="4" t="s">
        <v>62</v>
      </c>
      <c r="D132" s="5"/>
      <c r="E132" s="6">
        <v>0</v>
      </c>
      <c r="F132" s="4" t="s">
        <v>1258</v>
      </c>
    </row>
    <row r="133" spans="1:6" ht="31" customHeight="1">
      <c r="A133" s="4" t="s">
        <v>366</v>
      </c>
      <c r="B133" s="4" t="s">
        <v>346</v>
      </c>
      <c r="C133" s="4" t="s">
        <v>75</v>
      </c>
      <c r="D133" s="5"/>
      <c r="E133" s="4" t="s">
        <v>368</v>
      </c>
      <c r="F133" s="4" t="s">
        <v>1259</v>
      </c>
    </row>
    <row r="134" spans="1:6" ht="31" customHeight="1">
      <c r="A134" s="4" t="s">
        <v>371</v>
      </c>
      <c r="B134" s="4" t="s">
        <v>346</v>
      </c>
      <c r="C134" s="4" t="s">
        <v>75</v>
      </c>
      <c r="D134" s="5"/>
      <c r="E134" s="4" t="s">
        <v>372</v>
      </c>
      <c r="F134" s="4" t="s">
        <v>1260</v>
      </c>
    </row>
    <row r="135" spans="1:6" ht="31" customHeight="1">
      <c r="A135" s="4" t="s">
        <v>375</v>
      </c>
      <c r="B135" s="4" t="s">
        <v>346</v>
      </c>
      <c r="C135" s="4" t="s">
        <v>75</v>
      </c>
      <c r="D135" s="5"/>
      <c r="E135" s="4" t="s">
        <v>376</v>
      </c>
      <c r="F135" s="4" t="s">
        <v>1261</v>
      </c>
    </row>
    <row r="136" spans="1:6" ht="31" customHeight="1">
      <c r="A136" s="4" t="s">
        <v>378</v>
      </c>
      <c r="B136" s="4" t="s">
        <v>346</v>
      </c>
      <c r="C136" s="4" t="s">
        <v>75</v>
      </c>
      <c r="D136" s="5"/>
      <c r="E136" s="4" t="s">
        <v>379</v>
      </c>
      <c r="F136" s="4" t="s">
        <v>1262</v>
      </c>
    </row>
    <row r="137" spans="1:6" ht="31" customHeight="1">
      <c r="A137" s="4" t="s">
        <v>381</v>
      </c>
      <c r="B137" s="4" t="s">
        <v>346</v>
      </c>
      <c r="C137" s="4" t="s">
        <v>75</v>
      </c>
      <c r="D137" s="5"/>
      <c r="E137" s="4" t="s">
        <v>382</v>
      </c>
      <c r="F137" s="4" t="s">
        <v>1263</v>
      </c>
    </row>
    <row r="138" spans="1:6" ht="31" customHeight="1">
      <c r="A138" s="4" t="s">
        <v>236</v>
      </c>
      <c r="B138" s="4" t="s">
        <v>237</v>
      </c>
      <c r="C138" s="4" t="s">
        <v>71</v>
      </c>
      <c r="D138" s="5"/>
      <c r="E138" s="4" t="s">
        <v>115</v>
      </c>
      <c r="F138" s="4" t="s">
        <v>1264</v>
      </c>
    </row>
    <row r="139" spans="1:6" ht="31" customHeight="1">
      <c r="A139" s="4" t="s">
        <v>252</v>
      </c>
      <c r="B139" s="4" t="s">
        <v>237</v>
      </c>
      <c r="C139" s="4" t="s">
        <v>38</v>
      </c>
      <c r="D139" s="5"/>
      <c r="E139" s="4" t="s">
        <v>112</v>
      </c>
      <c r="F139" s="4" t="s">
        <v>1264</v>
      </c>
    </row>
    <row r="140" spans="1:6" ht="31" customHeight="1">
      <c r="A140" s="4" t="s">
        <v>252</v>
      </c>
      <c r="B140" s="4" t="s">
        <v>237</v>
      </c>
      <c r="C140" s="4" t="s">
        <v>36</v>
      </c>
      <c r="D140" s="5"/>
      <c r="E140" s="6">
        <v>1</v>
      </c>
      <c r="F140" s="4" t="s">
        <v>1264</v>
      </c>
    </row>
    <row r="141" spans="1:6" ht="31" customHeight="1">
      <c r="A141" s="4" t="s">
        <v>252</v>
      </c>
      <c r="B141" s="4" t="s">
        <v>237</v>
      </c>
      <c r="C141" s="4" t="s">
        <v>71</v>
      </c>
      <c r="D141" s="5"/>
      <c r="E141" s="4" t="s">
        <v>115</v>
      </c>
      <c r="F141" s="4" t="s">
        <v>1264</v>
      </c>
    </row>
    <row r="142" spans="1:6" ht="31" customHeight="1">
      <c r="A142" s="4" t="s">
        <v>263</v>
      </c>
      <c r="B142" s="4" t="s">
        <v>237</v>
      </c>
      <c r="C142" s="4" t="s">
        <v>38</v>
      </c>
      <c r="D142" s="5"/>
      <c r="E142" s="4" t="s">
        <v>134</v>
      </c>
      <c r="F142" s="4" t="s">
        <v>1264</v>
      </c>
    </row>
    <row r="143" spans="1:6" ht="31" customHeight="1">
      <c r="A143" s="4" t="s">
        <v>263</v>
      </c>
      <c r="B143" s="4" t="s">
        <v>237</v>
      </c>
      <c r="C143" s="4" t="s">
        <v>71</v>
      </c>
      <c r="D143" s="5"/>
      <c r="E143" s="4" t="s">
        <v>115</v>
      </c>
      <c r="F143" s="4" t="s">
        <v>1264</v>
      </c>
    </row>
    <row r="144" spans="1:6" ht="31" customHeight="1">
      <c r="A144" s="4" t="s">
        <v>268</v>
      </c>
      <c r="B144" s="4" t="s">
        <v>237</v>
      </c>
      <c r="C144" s="4" t="s">
        <v>38</v>
      </c>
      <c r="D144" s="5"/>
      <c r="E144" s="4" t="s">
        <v>112</v>
      </c>
      <c r="F144" s="4" t="s">
        <v>1264</v>
      </c>
    </row>
    <row r="145" spans="1:6" ht="31" customHeight="1">
      <c r="A145" s="4" t="s">
        <v>268</v>
      </c>
      <c r="B145" s="4" t="s">
        <v>237</v>
      </c>
      <c r="C145" s="4" t="s">
        <v>71</v>
      </c>
      <c r="D145" s="5"/>
      <c r="E145" s="4" t="s">
        <v>115</v>
      </c>
      <c r="F145" s="4" t="s">
        <v>1264</v>
      </c>
    </row>
    <row r="146" spans="1:6" ht="31" customHeight="1">
      <c r="A146" s="4" t="s">
        <v>290</v>
      </c>
      <c r="B146" s="4" t="s">
        <v>237</v>
      </c>
      <c r="C146" s="4" t="s">
        <v>38</v>
      </c>
      <c r="D146" s="5"/>
      <c r="E146" s="4" t="s">
        <v>112</v>
      </c>
      <c r="F146" s="4" t="s">
        <v>1264</v>
      </c>
    </row>
    <row r="147" spans="1:6" ht="31" customHeight="1">
      <c r="A147" s="4" t="s">
        <v>290</v>
      </c>
      <c r="B147" s="4" t="s">
        <v>237</v>
      </c>
      <c r="C147" s="4" t="s">
        <v>71</v>
      </c>
      <c r="D147" s="5"/>
      <c r="E147" s="4" t="s">
        <v>144</v>
      </c>
      <c r="F147" s="4" t="s">
        <v>1264</v>
      </c>
    </row>
    <row r="148" spans="1:6" ht="31" customHeight="1">
      <c r="A148" s="4" t="s">
        <v>296</v>
      </c>
      <c r="B148" s="4" t="s">
        <v>237</v>
      </c>
      <c r="C148" s="4" t="s">
        <v>38</v>
      </c>
      <c r="D148" s="5"/>
      <c r="E148" s="4" t="s">
        <v>112</v>
      </c>
      <c r="F148" s="4" t="s">
        <v>1264</v>
      </c>
    </row>
    <row r="149" spans="1:6" ht="31" customHeight="1">
      <c r="A149" s="4" t="s">
        <v>296</v>
      </c>
      <c r="B149" s="4" t="s">
        <v>237</v>
      </c>
      <c r="C149" s="4" t="s">
        <v>71</v>
      </c>
      <c r="D149" s="5"/>
      <c r="E149" s="4" t="s">
        <v>144</v>
      </c>
      <c r="F149" s="4" t="s">
        <v>1264</v>
      </c>
    </row>
    <row r="150" spans="1:6" ht="31" customHeight="1">
      <c r="A150" s="4" t="s">
        <v>282</v>
      </c>
      <c r="B150" s="4" t="s">
        <v>237</v>
      </c>
      <c r="C150" s="4" t="s">
        <v>38</v>
      </c>
      <c r="D150" s="5"/>
      <c r="E150" s="4" t="s">
        <v>112</v>
      </c>
      <c r="F150" s="4" t="s">
        <v>1264</v>
      </c>
    </row>
    <row r="151" spans="1:6" ht="31" customHeight="1">
      <c r="A151" s="4" t="s">
        <v>282</v>
      </c>
      <c r="B151" s="4" t="s">
        <v>237</v>
      </c>
      <c r="C151" s="4" t="s">
        <v>71</v>
      </c>
      <c r="D151" s="5"/>
      <c r="E151" s="4" t="s">
        <v>115</v>
      </c>
      <c r="F151" s="4" t="s">
        <v>1264</v>
      </c>
    </row>
    <row r="152" spans="1:6" ht="31" customHeight="1">
      <c r="A152" s="4" t="s">
        <v>469</v>
      </c>
      <c r="B152" s="4" t="s">
        <v>237</v>
      </c>
      <c r="C152" s="4" t="s">
        <v>38</v>
      </c>
      <c r="D152" s="5"/>
      <c r="E152" s="4" t="s">
        <v>134</v>
      </c>
      <c r="F152" s="4" t="s">
        <v>1264</v>
      </c>
    </row>
    <row r="153" spans="1:6" ht="31" customHeight="1">
      <c r="A153" s="4" t="s">
        <v>469</v>
      </c>
      <c r="B153" s="4" t="s">
        <v>237</v>
      </c>
      <c r="C153" s="4" t="s">
        <v>71</v>
      </c>
      <c r="D153" s="5"/>
      <c r="E153" s="4" t="s">
        <v>144</v>
      </c>
      <c r="F153" s="4" t="s">
        <v>1264</v>
      </c>
    </row>
    <row r="154" spans="1:6" ht="31" customHeight="1">
      <c r="A154" s="4" t="s">
        <v>298</v>
      </c>
      <c r="B154" s="4" t="s">
        <v>237</v>
      </c>
      <c r="C154" s="4" t="s">
        <v>38</v>
      </c>
      <c r="D154" s="5"/>
      <c r="E154" s="4" t="s">
        <v>112</v>
      </c>
      <c r="F154" s="4" t="s">
        <v>1264</v>
      </c>
    </row>
    <row r="155" spans="1:6" ht="31" customHeight="1">
      <c r="A155" s="4" t="s">
        <v>298</v>
      </c>
      <c r="B155" s="4" t="s">
        <v>237</v>
      </c>
      <c r="C155" s="4" t="s">
        <v>71</v>
      </c>
      <c r="D155" s="5"/>
      <c r="E155" s="4" t="s">
        <v>144</v>
      </c>
      <c r="F155" s="4" t="s">
        <v>1264</v>
      </c>
    </row>
    <row r="156" spans="1:6" ht="31" customHeight="1">
      <c r="A156" s="4" t="s">
        <v>472</v>
      </c>
      <c r="B156" s="4" t="s">
        <v>237</v>
      </c>
      <c r="C156" s="4" t="s">
        <v>38</v>
      </c>
      <c r="D156" s="5"/>
      <c r="E156" s="4" t="s">
        <v>112</v>
      </c>
      <c r="F156" s="4" t="s">
        <v>1264</v>
      </c>
    </row>
    <row r="157" spans="1:6" ht="31" customHeight="1">
      <c r="A157" s="4" t="s">
        <v>472</v>
      </c>
      <c r="B157" s="4" t="s">
        <v>237</v>
      </c>
      <c r="C157" s="4" t="s">
        <v>36</v>
      </c>
      <c r="D157" s="5"/>
      <c r="E157" s="6">
        <v>1</v>
      </c>
      <c r="F157" s="4" t="s">
        <v>1264</v>
      </c>
    </row>
    <row r="158" spans="1:6" ht="31" customHeight="1">
      <c r="A158" s="4" t="s">
        <v>472</v>
      </c>
      <c r="B158" s="4" t="s">
        <v>237</v>
      </c>
      <c r="C158" s="4" t="s">
        <v>71</v>
      </c>
      <c r="D158" s="5"/>
      <c r="E158" s="4" t="s">
        <v>144</v>
      </c>
      <c r="F158" s="4" t="s">
        <v>1264</v>
      </c>
    </row>
    <row r="159" spans="1:6" ht="31" customHeight="1">
      <c r="A159" s="4" t="s">
        <v>463</v>
      </c>
      <c r="B159" s="4" t="s">
        <v>237</v>
      </c>
      <c r="C159" s="4" t="s">
        <v>38</v>
      </c>
      <c r="D159" s="5"/>
      <c r="E159" s="4" t="s">
        <v>112</v>
      </c>
      <c r="F159" s="4" t="s">
        <v>1264</v>
      </c>
    </row>
    <row r="160" spans="1:6" ht="31" customHeight="1">
      <c r="A160" s="4" t="s">
        <v>463</v>
      </c>
      <c r="B160" s="4" t="s">
        <v>237</v>
      </c>
      <c r="C160" s="4" t="s">
        <v>36</v>
      </c>
      <c r="D160" s="5"/>
      <c r="E160" s="6">
        <v>1</v>
      </c>
      <c r="F160" s="4" t="s">
        <v>1264</v>
      </c>
    </row>
    <row r="161" spans="1:6" ht="31" customHeight="1">
      <c r="A161" s="4" t="s">
        <v>463</v>
      </c>
      <c r="B161" s="4" t="s">
        <v>237</v>
      </c>
      <c r="C161" s="4" t="s">
        <v>71</v>
      </c>
      <c r="D161" s="5"/>
      <c r="E161" s="4" t="s">
        <v>144</v>
      </c>
      <c r="F161" s="4" t="s">
        <v>1264</v>
      </c>
    </row>
    <row r="162" spans="1:6" ht="31" customHeight="1">
      <c r="A162" s="4" t="s">
        <v>274</v>
      </c>
      <c r="B162" s="4" t="s">
        <v>237</v>
      </c>
      <c r="C162" s="4" t="s">
        <v>38</v>
      </c>
      <c r="D162" s="5"/>
      <c r="E162" s="4" t="s">
        <v>112</v>
      </c>
      <c r="F162" s="4" t="s">
        <v>1264</v>
      </c>
    </row>
    <row r="163" spans="1:6" ht="31" customHeight="1">
      <c r="A163" s="4" t="s">
        <v>274</v>
      </c>
      <c r="B163" s="4" t="s">
        <v>237</v>
      </c>
      <c r="C163" s="4" t="s">
        <v>36</v>
      </c>
      <c r="D163" s="5"/>
      <c r="E163" s="6">
        <v>1</v>
      </c>
      <c r="F163" s="4" t="s">
        <v>1264</v>
      </c>
    </row>
    <row r="164" spans="1:6" ht="31" customHeight="1">
      <c r="A164" s="4" t="s">
        <v>274</v>
      </c>
      <c r="B164" s="4" t="s">
        <v>237</v>
      </c>
      <c r="C164" s="4" t="s">
        <v>71</v>
      </c>
      <c r="D164" s="5"/>
      <c r="E164" s="4" t="s">
        <v>115</v>
      </c>
      <c r="F164" s="4" t="s">
        <v>1264</v>
      </c>
    </row>
    <row r="165" spans="1:6" ht="31" customHeight="1">
      <c r="A165" s="4" t="s">
        <v>252</v>
      </c>
      <c r="B165" s="4" t="s">
        <v>237</v>
      </c>
      <c r="C165" s="4" t="s">
        <v>63</v>
      </c>
      <c r="D165" s="5"/>
      <c r="E165" s="6">
        <v>13538</v>
      </c>
      <c r="F165" s="4" t="s">
        <v>1265</v>
      </c>
    </row>
    <row r="166" spans="1:6" ht="31" customHeight="1">
      <c r="A166" s="4" t="s">
        <v>252</v>
      </c>
      <c r="B166" s="4" t="s">
        <v>237</v>
      </c>
      <c r="C166" s="4" t="s">
        <v>73</v>
      </c>
      <c r="D166" s="5"/>
      <c r="E166" s="4" t="s">
        <v>130</v>
      </c>
      <c r="F166" s="4" t="s">
        <v>1265</v>
      </c>
    </row>
    <row r="167" spans="1:6" ht="31" customHeight="1">
      <c r="A167" s="4" t="s">
        <v>263</v>
      </c>
      <c r="B167" s="4" t="s">
        <v>237</v>
      </c>
      <c r="C167" s="4" t="s">
        <v>63</v>
      </c>
      <c r="D167" s="5"/>
      <c r="E167" s="6">
        <v>21567.9</v>
      </c>
      <c r="F167" s="4" t="s">
        <v>1266</v>
      </c>
    </row>
    <row r="168" spans="1:6" ht="31" customHeight="1">
      <c r="A168" s="4" t="s">
        <v>263</v>
      </c>
      <c r="B168" s="4" t="s">
        <v>237</v>
      </c>
      <c r="C168" s="4" t="s">
        <v>65</v>
      </c>
      <c r="D168" s="5"/>
      <c r="E168" s="6">
        <v>169.7</v>
      </c>
      <c r="F168" s="4" t="s">
        <v>1266</v>
      </c>
    </row>
    <row r="169" spans="1:6" ht="31" customHeight="1">
      <c r="A169" s="4" t="s">
        <v>263</v>
      </c>
      <c r="B169" s="4" t="s">
        <v>237</v>
      </c>
      <c r="C169" s="4" t="s">
        <v>73</v>
      </c>
      <c r="D169" s="5"/>
      <c r="E169" s="4" t="s">
        <v>130</v>
      </c>
      <c r="F169" s="4" t="s">
        <v>1266</v>
      </c>
    </row>
    <row r="170" spans="1:6" ht="31" customHeight="1">
      <c r="A170" s="4" t="s">
        <v>298</v>
      </c>
      <c r="B170" s="4" t="s">
        <v>237</v>
      </c>
      <c r="C170" s="4" t="s">
        <v>63</v>
      </c>
      <c r="D170" s="5"/>
      <c r="E170" s="6">
        <v>1001.6</v>
      </c>
      <c r="F170" s="4" t="s">
        <v>1266</v>
      </c>
    </row>
    <row r="171" spans="1:6" ht="31" customHeight="1">
      <c r="A171" s="4" t="s">
        <v>298</v>
      </c>
      <c r="B171" s="4" t="s">
        <v>237</v>
      </c>
      <c r="C171" s="4" t="s">
        <v>65</v>
      </c>
      <c r="D171" s="5"/>
      <c r="E171" s="6">
        <v>68.8</v>
      </c>
      <c r="F171" s="4" t="s">
        <v>1266</v>
      </c>
    </row>
    <row r="172" spans="1:6" ht="31" customHeight="1">
      <c r="A172" s="4" t="s">
        <v>298</v>
      </c>
      <c r="B172" s="4" t="s">
        <v>237</v>
      </c>
      <c r="C172" s="4" t="s">
        <v>73</v>
      </c>
      <c r="D172" s="5"/>
      <c r="E172" s="4" t="s">
        <v>130</v>
      </c>
      <c r="F172" s="4" t="s">
        <v>1266</v>
      </c>
    </row>
    <row r="173" spans="1:6" ht="31" customHeight="1">
      <c r="A173" s="4" t="s">
        <v>472</v>
      </c>
      <c r="B173" s="4" t="s">
        <v>237</v>
      </c>
      <c r="C173" s="4" t="s">
        <v>63</v>
      </c>
      <c r="D173" s="5"/>
      <c r="E173" s="6">
        <v>1867</v>
      </c>
      <c r="F173" s="4" t="s">
        <v>1266</v>
      </c>
    </row>
    <row r="174" spans="1:6" ht="31" customHeight="1">
      <c r="A174" s="4" t="s">
        <v>472</v>
      </c>
      <c r="B174" s="4" t="s">
        <v>237</v>
      </c>
      <c r="C174" s="4" t="s">
        <v>65</v>
      </c>
      <c r="D174" s="5"/>
      <c r="E174" s="6">
        <v>150.2</v>
      </c>
      <c r="F174" s="4" t="s">
        <v>1266</v>
      </c>
    </row>
    <row r="175" spans="1:6" ht="31" customHeight="1">
      <c r="A175" s="4" t="s">
        <v>472</v>
      </c>
      <c r="B175" s="4" t="s">
        <v>237</v>
      </c>
      <c r="C175" s="4" t="s">
        <v>73</v>
      </c>
      <c r="D175" s="5"/>
      <c r="E175" s="4" t="s">
        <v>130</v>
      </c>
      <c r="F175" s="4" t="s">
        <v>1266</v>
      </c>
    </row>
    <row r="176" spans="1:6" ht="31" customHeight="1">
      <c r="A176" s="4" t="s">
        <v>463</v>
      </c>
      <c r="B176" s="4" t="s">
        <v>237</v>
      </c>
      <c r="C176" s="4" t="s">
        <v>63</v>
      </c>
      <c r="D176" s="5"/>
      <c r="E176" s="6">
        <v>2418</v>
      </c>
      <c r="F176" s="4" t="s">
        <v>1266</v>
      </c>
    </row>
    <row r="177" spans="1:6" ht="31" customHeight="1">
      <c r="A177" s="4" t="s">
        <v>463</v>
      </c>
      <c r="B177" s="4" t="s">
        <v>237</v>
      </c>
      <c r="C177" s="4" t="s">
        <v>65</v>
      </c>
      <c r="D177" s="5"/>
      <c r="E177" s="6">
        <v>180.1</v>
      </c>
      <c r="F177" s="4" t="s">
        <v>1266</v>
      </c>
    </row>
    <row r="178" spans="1:6" ht="31" customHeight="1">
      <c r="A178" s="4" t="s">
        <v>463</v>
      </c>
      <c r="B178" s="4" t="s">
        <v>237</v>
      </c>
      <c r="C178" s="4" t="s">
        <v>73</v>
      </c>
      <c r="D178" s="5"/>
      <c r="E178" s="4" t="s">
        <v>130</v>
      </c>
      <c r="F178" s="4" t="s">
        <v>1266</v>
      </c>
    </row>
    <row r="179" spans="1:6" ht="31" customHeight="1">
      <c r="A179" s="4" t="s">
        <v>274</v>
      </c>
      <c r="B179" s="4" t="s">
        <v>237</v>
      </c>
      <c r="C179" s="4" t="s">
        <v>67</v>
      </c>
      <c r="D179" s="5"/>
      <c r="E179" s="6">
        <v>4527</v>
      </c>
      <c r="F179" s="4" t="s">
        <v>1266</v>
      </c>
    </row>
    <row r="180" spans="1:6" ht="31" customHeight="1">
      <c r="A180" s="4" t="s">
        <v>274</v>
      </c>
      <c r="B180" s="4" t="s">
        <v>237</v>
      </c>
      <c r="C180" s="4" t="s">
        <v>64</v>
      </c>
      <c r="D180" s="5"/>
      <c r="E180" s="6">
        <v>22261</v>
      </c>
      <c r="F180" s="4" t="s">
        <v>1266</v>
      </c>
    </row>
    <row r="181" spans="1:6" ht="31" customHeight="1">
      <c r="A181" s="4" t="s">
        <v>274</v>
      </c>
      <c r="B181" s="4" t="s">
        <v>237</v>
      </c>
      <c r="C181" s="4" t="s">
        <v>73</v>
      </c>
      <c r="D181" s="5"/>
      <c r="E181" s="4" t="s">
        <v>113</v>
      </c>
      <c r="F181" s="4" t="s">
        <v>1266</v>
      </c>
    </row>
    <row r="182" spans="1:6" ht="31" customHeight="1">
      <c r="A182" s="4" t="s">
        <v>274</v>
      </c>
      <c r="B182" s="4" t="s">
        <v>237</v>
      </c>
      <c r="C182" s="4" t="s">
        <v>493</v>
      </c>
      <c r="D182" s="5"/>
      <c r="E182" s="6">
        <v>6.76</v>
      </c>
      <c r="F182" s="4" t="s">
        <v>1266</v>
      </c>
    </row>
    <row r="183" spans="1:6" ht="31" customHeight="1">
      <c r="A183" s="4" t="s">
        <v>268</v>
      </c>
      <c r="B183" s="4" t="s">
        <v>237</v>
      </c>
      <c r="C183" s="4" t="s">
        <v>73</v>
      </c>
      <c r="D183" s="5"/>
      <c r="E183" s="4" t="s">
        <v>113</v>
      </c>
      <c r="F183" s="4" t="s">
        <v>1266</v>
      </c>
    </row>
    <row r="184" spans="1:6" ht="31" customHeight="1">
      <c r="A184" s="4" t="s">
        <v>463</v>
      </c>
      <c r="B184" s="4" t="s">
        <v>237</v>
      </c>
      <c r="C184" s="4" t="s">
        <v>495</v>
      </c>
      <c r="D184" s="5"/>
      <c r="E184" s="4" t="s">
        <v>532</v>
      </c>
      <c r="F184" s="4" t="s">
        <v>1266</v>
      </c>
    </row>
    <row r="185" spans="1:6" ht="31" customHeight="1">
      <c r="A185" s="4" t="s">
        <v>463</v>
      </c>
      <c r="B185" s="4" t="s">
        <v>237</v>
      </c>
      <c r="C185" s="4" t="s">
        <v>72</v>
      </c>
      <c r="D185" s="5"/>
      <c r="E185" s="4" t="s">
        <v>464</v>
      </c>
      <c r="F185" s="4" t="s">
        <v>1267</v>
      </c>
    </row>
    <row r="186" spans="1:6" ht="31" customHeight="1">
      <c r="A186" s="4" t="s">
        <v>463</v>
      </c>
      <c r="B186" s="4" t="s">
        <v>237</v>
      </c>
      <c r="C186" s="4" t="s">
        <v>74</v>
      </c>
      <c r="D186" s="5"/>
      <c r="E186" s="4" t="s">
        <v>465</v>
      </c>
      <c r="F186" s="4" t="s">
        <v>1268</v>
      </c>
    </row>
    <row r="187" spans="1:6" ht="31" customHeight="1">
      <c r="A187" s="4" t="s">
        <v>469</v>
      </c>
      <c r="B187" s="4" t="s">
        <v>237</v>
      </c>
      <c r="C187" s="4" t="s">
        <v>72</v>
      </c>
      <c r="D187" s="5"/>
      <c r="E187" s="4" t="s">
        <v>464</v>
      </c>
      <c r="F187" s="4" t="s">
        <v>1267</v>
      </c>
    </row>
    <row r="188" spans="1:6" ht="31" customHeight="1">
      <c r="A188" s="4" t="s">
        <v>469</v>
      </c>
      <c r="B188" s="4" t="s">
        <v>237</v>
      </c>
      <c r="C188" s="4" t="s">
        <v>74</v>
      </c>
      <c r="D188" s="5"/>
      <c r="E188" s="4" t="s">
        <v>465</v>
      </c>
      <c r="F188" s="4" t="s">
        <v>1268</v>
      </c>
    </row>
    <row r="189" spans="1:6" ht="31" customHeight="1">
      <c r="A189" s="4" t="s">
        <v>472</v>
      </c>
      <c r="B189" s="4" t="s">
        <v>237</v>
      </c>
      <c r="C189" s="4" t="s">
        <v>72</v>
      </c>
      <c r="D189" s="5"/>
      <c r="E189" s="4" t="s">
        <v>464</v>
      </c>
      <c r="F189" s="4" t="s">
        <v>1267</v>
      </c>
    </row>
    <row r="190" spans="1:6" ht="31" customHeight="1">
      <c r="A190" s="4" t="s">
        <v>472</v>
      </c>
      <c r="B190" s="4" t="s">
        <v>237</v>
      </c>
      <c r="C190" s="4" t="s">
        <v>74</v>
      </c>
      <c r="D190" s="5"/>
      <c r="E190" s="4" t="s">
        <v>465</v>
      </c>
      <c r="F190" s="4" t="s">
        <v>1268</v>
      </c>
    </row>
    <row r="191" spans="1:6" ht="31" customHeight="1">
      <c r="A191" s="4" t="s">
        <v>310</v>
      </c>
      <c r="B191" s="4" t="s">
        <v>311</v>
      </c>
      <c r="C191" s="4" t="s">
        <v>72</v>
      </c>
      <c r="D191" s="4" t="s">
        <v>1085</v>
      </c>
      <c r="E191" s="4" t="s">
        <v>312</v>
      </c>
      <c r="F191" s="4" t="s">
        <v>1269</v>
      </c>
    </row>
    <row r="192" spans="1:6" ht="31" customHeight="1">
      <c r="A192" s="4" t="s">
        <v>310</v>
      </c>
      <c r="B192" s="4" t="s">
        <v>311</v>
      </c>
      <c r="C192" s="4" t="s">
        <v>74</v>
      </c>
      <c r="D192" s="5"/>
      <c r="E192" s="4" t="s">
        <v>313</v>
      </c>
      <c r="F192" s="4" t="s">
        <v>1270</v>
      </c>
    </row>
    <row r="193" spans="1:6" ht="31" customHeight="1">
      <c r="A193" s="4" t="s">
        <v>321</v>
      </c>
      <c r="B193" s="4" t="s">
        <v>311</v>
      </c>
      <c r="C193" s="4" t="s">
        <v>72</v>
      </c>
      <c r="D193" s="4" t="s">
        <v>1085</v>
      </c>
      <c r="E193" s="4" t="s">
        <v>312</v>
      </c>
      <c r="F193" s="4" t="s">
        <v>1269</v>
      </c>
    </row>
    <row r="194" spans="1:6" ht="31" customHeight="1">
      <c r="A194" s="4" t="s">
        <v>321</v>
      </c>
      <c r="B194" s="4" t="s">
        <v>311</v>
      </c>
      <c r="C194" s="4" t="s">
        <v>74</v>
      </c>
      <c r="D194" s="5"/>
      <c r="E194" s="4" t="s">
        <v>313</v>
      </c>
      <c r="F194" s="4" t="s">
        <v>1270</v>
      </c>
    </row>
    <row r="195" spans="1:6" ht="31" customHeight="1">
      <c r="A195" s="4" t="s">
        <v>323</v>
      </c>
      <c r="B195" s="4" t="s">
        <v>311</v>
      </c>
      <c r="C195" s="4" t="s">
        <v>72</v>
      </c>
      <c r="D195" s="4" t="s">
        <v>1085</v>
      </c>
      <c r="E195" s="4" t="s">
        <v>312</v>
      </c>
      <c r="F195" s="4" t="s">
        <v>1269</v>
      </c>
    </row>
    <row r="196" spans="1:6" ht="31" customHeight="1">
      <c r="A196" s="4" t="s">
        <v>323</v>
      </c>
      <c r="B196" s="4" t="s">
        <v>311</v>
      </c>
      <c r="C196" s="4" t="s">
        <v>74</v>
      </c>
      <c r="D196" s="5"/>
      <c r="E196" s="4" t="s">
        <v>313</v>
      </c>
      <c r="F196" s="4" t="s">
        <v>1270</v>
      </c>
    </row>
    <row r="197" spans="1:6" ht="31" customHeight="1">
      <c r="A197" s="4" t="s">
        <v>325</v>
      </c>
      <c r="B197" s="4" t="s">
        <v>311</v>
      </c>
      <c r="C197" s="4" t="s">
        <v>72</v>
      </c>
      <c r="D197" s="4" t="s">
        <v>1085</v>
      </c>
      <c r="E197" s="4" t="s">
        <v>312</v>
      </c>
      <c r="F197" s="4" t="s">
        <v>1269</v>
      </c>
    </row>
    <row r="198" spans="1:6" ht="31" customHeight="1">
      <c r="A198" s="4" t="s">
        <v>325</v>
      </c>
      <c r="B198" s="4" t="s">
        <v>311</v>
      </c>
      <c r="C198" s="4" t="s">
        <v>74</v>
      </c>
      <c r="D198" s="5"/>
      <c r="E198" s="4" t="s">
        <v>313</v>
      </c>
      <c r="F198" s="4" t="s">
        <v>1270</v>
      </c>
    </row>
    <row r="199" spans="1:6" ht="31" customHeight="1">
      <c r="A199" s="4" t="s">
        <v>327</v>
      </c>
      <c r="B199" s="4" t="s">
        <v>311</v>
      </c>
      <c r="C199" s="4" t="s">
        <v>72</v>
      </c>
      <c r="D199" s="4" t="s">
        <v>1085</v>
      </c>
      <c r="E199" s="4" t="s">
        <v>312</v>
      </c>
      <c r="F199" s="4" t="s">
        <v>1269</v>
      </c>
    </row>
    <row r="200" spans="1:6" ht="31" customHeight="1">
      <c r="A200" s="4" t="s">
        <v>327</v>
      </c>
      <c r="B200" s="4" t="s">
        <v>311</v>
      </c>
      <c r="C200" s="4" t="s">
        <v>74</v>
      </c>
      <c r="D200" s="5"/>
      <c r="E200" s="4" t="s">
        <v>313</v>
      </c>
      <c r="F200" s="4" t="s">
        <v>1270</v>
      </c>
    </row>
    <row r="201" spans="1:6" ht="31" customHeight="1">
      <c r="A201" s="4" t="s">
        <v>329</v>
      </c>
      <c r="B201" s="4" t="s">
        <v>311</v>
      </c>
      <c r="C201" s="4" t="s">
        <v>72</v>
      </c>
      <c r="D201" s="4" t="s">
        <v>1085</v>
      </c>
      <c r="E201" s="4" t="s">
        <v>312</v>
      </c>
      <c r="F201" s="4" t="s">
        <v>1269</v>
      </c>
    </row>
    <row r="202" spans="1:6" ht="31" customHeight="1">
      <c r="A202" s="4" t="s">
        <v>329</v>
      </c>
      <c r="B202" s="4" t="s">
        <v>311</v>
      </c>
      <c r="C202" s="4" t="s">
        <v>74</v>
      </c>
      <c r="D202" s="5"/>
      <c r="E202" s="4" t="s">
        <v>313</v>
      </c>
      <c r="F202" s="4" t="s">
        <v>1270</v>
      </c>
    </row>
    <row r="203" spans="1:6" ht="31" customHeight="1">
      <c r="A203" s="4" t="s">
        <v>331</v>
      </c>
      <c r="B203" s="4" t="s">
        <v>311</v>
      </c>
      <c r="C203" s="4" t="s">
        <v>72</v>
      </c>
      <c r="D203" s="4" t="s">
        <v>1085</v>
      </c>
      <c r="E203" s="4" t="s">
        <v>312</v>
      </c>
      <c r="F203" s="4" t="s">
        <v>1269</v>
      </c>
    </row>
    <row r="204" spans="1:6" ht="31" customHeight="1">
      <c r="A204" s="4" t="s">
        <v>331</v>
      </c>
      <c r="B204" s="4" t="s">
        <v>311</v>
      </c>
      <c r="C204" s="4" t="s">
        <v>74</v>
      </c>
      <c r="D204" s="5"/>
      <c r="E204" s="4" t="s">
        <v>313</v>
      </c>
      <c r="F204" s="4" t="s">
        <v>1270</v>
      </c>
    </row>
    <row r="205" spans="1:6" ht="31" customHeight="1">
      <c r="A205" s="4" t="s">
        <v>333</v>
      </c>
      <c r="B205" s="4" t="s">
        <v>311</v>
      </c>
      <c r="C205" s="4" t="s">
        <v>72</v>
      </c>
      <c r="D205" s="4" t="s">
        <v>1085</v>
      </c>
      <c r="E205" s="4" t="s">
        <v>312</v>
      </c>
      <c r="F205" s="4" t="s">
        <v>1269</v>
      </c>
    </row>
    <row r="206" spans="1:6" ht="31" customHeight="1">
      <c r="A206" s="4" t="s">
        <v>333</v>
      </c>
      <c r="B206" s="4" t="s">
        <v>311</v>
      </c>
      <c r="C206" s="4" t="s">
        <v>74</v>
      </c>
      <c r="D206" s="5"/>
      <c r="E206" s="4" t="s">
        <v>313</v>
      </c>
      <c r="F206" s="4" t="s">
        <v>1270</v>
      </c>
    </row>
    <row r="207" spans="1:6" ht="31" customHeight="1">
      <c r="A207" s="4" t="s">
        <v>335</v>
      </c>
      <c r="B207" s="4" t="s">
        <v>311</v>
      </c>
      <c r="C207" s="4" t="s">
        <v>72</v>
      </c>
      <c r="D207" s="4" t="s">
        <v>1085</v>
      </c>
      <c r="E207" s="4" t="s">
        <v>312</v>
      </c>
      <c r="F207" s="4" t="s">
        <v>1269</v>
      </c>
    </row>
    <row r="208" spans="1:6" ht="31" customHeight="1">
      <c r="A208" s="4" t="s">
        <v>335</v>
      </c>
      <c r="B208" s="4" t="s">
        <v>311</v>
      </c>
      <c r="C208" s="4" t="s">
        <v>74</v>
      </c>
      <c r="D208" s="5"/>
      <c r="E208" s="4" t="s">
        <v>313</v>
      </c>
      <c r="F208" s="4" t="s">
        <v>1270</v>
      </c>
    </row>
    <row r="209" spans="1:6" ht="31" customHeight="1">
      <c r="A209" s="4" t="s">
        <v>337</v>
      </c>
      <c r="B209" s="4" t="s">
        <v>311</v>
      </c>
      <c r="C209" s="4" t="s">
        <v>72</v>
      </c>
      <c r="D209" s="4" t="s">
        <v>1085</v>
      </c>
      <c r="E209" s="4" t="s">
        <v>312</v>
      </c>
      <c r="F209" s="4" t="s">
        <v>1269</v>
      </c>
    </row>
    <row r="210" spans="1:6" ht="31" customHeight="1">
      <c r="A210" s="4" t="s">
        <v>337</v>
      </c>
      <c r="B210" s="4" t="s">
        <v>311</v>
      </c>
      <c r="C210" s="4" t="s">
        <v>74</v>
      </c>
      <c r="D210" s="5"/>
      <c r="E210" s="4" t="s">
        <v>313</v>
      </c>
      <c r="F210" s="4" t="s">
        <v>1270</v>
      </c>
    </row>
    <row r="211" spans="1:6" ht="31" customHeight="1">
      <c r="A211" s="4" t="s">
        <v>339</v>
      </c>
      <c r="B211" s="4" t="s">
        <v>311</v>
      </c>
      <c r="C211" s="4" t="s">
        <v>72</v>
      </c>
      <c r="D211" s="4" t="s">
        <v>1085</v>
      </c>
      <c r="E211" s="4" t="s">
        <v>312</v>
      </c>
      <c r="F211" s="4" t="s">
        <v>1269</v>
      </c>
    </row>
    <row r="212" spans="1:6" ht="31" customHeight="1">
      <c r="A212" s="4" t="s">
        <v>339</v>
      </c>
      <c r="B212" s="4" t="s">
        <v>311</v>
      </c>
      <c r="C212" s="4" t="s">
        <v>74</v>
      </c>
      <c r="D212" s="5"/>
      <c r="E212" s="4" t="s">
        <v>313</v>
      </c>
      <c r="F212" s="4" t="s">
        <v>1270</v>
      </c>
    </row>
    <row r="213" spans="1:6" ht="31" customHeight="1">
      <c r="A213" s="4" t="s">
        <v>341</v>
      </c>
      <c r="B213" s="4" t="s">
        <v>311</v>
      </c>
      <c r="C213" s="4" t="s">
        <v>72</v>
      </c>
      <c r="D213" s="4" t="s">
        <v>1085</v>
      </c>
      <c r="E213" s="4" t="s">
        <v>312</v>
      </c>
      <c r="F213" s="4" t="s">
        <v>1269</v>
      </c>
    </row>
    <row r="214" spans="1:6" ht="31" customHeight="1">
      <c r="A214" s="4" t="s">
        <v>341</v>
      </c>
      <c r="B214" s="4" t="s">
        <v>311</v>
      </c>
      <c r="C214" s="4" t="s">
        <v>74</v>
      </c>
      <c r="D214" s="5"/>
      <c r="E214" s="4" t="s">
        <v>313</v>
      </c>
      <c r="F214" s="4" t="s">
        <v>1270</v>
      </c>
    </row>
    <row r="215" spans="1:6" ht="31" customHeight="1">
      <c r="A215" s="4" t="s">
        <v>343</v>
      </c>
      <c r="B215" s="4" t="s">
        <v>311</v>
      </c>
      <c r="C215" s="4" t="s">
        <v>72</v>
      </c>
      <c r="D215" s="4" t="s">
        <v>1085</v>
      </c>
      <c r="E215" s="4" t="s">
        <v>312</v>
      </c>
      <c r="F215" s="4" t="s">
        <v>1269</v>
      </c>
    </row>
    <row r="216" spans="1:6" ht="31" customHeight="1">
      <c r="A216" s="4" t="s">
        <v>343</v>
      </c>
      <c r="B216" s="4" t="s">
        <v>311</v>
      </c>
      <c r="C216" s="4" t="s">
        <v>74</v>
      </c>
      <c r="D216" s="5"/>
      <c r="E216" s="4" t="s">
        <v>313</v>
      </c>
      <c r="F216" s="4" t="s">
        <v>1270</v>
      </c>
    </row>
    <row r="217" spans="1:6" ht="31" customHeight="1">
      <c r="A217" s="4" t="s">
        <v>384</v>
      </c>
      <c r="B217" s="4" t="s">
        <v>385</v>
      </c>
      <c r="C217" s="4" t="s">
        <v>73</v>
      </c>
      <c r="D217" s="5"/>
      <c r="E217" s="4" t="s">
        <v>113</v>
      </c>
      <c r="F217" s="4" t="s">
        <v>1271</v>
      </c>
    </row>
    <row r="218" spans="1:6" ht="31" customHeight="1">
      <c r="A218" s="4" t="s">
        <v>384</v>
      </c>
      <c r="B218" s="4" t="s">
        <v>385</v>
      </c>
      <c r="C218" s="4" t="s">
        <v>72</v>
      </c>
      <c r="D218" s="4" t="s">
        <v>1087</v>
      </c>
      <c r="E218" s="4" t="s">
        <v>386</v>
      </c>
      <c r="F218" s="4" t="s">
        <v>1269</v>
      </c>
    </row>
    <row r="219" spans="1:6" ht="31" customHeight="1">
      <c r="A219" s="4" t="s">
        <v>384</v>
      </c>
      <c r="B219" s="4" t="s">
        <v>385</v>
      </c>
      <c r="C219" s="4" t="s">
        <v>74</v>
      </c>
      <c r="D219" s="5"/>
      <c r="E219" s="4" t="s">
        <v>387</v>
      </c>
      <c r="F219" s="4" t="s">
        <v>1271</v>
      </c>
    </row>
    <row r="220" spans="1:6" ht="31" customHeight="1">
      <c r="A220" s="4" t="s">
        <v>395</v>
      </c>
      <c r="B220" s="4" t="s">
        <v>385</v>
      </c>
      <c r="C220" s="4" t="s">
        <v>73</v>
      </c>
      <c r="D220" s="5"/>
      <c r="E220" s="4" t="s">
        <v>113</v>
      </c>
      <c r="F220" s="4" t="s">
        <v>1271</v>
      </c>
    </row>
    <row r="221" spans="1:6" ht="31" customHeight="1">
      <c r="A221" s="4" t="s">
        <v>395</v>
      </c>
      <c r="B221" s="4" t="s">
        <v>385</v>
      </c>
      <c r="C221" s="4" t="s">
        <v>72</v>
      </c>
      <c r="D221" s="4" t="s">
        <v>1087</v>
      </c>
      <c r="E221" s="4" t="s">
        <v>386</v>
      </c>
      <c r="F221" s="4" t="s">
        <v>1269</v>
      </c>
    </row>
    <row r="222" spans="1:6" ht="31" customHeight="1">
      <c r="A222" s="4" t="s">
        <v>395</v>
      </c>
      <c r="B222" s="4" t="s">
        <v>385</v>
      </c>
      <c r="C222" s="4" t="s">
        <v>74</v>
      </c>
      <c r="D222" s="5"/>
      <c r="E222" s="4" t="s">
        <v>387</v>
      </c>
      <c r="F222" s="4" t="s">
        <v>1271</v>
      </c>
    </row>
    <row r="223" spans="1:6" ht="31" customHeight="1">
      <c r="A223" s="4" t="s">
        <v>397</v>
      </c>
      <c r="B223" s="4" t="s">
        <v>385</v>
      </c>
      <c r="C223" s="4" t="s">
        <v>73</v>
      </c>
      <c r="D223" s="5"/>
      <c r="E223" s="4" t="s">
        <v>113</v>
      </c>
      <c r="F223" s="4" t="s">
        <v>1271</v>
      </c>
    </row>
    <row r="224" spans="1:6" ht="31" customHeight="1">
      <c r="A224" s="4" t="s">
        <v>397</v>
      </c>
      <c r="B224" s="4" t="s">
        <v>385</v>
      </c>
      <c r="C224" s="4" t="s">
        <v>72</v>
      </c>
      <c r="D224" s="4" t="s">
        <v>1087</v>
      </c>
      <c r="E224" s="4" t="s">
        <v>386</v>
      </c>
      <c r="F224" s="4" t="s">
        <v>1269</v>
      </c>
    </row>
    <row r="225" spans="1:6" ht="31" customHeight="1">
      <c r="A225" s="4" t="s">
        <v>397</v>
      </c>
      <c r="B225" s="4" t="s">
        <v>385</v>
      </c>
      <c r="C225" s="4" t="s">
        <v>74</v>
      </c>
      <c r="D225" s="5"/>
      <c r="E225" s="4" t="s">
        <v>387</v>
      </c>
      <c r="F225" s="4" t="s">
        <v>1271</v>
      </c>
    </row>
    <row r="226" spans="1:6" ht="31" customHeight="1">
      <c r="A226" s="4" t="s">
        <v>399</v>
      </c>
      <c r="B226" s="4" t="s">
        <v>385</v>
      </c>
      <c r="C226" s="4" t="s">
        <v>73</v>
      </c>
      <c r="D226" s="5"/>
      <c r="E226" s="4" t="s">
        <v>113</v>
      </c>
      <c r="F226" s="4" t="s">
        <v>1271</v>
      </c>
    </row>
    <row r="227" spans="1:6" ht="31" customHeight="1">
      <c r="A227" s="4" t="s">
        <v>399</v>
      </c>
      <c r="B227" s="4" t="s">
        <v>385</v>
      </c>
      <c r="C227" s="4" t="s">
        <v>72</v>
      </c>
      <c r="D227" s="4" t="s">
        <v>1087</v>
      </c>
      <c r="E227" s="4" t="s">
        <v>386</v>
      </c>
      <c r="F227" s="4" t="s">
        <v>1269</v>
      </c>
    </row>
    <row r="228" spans="1:6" ht="31" customHeight="1">
      <c r="A228" s="4" t="s">
        <v>399</v>
      </c>
      <c r="B228" s="4" t="s">
        <v>385</v>
      </c>
      <c r="C228" s="4" t="s">
        <v>74</v>
      </c>
      <c r="D228" s="5"/>
      <c r="E228" s="4" t="s">
        <v>387</v>
      </c>
      <c r="F228" s="4" t="s">
        <v>1271</v>
      </c>
    </row>
    <row r="229" spans="1:6" ht="31" customHeight="1">
      <c r="A229" s="4" t="s">
        <v>404</v>
      </c>
      <c r="B229" s="4" t="s">
        <v>385</v>
      </c>
      <c r="C229" s="4" t="s">
        <v>73</v>
      </c>
      <c r="D229" s="5"/>
      <c r="E229" s="4" t="s">
        <v>113</v>
      </c>
      <c r="F229" s="4" t="s">
        <v>1271</v>
      </c>
    </row>
    <row r="230" spans="1:6" ht="31" customHeight="1">
      <c r="A230" s="4" t="s">
        <v>404</v>
      </c>
      <c r="B230" s="4" t="s">
        <v>385</v>
      </c>
      <c r="C230" s="4" t="s">
        <v>72</v>
      </c>
      <c r="D230" s="4" t="s">
        <v>1087</v>
      </c>
      <c r="E230" s="4" t="s">
        <v>386</v>
      </c>
      <c r="F230" s="4" t="s">
        <v>1269</v>
      </c>
    </row>
    <row r="231" spans="1:6" ht="31" customHeight="1">
      <c r="A231" s="4" t="s">
        <v>404</v>
      </c>
      <c r="B231" s="4" t="s">
        <v>385</v>
      </c>
      <c r="C231" s="4" t="s">
        <v>74</v>
      </c>
      <c r="D231" s="5"/>
      <c r="E231" s="4" t="s">
        <v>387</v>
      </c>
      <c r="F231" s="4" t="s">
        <v>1271</v>
      </c>
    </row>
    <row r="232" spans="1:6" ht="31" customHeight="1">
      <c r="A232" s="4" t="s">
        <v>407</v>
      </c>
      <c r="B232" s="4" t="s">
        <v>385</v>
      </c>
      <c r="C232" s="4" t="s">
        <v>73</v>
      </c>
      <c r="D232" s="5"/>
      <c r="E232" s="4" t="s">
        <v>113</v>
      </c>
      <c r="F232" s="4" t="s">
        <v>1271</v>
      </c>
    </row>
    <row r="233" spans="1:6" ht="31" customHeight="1">
      <c r="A233" s="4" t="s">
        <v>407</v>
      </c>
      <c r="B233" s="4" t="s">
        <v>385</v>
      </c>
      <c r="C233" s="4" t="s">
        <v>72</v>
      </c>
      <c r="D233" s="4" t="s">
        <v>1087</v>
      </c>
      <c r="E233" s="4" t="s">
        <v>386</v>
      </c>
      <c r="F233" s="4" t="s">
        <v>1269</v>
      </c>
    </row>
    <row r="234" spans="1:6" ht="31" customHeight="1">
      <c r="A234" s="4" t="s">
        <v>407</v>
      </c>
      <c r="B234" s="4" t="s">
        <v>385</v>
      </c>
      <c r="C234" s="4" t="s">
        <v>74</v>
      </c>
      <c r="D234" s="5"/>
      <c r="E234" s="4" t="s">
        <v>387</v>
      </c>
      <c r="F234" s="4" t="s">
        <v>1271</v>
      </c>
    </row>
    <row r="235" spans="1:6" ht="31" customHeight="1">
      <c r="A235" s="4" t="s">
        <v>412</v>
      </c>
      <c r="B235" s="4" t="s">
        <v>385</v>
      </c>
      <c r="C235" s="4" t="s">
        <v>73</v>
      </c>
      <c r="D235" s="5"/>
      <c r="E235" s="4" t="s">
        <v>113</v>
      </c>
      <c r="F235" s="4" t="s">
        <v>1271</v>
      </c>
    </row>
    <row r="236" spans="1:6" ht="31" customHeight="1">
      <c r="A236" s="4" t="s">
        <v>412</v>
      </c>
      <c r="B236" s="4" t="s">
        <v>385</v>
      </c>
      <c r="C236" s="4" t="s">
        <v>72</v>
      </c>
      <c r="D236" s="4" t="s">
        <v>1087</v>
      </c>
      <c r="E236" s="4" t="s">
        <v>386</v>
      </c>
      <c r="F236" s="4" t="s">
        <v>1269</v>
      </c>
    </row>
    <row r="237" spans="1:6" ht="31" customHeight="1">
      <c r="A237" s="4" t="s">
        <v>412</v>
      </c>
      <c r="B237" s="4" t="s">
        <v>385</v>
      </c>
      <c r="C237" s="4" t="s">
        <v>74</v>
      </c>
      <c r="D237" s="5"/>
      <c r="E237" s="4" t="s">
        <v>387</v>
      </c>
      <c r="F237" s="4" t="s">
        <v>1271</v>
      </c>
    </row>
    <row r="238" spans="1:6" ht="31" customHeight="1">
      <c r="A238" s="4" t="s">
        <v>417</v>
      </c>
      <c r="B238" s="4" t="s">
        <v>385</v>
      </c>
      <c r="C238" s="4" t="s">
        <v>73</v>
      </c>
      <c r="D238" s="5"/>
      <c r="E238" s="4" t="s">
        <v>113</v>
      </c>
      <c r="F238" s="4" t="s">
        <v>1271</v>
      </c>
    </row>
    <row r="239" spans="1:6" ht="31" customHeight="1">
      <c r="A239" s="4" t="s">
        <v>417</v>
      </c>
      <c r="B239" s="4" t="s">
        <v>385</v>
      </c>
      <c r="C239" s="4" t="s">
        <v>72</v>
      </c>
      <c r="D239" s="4" t="s">
        <v>1087</v>
      </c>
      <c r="E239" s="4" t="s">
        <v>386</v>
      </c>
      <c r="F239" s="4" t="s">
        <v>1269</v>
      </c>
    </row>
    <row r="240" spans="1:6" ht="31" customHeight="1">
      <c r="A240" s="4" t="s">
        <v>417</v>
      </c>
      <c r="B240" s="4" t="s">
        <v>385</v>
      </c>
      <c r="C240" s="4" t="s">
        <v>74</v>
      </c>
      <c r="D240" s="5"/>
      <c r="E240" s="4" t="s">
        <v>387</v>
      </c>
      <c r="F240" s="4" t="s">
        <v>1271</v>
      </c>
    </row>
    <row r="241" spans="1:6" ht="31" customHeight="1">
      <c r="A241" s="4" t="s">
        <v>419</v>
      </c>
      <c r="B241" s="4" t="s">
        <v>385</v>
      </c>
      <c r="C241" s="4" t="s">
        <v>73</v>
      </c>
      <c r="D241" s="5"/>
      <c r="E241" s="4" t="s">
        <v>113</v>
      </c>
      <c r="F241" s="4" t="s">
        <v>1271</v>
      </c>
    </row>
    <row r="242" spans="1:6" ht="31" customHeight="1">
      <c r="A242" s="4" t="s">
        <v>419</v>
      </c>
      <c r="B242" s="4" t="s">
        <v>385</v>
      </c>
      <c r="C242" s="4" t="s">
        <v>72</v>
      </c>
      <c r="D242" s="4" t="s">
        <v>1087</v>
      </c>
      <c r="E242" s="4" t="s">
        <v>386</v>
      </c>
      <c r="F242" s="4" t="s">
        <v>1269</v>
      </c>
    </row>
    <row r="243" spans="1:6" ht="31" customHeight="1">
      <c r="A243" s="4" t="s">
        <v>419</v>
      </c>
      <c r="B243" s="4" t="s">
        <v>385</v>
      </c>
      <c r="C243" s="4" t="s">
        <v>74</v>
      </c>
      <c r="D243" s="5"/>
      <c r="E243" s="4" t="s">
        <v>387</v>
      </c>
      <c r="F243" s="4" t="s">
        <v>1271</v>
      </c>
    </row>
    <row r="244" spans="1:6" ht="31" customHeight="1">
      <c r="A244" s="4" t="s">
        <v>421</v>
      </c>
      <c r="B244" s="4" t="s">
        <v>385</v>
      </c>
      <c r="C244" s="4" t="s">
        <v>73</v>
      </c>
      <c r="D244" s="5"/>
      <c r="E244" s="4" t="s">
        <v>113</v>
      </c>
      <c r="F244" s="4" t="s">
        <v>1271</v>
      </c>
    </row>
    <row r="245" spans="1:6" ht="31" customHeight="1">
      <c r="A245" s="4" t="s">
        <v>421</v>
      </c>
      <c r="B245" s="4" t="s">
        <v>385</v>
      </c>
      <c r="C245" s="4" t="s">
        <v>72</v>
      </c>
      <c r="D245" s="4" t="s">
        <v>1087</v>
      </c>
      <c r="E245" s="4" t="s">
        <v>386</v>
      </c>
      <c r="F245" s="4" t="s">
        <v>1269</v>
      </c>
    </row>
    <row r="246" spans="1:6" ht="31" customHeight="1">
      <c r="A246" s="4" t="s">
        <v>421</v>
      </c>
      <c r="B246" s="4" t="s">
        <v>385</v>
      </c>
      <c r="C246" s="4" t="s">
        <v>74</v>
      </c>
      <c r="D246" s="5"/>
      <c r="E246" s="4" t="s">
        <v>387</v>
      </c>
      <c r="F246" s="4" t="s">
        <v>1271</v>
      </c>
    </row>
    <row r="247" spans="1:6" ht="31" customHeight="1">
      <c r="A247" s="4" t="s">
        <v>190</v>
      </c>
      <c r="B247" s="4" t="s">
        <v>191</v>
      </c>
      <c r="C247" s="4" t="s">
        <v>74</v>
      </c>
      <c r="D247" s="4" t="s">
        <v>1084</v>
      </c>
      <c r="E247" s="4" t="s">
        <v>193</v>
      </c>
      <c r="F247" s="4" t="s">
        <v>1269</v>
      </c>
    </row>
    <row r="248" spans="1:6" ht="31" customHeight="1">
      <c r="A248" s="4" t="s">
        <v>202</v>
      </c>
      <c r="B248" s="4" t="s">
        <v>191</v>
      </c>
      <c r="C248" s="4" t="s">
        <v>74</v>
      </c>
      <c r="D248" s="4" t="s">
        <v>1084</v>
      </c>
      <c r="E248" s="4" t="s">
        <v>204</v>
      </c>
      <c r="F248" s="4" t="s">
        <v>1269</v>
      </c>
    </row>
    <row r="249" spans="1:6" ht="31" customHeight="1">
      <c r="A249" s="4" t="s">
        <v>208</v>
      </c>
      <c r="B249" s="4" t="s">
        <v>191</v>
      </c>
      <c r="C249" s="4" t="s">
        <v>74</v>
      </c>
      <c r="D249" s="4" t="s">
        <v>1084</v>
      </c>
      <c r="E249" s="4" t="s">
        <v>193</v>
      </c>
      <c r="F249" s="4" t="s">
        <v>1269</v>
      </c>
    </row>
    <row r="250" spans="1:6" ht="31" customHeight="1">
      <c r="A250" s="4" t="s">
        <v>212</v>
      </c>
      <c r="B250" s="4" t="s">
        <v>191</v>
      </c>
      <c r="C250" s="4" t="s">
        <v>74</v>
      </c>
      <c r="D250" s="4" t="s">
        <v>1084</v>
      </c>
      <c r="E250" s="4" t="s">
        <v>204</v>
      </c>
      <c r="F250" s="4" t="s">
        <v>1269</v>
      </c>
    </row>
    <row r="251" spans="1:6" ht="31" customHeight="1">
      <c r="A251" s="4" t="s">
        <v>217</v>
      </c>
      <c r="B251" s="4" t="s">
        <v>191</v>
      </c>
      <c r="C251" s="4" t="s">
        <v>74</v>
      </c>
      <c r="D251" s="4" t="s">
        <v>1084</v>
      </c>
      <c r="E251" s="4" t="s">
        <v>193</v>
      </c>
      <c r="F251" s="4" t="s">
        <v>1269</v>
      </c>
    </row>
    <row r="252" spans="1:6" ht="31" customHeight="1">
      <c r="A252" s="4" t="s">
        <v>222</v>
      </c>
      <c r="B252" s="4" t="s">
        <v>191</v>
      </c>
      <c r="C252" s="4" t="s">
        <v>74</v>
      </c>
      <c r="D252" s="4" t="s">
        <v>1084</v>
      </c>
      <c r="E252" s="4" t="s">
        <v>193</v>
      </c>
      <c r="F252" s="4" t="s">
        <v>1269</v>
      </c>
    </row>
    <row r="253" spans="1:6" ht="31" customHeight="1">
      <c r="A253" s="4" t="s">
        <v>225</v>
      </c>
      <c r="B253" s="4" t="s">
        <v>191</v>
      </c>
      <c r="C253" s="4" t="s">
        <v>74</v>
      </c>
      <c r="D253" s="4" t="s">
        <v>1084</v>
      </c>
      <c r="E253" s="4" t="s">
        <v>193</v>
      </c>
      <c r="F253" s="4" t="s">
        <v>1269</v>
      </c>
    </row>
    <row r="254" spans="1:6" ht="31" customHeight="1">
      <c r="A254" s="4" t="s">
        <v>229</v>
      </c>
      <c r="B254" s="4" t="s">
        <v>191</v>
      </c>
      <c r="C254" s="4" t="s">
        <v>74</v>
      </c>
      <c r="D254" s="4" t="s">
        <v>1084</v>
      </c>
      <c r="E254" s="4" t="s">
        <v>193</v>
      </c>
      <c r="F254" s="4" t="s">
        <v>1269</v>
      </c>
    </row>
    <row r="255" spans="1:6" ht="31" customHeight="1">
      <c r="A255" s="4" t="s">
        <v>231</v>
      </c>
      <c r="B255" s="4" t="s">
        <v>191</v>
      </c>
      <c r="C255" s="4" t="s">
        <v>74</v>
      </c>
      <c r="D255" s="4" t="s">
        <v>1084</v>
      </c>
      <c r="E255" s="4" t="s">
        <v>193</v>
      </c>
      <c r="F255" s="4" t="s">
        <v>1269</v>
      </c>
    </row>
    <row r="256" spans="1:6" ht="31" customHeight="1">
      <c r="A256" s="4" t="s">
        <v>233</v>
      </c>
      <c r="B256" s="4" t="s">
        <v>191</v>
      </c>
      <c r="C256" s="4" t="s">
        <v>74</v>
      </c>
      <c r="D256" s="4" t="s">
        <v>1084</v>
      </c>
      <c r="E256" s="4" t="s">
        <v>204</v>
      </c>
      <c r="F256" s="4" t="s">
        <v>1269</v>
      </c>
    </row>
    <row r="257" spans="1:6" ht="31" customHeight="1">
      <c r="A257" s="4" t="s">
        <v>212</v>
      </c>
      <c r="B257" s="4" t="s">
        <v>191</v>
      </c>
      <c r="C257" s="4" t="s">
        <v>38</v>
      </c>
      <c r="D257" s="5"/>
      <c r="E257" s="4" t="s">
        <v>213</v>
      </c>
      <c r="F257" s="4" t="s">
        <v>1272</v>
      </c>
    </row>
    <row r="258" spans="1:6" ht="31" customHeight="1">
      <c r="A258" s="4" t="s">
        <v>423</v>
      </c>
      <c r="B258" s="4" t="s">
        <v>424</v>
      </c>
      <c r="C258" s="4" t="s">
        <v>74</v>
      </c>
      <c r="D258" s="4" t="s">
        <v>1084</v>
      </c>
      <c r="E258" s="4" t="s">
        <v>426</v>
      </c>
      <c r="F258" s="4" t="s">
        <v>1269</v>
      </c>
    </row>
    <row r="259" spans="1:6" ht="31" customHeight="1">
      <c r="A259" s="4" t="s">
        <v>435</v>
      </c>
      <c r="B259" s="4" t="s">
        <v>424</v>
      </c>
      <c r="C259" s="4" t="s">
        <v>74</v>
      </c>
      <c r="D259" s="4" t="s">
        <v>1084</v>
      </c>
      <c r="E259" s="4" t="s">
        <v>426</v>
      </c>
      <c r="F259" s="4" t="s">
        <v>1269</v>
      </c>
    </row>
    <row r="260" spans="1:6" ht="31" customHeight="1">
      <c r="A260" s="4" t="s">
        <v>440</v>
      </c>
      <c r="B260" s="4" t="s">
        <v>424</v>
      </c>
      <c r="C260" s="4" t="s">
        <v>74</v>
      </c>
      <c r="D260" s="4" t="s">
        <v>1084</v>
      </c>
      <c r="E260" s="4" t="s">
        <v>426</v>
      </c>
      <c r="F260" s="4" t="s">
        <v>1269</v>
      </c>
    </row>
    <row r="261" spans="1:6" ht="31" customHeight="1">
      <c r="A261" s="4" t="s">
        <v>446</v>
      </c>
      <c r="B261" s="4" t="s">
        <v>424</v>
      </c>
      <c r="C261" s="4" t="s">
        <v>74</v>
      </c>
      <c r="D261" s="4" t="s">
        <v>1084</v>
      </c>
      <c r="E261" s="4" t="s">
        <v>426</v>
      </c>
      <c r="F261" s="4" t="s">
        <v>1269</v>
      </c>
    </row>
    <row r="262" spans="1:6" ht="31" customHeight="1">
      <c r="A262" s="4" t="s">
        <v>451</v>
      </c>
      <c r="B262" s="4" t="s">
        <v>424</v>
      </c>
      <c r="C262" s="4" t="s">
        <v>74</v>
      </c>
      <c r="D262" s="4" t="s">
        <v>1084</v>
      </c>
      <c r="E262" s="4" t="s">
        <v>426</v>
      </c>
      <c r="F262" s="4" t="s">
        <v>1269</v>
      </c>
    </row>
    <row r="263" spans="1:6" ht="31" customHeight="1">
      <c r="A263" s="4" t="s">
        <v>455</v>
      </c>
      <c r="B263" s="4" t="s">
        <v>424</v>
      </c>
      <c r="C263" s="4" t="s">
        <v>74</v>
      </c>
      <c r="D263" s="4" t="s">
        <v>1084</v>
      </c>
      <c r="E263" s="4" t="s">
        <v>426</v>
      </c>
      <c r="F263" s="4" t="s">
        <v>1269</v>
      </c>
    </row>
    <row r="264" spans="1:6" ht="31" customHeight="1">
      <c r="A264" s="4" t="s">
        <v>459</v>
      </c>
      <c r="B264" s="4" t="s">
        <v>424</v>
      </c>
      <c r="C264" s="4" t="s">
        <v>74</v>
      </c>
      <c r="D264" s="4" t="s">
        <v>1084</v>
      </c>
      <c r="E264" s="4" t="s">
        <v>426</v>
      </c>
      <c r="F264" s="4" t="s">
        <v>1269</v>
      </c>
    </row>
    <row r="265" spans="1:6" ht="31" customHeight="1">
      <c r="A265" s="4" t="s">
        <v>282</v>
      </c>
      <c r="B265" s="4" t="s">
        <v>424</v>
      </c>
      <c r="C265" s="4" t="s">
        <v>74</v>
      </c>
      <c r="D265" s="4" t="s">
        <v>430</v>
      </c>
      <c r="E265" s="4" t="s">
        <v>474</v>
      </c>
      <c r="F265" s="4" t="s">
        <v>1269</v>
      </c>
    </row>
  </sheetData>
  <autoFilter ref="A1:F265"/>
  <pageMargins left="0.7" right="0.7" top="0.75" bottom="0.75" header="0.3" footer="0.3"/>
  <pageSetup fitToHeight="0" orientation="landscape"/>
</worksheet>
</file>

<file path=xl/worksheets/sheet16.xml><?xml version="1.0" encoding="utf-8"?>
<worksheet xmlns="http://schemas.openxmlformats.org/spreadsheetml/2006/main" xmlns:r="http://schemas.openxmlformats.org/officeDocument/2006/relationships">
  <sheetPr>
    <tabColor rgb="FF237C89"/>
    <pageSetUpPr fitToPage="1"/>
  </sheetPr>
  <dimension ref="A1:D6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customWidth="1"/>
    <col min="2" max="2" width="45.7109375" customWidth="1"/>
    <col min="3" max="3" width="100.7109375" customWidth="1"/>
    <col min="4" max="4" width="95.7109375" customWidth="1"/>
  </cols>
  <sheetData>
    <row r="1" spans="1:4" ht="42" customHeight="1">
      <c r="A1" s="2" t="s">
        <v>34</v>
      </c>
      <c r="B1" s="2" t="s">
        <v>1094</v>
      </c>
      <c r="C1" s="2" t="s">
        <v>1095</v>
      </c>
      <c r="D1" s="2" t="s">
        <v>1096</v>
      </c>
    </row>
    <row r="2" spans="1:4" ht="31" customHeight="1">
      <c r="A2" s="4" t="s">
        <v>110</v>
      </c>
      <c r="B2" s="4" t="s">
        <v>129</v>
      </c>
      <c r="C2" s="4" t="s">
        <v>1097</v>
      </c>
      <c r="D2" s="4" t="s">
        <v>1098</v>
      </c>
    </row>
    <row r="3" spans="1:4" ht="31" customHeight="1">
      <c r="A3" s="4" t="s">
        <v>110</v>
      </c>
      <c r="B3" s="4" t="s">
        <v>141</v>
      </c>
      <c r="C3" s="4" t="s">
        <v>1099</v>
      </c>
      <c r="D3" s="4" t="s">
        <v>1098</v>
      </c>
    </row>
    <row r="4" spans="1:4" ht="31" customHeight="1">
      <c r="A4" s="4" t="s">
        <v>110</v>
      </c>
      <c r="B4" s="4" t="s">
        <v>143</v>
      </c>
      <c r="C4" s="4" t="s">
        <v>1100</v>
      </c>
      <c r="D4" s="4" t="s">
        <v>1098</v>
      </c>
    </row>
    <row r="5" spans="1:4" ht="31" customHeight="1">
      <c r="A5" s="4" t="s">
        <v>110</v>
      </c>
      <c r="B5" s="4" t="s">
        <v>148</v>
      </c>
      <c r="C5" s="4" t="s">
        <v>1101</v>
      </c>
      <c r="D5" s="4" t="s">
        <v>1098</v>
      </c>
    </row>
    <row r="6" spans="1:4" ht="31" customHeight="1">
      <c r="A6" s="4" t="s">
        <v>110</v>
      </c>
      <c r="B6" s="4" t="s">
        <v>153</v>
      </c>
      <c r="C6" s="4" t="s">
        <v>1102</v>
      </c>
      <c r="D6" s="4" t="s">
        <v>1098</v>
      </c>
    </row>
    <row r="7" spans="1:4" ht="31" customHeight="1">
      <c r="A7" s="4" t="s">
        <v>110</v>
      </c>
      <c r="B7" s="4" t="s">
        <v>1103</v>
      </c>
      <c r="C7" s="4" t="s">
        <v>1104</v>
      </c>
      <c r="D7" s="4" t="s">
        <v>1105</v>
      </c>
    </row>
    <row r="8" spans="1:4" ht="31" customHeight="1">
      <c r="A8" s="4" t="s">
        <v>110</v>
      </c>
      <c r="B8" s="4" t="s">
        <v>1106</v>
      </c>
      <c r="C8" s="4" t="s">
        <v>1107</v>
      </c>
      <c r="D8" s="4" t="s">
        <v>1108</v>
      </c>
    </row>
    <row r="9" spans="1:4" ht="31" customHeight="1">
      <c r="A9" s="4" t="s">
        <v>110</v>
      </c>
      <c r="B9" s="4" t="s">
        <v>1109</v>
      </c>
      <c r="C9" s="4" t="s">
        <v>1110</v>
      </c>
      <c r="D9" s="4" t="s">
        <v>1111</v>
      </c>
    </row>
    <row r="10" spans="1:4" ht="31" customHeight="1">
      <c r="A10" s="4" t="s">
        <v>110</v>
      </c>
      <c r="B10" s="4" t="s">
        <v>1109</v>
      </c>
      <c r="C10" s="4" t="s">
        <v>1112</v>
      </c>
      <c r="D10" s="4" t="s">
        <v>1113</v>
      </c>
    </row>
    <row r="11" spans="1:4" ht="31" customHeight="1">
      <c r="A11" s="4" t="s">
        <v>110</v>
      </c>
      <c r="B11" s="4" t="s">
        <v>1109</v>
      </c>
      <c r="C11" s="4" t="s">
        <v>1114</v>
      </c>
      <c r="D11" s="4" t="s">
        <v>1115</v>
      </c>
    </row>
    <row r="12" spans="1:4" ht="31" customHeight="1">
      <c r="A12" s="4" t="s">
        <v>110</v>
      </c>
      <c r="B12" s="4" t="s">
        <v>1109</v>
      </c>
      <c r="C12" s="4" t="s">
        <v>1116</v>
      </c>
      <c r="D12" s="4" t="s">
        <v>1117</v>
      </c>
    </row>
    <row r="13" spans="1:4" ht="31" customHeight="1">
      <c r="A13" s="4" t="s">
        <v>110</v>
      </c>
      <c r="B13" s="4" t="s">
        <v>55</v>
      </c>
      <c r="C13" s="4" t="s">
        <v>1118</v>
      </c>
      <c r="D13" s="4" t="s">
        <v>1119</v>
      </c>
    </row>
    <row r="14" spans="1:4" ht="31" customHeight="1">
      <c r="A14" s="4" t="s">
        <v>110</v>
      </c>
      <c r="B14" s="4" t="s">
        <v>143</v>
      </c>
      <c r="C14" s="4" t="s">
        <v>1120</v>
      </c>
      <c r="D14" s="4" t="s">
        <v>1121</v>
      </c>
    </row>
    <row r="15" spans="1:4" ht="31" customHeight="1">
      <c r="A15" s="4" t="s">
        <v>157</v>
      </c>
      <c r="B15" s="4" t="s">
        <v>1122</v>
      </c>
      <c r="C15" s="4" t="s">
        <v>1123</v>
      </c>
      <c r="D15" s="4" t="s">
        <v>1124</v>
      </c>
    </row>
    <row r="16" spans="1:4" ht="31" customHeight="1">
      <c r="A16" s="4" t="s">
        <v>157</v>
      </c>
      <c r="B16" s="4" t="s">
        <v>1122</v>
      </c>
      <c r="C16" s="4" t="s">
        <v>1125</v>
      </c>
      <c r="D16" s="4" t="s">
        <v>1126</v>
      </c>
    </row>
    <row r="17" spans="1:4" ht="31" customHeight="1">
      <c r="A17" s="4" t="s">
        <v>1127</v>
      </c>
      <c r="B17" s="4" t="s">
        <v>357</v>
      </c>
      <c r="C17" s="4" t="s">
        <v>1128</v>
      </c>
      <c r="D17" s="4" t="s">
        <v>1129</v>
      </c>
    </row>
    <row r="18" spans="1:4" ht="31" customHeight="1">
      <c r="A18" s="4" t="s">
        <v>1127</v>
      </c>
      <c r="B18" s="4" t="s">
        <v>1130</v>
      </c>
      <c r="C18" s="4" t="s">
        <v>1131</v>
      </c>
      <c r="D18" s="4" t="s">
        <v>1132</v>
      </c>
    </row>
    <row r="19" spans="1:4" ht="31" customHeight="1">
      <c r="A19" s="4" t="s">
        <v>1127</v>
      </c>
      <c r="B19" s="4" t="s">
        <v>1133</v>
      </c>
      <c r="C19" s="4" t="s">
        <v>1134</v>
      </c>
      <c r="D19" s="4" t="s">
        <v>1135</v>
      </c>
    </row>
    <row r="20" spans="1:4" ht="31" customHeight="1">
      <c r="A20" s="4" t="s">
        <v>1127</v>
      </c>
      <c r="B20" s="4" t="s">
        <v>1136</v>
      </c>
      <c r="C20" s="4" t="s">
        <v>1137</v>
      </c>
      <c r="D20" s="4" t="s">
        <v>1138</v>
      </c>
    </row>
    <row r="21" spans="1:4" ht="31" customHeight="1">
      <c r="A21" s="4" t="s">
        <v>1127</v>
      </c>
      <c r="B21" s="4" t="s">
        <v>1139</v>
      </c>
      <c r="C21" s="4" t="s">
        <v>1140</v>
      </c>
      <c r="D21" s="4" t="s">
        <v>1141</v>
      </c>
    </row>
    <row r="22" spans="1:4" ht="31" customHeight="1">
      <c r="A22" s="4" t="s">
        <v>1142</v>
      </c>
      <c r="B22" s="4" t="s">
        <v>236</v>
      </c>
      <c r="C22" s="4" t="s">
        <v>1143</v>
      </c>
      <c r="D22" s="4" t="s">
        <v>1144</v>
      </c>
    </row>
    <row r="23" spans="1:4" ht="31" customHeight="1">
      <c r="A23" s="4" t="s">
        <v>1142</v>
      </c>
      <c r="B23" s="4" t="s">
        <v>1145</v>
      </c>
      <c r="C23" s="4" t="s">
        <v>1146</v>
      </c>
      <c r="D23" s="4" t="s">
        <v>1147</v>
      </c>
    </row>
    <row r="24" spans="1:4" ht="31" customHeight="1">
      <c r="A24" s="4" t="s">
        <v>1142</v>
      </c>
      <c r="B24" s="4" t="s">
        <v>1148</v>
      </c>
      <c r="C24" s="4" t="s">
        <v>1149</v>
      </c>
      <c r="D24" s="4" t="s">
        <v>1150</v>
      </c>
    </row>
    <row r="25" spans="1:4" ht="31" customHeight="1">
      <c r="A25" s="4" t="s">
        <v>1142</v>
      </c>
      <c r="B25" s="4" t="s">
        <v>282</v>
      </c>
      <c r="C25" s="4" t="s">
        <v>1151</v>
      </c>
      <c r="D25" s="4" t="s">
        <v>1152</v>
      </c>
    </row>
    <row r="26" spans="1:4" ht="31" customHeight="1">
      <c r="A26" s="4" t="s">
        <v>1153</v>
      </c>
      <c r="B26" s="4" t="s">
        <v>1154</v>
      </c>
      <c r="C26" s="4" t="s">
        <v>1155</v>
      </c>
      <c r="D26" s="4" t="s">
        <v>1156</v>
      </c>
    </row>
    <row r="27" spans="1:4" ht="31" customHeight="1">
      <c r="A27" s="4" t="s">
        <v>191</v>
      </c>
      <c r="B27" s="4" t="s">
        <v>1157</v>
      </c>
      <c r="C27" s="4" t="s">
        <v>1158</v>
      </c>
      <c r="D27" s="4" t="s">
        <v>1159</v>
      </c>
    </row>
    <row r="28" spans="1:4" ht="31" customHeight="1">
      <c r="A28" s="4" t="s">
        <v>1160</v>
      </c>
      <c r="B28" s="4" t="s">
        <v>1157</v>
      </c>
      <c r="C28" s="4" t="s">
        <v>1161</v>
      </c>
      <c r="D28" s="4" t="s">
        <v>1162</v>
      </c>
    </row>
    <row r="29" spans="1:4" ht="31" customHeight="1">
      <c r="A29" s="4" t="s">
        <v>1163</v>
      </c>
      <c r="B29" s="4" t="s">
        <v>1164</v>
      </c>
      <c r="C29" s="4" t="s">
        <v>1165</v>
      </c>
      <c r="D29" s="4" t="s">
        <v>1166</v>
      </c>
    </row>
    <row r="30" spans="1:4" ht="31" customHeight="1">
      <c r="A30" s="4" t="s">
        <v>1167</v>
      </c>
      <c r="B30" s="4" t="s">
        <v>35</v>
      </c>
      <c r="C30" s="4" t="s">
        <v>1168</v>
      </c>
      <c r="D30" s="4" t="s">
        <v>1169</v>
      </c>
    </row>
    <row r="31" spans="1:4" ht="31" customHeight="1">
      <c r="A31" s="4" t="s">
        <v>1167</v>
      </c>
      <c r="B31" s="4" t="s">
        <v>1170</v>
      </c>
      <c r="C31" s="4" t="s">
        <v>1171</v>
      </c>
      <c r="D31" s="4" t="s">
        <v>1172</v>
      </c>
    </row>
    <row r="32" spans="1:4" ht="31" customHeight="1">
      <c r="A32" s="4" t="s">
        <v>191</v>
      </c>
      <c r="B32" s="4" t="s">
        <v>1173</v>
      </c>
      <c r="C32" s="4" t="s">
        <v>1174</v>
      </c>
      <c r="D32" s="4" t="s">
        <v>1175</v>
      </c>
    </row>
    <row r="33" spans="1:4" ht="31" customHeight="1">
      <c r="A33" s="4" t="s">
        <v>191</v>
      </c>
      <c r="B33" s="4" t="s">
        <v>1176</v>
      </c>
      <c r="C33" s="4" t="s">
        <v>1177</v>
      </c>
      <c r="D33" s="4" t="s">
        <v>1178</v>
      </c>
    </row>
    <row r="34" spans="1:4" ht="31" customHeight="1">
      <c r="A34" s="4" t="s">
        <v>191</v>
      </c>
      <c r="B34" s="4" t="s">
        <v>35</v>
      </c>
      <c r="C34" s="4" t="s">
        <v>1179</v>
      </c>
      <c r="D34" s="4" t="s">
        <v>1180</v>
      </c>
    </row>
    <row r="35" spans="1:4" ht="31" customHeight="1">
      <c r="A35" s="4" t="s">
        <v>191</v>
      </c>
      <c r="B35" s="4" t="s">
        <v>1181</v>
      </c>
      <c r="C35" s="4" t="s">
        <v>1182</v>
      </c>
      <c r="D35" s="4" t="s">
        <v>1183</v>
      </c>
    </row>
    <row r="36" spans="1:4" ht="31" customHeight="1">
      <c r="A36" s="4" t="s">
        <v>1153</v>
      </c>
      <c r="B36" s="4" t="s">
        <v>1154</v>
      </c>
      <c r="C36" s="4" t="s">
        <v>1184</v>
      </c>
      <c r="D36" s="4" t="s">
        <v>1185</v>
      </c>
    </row>
    <row r="37" spans="1:4" ht="31" customHeight="1">
      <c r="A37" s="4" t="s">
        <v>1153</v>
      </c>
      <c r="B37" s="4" t="s">
        <v>35</v>
      </c>
      <c r="C37" s="4" t="s">
        <v>1186</v>
      </c>
      <c r="D37" s="4" t="s">
        <v>1187</v>
      </c>
    </row>
    <row r="38" spans="1:4" ht="31" customHeight="1">
      <c r="A38" s="4" t="s">
        <v>1153</v>
      </c>
      <c r="B38" s="4" t="s">
        <v>1188</v>
      </c>
      <c r="C38" s="4" t="s">
        <v>1189</v>
      </c>
      <c r="D38" s="4" t="s">
        <v>1183</v>
      </c>
    </row>
    <row r="39" spans="1:4" ht="31" customHeight="1">
      <c r="A39" s="4" t="s">
        <v>1163</v>
      </c>
      <c r="B39" s="4" t="s">
        <v>1190</v>
      </c>
      <c r="C39" s="4" t="s">
        <v>1191</v>
      </c>
      <c r="D39" s="4" t="s">
        <v>1192</v>
      </c>
    </row>
    <row r="40" spans="1:4" ht="31" customHeight="1">
      <c r="A40" s="4" t="s">
        <v>1163</v>
      </c>
      <c r="B40" s="4" t="s">
        <v>282</v>
      </c>
      <c r="C40" s="4" t="s">
        <v>1193</v>
      </c>
      <c r="D40" s="4" t="s">
        <v>1194</v>
      </c>
    </row>
    <row r="41" spans="1:4" ht="31" customHeight="1">
      <c r="A41" s="4" t="s">
        <v>1163</v>
      </c>
      <c r="B41" s="4" t="s">
        <v>1195</v>
      </c>
      <c r="C41" s="4" t="s">
        <v>1196</v>
      </c>
      <c r="D41" s="4" t="s">
        <v>1197</v>
      </c>
    </row>
    <row r="42" spans="1:4" ht="31" customHeight="1">
      <c r="A42" s="4" t="s">
        <v>1160</v>
      </c>
      <c r="B42" s="4" t="s">
        <v>69</v>
      </c>
      <c r="C42" s="4" t="s">
        <v>1198</v>
      </c>
      <c r="D42" s="4" t="s">
        <v>1199</v>
      </c>
    </row>
    <row r="43" spans="1:4" ht="31" customHeight="1">
      <c r="A43" s="4" t="s">
        <v>1160</v>
      </c>
      <c r="B43" s="4" t="s">
        <v>1200</v>
      </c>
      <c r="C43" s="4" t="s">
        <v>1201</v>
      </c>
      <c r="D43" s="4" t="s">
        <v>1202</v>
      </c>
    </row>
    <row r="44" spans="1:4" ht="31" customHeight="1">
      <c r="A44" s="4" t="s">
        <v>1160</v>
      </c>
      <c r="B44" s="4" t="s">
        <v>1203</v>
      </c>
      <c r="C44" s="4" t="s">
        <v>1204</v>
      </c>
      <c r="D44" s="4" t="s">
        <v>1205</v>
      </c>
    </row>
    <row r="45" spans="1:4" ht="31" customHeight="1">
      <c r="A45" s="4" t="s">
        <v>1160</v>
      </c>
      <c r="B45" s="4" t="s">
        <v>76</v>
      </c>
      <c r="C45" s="4" t="s">
        <v>1206</v>
      </c>
      <c r="D45" s="4" t="s">
        <v>1207</v>
      </c>
    </row>
    <row r="46" spans="1:4" ht="31" customHeight="1">
      <c r="A46" s="4" t="s">
        <v>110</v>
      </c>
      <c r="B46" s="4" t="s">
        <v>35</v>
      </c>
      <c r="C46" s="4" t="s">
        <v>1208</v>
      </c>
      <c r="D46" s="4" t="s">
        <v>1209</v>
      </c>
    </row>
    <row r="47" spans="1:4" ht="31" customHeight="1">
      <c r="A47" s="4" t="s">
        <v>1142</v>
      </c>
      <c r="B47" s="4" t="s">
        <v>35</v>
      </c>
      <c r="C47" s="4" t="s">
        <v>1210</v>
      </c>
      <c r="D47" s="4" t="s">
        <v>1211</v>
      </c>
    </row>
    <row r="48" spans="1:4" ht="31" customHeight="1">
      <c r="A48" s="4" t="s">
        <v>1167</v>
      </c>
      <c r="B48" s="4" t="s">
        <v>1212</v>
      </c>
      <c r="C48" s="4" t="s">
        <v>1213</v>
      </c>
      <c r="D48" s="4" t="s">
        <v>1214</v>
      </c>
    </row>
    <row r="49" spans="1:4" ht="31" customHeight="1">
      <c r="A49" s="4" t="s">
        <v>1127</v>
      </c>
      <c r="B49" s="4" t="s">
        <v>381</v>
      </c>
      <c r="C49" s="4" t="s">
        <v>1215</v>
      </c>
      <c r="D49" s="4" t="s">
        <v>1216</v>
      </c>
    </row>
    <row r="50" spans="1:4" ht="31" customHeight="1">
      <c r="A50" s="4" t="s">
        <v>1167</v>
      </c>
      <c r="B50" s="4" t="s">
        <v>1217</v>
      </c>
      <c r="C50" s="4" t="s">
        <v>1218</v>
      </c>
      <c r="D50" s="4" t="s">
        <v>1219</v>
      </c>
    </row>
    <row r="51" spans="1:4" ht="31" customHeight="1">
      <c r="A51" s="4" t="s">
        <v>1167</v>
      </c>
      <c r="B51" s="4" t="s">
        <v>38</v>
      </c>
      <c r="C51" s="4" t="s">
        <v>1220</v>
      </c>
      <c r="D51" s="4" t="s">
        <v>1221</v>
      </c>
    </row>
    <row r="52" spans="1:4" ht="31" customHeight="1">
      <c r="A52" s="4" t="s">
        <v>1167</v>
      </c>
      <c r="B52" s="4" t="s">
        <v>1222</v>
      </c>
      <c r="C52" s="4" t="s">
        <v>1223</v>
      </c>
      <c r="D52" s="4" t="s">
        <v>1224</v>
      </c>
    </row>
    <row r="53" spans="1:4" ht="31" customHeight="1">
      <c r="A53" s="4" t="s">
        <v>1167</v>
      </c>
      <c r="B53" s="4" t="s">
        <v>1273</v>
      </c>
      <c r="C53" s="4" t="s">
        <v>1274</v>
      </c>
      <c r="D53" s="4" t="s">
        <v>1275</v>
      </c>
    </row>
    <row r="54" spans="1:4" ht="31" customHeight="1">
      <c r="A54" s="4" t="s">
        <v>1167</v>
      </c>
      <c r="B54" s="4" t="s">
        <v>1273</v>
      </c>
      <c r="C54" s="4" t="s">
        <v>1276</v>
      </c>
      <c r="D54" s="4" t="s">
        <v>1277</v>
      </c>
    </row>
    <row r="55" spans="1:4" ht="31" customHeight="1">
      <c r="A55" s="4" t="s">
        <v>237</v>
      </c>
      <c r="B55" s="4" t="s">
        <v>1278</v>
      </c>
      <c r="C55" s="4" t="s">
        <v>1279</v>
      </c>
      <c r="D55" s="4" t="s">
        <v>1280</v>
      </c>
    </row>
    <row r="56" spans="1:4" ht="31" customHeight="1">
      <c r="A56" s="4" t="s">
        <v>424</v>
      </c>
      <c r="B56" s="4" t="s">
        <v>282</v>
      </c>
      <c r="C56" s="4" t="s">
        <v>1281</v>
      </c>
      <c r="D56" s="4" t="s">
        <v>1282</v>
      </c>
    </row>
    <row r="57" spans="1:4" ht="31" customHeight="1">
      <c r="A57" s="4" t="s">
        <v>346</v>
      </c>
      <c r="B57" s="4" t="s">
        <v>1283</v>
      </c>
      <c r="C57" s="4" t="s">
        <v>1284</v>
      </c>
      <c r="D57" s="4" t="s">
        <v>1285</v>
      </c>
    </row>
    <row r="58" spans="1:4" ht="31" customHeight="1">
      <c r="A58" s="4" t="s">
        <v>346</v>
      </c>
      <c r="B58" s="4" t="s">
        <v>1286</v>
      </c>
      <c r="C58" s="4" t="s">
        <v>1287</v>
      </c>
      <c r="D58" s="4" t="s">
        <v>1288</v>
      </c>
    </row>
    <row r="59" spans="1:4" ht="31" customHeight="1">
      <c r="A59" s="4" t="s">
        <v>1167</v>
      </c>
      <c r="B59" s="4" t="s">
        <v>1289</v>
      </c>
      <c r="C59" s="4" t="s">
        <v>1290</v>
      </c>
      <c r="D59" s="4" t="s">
        <v>1291</v>
      </c>
    </row>
    <row r="60" spans="1:4" ht="31" customHeight="1">
      <c r="A60" s="4" t="s">
        <v>424</v>
      </c>
      <c r="B60" s="4" t="s">
        <v>1292</v>
      </c>
      <c r="C60" s="4" t="s">
        <v>1293</v>
      </c>
      <c r="D60" s="4" t="s">
        <v>1294</v>
      </c>
    </row>
  </sheetData>
  <autoFilter ref="A1:D60"/>
  <pageMargins left="0.7" right="0.7" top="0.75" bottom="0.75" header="0.3" footer="0.3"/>
  <pageSetup fitToHeight="0" orientation="landscape"/>
</worksheet>
</file>

<file path=xl/worksheets/sheet17.xml><?xml version="1.0" encoding="utf-8"?>
<worksheet xmlns="http://schemas.openxmlformats.org/spreadsheetml/2006/main" xmlns:r="http://schemas.openxmlformats.org/officeDocument/2006/relationships">
  <sheetPr>
    <tabColor rgb="FF237C89"/>
    <pageSetUpPr fitToPage="1"/>
  </sheetPr>
  <dimension ref="A1:W20"/>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2.7109375" customWidth="1"/>
    <col min="2" max="23" width="20.7109375" customWidth="1"/>
  </cols>
  <sheetData>
    <row r="1" spans="1:23" ht="42" customHeight="1">
      <c r="A1" s="2" t="s">
        <v>33</v>
      </c>
      <c r="B1" s="2" t="s">
        <v>34</v>
      </c>
      <c r="C1" s="2" t="s">
        <v>1295</v>
      </c>
      <c r="D1" s="2" t="s">
        <v>1296</v>
      </c>
      <c r="E1" s="2" t="s">
        <v>1297</v>
      </c>
      <c r="F1" s="2" t="s">
        <v>1298</v>
      </c>
      <c r="G1" s="2" t="s">
        <v>1299</v>
      </c>
      <c r="H1" s="2" t="s">
        <v>1300</v>
      </c>
      <c r="I1" s="2" t="s">
        <v>1301</v>
      </c>
      <c r="J1" s="2" t="s">
        <v>1302</v>
      </c>
      <c r="K1" s="2" t="s">
        <v>1303</v>
      </c>
      <c r="L1" s="2" t="s">
        <v>1304</v>
      </c>
      <c r="M1" s="2" t="s">
        <v>1305</v>
      </c>
      <c r="N1" s="2" t="s">
        <v>1306</v>
      </c>
      <c r="O1" s="2" t="s">
        <v>1307</v>
      </c>
      <c r="P1" s="2" t="s">
        <v>1308</v>
      </c>
      <c r="Q1" s="2" t="s">
        <v>1309</v>
      </c>
      <c r="R1" s="2" t="s">
        <v>1310</v>
      </c>
      <c r="S1" s="2" t="s">
        <v>1311</v>
      </c>
      <c r="T1" s="2" t="s">
        <v>1312</v>
      </c>
      <c r="U1" s="2" t="s">
        <v>1313</v>
      </c>
      <c r="V1" s="2" t="s">
        <v>1314</v>
      </c>
      <c r="W1" s="2" t="s">
        <v>1315</v>
      </c>
    </row>
    <row r="2" spans="1:23" ht="31" customHeight="1">
      <c r="A2" s="4" t="s">
        <v>109</v>
      </c>
      <c r="B2" s="4" t="s">
        <v>110</v>
      </c>
      <c r="C2" s="6">
        <v>3</v>
      </c>
      <c r="D2" s="6">
        <v>2</v>
      </c>
      <c r="E2" s="6">
        <v>1</v>
      </c>
      <c r="F2" s="6">
        <v>2</v>
      </c>
      <c r="G2" s="6">
        <v>2</v>
      </c>
      <c r="H2" s="6">
        <v>1</v>
      </c>
      <c r="I2" s="6">
        <v>0</v>
      </c>
      <c r="J2" s="6">
        <v>1</v>
      </c>
      <c r="K2" s="6">
        <v>3</v>
      </c>
      <c r="L2" s="6">
        <v>3</v>
      </c>
      <c r="M2" s="6">
        <v>3</v>
      </c>
      <c r="N2" s="6">
        <v>3</v>
      </c>
      <c r="O2" s="6">
        <v>3</v>
      </c>
      <c r="P2" s="6">
        <v>3</v>
      </c>
      <c r="Q2" s="6">
        <v>3</v>
      </c>
      <c r="R2" s="6">
        <v>3</v>
      </c>
      <c r="S2" s="6">
        <v>3</v>
      </c>
      <c r="T2" s="6">
        <v>3</v>
      </c>
      <c r="U2" s="6">
        <v>3</v>
      </c>
      <c r="V2" s="6">
        <v>3</v>
      </c>
      <c r="W2" s="7">
        <f>IF(AND(COUNT(C2:L2)=10,COUNT(M2:V2)=10),SUMPRODUCT(--(C2:L2=M2:V2)),"")</f>
        <v>3</v>
      </c>
    </row>
    <row r="3" spans="1:23" ht="31" customHeight="1">
      <c r="A3" s="4" t="s">
        <v>129</v>
      </c>
      <c r="B3" s="4" t="s">
        <v>110</v>
      </c>
      <c r="C3" s="6">
        <v>2</v>
      </c>
      <c r="D3" s="6">
        <v>3</v>
      </c>
      <c r="E3" s="6">
        <v>3</v>
      </c>
      <c r="F3" s="6">
        <v>2</v>
      </c>
      <c r="G3" s="6">
        <v>2</v>
      </c>
      <c r="H3" s="6">
        <v>2</v>
      </c>
      <c r="I3" s="6">
        <v>1</v>
      </c>
      <c r="J3" s="6">
        <v>2</v>
      </c>
      <c r="K3" s="6">
        <v>2</v>
      </c>
      <c r="L3" s="6">
        <v>2</v>
      </c>
      <c r="M3" s="6">
        <v>2</v>
      </c>
      <c r="N3" s="6">
        <v>2</v>
      </c>
      <c r="O3" s="6">
        <v>3</v>
      </c>
      <c r="P3" s="6">
        <v>2</v>
      </c>
      <c r="Q3" s="6">
        <v>1</v>
      </c>
      <c r="R3" s="6">
        <v>1</v>
      </c>
      <c r="S3" s="6">
        <v>0</v>
      </c>
      <c r="T3" s="6">
        <v>1</v>
      </c>
      <c r="U3" s="6">
        <v>3</v>
      </c>
      <c r="V3" s="6">
        <v>1</v>
      </c>
      <c r="W3" s="7">
        <f>IF(AND(COUNT(C3:L3)=10,COUNT(M3:V3)=10),SUMPRODUCT(--(C3:L3=M3:V3)),"")</f>
        <v>3</v>
      </c>
    </row>
    <row r="4" spans="1:23" ht="31" customHeight="1">
      <c r="A4" s="4" t="s">
        <v>133</v>
      </c>
      <c r="B4" s="4" t="s">
        <v>110</v>
      </c>
      <c r="C4" s="6">
        <v>2</v>
      </c>
      <c r="D4" s="6">
        <v>2</v>
      </c>
      <c r="E4" s="6">
        <v>2</v>
      </c>
      <c r="F4" s="6">
        <v>2</v>
      </c>
      <c r="G4" s="6">
        <v>1</v>
      </c>
      <c r="H4" s="6">
        <v>0</v>
      </c>
      <c r="I4" s="6">
        <v>0</v>
      </c>
      <c r="J4" s="6">
        <v>1</v>
      </c>
      <c r="K4" s="6">
        <v>3</v>
      </c>
      <c r="L4" s="6">
        <v>3</v>
      </c>
      <c r="M4" s="6">
        <v>3</v>
      </c>
      <c r="N4" s="6">
        <v>2</v>
      </c>
      <c r="O4" s="6">
        <v>3</v>
      </c>
      <c r="P4" s="6">
        <v>2</v>
      </c>
      <c r="Q4" s="6">
        <v>1</v>
      </c>
      <c r="R4" s="6">
        <v>1</v>
      </c>
      <c r="S4" s="6">
        <v>0</v>
      </c>
      <c r="T4" s="6">
        <v>1</v>
      </c>
      <c r="U4" s="6">
        <v>3</v>
      </c>
      <c r="V4" s="6">
        <v>1</v>
      </c>
      <c r="W4" s="7">
        <f>IF(AND(COUNT(C4:L4)=10,COUNT(M4:V4)=10),SUMPRODUCT(--(C4:L4=M4:V4)),"")</f>
        <v>6</v>
      </c>
    </row>
    <row r="5" spans="1:23" ht="31" customHeight="1">
      <c r="A5" s="4" t="s">
        <v>138</v>
      </c>
      <c r="B5" s="4" t="s">
        <v>110</v>
      </c>
      <c r="C5" s="6">
        <v>2</v>
      </c>
      <c r="D5" s="6">
        <v>2</v>
      </c>
      <c r="E5" s="6">
        <v>3</v>
      </c>
      <c r="F5" s="6">
        <v>3</v>
      </c>
      <c r="G5" s="6">
        <v>1</v>
      </c>
      <c r="H5" s="6">
        <v>2</v>
      </c>
      <c r="I5" s="6">
        <v>0</v>
      </c>
      <c r="J5" s="6">
        <v>2</v>
      </c>
      <c r="K5" s="6">
        <v>3</v>
      </c>
      <c r="L5" s="6">
        <v>1</v>
      </c>
      <c r="M5" s="6">
        <v>3</v>
      </c>
      <c r="N5" s="6">
        <v>2</v>
      </c>
      <c r="O5" s="6">
        <v>3</v>
      </c>
      <c r="P5" s="6">
        <v>2</v>
      </c>
      <c r="Q5" s="6">
        <v>2</v>
      </c>
      <c r="R5" s="6">
        <v>2</v>
      </c>
      <c r="S5" s="6">
        <v>0</v>
      </c>
      <c r="T5" s="6">
        <v>2</v>
      </c>
      <c r="U5" s="6">
        <v>3</v>
      </c>
      <c r="V5" s="6">
        <v>2</v>
      </c>
      <c r="W5" s="7">
        <f>IF(AND(COUNT(C5:L5)=10,COUNT(M5:V5)=10),SUMPRODUCT(--(C5:L5=M5:V5)),"")</f>
        <v>6</v>
      </c>
    </row>
    <row r="6" spans="1:23" ht="31" customHeight="1">
      <c r="A6" s="4" t="s">
        <v>141</v>
      </c>
      <c r="B6" s="4" t="s">
        <v>110</v>
      </c>
      <c r="C6" s="6">
        <v>2</v>
      </c>
      <c r="D6" s="6">
        <v>2</v>
      </c>
      <c r="E6" s="6">
        <v>2</v>
      </c>
      <c r="F6" s="6">
        <v>1</v>
      </c>
      <c r="G6" s="6">
        <v>1</v>
      </c>
      <c r="H6" s="6">
        <v>0</v>
      </c>
      <c r="I6" s="6">
        <v>1</v>
      </c>
      <c r="J6" s="6">
        <v>1</v>
      </c>
      <c r="K6" s="6">
        <v>2</v>
      </c>
      <c r="L6" s="6">
        <v>2</v>
      </c>
      <c r="M6" s="6">
        <v>3</v>
      </c>
      <c r="N6" s="6">
        <v>2</v>
      </c>
      <c r="O6" s="6">
        <v>2</v>
      </c>
      <c r="P6" s="6">
        <v>2</v>
      </c>
      <c r="Q6" s="6">
        <v>2</v>
      </c>
      <c r="R6" s="6">
        <v>0</v>
      </c>
      <c r="S6" s="6">
        <v>0</v>
      </c>
      <c r="T6" s="6">
        <v>1</v>
      </c>
      <c r="U6" s="6">
        <v>3</v>
      </c>
      <c r="V6" s="6">
        <v>2</v>
      </c>
      <c r="W6" s="7">
        <f>IF(AND(COUNT(C6:L6)=10,COUNT(M6:V6)=10),SUMPRODUCT(--(C6:L6=M6:V6)),"")</f>
        <v>5</v>
      </c>
    </row>
    <row r="7" spans="1:23" ht="31" customHeight="1">
      <c r="A7" s="4" t="s">
        <v>143</v>
      </c>
      <c r="B7" s="4" t="s">
        <v>110</v>
      </c>
      <c r="C7" s="6">
        <v>3</v>
      </c>
      <c r="D7" s="6">
        <v>2</v>
      </c>
      <c r="E7" s="6">
        <v>0</v>
      </c>
      <c r="F7" s="6">
        <v>0</v>
      </c>
      <c r="G7" s="6">
        <v>1</v>
      </c>
      <c r="H7" s="6">
        <v>0</v>
      </c>
      <c r="I7" s="6">
        <v>0</v>
      </c>
      <c r="J7" s="6">
        <v>2</v>
      </c>
      <c r="K7" s="6">
        <v>2</v>
      </c>
      <c r="L7" s="6">
        <v>1</v>
      </c>
      <c r="M7" s="6">
        <v>3</v>
      </c>
      <c r="N7" s="6">
        <v>2</v>
      </c>
      <c r="O7" s="6">
        <v>1</v>
      </c>
      <c r="P7" s="6">
        <v>1</v>
      </c>
      <c r="Q7" s="6">
        <v>1</v>
      </c>
      <c r="R7" s="6">
        <v>1</v>
      </c>
      <c r="S7" s="6">
        <v>0</v>
      </c>
      <c r="T7" s="6">
        <v>1</v>
      </c>
      <c r="U7" s="6">
        <v>3</v>
      </c>
      <c r="V7" s="6">
        <v>1</v>
      </c>
      <c r="W7" s="7">
        <f>IF(AND(COUNT(C7:L7)=10,COUNT(M7:V7)=10),SUMPRODUCT(--(C7:L7=M7:V7)),"")</f>
        <v>5</v>
      </c>
    </row>
    <row r="8" spans="1:23" ht="31" customHeight="1">
      <c r="A8" s="4" t="s">
        <v>148</v>
      </c>
      <c r="B8" s="4" t="s">
        <v>110</v>
      </c>
      <c r="C8" s="6">
        <v>2</v>
      </c>
      <c r="D8" s="6">
        <v>0</v>
      </c>
      <c r="E8" s="6">
        <v>1</v>
      </c>
      <c r="F8" s="6">
        <v>0</v>
      </c>
      <c r="G8" s="6">
        <v>0</v>
      </c>
      <c r="H8" s="6">
        <v>1</v>
      </c>
      <c r="I8" s="6">
        <v>0</v>
      </c>
      <c r="J8" s="6">
        <v>2</v>
      </c>
      <c r="K8" s="6">
        <v>1</v>
      </c>
      <c r="L8" s="6">
        <v>1</v>
      </c>
      <c r="M8" s="6">
        <v>2</v>
      </c>
      <c r="N8" s="6">
        <v>1</v>
      </c>
      <c r="O8" s="6">
        <v>0</v>
      </c>
      <c r="P8" s="6">
        <v>0</v>
      </c>
      <c r="Q8" s="6">
        <v>0</v>
      </c>
      <c r="R8" s="6">
        <v>1</v>
      </c>
      <c r="S8" s="6">
        <v>0</v>
      </c>
      <c r="T8" s="6">
        <v>1</v>
      </c>
      <c r="U8" s="6">
        <v>0</v>
      </c>
      <c r="V8" s="6">
        <v>1</v>
      </c>
      <c r="W8" s="7">
        <f>IF(AND(COUNT(C8:L8)=10,COUNT(M8:V8)=10),SUMPRODUCT(--(C8:L8=M8:V8)),"")</f>
        <v>6</v>
      </c>
    </row>
    <row r="9" spans="1:23" ht="31" customHeight="1">
      <c r="A9" s="4" t="s">
        <v>151</v>
      </c>
      <c r="B9" s="4" t="s">
        <v>110</v>
      </c>
      <c r="C9" s="6">
        <v>3</v>
      </c>
      <c r="D9" s="6">
        <v>0</v>
      </c>
      <c r="E9" s="6">
        <v>0</v>
      </c>
      <c r="F9" s="6">
        <v>2</v>
      </c>
      <c r="G9" s="6">
        <v>2</v>
      </c>
      <c r="H9" s="6">
        <v>2</v>
      </c>
      <c r="I9" s="6">
        <v>0</v>
      </c>
      <c r="J9" s="6">
        <v>1</v>
      </c>
      <c r="K9" s="6">
        <v>1</v>
      </c>
      <c r="L9" s="6">
        <v>2</v>
      </c>
      <c r="M9" s="6">
        <v>3</v>
      </c>
      <c r="N9" s="6">
        <v>1</v>
      </c>
      <c r="O9" s="6">
        <v>2</v>
      </c>
      <c r="P9" s="6">
        <v>2</v>
      </c>
      <c r="Q9" s="6">
        <v>2</v>
      </c>
      <c r="R9" s="6">
        <v>2</v>
      </c>
      <c r="S9" s="6">
        <v>0</v>
      </c>
      <c r="T9" s="6">
        <v>1</v>
      </c>
      <c r="U9" s="6">
        <v>3</v>
      </c>
      <c r="V9" s="6">
        <v>1</v>
      </c>
      <c r="W9" s="7">
        <f>IF(AND(COUNT(C9:L9)=10,COUNT(M9:V9)=10),SUMPRODUCT(--(C9:L9=M9:V9)),"")</f>
        <v>6</v>
      </c>
    </row>
    <row r="10" spans="1:23" ht="31" customHeight="1">
      <c r="A10" s="4" t="s">
        <v>153</v>
      </c>
      <c r="B10" s="4" t="s">
        <v>110</v>
      </c>
      <c r="C10" s="6">
        <v>2</v>
      </c>
      <c r="D10" s="6">
        <v>0</v>
      </c>
      <c r="E10" s="6">
        <v>0</v>
      </c>
      <c r="F10" s="6">
        <v>1</v>
      </c>
      <c r="G10" s="6">
        <v>1</v>
      </c>
      <c r="H10" s="6">
        <v>0</v>
      </c>
      <c r="I10" s="6">
        <v>1</v>
      </c>
      <c r="J10" s="6">
        <v>1</v>
      </c>
      <c r="K10" s="6">
        <v>0</v>
      </c>
      <c r="L10" s="6">
        <v>1</v>
      </c>
      <c r="M10" s="6">
        <v>2</v>
      </c>
      <c r="N10" s="6">
        <v>0</v>
      </c>
      <c r="O10" s="6">
        <v>0</v>
      </c>
      <c r="P10" s="6">
        <v>0</v>
      </c>
      <c r="Q10" s="6">
        <v>0</v>
      </c>
      <c r="R10" s="6">
        <v>2</v>
      </c>
      <c r="S10" s="6">
        <v>0</v>
      </c>
      <c r="T10" s="6">
        <v>0</v>
      </c>
      <c r="U10" s="6">
        <v>0</v>
      </c>
      <c r="V10" s="6">
        <v>1</v>
      </c>
      <c r="W10" s="7">
        <f>IF(AND(COUNT(C10:L10)=10,COUNT(M10:V10)=10),SUMPRODUCT(--(C10:L10=M10:V10)),"")</f>
        <v>5</v>
      </c>
    </row>
    <row r="11" spans="1:23" ht="31" customHeight="1">
      <c r="A11" s="4" t="s">
        <v>345</v>
      </c>
      <c r="B11" s="4" t="s">
        <v>346</v>
      </c>
      <c r="C11" s="6">
        <v>0</v>
      </c>
      <c r="D11" s="6">
        <v>0</v>
      </c>
      <c r="E11" s="6">
        <v>0</v>
      </c>
      <c r="F11" s="6">
        <v>1</v>
      </c>
      <c r="G11" s="6">
        <v>2</v>
      </c>
      <c r="H11" s="6">
        <v>0</v>
      </c>
      <c r="I11" s="6">
        <v>0</v>
      </c>
      <c r="J11" s="6">
        <v>0</v>
      </c>
      <c r="K11" s="6">
        <v>1</v>
      </c>
      <c r="L11" s="6">
        <v>2</v>
      </c>
      <c r="M11" s="6">
        <v>1</v>
      </c>
      <c r="N11" s="6">
        <v>1</v>
      </c>
      <c r="O11" s="6">
        <v>0</v>
      </c>
      <c r="P11" s="6">
        <v>1</v>
      </c>
      <c r="Q11" s="6">
        <v>2</v>
      </c>
      <c r="R11" s="6">
        <v>0</v>
      </c>
      <c r="S11" s="6">
        <v>0</v>
      </c>
      <c r="T11" s="6">
        <v>0</v>
      </c>
      <c r="U11" s="6">
        <v>1</v>
      </c>
      <c r="V11" s="6">
        <v>2</v>
      </c>
      <c r="W11" s="7">
        <f>IF(AND(COUNT(C11:L11)=10,COUNT(M11:V11)=10),SUMPRODUCT(--(C11:L11=M11:V11)),"")</f>
        <v>8</v>
      </c>
    </row>
    <row r="12" spans="1:23" ht="31" customHeight="1">
      <c r="A12" s="4" t="s">
        <v>354</v>
      </c>
      <c r="B12" s="4" t="s">
        <v>346</v>
      </c>
      <c r="C12" s="6">
        <v>3</v>
      </c>
      <c r="D12" s="6">
        <v>1</v>
      </c>
      <c r="E12" s="6">
        <v>2</v>
      </c>
      <c r="F12" s="6">
        <v>2</v>
      </c>
      <c r="G12" s="6">
        <v>2</v>
      </c>
      <c r="H12" s="6">
        <v>1</v>
      </c>
      <c r="I12" s="6">
        <v>0</v>
      </c>
      <c r="J12" s="6">
        <v>1</v>
      </c>
      <c r="K12" s="6">
        <v>3</v>
      </c>
      <c r="L12" s="6">
        <v>2</v>
      </c>
      <c r="M12" s="6">
        <v>3</v>
      </c>
      <c r="N12" s="6">
        <v>1</v>
      </c>
      <c r="O12" s="6">
        <v>2</v>
      </c>
      <c r="P12" s="6">
        <v>2</v>
      </c>
      <c r="Q12" s="6">
        <v>2</v>
      </c>
      <c r="R12" s="6">
        <v>1</v>
      </c>
      <c r="S12" s="6">
        <v>0</v>
      </c>
      <c r="T12" s="6">
        <v>0</v>
      </c>
      <c r="U12" s="6">
        <v>3</v>
      </c>
      <c r="V12" s="6">
        <v>2</v>
      </c>
      <c r="W12" s="7">
        <f>IF(AND(COUNT(C12:L12)=10,COUNT(M12:V12)=10),SUMPRODUCT(--(C12:L12=M12:V12)),"")</f>
        <v>9</v>
      </c>
    </row>
    <row r="13" spans="1:23" ht="31" customHeight="1">
      <c r="A13" s="4" t="s">
        <v>357</v>
      </c>
      <c r="B13" s="4" t="s">
        <v>346</v>
      </c>
      <c r="C13" s="6">
        <v>3</v>
      </c>
      <c r="D13" s="6">
        <v>0</v>
      </c>
      <c r="E13" s="6">
        <v>0</v>
      </c>
      <c r="F13" s="6">
        <v>2</v>
      </c>
      <c r="G13" s="6">
        <v>2</v>
      </c>
      <c r="H13" s="6">
        <v>0</v>
      </c>
      <c r="I13" s="6">
        <v>0</v>
      </c>
      <c r="J13" s="6">
        <v>1</v>
      </c>
      <c r="K13" s="6">
        <v>1</v>
      </c>
      <c r="L13" s="6">
        <v>2</v>
      </c>
      <c r="M13" s="6">
        <v>3</v>
      </c>
      <c r="N13" s="6">
        <v>0</v>
      </c>
      <c r="O13" s="6">
        <v>1</v>
      </c>
      <c r="P13" s="6">
        <v>2</v>
      </c>
      <c r="Q13" s="6">
        <v>2</v>
      </c>
      <c r="R13" s="6">
        <v>1</v>
      </c>
      <c r="S13" s="6">
        <v>0</v>
      </c>
      <c r="T13" s="6">
        <v>1</v>
      </c>
      <c r="U13" s="6">
        <v>1</v>
      </c>
      <c r="V13" s="6">
        <v>3</v>
      </c>
      <c r="W13" s="7">
        <f>IF(AND(COUNT(C13:L13)=10,COUNT(M13:V13)=10),SUMPRODUCT(--(C13:L13=M13:V13)),"")</f>
        <v>7</v>
      </c>
    </row>
    <row r="14" spans="1:23" ht="31" customHeight="1">
      <c r="A14" s="4" t="s">
        <v>360</v>
      </c>
      <c r="B14" s="4" t="s">
        <v>346</v>
      </c>
      <c r="C14" s="6">
        <v>3</v>
      </c>
      <c r="D14" s="6">
        <v>0</v>
      </c>
      <c r="E14" s="6">
        <v>0</v>
      </c>
      <c r="F14" s="6">
        <v>2</v>
      </c>
      <c r="G14" s="6">
        <v>1</v>
      </c>
      <c r="H14" s="6">
        <v>0</v>
      </c>
      <c r="I14" s="6">
        <v>0</v>
      </c>
      <c r="J14" s="6">
        <v>0</v>
      </c>
      <c r="K14" s="6">
        <v>1</v>
      </c>
      <c r="L14" s="6">
        <v>1</v>
      </c>
      <c r="M14" s="6">
        <v>3</v>
      </c>
      <c r="N14" s="6">
        <v>0</v>
      </c>
      <c r="O14" s="6">
        <v>1</v>
      </c>
      <c r="P14" s="6">
        <v>2</v>
      </c>
      <c r="Q14" s="6">
        <v>1</v>
      </c>
      <c r="R14" s="6">
        <v>0</v>
      </c>
      <c r="S14" s="6">
        <v>0</v>
      </c>
      <c r="T14" s="6">
        <v>0</v>
      </c>
      <c r="U14" s="6">
        <v>0</v>
      </c>
      <c r="V14" s="6">
        <v>2</v>
      </c>
      <c r="W14" s="7">
        <f>IF(AND(COUNT(C14:L14)=10,COUNT(M14:V14)=10),SUMPRODUCT(--(C14:L14=M14:V14)),"")</f>
        <v>7</v>
      </c>
    </row>
    <row r="15" spans="1:23" ht="31" customHeight="1">
      <c r="A15" s="4" t="s">
        <v>363</v>
      </c>
      <c r="B15" s="4" t="s">
        <v>346</v>
      </c>
      <c r="C15" s="6">
        <v>3</v>
      </c>
      <c r="D15" s="6">
        <v>3</v>
      </c>
      <c r="E15" s="6">
        <v>3</v>
      </c>
      <c r="F15" s="6">
        <v>2</v>
      </c>
      <c r="G15" s="6">
        <v>1</v>
      </c>
      <c r="H15" s="6">
        <v>1</v>
      </c>
      <c r="I15" s="6">
        <v>0</v>
      </c>
      <c r="J15" s="6">
        <v>2</v>
      </c>
      <c r="K15" s="6">
        <v>3</v>
      </c>
      <c r="L15" s="6">
        <v>3</v>
      </c>
      <c r="M15" s="6">
        <v>3</v>
      </c>
      <c r="N15" s="6">
        <v>3</v>
      </c>
      <c r="O15" s="6">
        <v>3</v>
      </c>
      <c r="P15" s="6">
        <v>3</v>
      </c>
      <c r="Q15" s="6">
        <v>2</v>
      </c>
      <c r="R15" s="6">
        <v>1</v>
      </c>
      <c r="S15" s="6">
        <v>0</v>
      </c>
      <c r="T15" s="6">
        <v>3</v>
      </c>
      <c r="U15" s="6">
        <v>3</v>
      </c>
      <c r="V15" s="6">
        <v>3</v>
      </c>
      <c r="W15" s="7">
        <f>IF(AND(COUNT(C15:L15)=10,COUNT(M15:V15)=10),SUMPRODUCT(--(C15:L15=M15:V15)),"")</f>
        <v>7</v>
      </c>
    </row>
    <row r="16" spans="1:23" ht="31" customHeight="1">
      <c r="A16" s="4" t="s">
        <v>366</v>
      </c>
      <c r="B16" s="4" t="s">
        <v>346</v>
      </c>
      <c r="C16" s="6">
        <v>3</v>
      </c>
      <c r="D16" s="6">
        <v>1</v>
      </c>
      <c r="E16" s="6">
        <v>1</v>
      </c>
      <c r="F16" s="6">
        <v>2</v>
      </c>
      <c r="G16" s="6">
        <v>2</v>
      </c>
      <c r="H16" s="6">
        <v>0</v>
      </c>
      <c r="I16" s="6">
        <v>0</v>
      </c>
      <c r="J16" s="6">
        <v>2</v>
      </c>
      <c r="K16" s="6">
        <v>3</v>
      </c>
      <c r="L16" s="6">
        <v>2</v>
      </c>
      <c r="M16" s="6">
        <v>3</v>
      </c>
      <c r="N16" s="6">
        <v>1</v>
      </c>
      <c r="O16" s="6">
        <v>2</v>
      </c>
      <c r="P16" s="6">
        <v>2</v>
      </c>
      <c r="Q16" s="6">
        <v>2</v>
      </c>
      <c r="R16" s="6">
        <v>1</v>
      </c>
      <c r="S16" s="6">
        <v>0</v>
      </c>
      <c r="T16" s="6">
        <v>2</v>
      </c>
      <c r="U16" s="6">
        <v>3</v>
      </c>
      <c r="V16" s="6">
        <v>2</v>
      </c>
      <c r="W16" s="7">
        <f>IF(AND(COUNT(C16:L16)=10,COUNT(M16:V16)=10),SUMPRODUCT(--(C16:L16=M16:V16)),"")</f>
        <v>8</v>
      </c>
    </row>
    <row r="17" spans="1:23" ht="31" customHeight="1">
      <c r="A17" s="4" t="s">
        <v>371</v>
      </c>
      <c r="B17" s="4" t="s">
        <v>346</v>
      </c>
      <c r="C17" s="6">
        <v>3</v>
      </c>
      <c r="D17" s="6">
        <v>3</v>
      </c>
      <c r="E17" s="6">
        <v>3</v>
      </c>
      <c r="F17" s="6">
        <v>3</v>
      </c>
      <c r="G17" s="6">
        <v>2</v>
      </c>
      <c r="H17" s="6">
        <v>2</v>
      </c>
      <c r="I17" s="6">
        <v>1</v>
      </c>
      <c r="J17" s="6">
        <v>2</v>
      </c>
      <c r="K17" s="6">
        <v>3</v>
      </c>
      <c r="L17" s="6">
        <v>2</v>
      </c>
      <c r="M17" s="6">
        <v>3</v>
      </c>
      <c r="N17" s="6">
        <v>3</v>
      </c>
      <c r="O17" s="6">
        <v>3</v>
      </c>
      <c r="P17" s="6">
        <v>2</v>
      </c>
      <c r="Q17" s="6">
        <v>2</v>
      </c>
      <c r="R17" s="6">
        <v>1</v>
      </c>
      <c r="S17" s="6">
        <v>0</v>
      </c>
      <c r="T17" s="6">
        <v>3</v>
      </c>
      <c r="U17" s="6">
        <v>3</v>
      </c>
      <c r="V17" s="6">
        <v>2</v>
      </c>
      <c r="W17" s="7">
        <f>IF(AND(COUNT(C17:L17)=10,COUNT(M17:V17)=10),SUMPRODUCT(--(C17:L17=M17:V17)),"")</f>
        <v>6</v>
      </c>
    </row>
    <row r="18" spans="1:23" ht="31" customHeight="1">
      <c r="A18" s="4" t="s">
        <v>375</v>
      </c>
      <c r="B18" s="4" t="s">
        <v>346</v>
      </c>
      <c r="C18" s="6">
        <v>3</v>
      </c>
      <c r="D18" s="6">
        <v>3</v>
      </c>
      <c r="E18" s="6">
        <v>3</v>
      </c>
      <c r="F18" s="6">
        <v>3</v>
      </c>
      <c r="G18" s="6">
        <v>2</v>
      </c>
      <c r="H18" s="6">
        <v>2</v>
      </c>
      <c r="I18" s="6">
        <v>3</v>
      </c>
      <c r="J18" s="6">
        <v>2</v>
      </c>
      <c r="K18" s="6">
        <v>3</v>
      </c>
      <c r="L18" s="6">
        <v>3</v>
      </c>
      <c r="M18" s="6">
        <v>3</v>
      </c>
      <c r="N18" s="6">
        <v>3</v>
      </c>
      <c r="O18" s="6">
        <v>3</v>
      </c>
      <c r="P18" s="6">
        <v>2</v>
      </c>
      <c r="Q18" s="6">
        <v>2</v>
      </c>
      <c r="R18" s="6">
        <v>1</v>
      </c>
      <c r="S18" s="6">
        <v>0</v>
      </c>
      <c r="T18" s="6">
        <v>1</v>
      </c>
      <c r="U18" s="6">
        <v>3</v>
      </c>
      <c r="V18" s="6">
        <v>2</v>
      </c>
      <c r="W18" s="7">
        <f>IF(AND(COUNT(C18:L18)=10,COUNT(M18:V18)=10),SUMPRODUCT(--(C18:L18=M18:V18)),"")</f>
        <v>5</v>
      </c>
    </row>
    <row r="19" spans="1:23" ht="31" customHeight="1">
      <c r="A19" s="4" t="s">
        <v>378</v>
      </c>
      <c r="B19" s="4" t="s">
        <v>346</v>
      </c>
      <c r="C19" s="6">
        <v>3</v>
      </c>
      <c r="D19" s="6">
        <v>3</v>
      </c>
      <c r="E19" s="6">
        <v>3</v>
      </c>
      <c r="F19" s="6">
        <v>3</v>
      </c>
      <c r="G19" s="6">
        <v>3</v>
      </c>
      <c r="H19" s="6">
        <v>2</v>
      </c>
      <c r="I19" s="6">
        <v>3</v>
      </c>
      <c r="J19" s="6">
        <v>3</v>
      </c>
      <c r="K19" s="6">
        <v>3</v>
      </c>
      <c r="L19" s="6">
        <v>3</v>
      </c>
      <c r="M19" s="6">
        <v>3</v>
      </c>
      <c r="N19" s="6">
        <v>3</v>
      </c>
      <c r="O19" s="6">
        <v>3</v>
      </c>
      <c r="P19" s="6">
        <v>2</v>
      </c>
      <c r="Q19" s="6">
        <v>2</v>
      </c>
      <c r="R19" s="6">
        <v>1</v>
      </c>
      <c r="S19" s="6">
        <v>0</v>
      </c>
      <c r="T19" s="6">
        <v>1</v>
      </c>
      <c r="U19" s="6">
        <v>3</v>
      </c>
      <c r="V19" s="6">
        <v>3</v>
      </c>
      <c r="W19" s="7">
        <f>IF(AND(COUNT(C19:L19)=10,COUNT(M19:V19)=10),SUMPRODUCT(--(C19:L19=M19:V19)),"")</f>
        <v>5</v>
      </c>
    </row>
    <row r="20" spans="1:23" ht="31" customHeight="1">
      <c r="A20" s="4" t="s">
        <v>381</v>
      </c>
      <c r="B20" s="4" t="s">
        <v>346</v>
      </c>
      <c r="C20" s="6">
        <v>3</v>
      </c>
      <c r="D20" s="6">
        <v>2</v>
      </c>
      <c r="E20" s="6">
        <v>1</v>
      </c>
      <c r="F20" s="6">
        <v>2</v>
      </c>
      <c r="G20" s="6">
        <v>0</v>
      </c>
      <c r="H20" s="6">
        <v>0</v>
      </c>
      <c r="I20" s="6">
        <v>0</v>
      </c>
      <c r="J20" s="6">
        <v>0</v>
      </c>
      <c r="K20" s="6">
        <v>3</v>
      </c>
      <c r="L20" s="6">
        <v>3</v>
      </c>
      <c r="M20" s="6">
        <v>3</v>
      </c>
      <c r="N20" s="6">
        <v>3</v>
      </c>
      <c r="O20" s="6">
        <v>1</v>
      </c>
      <c r="P20" s="6">
        <v>2</v>
      </c>
      <c r="Q20" s="6">
        <v>2</v>
      </c>
      <c r="R20" s="6">
        <v>1</v>
      </c>
      <c r="S20" s="6">
        <v>0</v>
      </c>
      <c r="T20" s="6">
        <v>1</v>
      </c>
      <c r="U20" s="6">
        <v>3</v>
      </c>
      <c r="V20" s="6">
        <v>2</v>
      </c>
      <c r="W20" s="7">
        <f>IF(AND(COUNT(C20:L20)=10,COUNT(M20:V20)=10),SUMPRODUCT(--(C20:L20=M20:V20)),"")</f>
        <v>5</v>
      </c>
    </row>
  </sheetData>
  <autoFilter ref="A1:W20"/>
  <pageMargins left="0.7" right="0.7" top="0.75" bottom="0.75" header="0.3" footer="0.3"/>
  <pageSetup fitToHeight="0" orientation="landscape"/>
</worksheet>
</file>

<file path=xl/worksheets/sheet18.xml><?xml version="1.0" encoding="utf-8"?>
<worksheet xmlns="http://schemas.openxmlformats.org/spreadsheetml/2006/main" xmlns:r="http://schemas.openxmlformats.org/officeDocument/2006/relationships">
  <sheetPr>
    <tabColor rgb="FF237C89"/>
    <pageSetUpPr fitToPage="1"/>
  </sheetPr>
  <dimension ref="A1:F3"/>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5" width="20.7109375" customWidth="1"/>
    <col min="6" max="6" width="90.7109375" customWidth="1"/>
  </cols>
  <sheetData>
    <row r="1" spans="1:6" ht="42" customHeight="1">
      <c r="A1" s="2" t="s">
        <v>34</v>
      </c>
      <c r="B1" s="2" t="s">
        <v>1316</v>
      </c>
      <c r="C1" s="2" t="s">
        <v>1317</v>
      </c>
      <c r="D1" s="2" t="s">
        <v>1318</v>
      </c>
      <c r="E1" s="2" t="s">
        <v>1319</v>
      </c>
      <c r="F1" s="2" t="s">
        <v>487</v>
      </c>
    </row>
    <row r="2" spans="1:6" ht="31" customHeight="1">
      <c r="A2" s="4" t="s">
        <v>110</v>
      </c>
      <c r="B2" s="6">
        <v>9</v>
      </c>
      <c r="C2" s="6">
        <v>90</v>
      </c>
      <c r="D2" s="6">
        <v>0.5</v>
      </c>
      <c r="E2" s="6">
        <v>0.3322341302555648</v>
      </c>
      <c r="F2" s="4" t="s">
        <v>1320</v>
      </c>
    </row>
    <row r="3" spans="1:6" ht="31" customHeight="1">
      <c r="A3" s="4" t="s">
        <v>346</v>
      </c>
      <c r="B3" s="6">
        <v>10</v>
      </c>
      <c r="C3" s="6">
        <v>100</v>
      </c>
      <c r="D3" s="6">
        <v>0.67</v>
      </c>
      <c r="E3" s="6">
        <v>0.5545356371490281</v>
      </c>
      <c r="F3" s="4" t="s">
        <v>1320</v>
      </c>
    </row>
  </sheetData>
  <autoFilter ref="A1:F3"/>
  <pageMargins left="0.7" right="0.7" top="0.75" bottom="0.75" header="0.3" footer="0.3"/>
  <pageSetup fitToHeight="0" orientation="landscape"/>
</worksheet>
</file>

<file path=xl/worksheets/sheet19.xml><?xml version="1.0" encoding="utf-8"?>
<worksheet xmlns="http://schemas.openxmlformats.org/spreadsheetml/2006/main" xmlns:r="http://schemas.openxmlformats.org/officeDocument/2006/relationships">
  <sheetPr>
    <tabColor rgb="FF237C89"/>
    <pageSetUpPr fitToPage="1"/>
  </sheetPr>
  <dimension ref="A1:AA28"/>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4.7109375" customWidth="1"/>
    <col min="2" max="25" width="20.7109375" customWidth="1"/>
    <col min="26" max="26" width="65.7109375" customWidth="1"/>
    <col min="27" max="27" width="95.7109375" customWidth="1"/>
  </cols>
  <sheetData>
    <row r="1" spans="1:27" ht="42" customHeight="1">
      <c r="A1" s="2" t="s">
        <v>1321</v>
      </c>
      <c r="B1" s="2" t="s">
        <v>1322</v>
      </c>
      <c r="C1" s="2" t="s">
        <v>1323</v>
      </c>
      <c r="D1" s="2" t="s">
        <v>1324</v>
      </c>
      <c r="E1" s="2" t="s">
        <v>1325</v>
      </c>
      <c r="F1" s="2" t="s">
        <v>1326</v>
      </c>
      <c r="G1" s="2" t="s">
        <v>1327</v>
      </c>
      <c r="H1" s="2" t="s">
        <v>1328</v>
      </c>
      <c r="I1" s="2" t="s">
        <v>1329</v>
      </c>
      <c r="J1" s="2" t="s">
        <v>1330</v>
      </c>
      <c r="K1" s="2" t="s">
        <v>1331</v>
      </c>
      <c r="L1" s="2" t="s">
        <v>1332</v>
      </c>
      <c r="M1" s="2" t="s">
        <v>1333</v>
      </c>
      <c r="N1" s="2" t="s">
        <v>1334</v>
      </c>
      <c r="O1" s="2" t="s">
        <v>1335</v>
      </c>
      <c r="P1" s="2" t="s">
        <v>1336</v>
      </c>
      <c r="Q1" s="2" t="s">
        <v>1337</v>
      </c>
      <c r="R1" s="2" t="s">
        <v>1338</v>
      </c>
      <c r="S1" s="2" t="s">
        <v>1339</v>
      </c>
      <c r="T1" s="2" t="s">
        <v>1340</v>
      </c>
      <c r="U1" s="2" t="s">
        <v>1341</v>
      </c>
      <c r="V1" s="2" t="s">
        <v>1342</v>
      </c>
      <c r="W1" s="2" t="s">
        <v>1343</v>
      </c>
      <c r="X1" s="2" t="s">
        <v>1344</v>
      </c>
      <c r="Y1" s="2" t="s">
        <v>1345</v>
      </c>
      <c r="Z1" s="2" t="s">
        <v>1346</v>
      </c>
      <c r="AA1" s="2" t="s">
        <v>1347</v>
      </c>
    </row>
    <row r="2" spans="1:27" ht="31" customHeight="1">
      <c r="A2" s="4" t="s">
        <v>345</v>
      </c>
      <c r="B2" s="4" t="s">
        <v>1348</v>
      </c>
      <c r="C2" s="4" t="s">
        <v>1349</v>
      </c>
      <c r="D2" s="6">
        <v>3855.3</v>
      </c>
      <c r="E2" s="6">
        <v>8.257204103981206</v>
      </c>
      <c r="F2" s="4" t="s">
        <v>115</v>
      </c>
      <c r="G2" s="4" t="s">
        <v>1350</v>
      </c>
      <c r="H2" s="6">
        <v>1.22</v>
      </c>
      <c r="I2" s="6">
        <v>0.000316447487873836</v>
      </c>
      <c r="J2" s="4" t="s">
        <v>503</v>
      </c>
      <c r="K2" s="6">
        <v>0</v>
      </c>
      <c r="L2" s="4" t="s">
        <v>510</v>
      </c>
      <c r="M2" s="4" t="s">
        <v>519</v>
      </c>
      <c r="N2" s="6">
        <v>44.97</v>
      </c>
      <c r="O2" s="6">
        <v>374.83</v>
      </c>
      <c r="P2" s="6">
        <v>3194.6</v>
      </c>
      <c r="Q2" s="6">
        <v>0.1173323733800789</v>
      </c>
      <c r="R2" s="6">
        <v>2.0198</v>
      </c>
      <c r="S2" s="6">
        <v>0.08699999999999999</v>
      </c>
      <c r="T2" s="6">
        <v>1599.95</v>
      </c>
      <c r="U2" s="6">
        <v>6899.72</v>
      </c>
      <c r="V2" s="6">
        <v>4.312459764367636</v>
      </c>
      <c r="W2" s="6">
        <v>0.048</v>
      </c>
      <c r="X2" s="6">
        <v>8</v>
      </c>
      <c r="Y2" s="6">
        <v>50</v>
      </c>
      <c r="Z2" s="4" t="s">
        <v>1351</v>
      </c>
      <c r="AA2" s="4" t="s">
        <v>1352</v>
      </c>
    </row>
    <row r="3" spans="1:27" ht="31" customHeight="1">
      <c r="A3" s="4" t="s">
        <v>345</v>
      </c>
      <c r="B3" s="4" t="s">
        <v>1348</v>
      </c>
      <c r="C3" s="4" t="s">
        <v>173</v>
      </c>
      <c r="D3" s="6">
        <v>4098.62</v>
      </c>
      <c r="E3" s="6">
        <v>8.318405610668977</v>
      </c>
      <c r="F3" s="4" t="s">
        <v>115</v>
      </c>
      <c r="G3" s="4" t="s">
        <v>1350</v>
      </c>
      <c r="H3" s="6">
        <v>0</v>
      </c>
      <c r="I3" s="6">
        <v>0</v>
      </c>
      <c r="J3" s="4" t="s">
        <v>503</v>
      </c>
      <c r="K3" s="6">
        <v>0</v>
      </c>
      <c r="L3" s="4" t="s">
        <v>510</v>
      </c>
      <c r="M3" s="4" t="s">
        <v>519</v>
      </c>
      <c r="N3" s="6">
        <v>14</v>
      </c>
      <c r="O3" s="6">
        <v>202.08</v>
      </c>
      <c r="P3" s="6">
        <v>3705.95</v>
      </c>
      <c r="Q3" s="6">
        <v>0.0545285284474966</v>
      </c>
      <c r="R3" s="6">
        <v>1.8385</v>
      </c>
      <c r="S3" s="6">
        <v>0.08749999999999999</v>
      </c>
      <c r="T3" s="6">
        <v>1798.45</v>
      </c>
      <c r="U3" s="6">
        <v>6276.73</v>
      </c>
      <c r="V3" s="6">
        <v>3.490077566793627</v>
      </c>
      <c r="W3" s="6">
        <v>0.055</v>
      </c>
      <c r="X3" s="6">
        <v>8</v>
      </c>
      <c r="Y3" s="6">
        <v>47</v>
      </c>
      <c r="Z3" s="4" t="s">
        <v>1351</v>
      </c>
      <c r="AA3" s="4" t="s">
        <v>1352</v>
      </c>
    </row>
    <row r="4" spans="1:27" ht="31" customHeight="1">
      <c r="A4" s="4" t="s">
        <v>345</v>
      </c>
      <c r="B4" s="4" t="s">
        <v>1348</v>
      </c>
      <c r="C4" s="4" t="s">
        <v>158</v>
      </c>
      <c r="D4" s="6">
        <v>4565.2</v>
      </c>
      <c r="E4" s="6">
        <v>8.426217603679445</v>
      </c>
      <c r="F4" s="4" t="s">
        <v>115</v>
      </c>
      <c r="G4" s="4" t="s">
        <v>1350</v>
      </c>
      <c r="H4" s="6">
        <v>0</v>
      </c>
      <c r="I4" s="6">
        <v>0</v>
      </c>
      <c r="J4" s="4" t="s">
        <v>503</v>
      </c>
      <c r="K4" s="6">
        <v>0</v>
      </c>
      <c r="L4" s="4" t="s">
        <v>510</v>
      </c>
      <c r="M4" s="4" t="s">
        <v>1353</v>
      </c>
      <c r="N4" s="6">
        <v>3.81</v>
      </c>
      <c r="O4" s="6">
        <v>265.86</v>
      </c>
      <c r="P4" s="6">
        <v>4264.86</v>
      </c>
      <c r="Q4" s="6">
        <v>0.06233733346463894</v>
      </c>
      <c r="R4" s="6">
        <v>1.4888</v>
      </c>
      <c r="S4" s="6">
        <v>0.08749999999999999</v>
      </c>
      <c r="T4" s="6">
        <v>2058.9</v>
      </c>
      <c r="U4" s="6">
        <v>7047.09</v>
      </c>
      <c r="V4" s="6">
        <v>3.422745155179951</v>
      </c>
      <c r="W4" s="6">
        <v>0.062</v>
      </c>
      <c r="X4" s="6">
        <v>8</v>
      </c>
      <c r="Y4" s="6">
        <v>50</v>
      </c>
      <c r="Z4" s="4" t="s">
        <v>1351</v>
      </c>
      <c r="AA4" s="4" t="s">
        <v>1352</v>
      </c>
    </row>
    <row r="5" spans="1:27" ht="31" customHeight="1">
      <c r="A5" s="4" t="s">
        <v>354</v>
      </c>
      <c r="B5" s="4" t="s">
        <v>1354</v>
      </c>
      <c r="C5" s="4" t="s">
        <v>1349</v>
      </c>
      <c r="D5" s="6">
        <v>5641.4</v>
      </c>
      <c r="E5" s="6">
        <v>8.637887540639246</v>
      </c>
      <c r="F5" s="4" t="s">
        <v>115</v>
      </c>
      <c r="G5" s="4" t="s">
        <v>1350</v>
      </c>
      <c r="H5" s="6">
        <v>448.2</v>
      </c>
      <c r="I5" s="6">
        <v>0.07944836388130606</v>
      </c>
      <c r="J5" s="4" t="s">
        <v>503</v>
      </c>
      <c r="K5" s="6">
        <v>0</v>
      </c>
      <c r="L5" s="4" t="s">
        <v>510</v>
      </c>
      <c r="M5" s="4" t="s">
        <v>522</v>
      </c>
      <c r="N5" s="6">
        <v>96.40000000000001</v>
      </c>
      <c r="O5" s="6">
        <v>545.6</v>
      </c>
      <c r="P5" s="6">
        <v>4497.9</v>
      </c>
      <c r="Q5" s="6">
        <v>0.1213010516018587</v>
      </c>
      <c r="R5" s="6">
        <v>0.317</v>
      </c>
      <c r="S5" s="6">
        <v>0.078</v>
      </c>
      <c r="T5" s="6">
        <v>3268.5</v>
      </c>
      <c r="U5" s="6">
        <v>52382.27</v>
      </c>
      <c r="V5" s="6">
        <v>16.02639437050635</v>
      </c>
      <c r="W5" s="6">
        <v>0.082</v>
      </c>
      <c r="X5" s="6">
        <v>17</v>
      </c>
      <c r="Y5" s="6">
        <v>56</v>
      </c>
      <c r="Z5" s="4" t="s">
        <v>1351</v>
      </c>
      <c r="AA5" s="4" t="s">
        <v>1352</v>
      </c>
    </row>
    <row r="6" spans="1:27" ht="31" customHeight="1">
      <c r="A6" s="4" t="s">
        <v>354</v>
      </c>
      <c r="B6" s="4" t="s">
        <v>1354</v>
      </c>
      <c r="C6" s="4" t="s">
        <v>173</v>
      </c>
      <c r="D6" s="6">
        <v>5832.4</v>
      </c>
      <c r="E6" s="6">
        <v>8.671183858442131</v>
      </c>
      <c r="F6" s="4" t="s">
        <v>115</v>
      </c>
      <c r="G6" s="4" t="s">
        <v>1350</v>
      </c>
      <c r="H6" s="6">
        <v>441.2</v>
      </c>
      <c r="I6" s="6">
        <v>0.07564638913654756</v>
      </c>
      <c r="J6" s="4" t="s">
        <v>503</v>
      </c>
      <c r="K6" s="6">
        <v>0</v>
      </c>
      <c r="L6" s="4" t="s">
        <v>510</v>
      </c>
      <c r="M6" s="4" t="s">
        <v>522</v>
      </c>
      <c r="N6" s="6">
        <v>143.9</v>
      </c>
      <c r="O6" s="6">
        <v>518.9</v>
      </c>
      <c r="P6" s="6">
        <v>5056</v>
      </c>
      <c r="Q6" s="6">
        <v>0.1026305379746835</v>
      </c>
      <c r="R6" s="6">
        <v>0.3437</v>
      </c>
      <c r="S6" s="6">
        <v>0.079</v>
      </c>
      <c r="T6" s="6">
        <v>3692.7</v>
      </c>
      <c r="U6" s="6">
        <v>54935.8</v>
      </c>
      <c r="V6" s="6">
        <v>14.8768651664094</v>
      </c>
      <c r="W6" s="6">
        <v>0.091</v>
      </c>
      <c r="X6" s="6">
        <v>17</v>
      </c>
      <c r="Y6" s="6">
        <v>54</v>
      </c>
      <c r="Z6" s="4" t="s">
        <v>1351</v>
      </c>
      <c r="AA6" s="4" t="s">
        <v>1352</v>
      </c>
    </row>
    <row r="7" spans="1:27" ht="31" customHeight="1">
      <c r="A7" s="4" t="s">
        <v>354</v>
      </c>
      <c r="B7" s="4" t="s">
        <v>1354</v>
      </c>
      <c r="C7" s="4" t="s">
        <v>158</v>
      </c>
      <c r="D7" s="6">
        <v>6568.6</v>
      </c>
      <c r="E7" s="6">
        <v>8.790055998969668</v>
      </c>
      <c r="F7" s="4" t="s">
        <v>115</v>
      </c>
      <c r="G7" s="4" t="s">
        <v>1350</v>
      </c>
      <c r="H7" s="6">
        <v>530.1</v>
      </c>
      <c r="I7" s="6">
        <v>0.08070212830740188</v>
      </c>
      <c r="J7" s="4" t="s">
        <v>503</v>
      </c>
      <c r="K7" s="6">
        <v>0</v>
      </c>
      <c r="L7" s="4" t="s">
        <v>510</v>
      </c>
      <c r="M7" s="4" t="s">
        <v>522</v>
      </c>
      <c r="N7" s="6">
        <v>153.1</v>
      </c>
      <c r="O7" s="6">
        <v>534.7</v>
      </c>
      <c r="P7" s="6">
        <v>5811.9</v>
      </c>
      <c r="Q7" s="6">
        <v>0.09200089471601371</v>
      </c>
      <c r="R7" s="6">
        <v>0.4337</v>
      </c>
      <c r="S7" s="6">
        <v>0.0775</v>
      </c>
      <c r="T7" s="6">
        <v>4057.9</v>
      </c>
      <c r="U7" s="6">
        <v>50774.88</v>
      </c>
      <c r="V7" s="6">
        <v>12.51260011335913</v>
      </c>
      <c r="W7" s="6">
        <v>0.105</v>
      </c>
      <c r="X7" s="6">
        <v>17</v>
      </c>
      <c r="Y7" s="6">
        <v>55</v>
      </c>
      <c r="Z7" s="4" t="s">
        <v>1351</v>
      </c>
      <c r="AA7" s="4" t="s">
        <v>1352</v>
      </c>
    </row>
    <row r="8" spans="1:27" ht="31" customHeight="1">
      <c r="A8" s="4" t="s">
        <v>381</v>
      </c>
      <c r="B8" s="4" t="s">
        <v>1355</v>
      </c>
      <c r="C8" s="4" t="s">
        <v>1349</v>
      </c>
      <c r="D8" s="6">
        <v>20844.96</v>
      </c>
      <c r="E8" s="6">
        <v>9.944867471387655</v>
      </c>
      <c r="F8" s="4" t="s">
        <v>115</v>
      </c>
      <c r="G8" s="4" t="s">
        <v>1350</v>
      </c>
      <c r="H8" s="6">
        <v>44.98</v>
      </c>
      <c r="I8" s="6">
        <v>0.002157835755021837</v>
      </c>
      <c r="J8" s="4" t="s">
        <v>503</v>
      </c>
      <c r="K8" s="6">
        <v>0</v>
      </c>
      <c r="L8" s="4" t="s">
        <v>510</v>
      </c>
      <c r="M8" s="4" t="s">
        <v>1356</v>
      </c>
      <c r="N8" s="6">
        <v>980.02</v>
      </c>
      <c r="O8" s="6">
        <v>740.41</v>
      </c>
      <c r="P8" s="6">
        <v>18097.38</v>
      </c>
      <c r="Q8" s="6">
        <v>0.04091255198266268</v>
      </c>
      <c r="R8" s="6">
        <v>0.6088</v>
      </c>
      <c r="S8" s="6">
        <v>0.08840000000000001</v>
      </c>
      <c r="T8" s="6">
        <v>6811.88</v>
      </c>
      <c r="U8" s="6">
        <v>15696.16</v>
      </c>
      <c r="V8" s="6">
        <v>2.304233192598812</v>
      </c>
      <c r="W8" s="6">
        <v>0.062</v>
      </c>
      <c r="X8" s="6">
        <v>18</v>
      </c>
      <c r="Y8" s="6">
        <v>51</v>
      </c>
      <c r="Z8" s="4" t="s">
        <v>1351</v>
      </c>
      <c r="AA8" s="4" t="s">
        <v>1352</v>
      </c>
    </row>
    <row r="9" spans="1:27" ht="31" customHeight="1">
      <c r="A9" s="4" t="s">
        <v>381</v>
      </c>
      <c r="B9" s="4" t="s">
        <v>1355</v>
      </c>
      <c r="C9" s="4" t="s">
        <v>173</v>
      </c>
      <c r="D9" s="6">
        <v>22199.36</v>
      </c>
      <c r="E9" s="6">
        <v>10.00781873861598</v>
      </c>
      <c r="F9" s="4" t="s">
        <v>115</v>
      </c>
      <c r="G9" s="4" t="s">
        <v>1350</v>
      </c>
      <c r="H9" s="6">
        <v>36.86</v>
      </c>
      <c r="I9" s="6">
        <v>0.001660408227984951</v>
      </c>
      <c r="J9" s="4" t="s">
        <v>503</v>
      </c>
      <c r="K9" s="6">
        <v>0</v>
      </c>
      <c r="L9" s="4" t="s">
        <v>510</v>
      </c>
      <c r="M9" s="4" t="s">
        <v>524</v>
      </c>
      <c r="N9" s="6">
        <v>1593.58</v>
      </c>
      <c r="O9" s="6">
        <v>868.25</v>
      </c>
      <c r="P9" s="6">
        <v>21006.38</v>
      </c>
      <c r="Q9" s="6">
        <v>0.0413326808331564</v>
      </c>
      <c r="R9" s="6">
        <v>0.5285</v>
      </c>
      <c r="S9" s="6">
        <v>0.0878</v>
      </c>
      <c r="T9" s="6">
        <v>7502.44</v>
      </c>
      <c r="U9" s="6">
        <v>15382.24</v>
      </c>
      <c r="V9" s="6">
        <v>2.050298302952106</v>
      </c>
      <c r="W9" s="6">
        <v>0.07099999999999999</v>
      </c>
      <c r="X9" s="6">
        <v>18</v>
      </c>
      <c r="Y9" s="6">
        <v>54</v>
      </c>
      <c r="Z9" s="4" t="s">
        <v>1351</v>
      </c>
      <c r="AA9" s="4" t="s">
        <v>1352</v>
      </c>
    </row>
    <row r="10" spans="1:27" ht="31" customHeight="1">
      <c r="A10" s="4" t="s">
        <v>381</v>
      </c>
      <c r="B10" s="4" t="s">
        <v>1355</v>
      </c>
      <c r="C10" s="4" t="s">
        <v>158</v>
      </c>
      <c r="D10" s="6">
        <v>20823</v>
      </c>
      <c r="E10" s="6">
        <v>9.943813424007693</v>
      </c>
      <c r="F10" s="4" t="s">
        <v>115</v>
      </c>
      <c r="G10" s="4" t="s">
        <v>1350</v>
      </c>
      <c r="H10" s="6">
        <v>13.69</v>
      </c>
      <c r="I10" s="6">
        <v>0.0006574460932622581</v>
      </c>
      <c r="J10" s="4" t="s">
        <v>503</v>
      </c>
      <c r="K10" s="6">
        <v>0</v>
      </c>
      <c r="L10" s="4" t="s">
        <v>510</v>
      </c>
      <c r="M10" s="4" t="s">
        <v>1357</v>
      </c>
      <c r="N10" s="6">
        <v>3457</v>
      </c>
      <c r="O10" s="6">
        <v>723.96</v>
      </c>
      <c r="P10" s="6">
        <v>26006.07</v>
      </c>
      <c r="Q10" s="6">
        <v>0.02783811625516659</v>
      </c>
      <c r="R10" s="6">
        <v>0.2951</v>
      </c>
      <c r="S10" s="6">
        <v>0.08169999999999999</v>
      </c>
      <c r="T10" s="6">
        <v>8029.12</v>
      </c>
      <c r="U10" s="6">
        <v>15068.32</v>
      </c>
      <c r="V10" s="6">
        <v>1.876708780040652</v>
      </c>
      <c r="W10" s="6">
        <v>0.08500000000000001</v>
      </c>
      <c r="X10" s="6">
        <v>18</v>
      </c>
      <c r="Y10" s="6">
        <v>54</v>
      </c>
      <c r="Z10" s="4" t="s">
        <v>1351</v>
      </c>
      <c r="AA10" s="4" t="s">
        <v>1352</v>
      </c>
    </row>
    <row r="11" spans="1:27" ht="31" customHeight="1">
      <c r="A11" s="4" t="s">
        <v>360</v>
      </c>
      <c r="B11" s="4" t="s">
        <v>1358</v>
      </c>
      <c r="C11" s="4" t="s">
        <v>1349</v>
      </c>
      <c r="D11" s="6">
        <v>4578.42</v>
      </c>
      <c r="E11" s="6">
        <v>8.429109239423635</v>
      </c>
      <c r="F11" s="4" t="s">
        <v>115</v>
      </c>
      <c r="G11" s="4" t="s">
        <v>1350</v>
      </c>
      <c r="H11" s="6">
        <v>79.7</v>
      </c>
      <c r="I11" s="6">
        <v>0.01740775201925555</v>
      </c>
      <c r="J11" s="4" t="s">
        <v>503</v>
      </c>
      <c r="K11" s="6">
        <v>0</v>
      </c>
      <c r="L11" s="4" t="s">
        <v>510</v>
      </c>
      <c r="M11" s="4" t="s">
        <v>523</v>
      </c>
      <c r="N11" s="6">
        <v>170.59</v>
      </c>
      <c r="O11" s="6">
        <v>432.16</v>
      </c>
      <c r="P11" s="6">
        <v>3542.91</v>
      </c>
      <c r="Q11" s="6">
        <v>0.1219788253159126</v>
      </c>
      <c r="R11" s="6">
        <v>0.1049</v>
      </c>
      <c r="S11" s="6">
        <v>0.08450000000000001</v>
      </c>
      <c r="T11" s="6">
        <v>2675.61</v>
      </c>
      <c r="U11" s="6">
        <v>18314.7</v>
      </c>
      <c r="V11" s="6">
        <v>6.845055893796181</v>
      </c>
      <c r="W11" s="6">
        <v>0.045</v>
      </c>
      <c r="X11" s="6">
        <v>10</v>
      </c>
      <c r="Y11" s="6">
        <v>55</v>
      </c>
      <c r="Z11" s="4" t="s">
        <v>1351</v>
      </c>
      <c r="AA11" s="4" t="s">
        <v>1352</v>
      </c>
    </row>
    <row r="12" spans="1:27" ht="31" customHeight="1">
      <c r="A12" s="4" t="s">
        <v>360</v>
      </c>
      <c r="B12" s="4" t="s">
        <v>1358</v>
      </c>
      <c r="C12" s="4" t="s">
        <v>173</v>
      </c>
      <c r="D12" s="6">
        <v>4635.07</v>
      </c>
      <c r="E12" s="6">
        <v>8.441406580367037</v>
      </c>
      <c r="F12" s="4" t="s">
        <v>115</v>
      </c>
      <c r="G12" s="4" t="s">
        <v>1350</v>
      </c>
      <c r="H12" s="6">
        <v>54.79</v>
      </c>
      <c r="I12" s="6">
        <v>0.01182074920119869</v>
      </c>
      <c r="J12" s="4" t="s">
        <v>503</v>
      </c>
      <c r="K12" s="6">
        <v>0</v>
      </c>
      <c r="L12" s="4" t="s">
        <v>510</v>
      </c>
      <c r="M12" s="4" t="s">
        <v>523</v>
      </c>
      <c r="N12" s="6">
        <v>175.94</v>
      </c>
      <c r="O12" s="6">
        <v>300.02</v>
      </c>
      <c r="P12" s="6">
        <v>3756.2</v>
      </c>
      <c r="Q12" s="6">
        <v>0.07987327618337682</v>
      </c>
      <c r="R12" s="6">
        <v>0.1156</v>
      </c>
      <c r="S12" s="6">
        <v>0.08599999999999999</v>
      </c>
      <c r="T12" s="6">
        <v>2810.09</v>
      </c>
      <c r="U12" s="6">
        <v>19351.58</v>
      </c>
      <c r="V12" s="6">
        <v>6.886462711158718</v>
      </c>
      <c r="W12" s="6">
        <v>0.052</v>
      </c>
      <c r="X12" s="6">
        <v>10</v>
      </c>
      <c r="Y12" s="6">
        <v>54</v>
      </c>
      <c r="Z12" s="4" t="s">
        <v>1351</v>
      </c>
      <c r="AA12" s="4" t="s">
        <v>1352</v>
      </c>
    </row>
    <row r="13" spans="1:27" ht="31" customHeight="1">
      <c r="A13" s="4" t="s">
        <v>360</v>
      </c>
      <c r="B13" s="4" t="s">
        <v>1358</v>
      </c>
      <c r="C13" s="4" t="s">
        <v>158</v>
      </c>
      <c r="D13" s="6">
        <v>4830.36</v>
      </c>
      <c r="E13" s="6">
        <v>8.482676278030576</v>
      </c>
      <c r="F13" s="4" t="s">
        <v>115</v>
      </c>
      <c r="G13" s="4" t="s">
        <v>1350</v>
      </c>
      <c r="H13" s="6">
        <v>62.8</v>
      </c>
      <c r="I13" s="6">
        <v>0.01300110136718588</v>
      </c>
      <c r="J13" s="4" t="s">
        <v>503</v>
      </c>
      <c r="K13" s="6">
        <v>0</v>
      </c>
      <c r="L13" s="4" t="s">
        <v>510</v>
      </c>
      <c r="M13" s="4" t="s">
        <v>523</v>
      </c>
      <c r="N13" s="6">
        <v>180.36</v>
      </c>
      <c r="O13" s="6">
        <v>487</v>
      </c>
      <c r="P13" s="6">
        <v>3362.25</v>
      </c>
      <c r="Q13" s="6">
        <v>0.1448434827868243</v>
      </c>
      <c r="R13" s="6">
        <v>0.1255</v>
      </c>
      <c r="S13" s="6">
        <v>0.08500000000000001</v>
      </c>
      <c r="T13" s="6">
        <v>3130.48</v>
      </c>
      <c r="U13" s="6">
        <v>19434.6</v>
      </c>
      <c r="V13" s="6">
        <v>6.208185326211955</v>
      </c>
      <c r="W13" s="6">
        <v>0.06</v>
      </c>
      <c r="X13" s="6">
        <v>10</v>
      </c>
      <c r="Y13" s="6">
        <v>54</v>
      </c>
      <c r="Z13" s="4" t="s">
        <v>1351</v>
      </c>
      <c r="AA13" s="4" t="s">
        <v>1352</v>
      </c>
    </row>
    <row r="14" spans="1:27" ht="31" customHeight="1">
      <c r="A14" s="4" t="s">
        <v>371</v>
      </c>
      <c r="B14" s="4" t="s">
        <v>1359</v>
      </c>
      <c r="C14" s="4" t="s">
        <v>1349</v>
      </c>
      <c r="D14" s="6">
        <v>221112.91</v>
      </c>
      <c r="E14" s="6">
        <v>12.30642875500975</v>
      </c>
      <c r="F14" s="4" t="s">
        <v>115</v>
      </c>
      <c r="G14" s="4" t="s">
        <v>1350</v>
      </c>
      <c r="H14" s="6">
        <v>95085.87</v>
      </c>
      <c r="I14" s="6">
        <v>0.4300330993789553</v>
      </c>
      <c r="J14" s="4" t="s">
        <v>506</v>
      </c>
      <c r="K14" s="6">
        <v>1</v>
      </c>
      <c r="L14" s="4" t="s">
        <v>504</v>
      </c>
      <c r="M14" s="4" t="s">
        <v>526</v>
      </c>
      <c r="N14" s="6">
        <v>114039.77</v>
      </c>
      <c r="O14" s="6">
        <v>15547.1</v>
      </c>
      <c r="P14" s="6">
        <v>340135.97</v>
      </c>
      <c r="Q14" s="6">
        <v>0.04570848534484607</v>
      </c>
      <c r="R14" s="6">
        <v>0.0805</v>
      </c>
      <c r="S14" s="6">
        <v>0.07290000000000001</v>
      </c>
      <c r="T14" s="6">
        <v>102549.66</v>
      </c>
      <c r="U14" s="6">
        <v>480263.84</v>
      </c>
      <c r="V14" s="6">
        <v>4.683231909301308</v>
      </c>
      <c r="W14" s="6">
        <v>0.105</v>
      </c>
      <c r="X14" s="6">
        <v>24</v>
      </c>
      <c r="Y14" s="6">
        <v>61</v>
      </c>
      <c r="Z14" s="4" t="s">
        <v>1351</v>
      </c>
      <c r="AA14" s="4" t="s">
        <v>1352</v>
      </c>
    </row>
    <row r="15" spans="1:27" ht="31" customHeight="1">
      <c r="A15" s="4" t="s">
        <v>371</v>
      </c>
      <c r="B15" s="4" t="s">
        <v>1359</v>
      </c>
      <c r="C15" s="4" t="s">
        <v>173</v>
      </c>
      <c r="D15" s="6">
        <v>255734.45</v>
      </c>
      <c r="E15" s="6">
        <v>12.45189488040135</v>
      </c>
      <c r="F15" s="4" t="s">
        <v>115</v>
      </c>
      <c r="G15" s="4" t="s">
        <v>1350</v>
      </c>
      <c r="H15" s="6">
        <v>127565.87</v>
      </c>
      <c r="I15" s="6">
        <v>0.4988216096814488</v>
      </c>
      <c r="J15" s="4" t="s">
        <v>506</v>
      </c>
      <c r="K15" s="6">
        <v>1</v>
      </c>
      <c r="L15" s="4" t="s">
        <v>504</v>
      </c>
      <c r="M15" s="4" t="s">
        <v>526</v>
      </c>
      <c r="N15" s="6">
        <v>129559.34</v>
      </c>
      <c r="O15" s="6">
        <v>17673.33</v>
      </c>
      <c r="P15" s="6">
        <v>379524.1</v>
      </c>
      <c r="Q15" s="6">
        <v>0.04656708230122936</v>
      </c>
      <c r="R15" s="6">
        <v>0.0775</v>
      </c>
      <c r="S15" s="6">
        <v>0.0759</v>
      </c>
      <c r="T15" s="6">
        <v>115403.68</v>
      </c>
      <c r="U15" s="6">
        <v>456157.06</v>
      </c>
      <c r="V15" s="6">
        <v>3.952708093884008</v>
      </c>
      <c r="W15" s="6">
        <v>0.12</v>
      </c>
      <c r="X15" s="6">
        <v>24</v>
      </c>
      <c r="Y15" s="6">
        <v>63</v>
      </c>
      <c r="Z15" s="4" t="s">
        <v>1351</v>
      </c>
      <c r="AA15" s="4" t="s">
        <v>1352</v>
      </c>
    </row>
    <row r="16" spans="1:27" ht="31" customHeight="1">
      <c r="A16" s="4" t="s">
        <v>371</v>
      </c>
      <c r="B16" s="4" t="s">
        <v>1359</v>
      </c>
      <c r="C16" s="4" t="s">
        <v>158</v>
      </c>
      <c r="D16" s="6">
        <v>285874.36</v>
      </c>
      <c r="E16" s="6">
        <v>12.56330769258187</v>
      </c>
      <c r="F16" s="4" t="s">
        <v>115</v>
      </c>
      <c r="G16" s="4" t="s">
        <v>1350</v>
      </c>
      <c r="H16" s="6">
        <v>153738.21</v>
      </c>
      <c r="I16" s="6">
        <v>0.5377824370118397</v>
      </c>
      <c r="J16" s="4" t="s">
        <v>506</v>
      </c>
      <c r="K16" s="6">
        <v>1</v>
      </c>
      <c r="L16" s="4" t="s">
        <v>504</v>
      </c>
      <c r="M16" s="4" t="s">
        <v>526</v>
      </c>
      <c r="N16" s="6">
        <v>121683.02</v>
      </c>
      <c r="O16" s="6">
        <v>18953.88</v>
      </c>
      <c r="P16" s="6">
        <v>452549.88</v>
      </c>
      <c r="Q16" s="6">
        <v>0.04188241084054646</v>
      </c>
      <c r="R16" s="6">
        <v>0.07630000000000001</v>
      </c>
      <c r="S16" s="6">
        <v>0.07439999999999999</v>
      </c>
      <c r="T16" s="6">
        <v>128530.46</v>
      </c>
      <c r="U16" s="6">
        <v>475077.89</v>
      </c>
      <c r="V16" s="6">
        <v>3.696228038085291</v>
      </c>
      <c r="W16" s="6">
        <v>0.138</v>
      </c>
      <c r="X16" s="6">
        <v>24</v>
      </c>
      <c r="Y16" s="6">
        <v>67</v>
      </c>
      <c r="Z16" s="4" t="s">
        <v>1351</v>
      </c>
      <c r="AA16" s="4" t="s">
        <v>1352</v>
      </c>
    </row>
    <row r="17" spans="1:27" ht="31" customHeight="1">
      <c r="A17" s="4" t="s">
        <v>366</v>
      </c>
      <c r="B17" s="4" t="s">
        <v>1360</v>
      </c>
      <c r="C17" s="4" t="s">
        <v>1349</v>
      </c>
      <c r="D17" s="6">
        <v>6427</v>
      </c>
      <c r="E17" s="6">
        <v>8.768263145371286</v>
      </c>
      <c r="F17" s="4" t="s">
        <v>115</v>
      </c>
      <c r="G17" s="4" t="s">
        <v>1350</v>
      </c>
      <c r="H17" s="6">
        <v>0</v>
      </c>
      <c r="I17" s="6">
        <v>0</v>
      </c>
      <c r="J17" s="4" t="s">
        <v>503</v>
      </c>
      <c r="K17" s="6">
        <v>0</v>
      </c>
      <c r="L17" s="4" t="s">
        <v>510</v>
      </c>
      <c r="M17" s="4" t="s">
        <v>1361</v>
      </c>
      <c r="N17" s="6">
        <v>4598.71</v>
      </c>
      <c r="O17" s="6">
        <v>2723.54</v>
      </c>
      <c r="P17" s="6">
        <v>60262.4</v>
      </c>
      <c r="Q17" s="6">
        <v>0.04519468192438403</v>
      </c>
      <c r="R17" s="6">
        <v>0.0926</v>
      </c>
      <c r="S17" s="6">
        <v>0.0828</v>
      </c>
      <c r="T17" s="6">
        <v>39430.81</v>
      </c>
      <c r="U17" s="6">
        <v>177851.15</v>
      </c>
      <c r="V17" s="6">
        <v>4.510461489378484</v>
      </c>
      <c r="W17" s="6">
        <v>0.052</v>
      </c>
      <c r="X17" s="6">
        <v>18</v>
      </c>
      <c r="Y17" s="6">
        <v>57</v>
      </c>
      <c r="Z17" s="4" t="s">
        <v>1351</v>
      </c>
      <c r="AA17" s="4" t="s">
        <v>1352</v>
      </c>
    </row>
    <row r="18" spans="1:27" ht="31" customHeight="1">
      <c r="A18" s="4" t="s">
        <v>366</v>
      </c>
      <c r="B18" s="4" t="s">
        <v>1360</v>
      </c>
      <c r="C18" s="4" t="s">
        <v>173</v>
      </c>
      <c r="D18" s="6">
        <v>7993.66</v>
      </c>
      <c r="E18" s="6">
        <v>8.986404006467838</v>
      </c>
      <c r="F18" s="4" t="s">
        <v>115</v>
      </c>
      <c r="G18" s="4" t="s">
        <v>1350</v>
      </c>
      <c r="H18" s="6">
        <v>0</v>
      </c>
      <c r="I18" s="6">
        <v>0</v>
      </c>
      <c r="J18" s="4" t="s">
        <v>503</v>
      </c>
      <c r="K18" s="6">
        <v>0</v>
      </c>
      <c r="L18" s="4" t="s">
        <v>510</v>
      </c>
      <c r="M18" s="4" t="s">
        <v>525</v>
      </c>
      <c r="N18" s="6">
        <v>3854.03</v>
      </c>
      <c r="O18" s="6">
        <v>4366.82</v>
      </c>
      <c r="P18" s="6">
        <v>69475.37</v>
      </c>
      <c r="Q18" s="6">
        <v>0.06285421725713732</v>
      </c>
      <c r="R18" s="6">
        <v>0.094</v>
      </c>
      <c r="S18" s="6">
        <v>0.0818</v>
      </c>
      <c r="T18" s="6">
        <v>42550.22</v>
      </c>
      <c r="U18" s="6">
        <v>206366.74</v>
      </c>
      <c r="V18" s="6">
        <v>4.849957062501674</v>
      </c>
      <c r="W18" s="6">
        <v>0.06</v>
      </c>
      <c r="X18" s="6">
        <v>18</v>
      </c>
      <c r="Y18" s="6">
        <v>57</v>
      </c>
      <c r="Z18" s="4" t="s">
        <v>1351</v>
      </c>
      <c r="AA18" s="4" t="s">
        <v>1352</v>
      </c>
    </row>
    <row r="19" spans="1:27" ht="31" customHeight="1">
      <c r="A19" s="4" t="s">
        <v>366</v>
      </c>
      <c r="B19" s="4" t="s">
        <v>1360</v>
      </c>
      <c r="C19" s="4" t="s">
        <v>158</v>
      </c>
      <c r="D19" s="6">
        <v>8194.02</v>
      </c>
      <c r="E19" s="6">
        <v>9.011159898914187</v>
      </c>
      <c r="F19" s="4" t="s">
        <v>115</v>
      </c>
      <c r="G19" s="4" t="s">
        <v>1350</v>
      </c>
      <c r="H19" s="6">
        <v>0</v>
      </c>
      <c r="I19" s="6">
        <v>0</v>
      </c>
      <c r="J19" s="4" t="s">
        <v>503</v>
      </c>
      <c r="K19" s="6">
        <v>0</v>
      </c>
      <c r="L19" s="4" t="s">
        <v>510</v>
      </c>
      <c r="M19" s="4" t="s">
        <v>1362</v>
      </c>
      <c r="N19" s="6">
        <v>44.95</v>
      </c>
      <c r="O19" s="6">
        <v>4414.68</v>
      </c>
      <c r="P19" s="6">
        <v>74874.77</v>
      </c>
      <c r="Q19" s="6">
        <v>0.05896084889476121</v>
      </c>
      <c r="R19" s="6">
        <v>0.1021</v>
      </c>
      <c r="S19" s="5"/>
      <c r="T19" s="6">
        <v>45473.37</v>
      </c>
      <c r="U19" s="6">
        <v>200079.45</v>
      </c>
      <c r="V19" s="6">
        <v>4.399925714764487</v>
      </c>
      <c r="W19" s="6">
        <v>0.068</v>
      </c>
      <c r="X19" s="6">
        <v>18</v>
      </c>
      <c r="Y19" s="6">
        <v>57</v>
      </c>
      <c r="Z19" s="4" t="s">
        <v>1351</v>
      </c>
      <c r="AA19" s="4" t="s">
        <v>1352</v>
      </c>
    </row>
    <row r="20" spans="1:27" ht="31" customHeight="1">
      <c r="A20" s="4" t="s">
        <v>375</v>
      </c>
      <c r="B20" s="4" t="s">
        <v>1360</v>
      </c>
      <c r="C20" s="4" t="s">
        <v>1349</v>
      </c>
      <c r="D20" s="6">
        <v>10316.1</v>
      </c>
      <c r="E20" s="6">
        <v>9.241461060633974</v>
      </c>
      <c r="F20" s="4" t="s">
        <v>115</v>
      </c>
      <c r="G20" s="4" t="s">
        <v>1350</v>
      </c>
      <c r="H20" s="6">
        <v>0</v>
      </c>
      <c r="I20" s="6">
        <v>0</v>
      </c>
      <c r="J20" s="4" t="s">
        <v>503</v>
      </c>
      <c r="K20" s="6">
        <v>0</v>
      </c>
      <c r="L20" s="4" t="s">
        <v>504</v>
      </c>
      <c r="M20" s="4" t="s">
        <v>1363</v>
      </c>
      <c r="N20" s="6">
        <v>7679.9</v>
      </c>
      <c r="O20" s="6">
        <v>1554.2</v>
      </c>
      <c r="P20" s="6">
        <v>47225.2</v>
      </c>
      <c r="Q20" s="6">
        <v>0.03291039529742595</v>
      </c>
      <c r="R20" s="6">
        <v>0.1272</v>
      </c>
      <c r="S20" s="6">
        <v>0.08649999999999999</v>
      </c>
      <c r="T20" s="6">
        <v>17534</v>
      </c>
      <c r="U20" s="6">
        <v>107401.27</v>
      </c>
      <c r="V20" s="6">
        <v>6.125314816927113</v>
      </c>
      <c r="W20" s="6">
        <v>0.065</v>
      </c>
      <c r="X20" s="6">
        <v>20</v>
      </c>
      <c r="Y20" s="6">
        <v>63</v>
      </c>
      <c r="Z20" s="4" t="s">
        <v>1351</v>
      </c>
      <c r="AA20" s="4" t="s">
        <v>1352</v>
      </c>
    </row>
    <row r="21" spans="1:27" ht="31" customHeight="1">
      <c r="A21" s="4" t="s">
        <v>375</v>
      </c>
      <c r="B21" s="4" t="s">
        <v>1360</v>
      </c>
      <c r="C21" s="4" t="s">
        <v>173</v>
      </c>
      <c r="D21" s="6">
        <v>13779.5</v>
      </c>
      <c r="E21" s="6">
        <v>9.530937259439105</v>
      </c>
      <c r="F21" s="4" t="s">
        <v>115</v>
      </c>
      <c r="G21" s="4" t="s">
        <v>1350</v>
      </c>
      <c r="H21" s="6">
        <v>0</v>
      </c>
      <c r="I21" s="6">
        <v>0</v>
      </c>
      <c r="J21" s="4" t="s">
        <v>503</v>
      </c>
      <c r="K21" s="6">
        <v>0</v>
      </c>
      <c r="L21" s="4" t="s">
        <v>504</v>
      </c>
      <c r="M21" s="4" t="s">
        <v>527</v>
      </c>
      <c r="N21" s="6">
        <v>7080.4</v>
      </c>
      <c r="O21" s="6">
        <v>2766.6</v>
      </c>
      <c r="P21" s="6">
        <v>49840.6</v>
      </c>
      <c r="Q21" s="6">
        <v>0.05550896257268171</v>
      </c>
      <c r="R21" s="6">
        <v>0.0958</v>
      </c>
      <c r="S21" s="6">
        <v>0.0848</v>
      </c>
      <c r="T21" s="6">
        <v>20244.8</v>
      </c>
      <c r="U21" s="6">
        <v>117713.13</v>
      </c>
      <c r="V21" s="6">
        <v>5.814487176954082</v>
      </c>
      <c r="W21" s="6">
        <v>0.075</v>
      </c>
      <c r="X21" s="6">
        <v>20</v>
      </c>
      <c r="Y21" s="6">
        <v>62</v>
      </c>
      <c r="Z21" s="4" t="s">
        <v>1351</v>
      </c>
      <c r="AA21" s="4" t="s">
        <v>1352</v>
      </c>
    </row>
    <row r="22" spans="1:27" ht="31" customHeight="1">
      <c r="A22" s="4" t="s">
        <v>375</v>
      </c>
      <c r="B22" s="4" t="s">
        <v>1360</v>
      </c>
      <c r="C22" s="4" t="s">
        <v>158</v>
      </c>
      <c r="D22" s="6">
        <v>16676.2</v>
      </c>
      <c r="E22" s="6">
        <v>9.721737832212529</v>
      </c>
      <c r="F22" s="4" t="s">
        <v>115</v>
      </c>
      <c r="G22" s="4" t="s">
        <v>1350</v>
      </c>
      <c r="H22" s="6">
        <v>0</v>
      </c>
      <c r="I22" s="6">
        <v>0</v>
      </c>
      <c r="J22" s="4" t="s">
        <v>503</v>
      </c>
      <c r="K22" s="6">
        <v>0</v>
      </c>
      <c r="L22" s="4" t="s">
        <v>504</v>
      </c>
      <c r="M22" s="4" t="s">
        <v>1364</v>
      </c>
      <c r="N22" s="6">
        <v>9883.9</v>
      </c>
      <c r="O22" s="6">
        <v>3430.7</v>
      </c>
      <c r="P22" s="6">
        <v>58936.6</v>
      </c>
      <c r="Q22" s="6">
        <v>0.05821000872123604</v>
      </c>
      <c r="R22" s="6">
        <v>0.093</v>
      </c>
      <c r="S22" s="6">
        <v>0.079</v>
      </c>
      <c r="T22" s="6">
        <v>23429.2</v>
      </c>
      <c r="U22" s="6">
        <v>127361.68</v>
      </c>
      <c r="V22" s="6">
        <v>5.436023423761801</v>
      </c>
      <c r="W22" s="6">
        <v>0.082</v>
      </c>
      <c r="X22" s="6">
        <v>20</v>
      </c>
      <c r="Y22" s="6">
        <v>62</v>
      </c>
      <c r="Z22" s="4" t="s">
        <v>1351</v>
      </c>
      <c r="AA22" s="4" t="s">
        <v>1352</v>
      </c>
    </row>
    <row r="23" spans="1:27" ht="31" customHeight="1">
      <c r="A23" s="4" t="s">
        <v>378</v>
      </c>
      <c r="B23" s="4" t="s">
        <v>1360</v>
      </c>
      <c r="C23" s="4" t="s">
        <v>1349</v>
      </c>
      <c r="D23" s="6">
        <v>3035.62</v>
      </c>
      <c r="E23" s="6">
        <v>8.018170965991384</v>
      </c>
      <c r="F23" s="4" t="s">
        <v>115</v>
      </c>
      <c r="G23" s="4" t="s">
        <v>1350</v>
      </c>
      <c r="H23" s="6">
        <v>0</v>
      </c>
      <c r="I23" s="6">
        <v>0</v>
      </c>
      <c r="J23" s="4" t="s">
        <v>503</v>
      </c>
      <c r="K23" s="6">
        <v>0</v>
      </c>
      <c r="L23" s="4" t="s">
        <v>504</v>
      </c>
      <c r="M23" s="4" t="s">
        <v>525</v>
      </c>
      <c r="N23" s="6">
        <v>10656.46</v>
      </c>
      <c r="O23" s="6">
        <v>747.0599999999999</v>
      </c>
      <c r="P23" s="6">
        <v>35734.86</v>
      </c>
      <c r="Q23" s="6">
        <v>0.02090563668082091</v>
      </c>
      <c r="R23" s="6">
        <v>0.1082</v>
      </c>
      <c r="S23" s="6">
        <v>0.07820000000000001</v>
      </c>
      <c r="T23" s="6">
        <v>10301.44</v>
      </c>
      <c r="U23" s="6">
        <v>37257.56</v>
      </c>
      <c r="V23" s="6">
        <v>3.616733194582505</v>
      </c>
      <c r="W23" s="6">
        <v>0.05</v>
      </c>
      <c r="X23" s="6">
        <v>21</v>
      </c>
      <c r="Y23" s="6">
        <v>60</v>
      </c>
      <c r="Z23" s="4" t="s">
        <v>1351</v>
      </c>
      <c r="AA23" s="4" t="s">
        <v>1352</v>
      </c>
    </row>
    <row r="24" spans="1:27" ht="31" customHeight="1">
      <c r="A24" s="4" t="s">
        <v>378</v>
      </c>
      <c r="B24" s="4" t="s">
        <v>1360</v>
      </c>
      <c r="C24" s="4" t="s">
        <v>173</v>
      </c>
      <c r="D24" s="6">
        <v>4922.84</v>
      </c>
      <c r="E24" s="6">
        <v>8.501640878722228</v>
      </c>
      <c r="F24" s="4" t="s">
        <v>115</v>
      </c>
      <c r="G24" s="4" t="s">
        <v>1350</v>
      </c>
      <c r="H24" s="6">
        <v>0</v>
      </c>
      <c r="I24" s="6">
        <v>0</v>
      </c>
      <c r="J24" s="4" t="s">
        <v>503</v>
      </c>
      <c r="K24" s="6">
        <v>0</v>
      </c>
      <c r="L24" s="4" t="s">
        <v>504</v>
      </c>
      <c r="M24" s="4" t="s">
        <v>528</v>
      </c>
      <c r="N24" s="6">
        <v>12561.16</v>
      </c>
      <c r="O24" s="6">
        <v>1389.23</v>
      </c>
      <c r="P24" s="6">
        <v>55465.52</v>
      </c>
      <c r="Q24" s="6">
        <v>0.02504673173531953</v>
      </c>
      <c r="R24" s="6">
        <v>0.0898</v>
      </c>
      <c r="S24" s="6">
        <v>0.079</v>
      </c>
      <c r="T24" s="6">
        <v>17573.73</v>
      </c>
      <c r="U24" s="6">
        <v>64754.75</v>
      </c>
      <c r="V24" s="6">
        <v>3.6847470628034</v>
      </c>
      <c r="W24" s="6">
        <v>0.058</v>
      </c>
      <c r="X24" s="6">
        <v>21</v>
      </c>
      <c r="Y24" s="6">
        <v>61</v>
      </c>
      <c r="Z24" s="4" t="s">
        <v>1351</v>
      </c>
      <c r="AA24" s="4" t="s">
        <v>1352</v>
      </c>
    </row>
    <row r="25" spans="1:27" ht="31" customHeight="1">
      <c r="A25" s="4" t="s">
        <v>378</v>
      </c>
      <c r="B25" s="4" t="s">
        <v>1360</v>
      </c>
      <c r="C25" s="4" t="s">
        <v>158</v>
      </c>
      <c r="D25" s="6">
        <v>5131.43</v>
      </c>
      <c r="E25" s="6">
        <v>8.543139651757221</v>
      </c>
      <c r="F25" s="4" t="s">
        <v>115</v>
      </c>
      <c r="G25" s="4" t="s">
        <v>1350</v>
      </c>
      <c r="H25" s="6">
        <v>0</v>
      </c>
      <c r="I25" s="6">
        <v>0</v>
      </c>
      <c r="J25" s="4" t="s">
        <v>503</v>
      </c>
      <c r="K25" s="6">
        <v>0</v>
      </c>
      <c r="L25" s="4" t="s">
        <v>504</v>
      </c>
      <c r="M25" s="4" t="s">
        <v>528</v>
      </c>
      <c r="N25" s="6">
        <v>15614.87</v>
      </c>
      <c r="O25" s="6">
        <v>1840.66</v>
      </c>
      <c r="P25" s="6">
        <v>81894.42999999999</v>
      </c>
      <c r="Q25" s="6">
        <v>0.02247600966268402</v>
      </c>
      <c r="R25" s="6">
        <v>0.0968</v>
      </c>
      <c r="S25" s="6">
        <v>0.07099999999999999</v>
      </c>
      <c r="T25" s="6">
        <v>19354.89</v>
      </c>
      <c r="U25" s="6">
        <v>66265.7</v>
      </c>
      <c r="V25" s="6">
        <v>3.423718760478618</v>
      </c>
      <c r="W25" s="6">
        <v>0.065</v>
      </c>
      <c r="X25" s="6">
        <v>21</v>
      </c>
      <c r="Y25" s="6">
        <v>66</v>
      </c>
      <c r="Z25" s="4" t="s">
        <v>1351</v>
      </c>
      <c r="AA25" s="4" t="s">
        <v>1352</v>
      </c>
    </row>
    <row r="26" spans="1:27" ht="31" customHeight="1">
      <c r="A26" s="4" t="s">
        <v>363</v>
      </c>
      <c r="B26" s="4" t="s">
        <v>1365</v>
      </c>
      <c r="C26" s="4" t="s">
        <v>1349</v>
      </c>
      <c r="D26" s="6">
        <v>212.09</v>
      </c>
      <c r="E26" s="6">
        <v>5.357010712887255</v>
      </c>
      <c r="F26" s="4" t="s">
        <v>144</v>
      </c>
      <c r="G26" s="4" t="s">
        <v>1350</v>
      </c>
      <c r="H26" s="6">
        <v>0</v>
      </c>
      <c r="I26" s="6">
        <v>0</v>
      </c>
      <c r="J26" s="4" t="s">
        <v>503</v>
      </c>
      <c r="K26" s="6">
        <v>0</v>
      </c>
      <c r="L26" s="4" t="s">
        <v>504</v>
      </c>
      <c r="M26" s="4" t="s">
        <v>524</v>
      </c>
      <c r="N26" s="6">
        <v>872.77</v>
      </c>
      <c r="O26" s="6">
        <v>98.3</v>
      </c>
      <c r="P26" s="6">
        <v>4949.26</v>
      </c>
      <c r="Q26" s="6">
        <v>0.01986155506075656</v>
      </c>
      <c r="R26" s="6">
        <v>0.1267</v>
      </c>
      <c r="S26" s="6">
        <v>0.08799999999999999</v>
      </c>
      <c r="T26" s="6">
        <v>1872.99</v>
      </c>
      <c r="U26" s="6">
        <v>9176.59</v>
      </c>
      <c r="V26" s="6">
        <v>4.899433526073284</v>
      </c>
      <c r="W26" s="6">
        <v>0.08500000000000001</v>
      </c>
      <c r="X26" s="6">
        <v>23</v>
      </c>
      <c r="Y26" s="6">
        <v>61</v>
      </c>
      <c r="Z26" s="4" t="s">
        <v>1351</v>
      </c>
      <c r="AA26" s="4" t="s">
        <v>1352</v>
      </c>
    </row>
    <row r="27" spans="1:27" ht="31" customHeight="1">
      <c r="A27" s="4" t="s">
        <v>363</v>
      </c>
      <c r="B27" s="4" t="s">
        <v>1365</v>
      </c>
      <c r="C27" s="4" t="s">
        <v>173</v>
      </c>
      <c r="D27" s="6">
        <v>372.27</v>
      </c>
      <c r="E27" s="6">
        <v>5.919619397454638</v>
      </c>
      <c r="F27" s="4" t="s">
        <v>115</v>
      </c>
      <c r="G27" s="4" t="s">
        <v>1350</v>
      </c>
      <c r="H27" s="6">
        <v>0</v>
      </c>
      <c r="I27" s="6">
        <v>0</v>
      </c>
      <c r="J27" s="4" t="s">
        <v>503</v>
      </c>
      <c r="K27" s="6">
        <v>0</v>
      </c>
      <c r="L27" s="4" t="s">
        <v>504</v>
      </c>
      <c r="M27" s="4" t="s">
        <v>524</v>
      </c>
      <c r="N27" s="6">
        <v>1431.74</v>
      </c>
      <c r="O27" s="6">
        <v>61.35</v>
      </c>
      <c r="P27" s="6">
        <v>6420.77</v>
      </c>
      <c r="Q27" s="6">
        <v>0.009554928770225377</v>
      </c>
      <c r="R27" s="6">
        <v>0.0927</v>
      </c>
      <c r="S27" s="6">
        <v>0.0915</v>
      </c>
      <c r="T27" s="6">
        <v>1896.28</v>
      </c>
      <c r="U27" s="6">
        <v>8250.67</v>
      </c>
      <c r="V27" s="6">
        <v>4.350976649018078</v>
      </c>
      <c r="W27" s="6">
        <v>0.092</v>
      </c>
      <c r="X27" s="6">
        <v>23</v>
      </c>
      <c r="Y27" s="6">
        <v>58</v>
      </c>
      <c r="Z27" s="4" t="s">
        <v>1351</v>
      </c>
      <c r="AA27" s="4" t="s">
        <v>1352</v>
      </c>
    </row>
    <row r="28" spans="1:27" ht="31" customHeight="1">
      <c r="A28" s="4" t="s">
        <v>363</v>
      </c>
      <c r="B28" s="4" t="s">
        <v>1365</v>
      </c>
      <c r="C28" s="4" t="s">
        <v>158</v>
      </c>
      <c r="D28" s="6">
        <v>1178.31</v>
      </c>
      <c r="E28" s="6">
        <v>7.071836487486304</v>
      </c>
      <c r="F28" s="4" t="s">
        <v>115</v>
      </c>
      <c r="G28" s="4" t="s">
        <v>1350</v>
      </c>
      <c r="H28" s="6">
        <v>0</v>
      </c>
      <c r="I28" s="6">
        <v>0</v>
      </c>
      <c r="J28" s="4" t="s">
        <v>503</v>
      </c>
      <c r="K28" s="6">
        <v>0</v>
      </c>
      <c r="L28" s="4" t="s">
        <v>504</v>
      </c>
      <c r="M28" s="4" t="s">
        <v>524</v>
      </c>
      <c r="N28" s="6">
        <v>645.25</v>
      </c>
      <c r="O28" s="6">
        <v>298.17</v>
      </c>
      <c r="P28" s="6">
        <v>8294.83</v>
      </c>
      <c r="Q28" s="6">
        <v>0.03594648714922428</v>
      </c>
      <c r="R28" s="6">
        <v>0.0677</v>
      </c>
      <c r="S28" s="6">
        <v>0.08500000000000001</v>
      </c>
      <c r="T28" s="6">
        <v>3626.98</v>
      </c>
      <c r="U28" s="6">
        <v>9813.76</v>
      </c>
      <c r="V28" s="6">
        <v>2.705766229755885</v>
      </c>
      <c r="W28" s="6">
        <v>0.11</v>
      </c>
      <c r="X28" s="6">
        <v>23</v>
      </c>
      <c r="Y28" s="6">
        <v>64</v>
      </c>
      <c r="Z28" s="4" t="s">
        <v>1351</v>
      </c>
      <c r="AA28" s="4" t="s">
        <v>1352</v>
      </c>
    </row>
  </sheetData>
  <autoFilter ref="A1:AA28"/>
  <pageMargins left="0.7" right="0.7" top="0.75" bottom="0.75" header="0.3" footer="0.3"/>
  <pageSetup fitToHeight="0" orientation="landscape"/>
</worksheet>
</file>

<file path=xl/worksheets/sheet20.xml><?xml version="1.0" encoding="utf-8"?>
<worksheet xmlns="http://schemas.openxmlformats.org/spreadsheetml/2006/main" xmlns:r="http://schemas.openxmlformats.org/officeDocument/2006/relationships">
  <sheetPr>
    <tabColor rgb="FF237C89"/>
    <pageSetUpPr fitToPage="1"/>
  </sheetPr>
  <dimension ref="A1:C3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65.7109375" customWidth="1"/>
    <col min="2" max="2" width="115.7109375" customWidth="1"/>
    <col min="3" max="3" width="70.7109375" customWidth="1"/>
  </cols>
  <sheetData>
    <row r="1" spans="1:3" ht="42" customHeight="1">
      <c r="A1" s="2" t="s">
        <v>1366</v>
      </c>
      <c r="B1" s="2" t="s">
        <v>1367</v>
      </c>
      <c r="C1" s="2" t="s">
        <v>1368</v>
      </c>
    </row>
    <row r="2" spans="1:3" ht="31" customHeight="1">
      <c r="A2" s="4" t="s">
        <v>1369</v>
      </c>
      <c r="B2" s="5"/>
      <c r="C2" s="5"/>
    </row>
    <row r="3" spans="1:3" ht="31" customHeight="1">
      <c r="A3" s="4" t="s">
        <v>1370</v>
      </c>
      <c r="B3" s="5"/>
      <c r="C3" s="5"/>
    </row>
    <row r="4" spans="1:3" ht="31" customHeight="1">
      <c r="A4" s="4" t="s">
        <v>1371</v>
      </c>
      <c r="B4" s="4" t="s">
        <v>1372</v>
      </c>
      <c r="C4" s="4" t="s">
        <v>1373</v>
      </c>
    </row>
    <row r="5" spans="1:3" ht="31" customHeight="1">
      <c r="A5" s="4" t="s">
        <v>1374</v>
      </c>
      <c r="B5" s="4" t="s">
        <v>1375</v>
      </c>
      <c r="C5" s="4" t="s">
        <v>1376</v>
      </c>
    </row>
    <row r="6" spans="1:3" ht="31" customHeight="1">
      <c r="A6" s="4" t="s">
        <v>1323</v>
      </c>
      <c r="B6" s="4" t="s">
        <v>1377</v>
      </c>
      <c r="C6" s="4" t="s">
        <v>1378</v>
      </c>
    </row>
    <row r="7" spans="1:3" ht="31" customHeight="1">
      <c r="A7" s="4" t="s">
        <v>1324</v>
      </c>
      <c r="B7" s="4" t="s">
        <v>1379</v>
      </c>
      <c r="C7" s="4" t="s">
        <v>1380</v>
      </c>
    </row>
    <row r="8" spans="1:3" ht="31" customHeight="1">
      <c r="A8" s="4" t="s">
        <v>1325</v>
      </c>
      <c r="B8" s="4" t="s">
        <v>1381</v>
      </c>
      <c r="C8" s="4" t="s">
        <v>1382</v>
      </c>
    </row>
    <row r="9" spans="1:3" ht="31" customHeight="1">
      <c r="A9" s="4" t="s">
        <v>1326</v>
      </c>
      <c r="B9" s="4" t="s">
        <v>1383</v>
      </c>
      <c r="C9" s="4" t="s">
        <v>1384</v>
      </c>
    </row>
    <row r="10" spans="1:3" ht="31" customHeight="1">
      <c r="A10" s="4" t="s">
        <v>1327</v>
      </c>
      <c r="B10" s="4" t="s">
        <v>1385</v>
      </c>
      <c r="C10" s="4" t="s">
        <v>1386</v>
      </c>
    </row>
    <row r="11" spans="1:3" ht="31" customHeight="1">
      <c r="A11" s="4" t="s">
        <v>1328</v>
      </c>
      <c r="B11" s="4" t="s">
        <v>1387</v>
      </c>
      <c r="C11" s="4" t="s">
        <v>1388</v>
      </c>
    </row>
    <row r="12" spans="1:3" ht="31" customHeight="1">
      <c r="A12" s="4" t="s">
        <v>1329</v>
      </c>
      <c r="B12" s="4" t="s">
        <v>1389</v>
      </c>
      <c r="C12" s="4" t="s">
        <v>1382</v>
      </c>
    </row>
    <row r="13" spans="1:3" ht="31" customHeight="1">
      <c r="A13" s="4" t="s">
        <v>1330</v>
      </c>
      <c r="B13" s="4" t="s">
        <v>1390</v>
      </c>
      <c r="C13" s="4" t="s">
        <v>1391</v>
      </c>
    </row>
    <row r="14" spans="1:3" ht="31" customHeight="1">
      <c r="A14" s="4" t="s">
        <v>1331</v>
      </c>
      <c r="B14" s="4" t="s">
        <v>1392</v>
      </c>
      <c r="C14" s="4" t="s">
        <v>1386</v>
      </c>
    </row>
    <row r="15" spans="1:3" ht="31" customHeight="1">
      <c r="A15" s="4" t="s">
        <v>1332</v>
      </c>
      <c r="B15" s="4" t="s">
        <v>1393</v>
      </c>
      <c r="C15" s="4" t="s">
        <v>1394</v>
      </c>
    </row>
    <row r="16" spans="1:3" ht="31" customHeight="1">
      <c r="A16" s="4" t="s">
        <v>1333</v>
      </c>
      <c r="B16" s="4" t="s">
        <v>1395</v>
      </c>
      <c r="C16" s="4" t="s">
        <v>1396</v>
      </c>
    </row>
    <row r="17" spans="1:3" ht="31" customHeight="1">
      <c r="A17" s="4" t="s">
        <v>1334</v>
      </c>
      <c r="B17" s="4" t="s">
        <v>1397</v>
      </c>
      <c r="C17" s="4" t="s">
        <v>1398</v>
      </c>
    </row>
    <row r="18" spans="1:3" ht="31" customHeight="1">
      <c r="A18" s="4" t="s">
        <v>1335</v>
      </c>
      <c r="B18" s="4" t="s">
        <v>1399</v>
      </c>
      <c r="C18" s="4" t="s">
        <v>1400</v>
      </c>
    </row>
    <row r="19" spans="1:3" ht="31" customHeight="1">
      <c r="A19" s="4" t="s">
        <v>1336</v>
      </c>
      <c r="B19" s="4" t="s">
        <v>1401</v>
      </c>
      <c r="C19" s="4" t="s">
        <v>1400</v>
      </c>
    </row>
    <row r="20" spans="1:3" ht="31" customHeight="1">
      <c r="A20" s="4" t="s">
        <v>1337</v>
      </c>
      <c r="B20" s="4" t="s">
        <v>1402</v>
      </c>
      <c r="C20" s="4" t="s">
        <v>1382</v>
      </c>
    </row>
    <row r="21" spans="1:3" ht="31" customHeight="1">
      <c r="A21" s="4" t="s">
        <v>1338</v>
      </c>
      <c r="B21" s="4" t="s">
        <v>1403</v>
      </c>
      <c r="C21" s="4" t="s">
        <v>1398</v>
      </c>
    </row>
    <row r="22" spans="1:3" ht="31" customHeight="1">
      <c r="A22" s="4" t="s">
        <v>1339</v>
      </c>
      <c r="B22" s="4" t="s">
        <v>1404</v>
      </c>
      <c r="C22" s="4" t="s">
        <v>1398</v>
      </c>
    </row>
    <row r="23" spans="1:3" ht="31" customHeight="1">
      <c r="A23" s="4" t="s">
        <v>1340</v>
      </c>
      <c r="B23" s="4" t="s">
        <v>1405</v>
      </c>
      <c r="C23" s="4" t="s">
        <v>1400</v>
      </c>
    </row>
    <row r="24" spans="1:3" ht="31" customHeight="1">
      <c r="A24" s="4" t="s">
        <v>1341</v>
      </c>
      <c r="B24" s="4" t="s">
        <v>1406</v>
      </c>
      <c r="C24" s="4" t="s">
        <v>1400</v>
      </c>
    </row>
    <row r="25" spans="1:3" ht="31" customHeight="1">
      <c r="A25" s="4" t="s">
        <v>1342</v>
      </c>
      <c r="B25" s="4" t="s">
        <v>1407</v>
      </c>
      <c r="C25" s="4" t="s">
        <v>1382</v>
      </c>
    </row>
    <row r="26" spans="1:3" ht="31" customHeight="1">
      <c r="A26" s="4" t="s">
        <v>1343</v>
      </c>
      <c r="B26" s="4" t="s">
        <v>1408</v>
      </c>
      <c r="C26" s="4" t="s">
        <v>1386</v>
      </c>
    </row>
    <row r="27" spans="1:3" ht="31" customHeight="1">
      <c r="A27" s="4" t="s">
        <v>1344</v>
      </c>
      <c r="B27" s="4" t="s">
        <v>1409</v>
      </c>
      <c r="C27" s="4" t="s">
        <v>1410</v>
      </c>
    </row>
    <row r="28" spans="1:3" ht="31" customHeight="1">
      <c r="A28" s="4" t="s">
        <v>1345</v>
      </c>
      <c r="B28" s="4" t="s">
        <v>1411</v>
      </c>
      <c r="C28" s="4" t="s">
        <v>1412</v>
      </c>
    </row>
    <row r="29" spans="1:3" ht="31" customHeight="1">
      <c r="A29" s="4" t="s">
        <v>1413</v>
      </c>
      <c r="B29" s="5"/>
      <c r="C29" s="5"/>
    </row>
    <row r="30" spans="1:3" ht="31" customHeight="1">
      <c r="A30" s="4" t="s">
        <v>1414</v>
      </c>
      <c r="B30" s="5"/>
      <c r="C30" s="5"/>
    </row>
    <row r="31" spans="1:3" ht="31" customHeight="1">
      <c r="A31" s="4" t="s">
        <v>1415</v>
      </c>
      <c r="B31" s="5"/>
      <c r="C31" s="5"/>
    </row>
    <row r="32" spans="1:3" ht="31" customHeight="1">
      <c r="A32" s="4" t="s">
        <v>1416</v>
      </c>
      <c r="B32" s="5"/>
      <c r="C32" s="5"/>
    </row>
    <row r="33" spans="1:3" ht="31" customHeight="1">
      <c r="A33" s="4" t="s">
        <v>1417</v>
      </c>
      <c r="B33" s="5"/>
      <c r="C33" s="5"/>
    </row>
    <row r="34" spans="1:3" ht="31" customHeight="1">
      <c r="A34" s="4" t="s">
        <v>1418</v>
      </c>
      <c r="B34" s="5"/>
      <c r="C34" s="5"/>
    </row>
    <row r="35" spans="1:3" ht="31" customHeight="1">
      <c r="A35" s="4" t="s">
        <v>1419</v>
      </c>
      <c r="B35" s="5"/>
      <c r="C35" s="5"/>
    </row>
    <row r="36" spans="1:3" ht="31" customHeight="1">
      <c r="A36" s="4" t="s">
        <v>1420</v>
      </c>
      <c r="B36" s="5"/>
      <c r="C36" s="5"/>
    </row>
    <row r="37" spans="1:3" ht="31" customHeight="1">
      <c r="A37" s="4" t="s">
        <v>1421</v>
      </c>
      <c r="B37" s="5"/>
      <c r="C37" s="5"/>
    </row>
    <row r="38" spans="1:3" ht="31" customHeight="1">
      <c r="A38" s="4" t="s">
        <v>1422</v>
      </c>
      <c r="B38" s="5"/>
      <c r="C38" s="5"/>
    </row>
    <row r="39" spans="1:3" ht="31" customHeight="1">
      <c r="A39" s="4" t="s">
        <v>1423</v>
      </c>
      <c r="B39" s="5"/>
      <c r="C39" s="5"/>
    </row>
  </sheetData>
  <autoFilter ref="A1:C39"/>
  <pageMargins left="0.7" right="0.7" top="0.75" bottom="0.75" header="0.3" footer="0.3"/>
  <pageSetup fitToHeight="0" orientation="landscape"/>
</worksheet>
</file>

<file path=xl/worksheets/sheet21.xml><?xml version="1.0" encoding="utf-8"?>
<worksheet xmlns="http://schemas.openxmlformats.org/spreadsheetml/2006/main" xmlns:r="http://schemas.openxmlformats.org/officeDocument/2006/relationships">
  <sheetPr>
    <tabColor rgb="FF237C89"/>
    <pageSetUpPr fitToPage="1"/>
  </sheetPr>
  <dimension ref="A1:L14"/>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3.7109375" customWidth="1"/>
    <col min="2" max="9" width="20.7109375" customWidth="1"/>
    <col min="10" max="10" width="105.7109375" customWidth="1"/>
    <col min="11" max="12" width="45.7109375" customWidth="1"/>
  </cols>
  <sheetData>
    <row r="1" spans="1:12" ht="42" customHeight="1">
      <c r="A1" s="2" t="s">
        <v>1094</v>
      </c>
      <c r="B1" s="2" t="s">
        <v>34</v>
      </c>
      <c r="C1" s="2" t="s">
        <v>1424</v>
      </c>
      <c r="D1" s="2" t="s">
        <v>1425</v>
      </c>
      <c r="E1" s="2" t="s">
        <v>1426</v>
      </c>
      <c r="F1" s="2" t="s">
        <v>1427</v>
      </c>
      <c r="G1" s="2" t="s">
        <v>1428</v>
      </c>
      <c r="H1" s="2" t="s">
        <v>1429</v>
      </c>
      <c r="I1" s="2" t="s">
        <v>1430</v>
      </c>
      <c r="J1" s="2" t="s">
        <v>1431</v>
      </c>
      <c r="K1" s="2" t="s">
        <v>1346</v>
      </c>
      <c r="L1" s="2" t="s">
        <v>1432</v>
      </c>
    </row>
    <row r="2" spans="1:12" ht="31" customHeight="1">
      <c r="A2" s="4" t="s">
        <v>252</v>
      </c>
      <c r="B2" s="4" t="s">
        <v>237</v>
      </c>
      <c r="C2" s="4" t="s">
        <v>130</v>
      </c>
      <c r="D2" s="6">
        <v>13538</v>
      </c>
      <c r="E2" s="5"/>
      <c r="F2" s="5"/>
      <c r="G2" s="5"/>
      <c r="H2" s="5"/>
      <c r="I2" s="5"/>
      <c r="J2" s="4" t="s">
        <v>1433</v>
      </c>
      <c r="K2" s="4" t="s">
        <v>244</v>
      </c>
      <c r="L2" s="4" t="s">
        <v>245</v>
      </c>
    </row>
    <row r="3" spans="1:12" ht="31" customHeight="1">
      <c r="A3" s="4" t="s">
        <v>263</v>
      </c>
      <c r="B3" s="4" t="s">
        <v>237</v>
      </c>
      <c r="C3" s="4" t="s">
        <v>130</v>
      </c>
      <c r="D3" s="6">
        <v>21567.9</v>
      </c>
      <c r="E3" s="5"/>
      <c r="F3" s="6">
        <v>169.7</v>
      </c>
      <c r="G3" s="5"/>
      <c r="H3" s="5"/>
      <c r="I3" s="5"/>
      <c r="J3" s="4" t="s">
        <v>1434</v>
      </c>
      <c r="K3" s="4" t="s">
        <v>244</v>
      </c>
      <c r="L3" s="4" t="s">
        <v>245</v>
      </c>
    </row>
    <row r="4" spans="1:12" ht="31" customHeight="1">
      <c r="A4" s="4" t="s">
        <v>298</v>
      </c>
      <c r="B4" s="4" t="s">
        <v>237</v>
      </c>
      <c r="C4" s="4" t="s">
        <v>130</v>
      </c>
      <c r="D4" s="6">
        <v>1001.6</v>
      </c>
      <c r="E4" s="5"/>
      <c r="F4" s="6">
        <v>68.8</v>
      </c>
      <c r="G4" s="5"/>
      <c r="H4" s="5"/>
      <c r="I4" s="5"/>
      <c r="J4" s="4" t="s">
        <v>1435</v>
      </c>
      <c r="K4" s="4" t="s">
        <v>244</v>
      </c>
      <c r="L4" s="4" t="s">
        <v>245</v>
      </c>
    </row>
    <row r="5" spans="1:12" ht="31" customHeight="1">
      <c r="A5" s="4" t="s">
        <v>472</v>
      </c>
      <c r="B5" s="4" t="s">
        <v>237</v>
      </c>
      <c r="C5" s="4" t="s">
        <v>130</v>
      </c>
      <c r="D5" s="6">
        <v>1867</v>
      </c>
      <c r="E5" s="5"/>
      <c r="F5" s="6">
        <v>150.2</v>
      </c>
      <c r="G5" s="5"/>
      <c r="H5" s="5"/>
      <c r="I5" s="5"/>
      <c r="J5" s="4" t="s">
        <v>1435</v>
      </c>
      <c r="K5" s="4" t="s">
        <v>244</v>
      </c>
      <c r="L5" s="4" t="s">
        <v>245</v>
      </c>
    </row>
    <row r="6" spans="1:12" ht="31" customHeight="1">
      <c r="A6" s="4" t="s">
        <v>463</v>
      </c>
      <c r="B6" s="4" t="s">
        <v>237</v>
      </c>
      <c r="C6" s="4" t="s">
        <v>130</v>
      </c>
      <c r="D6" s="6">
        <v>2418</v>
      </c>
      <c r="E6" s="5"/>
      <c r="F6" s="6">
        <v>180.1</v>
      </c>
      <c r="G6" s="5"/>
      <c r="H6" s="5"/>
      <c r="I6" s="5"/>
      <c r="J6" s="4" t="s">
        <v>1436</v>
      </c>
      <c r="K6" s="4" t="s">
        <v>244</v>
      </c>
      <c r="L6" s="4" t="s">
        <v>245</v>
      </c>
    </row>
    <row r="7" spans="1:12" ht="31" customHeight="1">
      <c r="A7" s="4" t="s">
        <v>274</v>
      </c>
      <c r="B7" s="4" t="s">
        <v>237</v>
      </c>
      <c r="C7" s="4" t="s">
        <v>113</v>
      </c>
      <c r="D7" s="5"/>
      <c r="E7" s="6">
        <v>22261</v>
      </c>
      <c r="F7" s="5"/>
      <c r="G7" s="6">
        <v>4527</v>
      </c>
      <c r="H7" s="5"/>
      <c r="I7" s="5"/>
      <c r="J7" s="4" t="s">
        <v>1437</v>
      </c>
      <c r="K7" s="4" t="s">
        <v>244</v>
      </c>
      <c r="L7" s="4" t="s">
        <v>245</v>
      </c>
    </row>
    <row r="8" spans="1:12" ht="31" customHeight="1">
      <c r="A8" s="4" t="s">
        <v>395</v>
      </c>
      <c r="B8" s="4" t="s">
        <v>385</v>
      </c>
      <c r="C8" s="4" t="s">
        <v>113</v>
      </c>
      <c r="D8" s="5"/>
      <c r="E8" s="5"/>
      <c r="F8" s="5"/>
      <c r="G8" s="5"/>
      <c r="H8" s="5"/>
      <c r="I8" s="6">
        <v>0.0621</v>
      </c>
      <c r="J8" s="4" t="s">
        <v>1438</v>
      </c>
      <c r="K8" s="4" t="s">
        <v>389</v>
      </c>
      <c r="L8" s="4" t="s">
        <v>390</v>
      </c>
    </row>
    <row r="9" spans="1:12" ht="31" customHeight="1">
      <c r="A9" s="4" t="s">
        <v>397</v>
      </c>
      <c r="B9" s="4" t="s">
        <v>385</v>
      </c>
      <c r="C9" s="4" t="s">
        <v>113</v>
      </c>
      <c r="D9" s="5"/>
      <c r="E9" s="5"/>
      <c r="F9" s="5"/>
      <c r="G9" s="5"/>
      <c r="H9" s="5"/>
      <c r="I9" s="6">
        <v>0.1649</v>
      </c>
      <c r="J9" s="4" t="s">
        <v>1438</v>
      </c>
      <c r="K9" s="4" t="s">
        <v>389</v>
      </c>
      <c r="L9" s="4" t="s">
        <v>390</v>
      </c>
    </row>
    <row r="10" spans="1:12" ht="31" customHeight="1">
      <c r="A10" s="4" t="s">
        <v>384</v>
      </c>
      <c r="B10" s="4" t="s">
        <v>385</v>
      </c>
      <c r="C10" s="4" t="s">
        <v>113</v>
      </c>
      <c r="D10" s="5"/>
      <c r="E10" s="5"/>
      <c r="F10" s="5"/>
      <c r="G10" s="5"/>
      <c r="H10" s="5"/>
      <c r="I10" s="6">
        <v>0.06809999999999999</v>
      </c>
      <c r="J10" s="4" t="s">
        <v>1438</v>
      </c>
      <c r="K10" s="4" t="s">
        <v>389</v>
      </c>
      <c r="L10" s="4" t="s">
        <v>390</v>
      </c>
    </row>
    <row r="11" spans="1:12" ht="31" customHeight="1">
      <c r="A11" s="4" t="s">
        <v>404</v>
      </c>
      <c r="B11" s="4" t="s">
        <v>385</v>
      </c>
      <c r="C11" s="4" t="s">
        <v>113</v>
      </c>
      <c r="D11" s="5"/>
      <c r="E11" s="5"/>
      <c r="F11" s="5"/>
      <c r="G11" s="5"/>
      <c r="H11" s="5"/>
      <c r="I11" s="6">
        <v>1.5222</v>
      </c>
      <c r="J11" s="4" t="s">
        <v>1438</v>
      </c>
      <c r="K11" s="4" t="s">
        <v>389</v>
      </c>
      <c r="L11" s="4" t="s">
        <v>390</v>
      </c>
    </row>
    <row r="12" spans="1:12" ht="31" customHeight="1">
      <c r="A12" s="4" t="s">
        <v>419</v>
      </c>
      <c r="B12" s="4" t="s">
        <v>385</v>
      </c>
      <c r="C12" s="4" t="s">
        <v>113</v>
      </c>
      <c r="D12" s="5"/>
      <c r="E12" s="5"/>
      <c r="F12" s="5"/>
      <c r="G12" s="5"/>
      <c r="H12" s="5"/>
      <c r="I12" s="6">
        <v>0.2611</v>
      </c>
      <c r="J12" s="4" t="s">
        <v>1438</v>
      </c>
      <c r="K12" s="4" t="s">
        <v>389</v>
      </c>
      <c r="L12" s="4" t="s">
        <v>390</v>
      </c>
    </row>
    <row r="13" spans="1:12" ht="31" customHeight="1">
      <c r="A13" s="4" t="s">
        <v>417</v>
      </c>
      <c r="B13" s="4" t="s">
        <v>385</v>
      </c>
      <c r="C13" s="4" t="s">
        <v>113</v>
      </c>
      <c r="D13" s="5"/>
      <c r="E13" s="5"/>
      <c r="F13" s="5"/>
      <c r="G13" s="5"/>
      <c r="H13" s="5"/>
      <c r="I13" s="6">
        <v>0.4595</v>
      </c>
      <c r="J13" s="4" t="s">
        <v>1438</v>
      </c>
      <c r="K13" s="4" t="s">
        <v>389</v>
      </c>
      <c r="L13" s="4" t="s">
        <v>390</v>
      </c>
    </row>
    <row r="14" spans="1:12" ht="31" customHeight="1">
      <c r="A14" s="4" t="s">
        <v>421</v>
      </c>
      <c r="B14" s="4" t="s">
        <v>385</v>
      </c>
      <c r="C14" s="4" t="s">
        <v>113</v>
      </c>
      <c r="D14" s="5"/>
      <c r="E14" s="5"/>
      <c r="F14" s="5"/>
      <c r="G14" s="5"/>
      <c r="H14" s="5"/>
      <c r="I14" s="6">
        <v>0.1116</v>
      </c>
      <c r="J14" s="4" t="s">
        <v>1438</v>
      </c>
      <c r="K14" s="4" t="s">
        <v>389</v>
      </c>
      <c r="L14" s="4" t="s">
        <v>390</v>
      </c>
    </row>
  </sheetData>
  <autoFilter ref="A1:L14"/>
  <pageMargins left="0.7" right="0.7" top="0.75" bottom="0.75" header="0.3" footer="0.3"/>
  <pageSetup fitToHeight="0" orientation="landscape"/>
</worksheet>
</file>

<file path=xl/worksheets/sheet22.xml><?xml version="1.0" encoding="utf-8"?>
<worksheet xmlns="http://schemas.openxmlformats.org/spreadsheetml/2006/main" xmlns:r="http://schemas.openxmlformats.org/officeDocument/2006/relationships">
  <sheetPr>
    <tabColor rgb="FF237C89"/>
    <pageSetUpPr fitToPage="1"/>
  </sheetPr>
  <dimension ref="A1:F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0.7109375" customWidth="1"/>
    <col min="2" max="2" width="65.7109375" customWidth="1"/>
    <col min="3" max="3" width="100.7109375" customWidth="1"/>
    <col min="4" max="4" width="110.7109375" customWidth="1"/>
    <col min="5" max="5" width="50.7109375" customWidth="1"/>
    <col min="6" max="6" width="40.7109375" customWidth="1"/>
  </cols>
  <sheetData>
    <row r="1" spans="1:6" ht="42" customHeight="1">
      <c r="A1" s="2" t="s">
        <v>34</v>
      </c>
      <c r="B1" s="2" t="s">
        <v>1439</v>
      </c>
      <c r="C1" s="2" t="s">
        <v>1440</v>
      </c>
      <c r="D1" s="2" t="s">
        <v>1441</v>
      </c>
      <c r="E1" s="2" t="s">
        <v>1442</v>
      </c>
      <c r="F1" s="2" t="s">
        <v>1443</v>
      </c>
    </row>
    <row r="2" spans="1:6" ht="31" customHeight="1">
      <c r="A2" s="4" t="s">
        <v>110</v>
      </c>
      <c r="B2" s="4" t="s">
        <v>1444</v>
      </c>
      <c r="C2" s="4" t="s">
        <v>1445</v>
      </c>
      <c r="D2" s="4" t="s">
        <v>1446</v>
      </c>
      <c r="E2" s="4" t="s">
        <v>121</v>
      </c>
      <c r="F2" s="4" t="s">
        <v>122</v>
      </c>
    </row>
    <row r="3" spans="1:6" ht="31" customHeight="1">
      <c r="A3" s="4" t="s">
        <v>157</v>
      </c>
      <c r="B3" s="4" t="s">
        <v>1447</v>
      </c>
      <c r="C3" s="4" t="s">
        <v>1448</v>
      </c>
      <c r="D3" s="4" t="s">
        <v>1449</v>
      </c>
      <c r="E3" s="4" t="s">
        <v>162</v>
      </c>
      <c r="F3" s="4" t="s">
        <v>163</v>
      </c>
    </row>
    <row r="4" spans="1:6" ht="31" customHeight="1">
      <c r="A4" s="4" t="s">
        <v>191</v>
      </c>
      <c r="B4" s="4" t="s">
        <v>1450</v>
      </c>
      <c r="C4" s="4" t="s">
        <v>1451</v>
      </c>
      <c r="D4" s="4" t="s">
        <v>1452</v>
      </c>
      <c r="E4" s="4" t="s">
        <v>196</v>
      </c>
      <c r="F4" s="4" t="s">
        <v>197</v>
      </c>
    </row>
    <row r="5" spans="1:6" ht="31" customHeight="1">
      <c r="A5" s="4" t="s">
        <v>237</v>
      </c>
      <c r="B5" s="4" t="s">
        <v>1453</v>
      </c>
      <c r="C5" s="4" t="s">
        <v>1454</v>
      </c>
      <c r="D5" s="4" t="s">
        <v>1455</v>
      </c>
      <c r="E5" s="4" t="s">
        <v>244</v>
      </c>
      <c r="F5" s="4" t="s">
        <v>245</v>
      </c>
    </row>
    <row r="6" spans="1:6" ht="31" customHeight="1">
      <c r="A6" s="4" t="s">
        <v>311</v>
      </c>
      <c r="B6" s="4" t="s">
        <v>1456</v>
      </c>
      <c r="C6" s="4" t="s">
        <v>1457</v>
      </c>
      <c r="D6" s="4" t="s">
        <v>1458</v>
      </c>
      <c r="E6" s="4" t="s">
        <v>316</v>
      </c>
      <c r="F6" s="4" t="s">
        <v>317</v>
      </c>
    </row>
    <row r="7" spans="1:6" ht="31" customHeight="1">
      <c r="A7" s="4" t="s">
        <v>346</v>
      </c>
      <c r="B7" s="4" t="s">
        <v>1459</v>
      </c>
      <c r="C7" s="4" t="s">
        <v>1460</v>
      </c>
      <c r="D7" s="4" t="s">
        <v>1461</v>
      </c>
      <c r="E7" s="4" t="s">
        <v>350</v>
      </c>
      <c r="F7" s="4" t="s">
        <v>351</v>
      </c>
    </row>
    <row r="8" spans="1:6" ht="31" customHeight="1">
      <c r="A8" s="4" t="s">
        <v>385</v>
      </c>
      <c r="B8" s="4" t="s">
        <v>1462</v>
      </c>
      <c r="C8" s="4" t="s">
        <v>1463</v>
      </c>
      <c r="D8" s="4" t="s">
        <v>1464</v>
      </c>
      <c r="E8" s="4" t="s">
        <v>389</v>
      </c>
      <c r="F8" s="4" t="s">
        <v>390</v>
      </c>
    </row>
    <row r="9" spans="1:6" ht="31" customHeight="1">
      <c r="A9" s="4" t="s">
        <v>424</v>
      </c>
      <c r="B9" s="4" t="s">
        <v>1465</v>
      </c>
      <c r="C9" s="4" t="s">
        <v>1466</v>
      </c>
      <c r="D9" s="4" t="s">
        <v>1467</v>
      </c>
      <c r="E9" s="4" t="s">
        <v>429</v>
      </c>
      <c r="F9" s="4" t="s">
        <v>430</v>
      </c>
    </row>
  </sheetData>
  <autoFilter ref="A1:F9"/>
  <pageMargins left="0.7" right="0.7" top="0.75" bottom="0.75" header="0.3" footer="0.3"/>
  <pageSetup fitToHeight="0" orientation="landscape"/>
</worksheet>
</file>

<file path=xl/worksheets/sheet23.xml><?xml version="1.0" encoding="utf-8"?>
<worksheet xmlns="http://schemas.openxmlformats.org/spreadsheetml/2006/main" xmlns:r="http://schemas.openxmlformats.org/officeDocument/2006/relationships">
  <sheetPr>
    <tabColor rgb="FF237C89"/>
    <pageSetUpPr fitToPage="1"/>
  </sheetPr>
  <dimension ref="A1:F44"/>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110.7109375" customWidth="1"/>
    <col min="2" max="3" width="20.7109375" customWidth="1"/>
    <col min="4" max="4" width="70.7109375" customWidth="1"/>
    <col min="5" max="5" width="110.7109375" customWidth="1"/>
    <col min="6" max="6" width="70.7109375" customWidth="1"/>
  </cols>
  <sheetData>
    <row r="1" spans="1:6" ht="42" customHeight="1">
      <c r="A1" s="2" t="s">
        <v>1468</v>
      </c>
      <c r="B1" s="2" t="s">
        <v>1469</v>
      </c>
      <c r="C1" s="2" t="s">
        <v>1470</v>
      </c>
      <c r="D1" s="2" t="s">
        <v>1471</v>
      </c>
      <c r="E1" s="2" t="s">
        <v>1472</v>
      </c>
      <c r="F1" s="2" t="s">
        <v>1473</v>
      </c>
    </row>
    <row r="2" spans="1:6" ht="31" customHeight="1">
      <c r="A2" s="4" t="s">
        <v>1474</v>
      </c>
      <c r="B2" s="4" t="s">
        <v>1475</v>
      </c>
      <c r="C2" s="6">
        <v>1890356</v>
      </c>
      <c r="D2" s="4" t="s">
        <v>1476</v>
      </c>
      <c r="E2" s="4"/>
      <c r="F2" s="4" t="s">
        <v>1477</v>
      </c>
    </row>
    <row r="3" spans="1:6" ht="31" customHeight="1">
      <c r="A3" s="4" t="s">
        <v>1478</v>
      </c>
      <c r="B3" s="4" t="s">
        <v>1475</v>
      </c>
      <c r="C3" s="6">
        <v>1048535</v>
      </c>
      <c r="D3" s="4" t="s">
        <v>1479</v>
      </c>
      <c r="E3" s="4"/>
      <c r="F3" s="4" t="s">
        <v>1477</v>
      </c>
    </row>
    <row r="4" spans="1:6" ht="31" customHeight="1">
      <c r="A4" s="4" t="s">
        <v>1480</v>
      </c>
      <c r="B4" s="4" t="s">
        <v>1481</v>
      </c>
      <c r="C4" s="6">
        <v>11287</v>
      </c>
      <c r="D4" s="4" t="s">
        <v>1482</v>
      </c>
      <c r="E4" s="4"/>
      <c r="F4" s="4" t="s">
        <v>1477</v>
      </c>
    </row>
    <row r="5" spans="1:6" ht="31" customHeight="1">
      <c r="A5" s="4" t="s">
        <v>1483</v>
      </c>
      <c r="B5" s="4" t="s">
        <v>1484</v>
      </c>
      <c r="C5" s="6">
        <v>17924</v>
      </c>
      <c r="D5" s="4" t="s">
        <v>1485</v>
      </c>
      <c r="E5" s="4"/>
      <c r="F5" s="4" t="s">
        <v>1477</v>
      </c>
    </row>
    <row r="6" spans="1:6" ht="31" customHeight="1">
      <c r="A6" s="4" t="s">
        <v>1486</v>
      </c>
      <c r="B6" s="4" t="s">
        <v>1475</v>
      </c>
      <c r="C6" s="6">
        <v>621976</v>
      </c>
      <c r="D6" s="4" t="s">
        <v>1487</v>
      </c>
      <c r="E6" s="4"/>
      <c r="F6" s="4" t="s">
        <v>1477</v>
      </c>
    </row>
    <row r="7" spans="1:6" ht="31" customHeight="1">
      <c r="A7" s="4" t="s">
        <v>1488</v>
      </c>
      <c r="B7" s="4" t="s">
        <v>1475</v>
      </c>
      <c r="C7" s="6">
        <v>1454916</v>
      </c>
      <c r="D7" s="4" t="s">
        <v>1489</v>
      </c>
      <c r="E7" s="4"/>
      <c r="F7" s="4" t="s">
        <v>1477</v>
      </c>
    </row>
    <row r="8" spans="1:6" ht="31" customHeight="1">
      <c r="A8" s="4" t="s">
        <v>1490</v>
      </c>
      <c r="B8" s="4" t="s">
        <v>1481</v>
      </c>
      <c r="C8" s="6">
        <v>74290</v>
      </c>
      <c r="D8" s="4" t="s">
        <v>1491</v>
      </c>
      <c r="E8" s="4"/>
      <c r="F8" s="4" t="s">
        <v>1477</v>
      </c>
    </row>
    <row r="9" spans="1:6" ht="31" customHeight="1">
      <c r="A9" s="4" t="s">
        <v>1492</v>
      </c>
      <c r="B9" s="4" t="s">
        <v>1481</v>
      </c>
      <c r="C9" s="6">
        <v>20775</v>
      </c>
      <c r="D9" s="4" t="s">
        <v>1493</v>
      </c>
      <c r="E9" s="4"/>
      <c r="F9" s="4" t="s">
        <v>1477</v>
      </c>
    </row>
    <row r="10" spans="1:6" ht="31" customHeight="1">
      <c r="A10" s="4" t="s">
        <v>1494</v>
      </c>
      <c r="B10" s="4" t="s">
        <v>1475</v>
      </c>
      <c r="C10" s="6">
        <v>106985</v>
      </c>
      <c r="D10" s="4" t="s">
        <v>1495</v>
      </c>
      <c r="E10" s="4"/>
      <c r="F10" s="4" t="s">
        <v>1477</v>
      </c>
    </row>
    <row r="11" spans="1:6" ht="31" customHeight="1">
      <c r="A11" s="4" t="s">
        <v>1496</v>
      </c>
      <c r="B11" s="4" t="s">
        <v>1481</v>
      </c>
      <c r="C11" s="6">
        <v>19893</v>
      </c>
      <c r="D11" s="4" t="s">
        <v>1497</v>
      </c>
      <c r="E11" s="4"/>
      <c r="F11" s="4" t="s">
        <v>1477</v>
      </c>
    </row>
    <row r="12" spans="1:6" ht="31" customHeight="1">
      <c r="A12" s="4" t="s">
        <v>1498</v>
      </c>
      <c r="B12" s="4" t="s">
        <v>1481</v>
      </c>
      <c r="C12" s="6">
        <v>34700</v>
      </c>
      <c r="D12" s="4" t="s">
        <v>1499</v>
      </c>
      <c r="E12" s="4"/>
      <c r="F12" s="4" t="s">
        <v>1477</v>
      </c>
    </row>
    <row r="13" spans="1:6" ht="31" customHeight="1">
      <c r="A13" s="4" t="s">
        <v>1500</v>
      </c>
      <c r="B13" s="4" t="s">
        <v>1484</v>
      </c>
      <c r="C13" s="6">
        <v>17533</v>
      </c>
      <c r="D13" s="4" t="s">
        <v>1501</v>
      </c>
      <c r="E13" s="4"/>
      <c r="F13" s="4" t="s">
        <v>1477</v>
      </c>
    </row>
    <row r="14" spans="1:6" ht="31" customHeight="1">
      <c r="A14" s="4" t="s">
        <v>1502</v>
      </c>
      <c r="B14" s="4" t="s">
        <v>1481</v>
      </c>
      <c r="C14" s="6">
        <v>13539</v>
      </c>
      <c r="D14" s="4" t="s">
        <v>1503</v>
      </c>
      <c r="E14" s="4"/>
      <c r="F14" s="4" t="s">
        <v>1477</v>
      </c>
    </row>
    <row r="15" spans="1:6" ht="31" customHeight="1">
      <c r="A15" s="4" t="s">
        <v>1504</v>
      </c>
      <c r="B15" s="4" t="s">
        <v>1481</v>
      </c>
      <c r="C15" s="6">
        <v>12411</v>
      </c>
      <c r="D15" s="4" t="s">
        <v>1505</v>
      </c>
      <c r="E15" s="4"/>
      <c r="F15" s="4" t="s">
        <v>1477</v>
      </c>
    </row>
    <row r="16" spans="1:6" ht="31" customHeight="1">
      <c r="A16" s="4" t="s">
        <v>1506</v>
      </c>
      <c r="B16" s="4" t="s">
        <v>1481</v>
      </c>
      <c r="C16" s="6">
        <v>51849</v>
      </c>
      <c r="D16" s="4" t="s">
        <v>1507</v>
      </c>
      <c r="E16" s="4"/>
      <c r="F16" s="4" t="s">
        <v>1477</v>
      </c>
    </row>
    <row r="17" spans="1:6" ht="31" customHeight="1">
      <c r="A17" s="4" t="s">
        <v>1508</v>
      </c>
      <c r="B17" s="4" t="s">
        <v>1475</v>
      </c>
      <c r="C17" s="6">
        <v>1468939</v>
      </c>
      <c r="D17" s="4" t="s">
        <v>1509</v>
      </c>
      <c r="E17" s="4"/>
      <c r="F17" s="4" t="s">
        <v>1477</v>
      </c>
    </row>
    <row r="18" spans="1:6" ht="31" customHeight="1">
      <c r="A18" s="4" t="s">
        <v>1510</v>
      </c>
      <c r="B18" s="4" t="s">
        <v>1484</v>
      </c>
      <c r="C18" s="6">
        <v>86636</v>
      </c>
      <c r="D18" s="4" t="s">
        <v>1511</v>
      </c>
      <c r="E18" s="4"/>
      <c r="F18" s="4" t="s">
        <v>1477</v>
      </c>
    </row>
    <row r="19" spans="1:6" ht="31" customHeight="1">
      <c r="A19" s="4" t="s">
        <v>1512</v>
      </c>
      <c r="B19" s="4" t="s">
        <v>1475</v>
      </c>
      <c r="C19" s="6">
        <v>258226</v>
      </c>
      <c r="D19" s="4" t="s">
        <v>1513</v>
      </c>
      <c r="E19" s="4"/>
      <c r="F19" s="4" t="s">
        <v>1477</v>
      </c>
    </row>
    <row r="20" spans="1:6" ht="31" customHeight="1">
      <c r="A20" s="4" t="s">
        <v>1514</v>
      </c>
      <c r="B20" s="4" t="s">
        <v>1481</v>
      </c>
      <c r="C20" s="6">
        <v>116912</v>
      </c>
      <c r="D20" s="4" t="s">
        <v>1515</v>
      </c>
      <c r="E20" s="4"/>
      <c r="F20" s="4" t="s">
        <v>1477</v>
      </c>
    </row>
    <row r="21" spans="1:6" ht="31" customHeight="1">
      <c r="A21" s="4" t="s">
        <v>1516</v>
      </c>
      <c r="B21" s="4" t="s">
        <v>1484</v>
      </c>
      <c r="C21" s="6">
        <v>86636</v>
      </c>
      <c r="D21" s="4" t="s">
        <v>1511</v>
      </c>
      <c r="E21" s="4" t="s">
        <v>1510</v>
      </c>
      <c r="F21" s="4" t="s">
        <v>1477</v>
      </c>
    </row>
    <row r="22" spans="1:6" ht="31" customHeight="1">
      <c r="A22" s="4" t="s">
        <v>1517</v>
      </c>
      <c r="B22" s="4" t="s">
        <v>1475</v>
      </c>
      <c r="C22" s="6">
        <v>258226</v>
      </c>
      <c r="D22" s="4" t="s">
        <v>1513</v>
      </c>
      <c r="E22" s="4" t="s">
        <v>1512</v>
      </c>
      <c r="F22" s="4" t="s">
        <v>1477</v>
      </c>
    </row>
    <row r="23" spans="1:6" ht="31" customHeight="1">
      <c r="A23" s="4" t="s">
        <v>1518</v>
      </c>
      <c r="B23" s="4" t="s">
        <v>1484</v>
      </c>
      <c r="C23" s="6">
        <v>26274</v>
      </c>
      <c r="D23" s="4" t="s">
        <v>1519</v>
      </c>
      <c r="E23" s="4"/>
      <c r="F23" s="4" t="s">
        <v>1477</v>
      </c>
    </row>
    <row r="24" spans="1:6" ht="31" customHeight="1">
      <c r="A24" s="4" t="s">
        <v>1520</v>
      </c>
      <c r="B24" s="4" t="s">
        <v>1481</v>
      </c>
      <c r="C24" s="6">
        <v>9813</v>
      </c>
      <c r="D24" s="4" t="s">
        <v>1521</v>
      </c>
      <c r="E24" s="4"/>
      <c r="F24" s="4" t="s">
        <v>1477</v>
      </c>
    </row>
    <row r="25" spans="1:6" ht="31" customHeight="1">
      <c r="A25" s="4" t="s">
        <v>1522</v>
      </c>
      <c r="B25" s="4" t="s">
        <v>1475</v>
      </c>
      <c r="C25" s="6">
        <v>365501</v>
      </c>
      <c r="D25" s="4" t="s">
        <v>1523</v>
      </c>
      <c r="E25" s="4"/>
      <c r="F25" s="4" t="s">
        <v>1477</v>
      </c>
    </row>
    <row r="26" spans="1:6" ht="31" customHeight="1">
      <c r="A26" s="4" t="s">
        <v>1524</v>
      </c>
      <c r="B26" s="4" t="s">
        <v>1481</v>
      </c>
      <c r="C26" s="6">
        <v>25960</v>
      </c>
      <c r="D26" s="4" t="s">
        <v>1525</v>
      </c>
      <c r="E26" s="4"/>
      <c r="F26" s="4" t="s">
        <v>1477</v>
      </c>
    </row>
    <row r="27" spans="1:6" ht="31" customHeight="1">
      <c r="A27" s="4" t="s">
        <v>1526</v>
      </c>
      <c r="B27" s="4" t="s">
        <v>1475</v>
      </c>
      <c r="C27" s="6">
        <v>2424249</v>
      </c>
      <c r="D27" s="4" t="s">
        <v>1527</v>
      </c>
      <c r="E27" s="4"/>
      <c r="F27" s="4" t="s">
        <v>1477</v>
      </c>
    </row>
    <row r="28" spans="1:6" ht="31" customHeight="1">
      <c r="A28" s="4" t="s">
        <v>1528</v>
      </c>
      <c r="B28" s="4" t="s">
        <v>1529</v>
      </c>
      <c r="C28" s="6">
        <v>23447</v>
      </c>
      <c r="D28" s="4" t="s">
        <v>1530</v>
      </c>
      <c r="E28" s="4"/>
      <c r="F28" s="4" t="s">
        <v>1477</v>
      </c>
    </row>
    <row r="29" spans="1:6" ht="31" customHeight="1">
      <c r="A29" s="4" t="s">
        <v>1531</v>
      </c>
      <c r="B29" s="4" t="s">
        <v>1484</v>
      </c>
      <c r="C29" s="6">
        <v>12544</v>
      </c>
      <c r="D29" s="4" t="s">
        <v>1532</v>
      </c>
      <c r="E29" s="4"/>
      <c r="F29" s="4" t="s">
        <v>1477</v>
      </c>
    </row>
    <row r="30" spans="1:6" ht="31" customHeight="1">
      <c r="A30" s="4" t="s">
        <v>1533</v>
      </c>
      <c r="B30" s="4" t="s">
        <v>1484</v>
      </c>
      <c r="C30" s="6">
        <v>164068</v>
      </c>
      <c r="D30" s="4" t="s">
        <v>1534</v>
      </c>
      <c r="E30" s="4"/>
      <c r="F30" s="4" t="s">
        <v>1477</v>
      </c>
    </row>
    <row r="31" spans="1:6" ht="31" customHeight="1">
      <c r="A31" s="4" t="s">
        <v>1535</v>
      </c>
      <c r="B31" s="4" t="s">
        <v>1529</v>
      </c>
      <c r="C31" s="6">
        <v>234166</v>
      </c>
      <c r="D31" s="4" t="s">
        <v>1536</v>
      </c>
      <c r="E31" s="4"/>
      <c r="F31" s="4" t="s">
        <v>1477</v>
      </c>
    </row>
    <row r="32" spans="1:6" ht="31" customHeight="1">
      <c r="A32" s="4" t="s">
        <v>1537</v>
      </c>
      <c r="B32" s="4" t="s">
        <v>1481</v>
      </c>
      <c r="C32" s="6">
        <v>18681</v>
      </c>
      <c r="D32" s="4" t="s">
        <v>1538</v>
      </c>
      <c r="E32" s="4"/>
      <c r="F32" s="4" t="s">
        <v>1477</v>
      </c>
    </row>
    <row r="33" spans="1:6" ht="31" customHeight="1">
      <c r="A33" s="4" t="s">
        <v>1539</v>
      </c>
      <c r="B33" s="4" t="s">
        <v>1481</v>
      </c>
      <c r="C33" s="6">
        <v>38923</v>
      </c>
      <c r="D33" s="4" t="s">
        <v>1540</v>
      </c>
      <c r="E33" s="4"/>
      <c r="F33" s="4" t="s">
        <v>1477</v>
      </c>
    </row>
    <row r="34" spans="1:6" ht="31" customHeight="1">
      <c r="A34" s="4" t="s">
        <v>1541</v>
      </c>
      <c r="B34" s="4" t="s">
        <v>1484</v>
      </c>
      <c r="C34" s="6">
        <v>38227</v>
      </c>
      <c r="D34" s="4" t="s">
        <v>1542</v>
      </c>
      <c r="E34" s="4"/>
      <c r="F34" s="4" t="s">
        <v>1477</v>
      </c>
    </row>
    <row r="35" spans="1:6" ht="31" customHeight="1">
      <c r="A35" s="4" t="s">
        <v>1543</v>
      </c>
      <c r="B35" s="4" t="s">
        <v>1544</v>
      </c>
      <c r="C35" s="6">
        <v>3471</v>
      </c>
      <c r="D35" s="4" t="s">
        <v>1545</v>
      </c>
      <c r="E35" s="4"/>
      <c r="F35" s="4" t="s">
        <v>1477</v>
      </c>
    </row>
    <row r="36" spans="1:6" ht="31" customHeight="1">
      <c r="A36" s="4" t="s">
        <v>1546</v>
      </c>
      <c r="B36" s="4" t="s">
        <v>1481</v>
      </c>
      <c r="C36" s="6">
        <v>35539</v>
      </c>
      <c r="D36" s="4" t="s">
        <v>1547</v>
      </c>
      <c r="E36" s="4"/>
      <c r="F36" s="4" t="s">
        <v>1477</v>
      </c>
    </row>
    <row r="37" spans="1:6" ht="31" customHeight="1">
      <c r="A37" s="4" t="s">
        <v>1548</v>
      </c>
      <c r="B37" s="4" t="s">
        <v>1549</v>
      </c>
      <c r="C37" s="6">
        <v>21382</v>
      </c>
      <c r="D37" s="4" t="s">
        <v>1550</v>
      </c>
      <c r="E37" s="4"/>
      <c r="F37" s="4" t="s">
        <v>1477</v>
      </c>
    </row>
    <row r="38" spans="1:6" ht="31" customHeight="1">
      <c r="A38" s="4" t="s">
        <v>1551</v>
      </c>
      <c r="B38" s="4" t="s">
        <v>1549</v>
      </c>
      <c r="C38" s="6">
        <v>21576</v>
      </c>
      <c r="D38" s="4" t="s">
        <v>1552</v>
      </c>
      <c r="E38" s="4"/>
      <c r="F38" s="4" t="s">
        <v>1477</v>
      </c>
    </row>
    <row r="39" spans="1:6" ht="31" customHeight="1">
      <c r="A39" s="4" t="s">
        <v>1553</v>
      </c>
      <c r="B39" s="4" t="s">
        <v>1549</v>
      </c>
      <c r="C39" s="6">
        <v>48095</v>
      </c>
      <c r="D39" s="4" t="s">
        <v>1554</v>
      </c>
      <c r="E39" s="4"/>
      <c r="F39" s="4" t="s">
        <v>1477</v>
      </c>
    </row>
    <row r="40" spans="1:6" ht="31" customHeight="1">
      <c r="A40" s="4" t="s">
        <v>1555</v>
      </c>
      <c r="B40" s="4" t="s">
        <v>1549</v>
      </c>
      <c r="C40" s="6">
        <v>19783</v>
      </c>
      <c r="D40" s="4" t="s">
        <v>1556</v>
      </c>
      <c r="E40" s="4"/>
      <c r="F40" s="4" t="s">
        <v>1477</v>
      </c>
    </row>
    <row r="41" spans="1:6" ht="31" customHeight="1">
      <c r="A41" s="4" t="s">
        <v>1557</v>
      </c>
      <c r="B41" s="4" t="s">
        <v>1549</v>
      </c>
      <c r="C41" s="6">
        <v>27082</v>
      </c>
      <c r="D41" s="4" t="s">
        <v>1558</v>
      </c>
      <c r="E41" s="4"/>
      <c r="F41" s="4" t="s">
        <v>1477</v>
      </c>
    </row>
    <row r="42" spans="1:6" ht="31" customHeight="1">
      <c r="A42" s="4" t="s">
        <v>1559</v>
      </c>
      <c r="B42" s="4" t="s">
        <v>1529</v>
      </c>
      <c r="C42" s="6">
        <v>49154</v>
      </c>
      <c r="D42" s="4" t="s">
        <v>1560</v>
      </c>
      <c r="E42" s="4"/>
      <c r="F42" s="4" t="s">
        <v>1477</v>
      </c>
    </row>
    <row r="43" spans="1:6" ht="31" customHeight="1">
      <c r="A43" s="4" t="s">
        <v>319</v>
      </c>
      <c r="B43" s="4" t="s">
        <v>1475</v>
      </c>
      <c r="C43" s="6">
        <v>1189764</v>
      </c>
      <c r="D43" s="4" t="s">
        <v>1561</v>
      </c>
      <c r="E43" s="4"/>
      <c r="F43" s="4" t="s">
        <v>1477</v>
      </c>
    </row>
    <row r="44" spans="1:6" ht="31" customHeight="1">
      <c r="A44" s="4" t="s">
        <v>393</v>
      </c>
      <c r="B44" s="4" t="s">
        <v>1475</v>
      </c>
      <c r="C44" s="6">
        <v>1259944</v>
      </c>
      <c r="D44" s="4" t="s">
        <v>1562</v>
      </c>
      <c r="E44" s="4"/>
      <c r="F44" s="4" t="s">
        <v>1477</v>
      </c>
    </row>
  </sheetData>
  <autoFilter ref="A1:F44"/>
  <pageMargins left="0.7" right="0.7" top="0.75" bottom="0.75" header="0.3" footer="0.3"/>
  <pageSetup fitToHeight="0" orientation="landscape"/>
</worksheet>
</file>

<file path=xl/worksheets/sheet24.xml><?xml version="1.0" encoding="utf-8"?>
<worksheet xmlns="http://schemas.openxmlformats.org/spreadsheetml/2006/main" xmlns:r="http://schemas.openxmlformats.org/officeDocument/2006/relationships">
  <sheetPr>
    <tabColor rgb="FF237C89"/>
    <pageSetUpPr fitToPage="1"/>
  </sheetPr>
  <dimension ref="A1:D77"/>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8.7109375" customWidth="1"/>
    <col min="2" max="2" width="35.7109375" customWidth="1"/>
    <col min="3" max="3" width="125.7109375" customWidth="1"/>
    <col min="4" max="4" width="28.7109375" customWidth="1"/>
  </cols>
  <sheetData>
    <row r="1" spans="1:4" ht="42" customHeight="1">
      <c r="A1" s="2" t="s">
        <v>1563</v>
      </c>
      <c r="B1" s="2" t="s">
        <v>1564</v>
      </c>
      <c r="C1" s="2" t="s">
        <v>1565</v>
      </c>
      <c r="D1" s="2" t="s">
        <v>1566</v>
      </c>
    </row>
    <row r="2" spans="1:4" ht="31" customHeight="1">
      <c r="A2" s="4" t="s">
        <v>1567</v>
      </c>
      <c r="B2" s="4" t="s">
        <v>33</v>
      </c>
      <c r="C2" s="4" t="s">
        <v>1568</v>
      </c>
      <c r="D2" s="4" t="s">
        <v>1569</v>
      </c>
    </row>
    <row r="3" spans="1:4" ht="31" customHeight="1">
      <c r="A3" s="4" t="s">
        <v>1570</v>
      </c>
      <c r="B3" s="4" t="s">
        <v>34</v>
      </c>
      <c r="C3" s="4" t="s">
        <v>1571</v>
      </c>
      <c r="D3" s="4" t="s">
        <v>1569</v>
      </c>
    </row>
    <row r="4" spans="1:4" ht="31" customHeight="1">
      <c r="A4" s="4" t="s">
        <v>1572</v>
      </c>
      <c r="B4" s="4" t="s">
        <v>35</v>
      </c>
      <c r="C4" s="4" t="s">
        <v>1573</v>
      </c>
      <c r="D4" s="4" t="s">
        <v>1569</v>
      </c>
    </row>
    <row r="5" spans="1:4" ht="31" customHeight="1">
      <c r="A5" s="4" t="s">
        <v>1574</v>
      </c>
      <c r="B5" s="4" t="s">
        <v>36</v>
      </c>
      <c r="C5" s="4" t="s">
        <v>1575</v>
      </c>
      <c r="D5" s="4" t="s">
        <v>1569</v>
      </c>
    </row>
    <row r="6" spans="1:4" ht="31" customHeight="1">
      <c r="A6" s="4" t="s">
        <v>1576</v>
      </c>
      <c r="B6" s="4" t="s">
        <v>37</v>
      </c>
      <c r="C6" s="4" t="s">
        <v>1577</v>
      </c>
      <c r="D6" s="4" t="s">
        <v>1569</v>
      </c>
    </row>
    <row r="7" spans="1:4" ht="31" customHeight="1">
      <c r="A7" s="4" t="s">
        <v>1578</v>
      </c>
      <c r="B7" s="4" t="s">
        <v>38</v>
      </c>
      <c r="C7" s="4" t="s">
        <v>1579</v>
      </c>
      <c r="D7" s="4" t="s">
        <v>1569</v>
      </c>
    </row>
    <row r="8" spans="1:4" ht="31" customHeight="1">
      <c r="A8" s="4" t="s">
        <v>1580</v>
      </c>
      <c r="B8" s="4" t="s">
        <v>39</v>
      </c>
      <c r="C8" s="4" t="s">
        <v>1581</v>
      </c>
      <c r="D8" s="4" t="s">
        <v>1569</v>
      </c>
    </row>
    <row r="9" spans="1:4" ht="31" customHeight="1">
      <c r="A9" s="4" t="s">
        <v>1582</v>
      </c>
      <c r="B9" s="4" t="s">
        <v>40</v>
      </c>
      <c r="C9" s="4" t="s">
        <v>1583</v>
      </c>
      <c r="D9" s="4" t="s">
        <v>1584</v>
      </c>
    </row>
    <row r="10" spans="1:4" ht="31" customHeight="1">
      <c r="A10" s="4" t="s">
        <v>1585</v>
      </c>
      <c r="B10" s="4" t="s">
        <v>41</v>
      </c>
      <c r="C10" s="4" t="s">
        <v>1586</v>
      </c>
      <c r="D10" s="4" t="s">
        <v>1584</v>
      </c>
    </row>
    <row r="11" spans="1:4" ht="31" customHeight="1">
      <c r="A11" s="4" t="s">
        <v>1587</v>
      </c>
      <c r="B11" s="4" t="s">
        <v>42</v>
      </c>
      <c r="C11" s="4" t="s">
        <v>1588</v>
      </c>
      <c r="D11" s="4" t="s">
        <v>1584</v>
      </c>
    </row>
    <row r="12" spans="1:4" ht="31" customHeight="1">
      <c r="A12" s="4" t="s">
        <v>1589</v>
      </c>
      <c r="B12" s="4" t="s">
        <v>43</v>
      </c>
      <c r="C12" s="4" t="s">
        <v>1590</v>
      </c>
      <c r="D12" s="4" t="s">
        <v>1584</v>
      </c>
    </row>
    <row r="13" spans="1:4" ht="31" customHeight="1">
      <c r="A13" s="4" t="s">
        <v>1591</v>
      </c>
      <c r="B13" s="4" t="s">
        <v>44</v>
      </c>
      <c r="C13" s="4" t="s">
        <v>1592</v>
      </c>
      <c r="D13" s="4" t="s">
        <v>1584</v>
      </c>
    </row>
    <row r="14" spans="1:4" ht="31" customHeight="1">
      <c r="A14" s="4" t="s">
        <v>1593</v>
      </c>
      <c r="B14" s="4" t="s">
        <v>45</v>
      </c>
      <c r="C14" s="4" t="s">
        <v>1594</v>
      </c>
      <c r="D14" s="4" t="s">
        <v>1584</v>
      </c>
    </row>
    <row r="15" spans="1:4" ht="31" customHeight="1">
      <c r="A15" s="4" t="s">
        <v>1595</v>
      </c>
      <c r="B15" s="4" t="s">
        <v>46</v>
      </c>
      <c r="C15" s="4" t="s">
        <v>1596</v>
      </c>
      <c r="D15" s="4" t="s">
        <v>1584</v>
      </c>
    </row>
    <row r="16" spans="1:4" ht="31" customHeight="1">
      <c r="A16" s="4" t="s">
        <v>1597</v>
      </c>
      <c r="B16" s="4" t="s">
        <v>47</v>
      </c>
      <c r="C16" s="4" t="s">
        <v>1598</v>
      </c>
      <c r="D16" s="4" t="s">
        <v>1584</v>
      </c>
    </row>
    <row r="17" spans="1:4" ht="31" customHeight="1">
      <c r="A17" s="4" t="s">
        <v>1599</v>
      </c>
      <c r="B17" s="4" t="s">
        <v>48</v>
      </c>
      <c r="C17" s="4" t="s">
        <v>1600</v>
      </c>
      <c r="D17" s="4" t="s">
        <v>1584</v>
      </c>
    </row>
    <row r="18" spans="1:4" ht="31" customHeight="1">
      <c r="A18" s="4" t="s">
        <v>1601</v>
      </c>
      <c r="B18" s="4" t="s">
        <v>49</v>
      </c>
      <c r="C18" s="4" t="s">
        <v>1602</v>
      </c>
      <c r="D18" s="4" t="s">
        <v>1584</v>
      </c>
    </row>
    <row r="19" spans="1:4" ht="31" customHeight="1">
      <c r="A19" s="4" t="s">
        <v>1603</v>
      </c>
      <c r="B19" s="4" t="s">
        <v>50</v>
      </c>
      <c r="C19" s="4" t="s">
        <v>1604</v>
      </c>
      <c r="D19" s="4" t="s">
        <v>1569</v>
      </c>
    </row>
    <row r="20" spans="1:4" ht="31" customHeight="1">
      <c r="A20" s="4" t="s">
        <v>1605</v>
      </c>
      <c r="B20" s="4" t="s">
        <v>51</v>
      </c>
      <c r="C20" s="4" t="s">
        <v>1606</v>
      </c>
      <c r="D20" s="4" t="s">
        <v>1569</v>
      </c>
    </row>
    <row r="21" spans="1:4" ht="31" customHeight="1">
      <c r="A21" s="4" t="s">
        <v>1607</v>
      </c>
      <c r="B21" s="4" t="s">
        <v>52</v>
      </c>
      <c r="C21" s="4" t="s">
        <v>1608</v>
      </c>
      <c r="D21" s="4" t="s">
        <v>1569</v>
      </c>
    </row>
    <row r="22" spans="1:4" ht="31" customHeight="1">
      <c r="A22" s="4" t="s">
        <v>1609</v>
      </c>
      <c r="B22" s="4" t="s">
        <v>53</v>
      </c>
      <c r="C22" s="4" t="s">
        <v>1610</v>
      </c>
      <c r="D22" s="4" t="s">
        <v>1569</v>
      </c>
    </row>
    <row r="23" spans="1:4" ht="31" customHeight="1">
      <c r="A23" s="4" t="s">
        <v>1611</v>
      </c>
      <c r="B23" s="4" t="s">
        <v>54</v>
      </c>
      <c r="C23" s="4" t="s">
        <v>1612</v>
      </c>
      <c r="D23" s="4" t="s">
        <v>1569</v>
      </c>
    </row>
    <row r="24" spans="1:4" ht="31" customHeight="1">
      <c r="A24" s="4" t="s">
        <v>1613</v>
      </c>
      <c r="B24" s="4" t="s">
        <v>55</v>
      </c>
      <c r="C24" s="4" t="s">
        <v>1614</v>
      </c>
      <c r="D24" s="4" t="s">
        <v>1569</v>
      </c>
    </row>
    <row r="25" spans="1:4" ht="31" customHeight="1">
      <c r="A25" s="4" t="s">
        <v>1615</v>
      </c>
      <c r="B25" s="4" t="s">
        <v>56</v>
      </c>
      <c r="C25" s="4" t="s">
        <v>1616</v>
      </c>
      <c r="D25" s="4" t="s">
        <v>1569</v>
      </c>
    </row>
    <row r="26" spans="1:4" ht="31" customHeight="1">
      <c r="A26" s="4" t="s">
        <v>1617</v>
      </c>
      <c r="B26" s="4" t="s">
        <v>57</v>
      </c>
      <c r="C26" s="4" t="s">
        <v>1616</v>
      </c>
      <c r="D26" s="4" t="s">
        <v>1569</v>
      </c>
    </row>
    <row r="27" spans="1:4" ht="31" customHeight="1">
      <c r="A27" s="4" t="s">
        <v>1618</v>
      </c>
      <c r="B27" s="4" t="s">
        <v>58</v>
      </c>
      <c r="C27" s="4" t="s">
        <v>1619</v>
      </c>
      <c r="D27" s="4" t="s">
        <v>1569</v>
      </c>
    </row>
    <row r="28" spans="1:4" ht="31" customHeight="1">
      <c r="A28" s="4" t="s">
        <v>1620</v>
      </c>
      <c r="B28" s="4" t="s">
        <v>59</v>
      </c>
      <c r="C28" s="4" t="s">
        <v>1616</v>
      </c>
      <c r="D28" s="4" t="s">
        <v>1569</v>
      </c>
    </row>
    <row r="29" spans="1:4" ht="31" customHeight="1">
      <c r="A29" s="4" t="s">
        <v>1621</v>
      </c>
      <c r="B29" s="4" t="s">
        <v>60</v>
      </c>
      <c r="C29" s="4" t="s">
        <v>1622</v>
      </c>
      <c r="D29" s="4" t="s">
        <v>1623</v>
      </c>
    </row>
    <row r="30" spans="1:4" ht="31" customHeight="1">
      <c r="A30" s="4" t="s">
        <v>577</v>
      </c>
      <c r="B30" s="4" t="s">
        <v>61</v>
      </c>
      <c r="C30" s="4" t="s">
        <v>1624</v>
      </c>
      <c r="D30" s="4" t="s">
        <v>1569</v>
      </c>
    </row>
    <row r="31" spans="1:4" ht="31" customHeight="1">
      <c r="A31" s="4" t="s">
        <v>1625</v>
      </c>
      <c r="B31" s="4" t="s">
        <v>62</v>
      </c>
      <c r="C31" s="4" t="s">
        <v>1616</v>
      </c>
      <c r="D31" s="4" t="s">
        <v>1569</v>
      </c>
    </row>
    <row r="32" spans="1:4" ht="31" customHeight="1">
      <c r="A32" s="4" t="s">
        <v>1626</v>
      </c>
      <c r="B32" s="4" t="s">
        <v>63</v>
      </c>
      <c r="C32" s="4" t="s">
        <v>1616</v>
      </c>
      <c r="D32" s="4" t="s">
        <v>1627</v>
      </c>
    </row>
    <row r="33" spans="1:4" ht="31" customHeight="1">
      <c r="A33" s="4" t="s">
        <v>1628</v>
      </c>
      <c r="B33" s="4" t="s">
        <v>64</v>
      </c>
      <c r="C33" s="4" t="s">
        <v>1616</v>
      </c>
      <c r="D33" s="4" t="s">
        <v>1627</v>
      </c>
    </row>
    <row r="34" spans="1:4" ht="31" customHeight="1">
      <c r="A34" s="4" t="s">
        <v>1629</v>
      </c>
      <c r="B34" s="4" t="s">
        <v>65</v>
      </c>
      <c r="C34" s="4" t="s">
        <v>1616</v>
      </c>
      <c r="D34" s="4" t="s">
        <v>1627</v>
      </c>
    </row>
    <row r="35" spans="1:4" ht="31" customHeight="1">
      <c r="A35" s="4" t="s">
        <v>1630</v>
      </c>
      <c r="B35" s="4" t="s">
        <v>66</v>
      </c>
      <c r="C35" s="4" t="s">
        <v>1631</v>
      </c>
      <c r="D35" s="4" t="s">
        <v>1623</v>
      </c>
    </row>
    <row r="36" spans="1:4" ht="31" customHeight="1">
      <c r="A36" s="4" t="s">
        <v>1632</v>
      </c>
      <c r="B36" s="4" t="s">
        <v>67</v>
      </c>
      <c r="C36" s="4" t="s">
        <v>1616</v>
      </c>
      <c r="D36" s="4" t="s">
        <v>1627</v>
      </c>
    </row>
    <row r="37" spans="1:4" ht="31" customHeight="1">
      <c r="A37" s="4" t="s">
        <v>1633</v>
      </c>
      <c r="B37" s="4" t="s">
        <v>68</v>
      </c>
      <c r="C37" s="4" t="s">
        <v>1616</v>
      </c>
      <c r="D37" s="4" t="s">
        <v>1627</v>
      </c>
    </row>
    <row r="38" spans="1:4" ht="31" customHeight="1">
      <c r="A38" s="4" t="s">
        <v>1634</v>
      </c>
      <c r="B38" s="4" t="s">
        <v>69</v>
      </c>
      <c r="C38" s="4" t="s">
        <v>1635</v>
      </c>
      <c r="D38" s="4" t="s">
        <v>1623</v>
      </c>
    </row>
    <row r="39" spans="1:4" ht="31" customHeight="1">
      <c r="A39" s="4" t="s">
        <v>1636</v>
      </c>
      <c r="B39" s="4" t="s">
        <v>70</v>
      </c>
      <c r="C39" s="4" t="s">
        <v>1616</v>
      </c>
      <c r="D39" s="4" t="s">
        <v>1627</v>
      </c>
    </row>
    <row r="40" spans="1:4" ht="31" customHeight="1">
      <c r="A40" s="4" t="s">
        <v>1637</v>
      </c>
      <c r="B40" s="4" t="s">
        <v>71</v>
      </c>
      <c r="C40" s="4" t="s">
        <v>1616</v>
      </c>
      <c r="D40" s="4" t="s">
        <v>1569</v>
      </c>
    </row>
    <row r="41" spans="1:4" ht="31" customHeight="1">
      <c r="A41" s="4" t="s">
        <v>1638</v>
      </c>
      <c r="B41" s="4" t="s">
        <v>72</v>
      </c>
      <c r="C41" s="4" t="s">
        <v>1616</v>
      </c>
      <c r="D41" s="4" t="s">
        <v>1569</v>
      </c>
    </row>
    <row r="42" spans="1:4" ht="31" customHeight="1">
      <c r="A42" s="4" t="s">
        <v>1639</v>
      </c>
      <c r="B42" s="4" t="s">
        <v>73</v>
      </c>
      <c r="C42" s="4" t="s">
        <v>1640</v>
      </c>
      <c r="D42" s="4" t="s">
        <v>1569</v>
      </c>
    </row>
    <row r="43" spans="1:4" ht="31" customHeight="1">
      <c r="A43" s="4" t="s">
        <v>1641</v>
      </c>
      <c r="B43" s="4" t="s">
        <v>74</v>
      </c>
      <c r="C43" s="4" t="s">
        <v>1616</v>
      </c>
      <c r="D43" s="4" t="s">
        <v>1569</v>
      </c>
    </row>
    <row r="44" spans="1:4" ht="31" customHeight="1">
      <c r="A44" s="4" t="s">
        <v>1642</v>
      </c>
      <c r="B44" s="4" t="s">
        <v>75</v>
      </c>
      <c r="C44" s="4" t="s">
        <v>1616</v>
      </c>
      <c r="D44" s="4" t="s">
        <v>1569</v>
      </c>
    </row>
    <row r="45" spans="1:4" ht="31" customHeight="1">
      <c r="A45" s="4" t="s">
        <v>1643</v>
      </c>
      <c r="B45" s="4" t="s">
        <v>76</v>
      </c>
      <c r="C45" s="4" t="s">
        <v>1616</v>
      </c>
      <c r="D45" s="4" t="s">
        <v>1569</v>
      </c>
    </row>
    <row r="46" spans="1:4" ht="31" customHeight="1">
      <c r="A46" s="4" t="s">
        <v>1644</v>
      </c>
      <c r="B46" s="4" t="s">
        <v>77</v>
      </c>
      <c r="C46" s="4" t="s">
        <v>1645</v>
      </c>
      <c r="D46" s="4" t="s">
        <v>1569</v>
      </c>
    </row>
    <row r="47" spans="1:4" ht="31" customHeight="1">
      <c r="A47" s="4" t="s">
        <v>1646</v>
      </c>
      <c r="B47" s="4" t="s">
        <v>78</v>
      </c>
      <c r="C47" s="4" t="s">
        <v>1616</v>
      </c>
      <c r="D47" s="4" t="s">
        <v>1569</v>
      </c>
    </row>
    <row r="48" spans="1:4" ht="31" customHeight="1">
      <c r="A48" s="4" t="s">
        <v>1647</v>
      </c>
      <c r="B48" s="4" t="s">
        <v>79</v>
      </c>
      <c r="C48" s="4" t="s">
        <v>1648</v>
      </c>
      <c r="D48" s="4" t="s">
        <v>1569</v>
      </c>
    </row>
    <row r="49" spans="1:4" ht="31" customHeight="1">
      <c r="A49" s="4" t="s">
        <v>1649</v>
      </c>
      <c r="B49" s="4" t="s">
        <v>80</v>
      </c>
      <c r="C49" s="4" t="s">
        <v>1616</v>
      </c>
      <c r="D49" s="4" t="s">
        <v>1569</v>
      </c>
    </row>
    <row r="50" spans="1:4" ht="31" customHeight="1">
      <c r="A50" s="4" t="s">
        <v>1650</v>
      </c>
      <c r="B50" s="4" t="s">
        <v>81</v>
      </c>
      <c r="C50" s="4" t="s">
        <v>1616</v>
      </c>
      <c r="D50" s="4" t="s">
        <v>1569</v>
      </c>
    </row>
    <row r="51" spans="1:4" ht="31" customHeight="1">
      <c r="A51" s="4" t="s">
        <v>1651</v>
      </c>
      <c r="B51" s="4" t="s">
        <v>82</v>
      </c>
      <c r="C51" s="4" t="s">
        <v>1652</v>
      </c>
      <c r="D51" s="4" t="s">
        <v>1569</v>
      </c>
    </row>
    <row r="52" spans="1:4" ht="31" customHeight="1">
      <c r="A52" s="4" t="s">
        <v>1653</v>
      </c>
      <c r="B52" s="4" t="s">
        <v>83</v>
      </c>
      <c r="C52" s="4" t="s">
        <v>1654</v>
      </c>
      <c r="D52" s="4" t="s">
        <v>1569</v>
      </c>
    </row>
    <row r="53" spans="1:4" ht="31" customHeight="1">
      <c r="A53" s="4" t="s">
        <v>1655</v>
      </c>
      <c r="B53" s="4" t="s">
        <v>84</v>
      </c>
      <c r="C53" s="4" t="s">
        <v>1656</v>
      </c>
      <c r="D53" s="4" t="s">
        <v>1569</v>
      </c>
    </row>
    <row r="54" spans="1:4" ht="31" customHeight="1">
      <c r="A54" s="4" t="s">
        <v>1657</v>
      </c>
      <c r="B54" s="4" t="s">
        <v>85</v>
      </c>
      <c r="C54" s="4" t="s">
        <v>1658</v>
      </c>
      <c r="D54" s="4" t="s">
        <v>1569</v>
      </c>
    </row>
    <row r="55" spans="1:4" ht="31" customHeight="1">
      <c r="A55" s="4" t="s">
        <v>1659</v>
      </c>
      <c r="B55" s="4" t="s">
        <v>86</v>
      </c>
      <c r="C55" s="4" t="s">
        <v>1660</v>
      </c>
      <c r="D55" s="4" t="s">
        <v>1569</v>
      </c>
    </row>
    <row r="56" spans="1:4" ht="31" customHeight="1">
      <c r="A56" s="4" t="s">
        <v>1661</v>
      </c>
      <c r="B56" s="4" t="s">
        <v>87</v>
      </c>
      <c r="C56" s="4" t="s">
        <v>1662</v>
      </c>
      <c r="D56" s="4" t="s">
        <v>1569</v>
      </c>
    </row>
    <row r="57" spans="1:4" ht="31" customHeight="1">
      <c r="A57" s="4" t="s">
        <v>1663</v>
      </c>
      <c r="B57" s="4" t="s">
        <v>88</v>
      </c>
      <c r="C57" s="4" t="s">
        <v>1616</v>
      </c>
      <c r="D57" s="4" t="s">
        <v>1569</v>
      </c>
    </row>
    <row r="58" spans="1:4" ht="31" customHeight="1">
      <c r="A58" s="4" t="s">
        <v>1664</v>
      </c>
      <c r="B58" s="4" t="s">
        <v>89</v>
      </c>
      <c r="C58" s="4" t="s">
        <v>1665</v>
      </c>
      <c r="D58" s="4" t="s">
        <v>1569</v>
      </c>
    </row>
    <row r="59" spans="1:4" ht="31" customHeight="1">
      <c r="A59" s="4" t="s">
        <v>1666</v>
      </c>
      <c r="B59" s="4" t="s">
        <v>90</v>
      </c>
      <c r="C59" s="4" t="s">
        <v>1667</v>
      </c>
      <c r="D59" s="4" t="s">
        <v>1569</v>
      </c>
    </row>
    <row r="60" spans="1:4" ht="31" customHeight="1">
      <c r="A60" s="4" t="s">
        <v>1668</v>
      </c>
      <c r="B60" s="4" t="s">
        <v>91</v>
      </c>
      <c r="C60" s="4" t="s">
        <v>1669</v>
      </c>
      <c r="D60" s="4" t="s">
        <v>1569</v>
      </c>
    </row>
    <row r="61" spans="1:4" ht="31" customHeight="1">
      <c r="A61" s="4" t="s">
        <v>1670</v>
      </c>
      <c r="B61" s="4" t="s">
        <v>92</v>
      </c>
      <c r="C61" s="4" t="s">
        <v>1671</v>
      </c>
      <c r="D61" s="4" t="s">
        <v>1569</v>
      </c>
    </row>
    <row r="62" spans="1:4" ht="31" customHeight="1">
      <c r="A62" s="4" t="s">
        <v>1672</v>
      </c>
      <c r="B62" s="4" t="s">
        <v>93</v>
      </c>
      <c r="C62" s="4" t="s">
        <v>1673</v>
      </c>
      <c r="D62" s="4" t="s">
        <v>1569</v>
      </c>
    </row>
    <row r="63" spans="1:4" ht="31" customHeight="1">
      <c r="A63" s="4" t="s">
        <v>1674</v>
      </c>
      <c r="B63" s="4" t="s">
        <v>94</v>
      </c>
      <c r="C63" s="4" t="s">
        <v>1675</v>
      </c>
      <c r="D63" s="4" t="s">
        <v>1569</v>
      </c>
    </row>
    <row r="64" spans="1:4" ht="31" customHeight="1">
      <c r="A64" s="4" t="s">
        <v>1676</v>
      </c>
      <c r="B64" s="4" t="s">
        <v>95</v>
      </c>
      <c r="C64" s="4" t="s">
        <v>1616</v>
      </c>
      <c r="D64" s="4" t="s">
        <v>1569</v>
      </c>
    </row>
    <row r="65" spans="1:4" ht="31" customHeight="1">
      <c r="A65" s="4" t="s">
        <v>1677</v>
      </c>
      <c r="B65" s="4" t="s">
        <v>96</v>
      </c>
      <c r="C65" s="4" t="s">
        <v>1616</v>
      </c>
      <c r="D65" s="4" t="s">
        <v>1569</v>
      </c>
    </row>
    <row r="66" spans="1:4" ht="31" customHeight="1">
      <c r="A66" s="4" t="s">
        <v>1678</v>
      </c>
      <c r="B66" s="4" t="s">
        <v>97</v>
      </c>
      <c r="C66" s="4" t="s">
        <v>1679</v>
      </c>
      <c r="D66" s="4" t="s">
        <v>1569</v>
      </c>
    </row>
    <row r="67" spans="1:4" ht="31" customHeight="1">
      <c r="A67" s="4" t="s">
        <v>1680</v>
      </c>
      <c r="B67" s="4" t="s">
        <v>98</v>
      </c>
      <c r="C67" s="4" t="s">
        <v>1681</v>
      </c>
      <c r="D67" s="4" t="s">
        <v>1569</v>
      </c>
    </row>
    <row r="68" spans="1:4" ht="31" customHeight="1">
      <c r="A68" s="4" t="s">
        <v>1682</v>
      </c>
      <c r="B68" s="4" t="s">
        <v>99</v>
      </c>
      <c r="C68" s="4" t="s">
        <v>1683</v>
      </c>
      <c r="D68" s="4" t="s">
        <v>1569</v>
      </c>
    </row>
    <row r="69" spans="1:4" ht="31" customHeight="1">
      <c r="A69" s="4" t="s">
        <v>1684</v>
      </c>
      <c r="B69" s="4" t="s">
        <v>100</v>
      </c>
      <c r="C69" s="4" t="s">
        <v>1685</v>
      </c>
      <c r="D69" s="4" t="s">
        <v>1569</v>
      </c>
    </row>
    <row r="70" spans="1:4" ht="31" customHeight="1">
      <c r="A70" s="4" t="s">
        <v>1686</v>
      </c>
      <c r="B70" s="4" t="s">
        <v>101</v>
      </c>
      <c r="C70" s="4" t="s">
        <v>1616</v>
      </c>
      <c r="D70" s="4" t="s">
        <v>1569</v>
      </c>
    </row>
    <row r="71" spans="1:4" ht="31" customHeight="1">
      <c r="A71" s="4" t="s">
        <v>1687</v>
      </c>
      <c r="B71" s="4" t="s">
        <v>102</v>
      </c>
      <c r="C71" s="4" t="s">
        <v>1688</v>
      </c>
      <c r="D71" s="4" t="s">
        <v>1569</v>
      </c>
    </row>
    <row r="72" spans="1:4" ht="31" customHeight="1">
      <c r="A72" s="4" t="s">
        <v>1689</v>
      </c>
      <c r="B72" s="4" t="s">
        <v>103</v>
      </c>
      <c r="C72" s="4" t="s">
        <v>1616</v>
      </c>
      <c r="D72" s="4" t="s">
        <v>1569</v>
      </c>
    </row>
    <row r="73" spans="1:4" ht="31" customHeight="1">
      <c r="A73" s="4" t="s">
        <v>1690</v>
      </c>
      <c r="B73" s="4" t="s">
        <v>104</v>
      </c>
      <c r="C73" s="4" t="s">
        <v>1691</v>
      </c>
      <c r="D73" s="4" t="s">
        <v>1569</v>
      </c>
    </row>
    <row r="74" spans="1:4" ht="31" customHeight="1">
      <c r="A74" s="4" t="s">
        <v>1692</v>
      </c>
      <c r="B74" s="4" t="s">
        <v>105</v>
      </c>
      <c r="C74" s="4" t="s">
        <v>1693</v>
      </c>
      <c r="D74" s="4" t="s">
        <v>1569</v>
      </c>
    </row>
    <row r="75" spans="1:4" ht="31" customHeight="1">
      <c r="A75" s="4" t="s">
        <v>1694</v>
      </c>
      <c r="B75" s="4" t="s">
        <v>106</v>
      </c>
      <c r="C75" s="4" t="s">
        <v>1695</v>
      </c>
      <c r="D75" s="4" t="s">
        <v>1569</v>
      </c>
    </row>
    <row r="76" spans="1:4" ht="31" customHeight="1">
      <c r="A76" s="4" t="s">
        <v>1696</v>
      </c>
      <c r="B76" s="4" t="s">
        <v>107</v>
      </c>
      <c r="C76" s="4" t="s">
        <v>1697</v>
      </c>
      <c r="D76" s="4" t="s">
        <v>1569</v>
      </c>
    </row>
    <row r="77" spans="1:4" ht="31" customHeight="1">
      <c r="A77" s="4" t="s">
        <v>1698</v>
      </c>
      <c r="B77" s="4" t="s">
        <v>108</v>
      </c>
      <c r="C77" s="4" t="s">
        <v>1699</v>
      </c>
      <c r="D77" s="4" t="s">
        <v>1569</v>
      </c>
    </row>
  </sheetData>
  <autoFilter ref="A1:D77"/>
  <pageMargins left="0.7" right="0.7" top="0.75" bottom="0.75" header="0.3" footer="0.3"/>
  <pageSetup fitToHeight="0" orientation="landscape"/>
</worksheet>
</file>

<file path=xl/worksheets/sheet25.xml><?xml version="1.0" encoding="utf-8"?>
<worksheet xmlns="http://schemas.openxmlformats.org/spreadsheetml/2006/main" xmlns:r="http://schemas.openxmlformats.org/officeDocument/2006/relationships">
  <sheetPr>
    <tabColor rgb="FF237C89"/>
    <pageSetUpPr fitToPage="1"/>
  </sheetPr>
  <dimension ref="A1:D12"/>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48.7109375" customWidth="1"/>
    <col min="2" max="2" width="50.7109375" customWidth="1"/>
    <col min="3" max="3" width="20.7109375" customWidth="1"/>
    <col min="4" max="4" width="110.7109375" customWidth="1"/>
  </cols>
  <sheetData>
    <row r="1" spans="1:4" ht="42" customHeight="1">
      <c r="A1" s="2" t="s">
        <v>1700</v>
      </c>
      <c r="B1" s="2" t="s">
        <v>1701</v>
      </c>
      <c r="C1" s="2" t="s">
        <v>1702</v>
      </c>
      <c r="D1" s="2" t="s">
        <v>487</v>
      </c>
    </row>
    <row r="2" spans="1:4" ht="31" customHeight="1">
      <c r="A2" s="4" t="s">
        <v>1703</v>
      </c>
      <c r="B2" s="6">
        <v>82</v>
      </c>
      <c r="C2" s="4" t="s">
        <v>1704</v>
      </c>
      <c r="D2" s="4" t="s">
        <v>1705</v>
      </c>
    </row>
    <row r="3" spans="1:4" ht="31" customHeight="1">
      <c r="A3" s="4" t="s">
        <v>1706</v>
      </c>
      <c r="B3" s="6">
        <v>78</v>
      </c>
      <c r="C3" s="4" t="s">
        <v>1704</v>
      </c>
      <c r="D3" s="4" t="s">
        <v>1707</v>
      </c>
    </row>
    <row r="4" spans="1:4" ht="31" customHeight="1">
      <c r="A4" s="4" t="s">
        <v>1708</v>
      </c>
      <c r="B4" s="6">
        <v>0</v>
      </c>
      <c r="C4" s="4" t="s">
        <v>1704</v>
      </c>
      <c r="D4" s="4" t="s">
        <v>1709</v>
      </c>
    </row>
    <row r="5" spans="1:4" ht="31" customHeight="1">
      <c r="A5" s="4" t="s">
        <v>1710</v>
      </c>
      <c r="B5" s="6">
        <v>0</v>
      </c>
      <c r="C5" s="4" t="s">
        <v>1704</v>
      </c>
      <c r="D5" s="4" t="s">
        <v>1711</v>
      </c>
    </row>
    <row r="6" spans="1:4" ht="31" customHeight="1">
      <c r="A6" s="4" t="s">
        <v>1712</v>
      </c>
      <c r="B6" s="6">
        <v>9</v>
      </c>
      <c r="C6" s="4" t="s">
        <v>1713</v>
      </c>
      <c r="D6" s="4" t="s">
        <v>1714</v>
      </c>
    </row>
    <row r="7" spans="1:4" ht="31" customHeight="1">
      <c r="A7" s="4" t="s">
        <v>1715</v>
      </c>
      <c r="B7" s="4" t="s">
        <v>1716</v>
      </c>
      <c r="C7" s="4" t="s">
        <v>1717</v>
      </c>
      <c r="D7" s="4" t="s">
        <v>1718</v>
      </c>
    </row>
    <row r="8" spans="1:4" ht="31" customHeight="1">
      <c r="A8" s="4" t="s">
        <v>1719</v>
      </c>
      <c r="B8" s="4" t="s">
        <v>1720</v>
      </c>
      <c r="C8" s="4" t="s">
        <v>1721</v>
      </c>
      <c r="D8" s="4" t="s">
        <v>1722</v>
      </c>
    </row>
    <row r="9" spans="1:4" ht="31" customHeight="1">
      <c r="A9" s="4" t="s">
        <v>1723</v>
      </c>
      <c r="B9" s="4" t="s">
        <v>1724</v>
      </c>
      <c r="C9" s="4" t="s">
        <v>1721</v>
      </c>
      <c r="D9" s="4" t="s">
        <v>1725</v>
      </c>
    </row>
    <row r="10" spans="1:4" ht="31" customHeight="1">
      <c r="A10" s="4" t="s">
        <v>1726</v>
      </c>
      <c r="B10" s="4" t="s">
        <v>164</v>
      </c>
      <c r="C10" s="4" t="s">
        <v>1721</v>
      </c>
      <c r="D10" s="4" t="s">
        <v>1727</v>
      </c>
    </row>
    <row r="11" spans="1:4" ht="31" customHeight="1">
      <c r="A11" s="4" t="s">
        <v>1728</v>
      </c>
      <c r="B11" s="6">
        <v>28</v>
      </c>
      <c r="C11" s="4" t="s">
        <v>1704</v>
      </c>
      <c r="D11" s="4" t="s">
        <v>1729</v>
      </c>
    </row>
    <row r="12" spans="1:4" ht="31" customHeight="1">
      <c r="A12" s="4" t="s">
        <v>1730</v>
      </c>
      <c r="B12" s="4" t="s">
        <v>1731</v>
      </c>
      <c r="C12" s="4" t="s">
        <v>1704</v>
      </c>
      <c r="D12" s="4" t="s">
        <v>1732</v>
      </c>
    </row>
  </sheetData>
  <autoFilter ref="A1:D12"/>
  <pageMargins left="0.7" right="0.7" top="0.75" bottom="0.75" header="0.3" footer="0.3"/>
  <pageSetup fitToHeight="0" orientation="landscape"/>
</worksheet>
</file>

<file path=xl/worksheets/sheet26.xml><?xml version="1.0" encoding="utf-8"?>
<worksheet xmlns="http://schemas.openxmlformats.org/spreadsheetml/2006/main" xmlns:r="http://schemas.openxmlformats.org/officeDocument/2006/relationships">
  <sheetPr>
    <tabColor rgb="FF237C89"/>
    <pageSetUpPr fitToPage="1"/>
  </sheetPr>
  <dimension ref="A1:B44"/>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35.7109375" customWidth="1"/>
    <col min="2" max="2" width="160.7109375" customWidth="1"/>
  </cols>
  <sheetData>
    <row r="1" spans="1:2" ht="42" customHeight="1">
      <c r="A1" s="2" t="s">
        <v>2095</v>
      </c>
      <c r="B1" s="2" t="s">
        <v>2096</v>
      </c>
    </row>
    <row r="2" spans="1:2" ht="31" customHeight="1">
      <c r="A2" s="4" t="s">
        <v>2097</v>
      </c>
      <c r="B2" s="4" t="s">
        <v>2098</v>
      </c>
    </row>
    <row r="3" spans="1:2" ht="31" customHeight="1">
      <c r="A3" s="4" t="s">
        <v>2097</v>
      </c>
      <c r="B3" s="4" t="s">
        <v>2099</v>
      </c>
    </row>
    <row r="4" spans="1:2" ht="31" customHeight="1">
      <c r="A4" s="4" t="s">
        <v>2097</v>
      </c>
      <c r="B4" s="4" t="s">
        <v>2100</v>
      </c>
    </row>
    <row r="5" spans="1:2" ht="31" customHeight="1">
      <c r="A5" s="4" t="s">
        <v>2097</v>
      </c>
      <c r="B5" s="4" t="s">
        <v>2101</v>
      </c>
    </row>
    <row r="6" spans="1:2" ht="31" customHeight="1">
      <c r="A6" s="4" t="s">
        <v>2097</v>
      </c>
      <c r="B6" s="4" t="s">
        <v>2102</v>
      </c>
    </row>
    <row r="7" spans="1:2" ht="31" customHeight="1">
      <c r="A7" s="4" t="s">
        <v>2097</v>
      </c>
      <c r="B7" s="4" t="s">
        <v>2103</v>
      </c>
    </row>
    <row r="8" spans="1:2" ht="31" customHeight="1">
      <c r="A8" s="4" t="s">
        <v>2097</v>
      </c>
      <c r="B8" s="4" t="s">
        <v>2104</v>
      </c>
    </row>
    <row r="9" spans="1:2" ht="31" customHeight="1">
      <c r="A9" s="4" t="s">
        <v>2097</v>
      </c>
      <c r="B9" s="4" t="s">
        <v>2105</v>
      </c>
    </row>
    <row r="10" spans="1:2" ht="31" customHeight="1">
      <c r="A10" s="4" t="s">
        <v>2106</v>
      </c>
      <c r="B10" s="4" t="s">
        <v>2107</v>
      </c>
    </row>
    <row r="11" spans="1:2" ht="31" customHeight="1">
      <c r="A11" s="4" t="s">
        <v>2106</v>
      </c>
      <c r="B11" s="4" t="s">
        <v>2108</v>
      </c>
    </row>
    <row r="12" spans="1:2" ht="31" customHeight="1">
      <c r="A12" s="4" t="s">
        <v>2106</v>
      </c>
      <c r="B12" s="4" t="s">
        <v>2109</v>
      </c>
    </row>
    <row r="13" spans="1:2" ht="31" customHeight="1">
      <c r="A13" s="4" t="s">
        <v>2106</v>
      </c>
      <c r="B13" s="4" t="s">
        <v>2110</v>
      </c>
    </row>
    <row r="14" spans="1:2" ht="31" customHeight="1">
      <c r="A14" s="4" t="s">
        <v>2106</v>
      </c>
      <c r="B14" s="4" t="s">
        <v>2111</v>
      </c>
    </row>
    <row r="15" spans="1:2" ht="31" customHeight="1">
      <c r="A15" s="4" t="s">
        <v>2106</v>
      </c>
      <c r="B15" s="4" t="s">
        <v>2112</v>
      </c>
    </row>
    <row r="16" spans="1:2" ht="31" customHeight="1">
      <c r="A16" s="4" t="s">
        <v>2106</v>
      </c>
      <c r="B16" s="4" t="s">
        <v>2113</v>
      </c>
    </row>
    <row r="17" spans="1:2" ht="31" customHeight="1">
      <c r="A17" s="4" t="s">
        <v>2106</v>
      </c>
      <c r="B17" s="4" t="s">
        <v>2114</v>
      </c>
    </row>
    <row r="18" spans="1:2" ht="31" customHeight="1">
      <c r="A18" s="4" t="s">
        <v>2106</v>
      </c>
      <c r="B18" s="4" t="s">
        <v>2115</v>
      </c>
    </row>
    <row r="19" spans="1:2" ht="31" customHeight="1">
      <c r="A19" s="4" t="s">
        <v>2106</v>
      </c>
      <c r="B19" s="4" t="s">
        <v>2116</v>
      </c>
    </row>
    <row r="20" spans="1:2" ht="31" customHeight="1">
      <c r="A20" s="4" t="s">
        <v>2106</v>
      </c>
      <c r="B20" s="4" t="s">
        <v>2117</v>
      </c>
    </row>
    <row r="21" spans="1:2" ht="31" customHeight="1">
      <c r="A21" s="4" t="s">
        <v>2106</v>
      </c>
      <c r="B21" s="4" t="s">
        <v>2118</v>
      </c>
    </row>
    <row r="22" spans="1:2" ht="31" customHeight="1">
      <c r="A22" s="4" t="s">
        <v>2106</v>
      </c>
      <c r="B22" s="4" t="s">
        <v>2119</v>
      </c>
    </row>
    <row r="23" spans="1:2" ht="31" customHeight="1">
      <c r="A23" s="4" t="s">
        <v>2106</v>
      </c>
      <c r="B23" s="4" t="s">
        <v>2120</v>
      </c>
    </row>
    <row r="24" spans="1:2" ht="31" customHeight="1">
      <c r="A24" s="4" t="s">
        <v>2121</v>
      </c>
      <c r="B24" s="4" t="s">
        <v>2122</v>
      </c>
    </row>
    <row r="25" spans="1:2" ht="31" customHeight="1">
      <c r="A25" s="4" t="s">
        <v>2121</v>
      </c>
      <c r="B25" s="4" t="s">
        <v>2123</v>
      </c>
    </row>
    <row r="26" spans="1:2" ht="31" customHeight="1">
      <c r="A26" s="4" t="s">
        <v>2121</v>
      </c>
      <c r="B26" s="4" t="s">
        <v>2124</v>
      </c>
    </row>
    <row r="27" spans="1:2" ht="31" customHeight="1">
      <c r="A27" s="4" t="s">
        <v>2121</v>
      </c>
      <c r="B27" s="4" t="s">
        <v>2125</v>
      </c>
    </row>
    <row r="28" spans="1:2" ht="31" customHeight="1">
      <c r="A28" s="4" t="s">
        <v>2121</v>
      </c>
      <c r="B28" s="4" t="s">
        <v>2126</v>
      </c>
    </row>
    <row r="29" spans="1:2" ht="31" customHeight="1">
      <c r="A29" s="4" t="s">
        <v>2127</v>
      </c>
      <c r="B29" s="4" t="s">
        <v>2128</v>
      </c>
    </row>
    <row r="30" spans="1:2" ht="31" customHeight="1">
      <c r="A30" s="4" t="s">
        <v>2127</v>
      </c>
      <c r="B30" s="4" t="s">
        <v>2129</v>
      </c>
    </row>
    <row r="31" spans="1:2" ht="31" customHeight="1">
      <c r="A31" s="4" t="s">
        <v>2127</v>
      </c>
      <c r="B31" s="4" t="s">
        <v>2130</v>
      </c>
    </row>
    <row r="32" spans="1:2" ht="31" customHeight="1">
      <c r="A32" s="4" t="s">
        <v>2127</v>
      </c>
      <c r="B32" s="4" t="s">
        <v>2131</v>
      </c>
    </row>
    <row r="33" spans="1:2" ht="31" customHeight="1">
      <c r="A33" s="4" t="s">
        <v>2127</v>
      </c>
      <c r="B33" s="4" t="s">
        <v>2132</v>
      </c>
    </row>
    <row r="34" spans="1:2" ht="31" customHeight="1">
      <c r="A34" s="4" t="s">
        <v>2127</v>
      </c>
      <c r="B34" s="4" t="s">
        <v>2133</v>
      </c>
    </row>
    <row r="35" spans="1:2" ht="31" customHeight="1">
      <c r="A35" s="4" t="s">
        <v>2127</v>
      </c>
      <c r="B35" s="4" t="s">
        <v>2134</v>
      </c>
    </row>
    <row r="36" spans="1:2" ht="31" customHeight="1">
      <c r="A36" s="4" t="s">
        <v>2135</v>
      </c>
      <c r="B36" s="4" t="s">
        <v>2136</v>
      </c>
    </row>
    <row r="37" spans="1:2" ht="31" customHeight="1">
      <c r="A37" s="4" t="s">
        <v>2135</v>
      </c>
      <c r="B37" s="4" t="s">
        <v>2137</v>
      </c>
    </row>
    <row r="38" spans="1:2" ht="31" customHeight="1">
      <c r="A38" s="4" t="s">
        <v>2135</v>
      </c>
      <c r="B38" s="4" t="s">
        <v>2138</v>
      </c>
    </row>
    <row r="39" spans="1:2" ht="31" customHeight="1">
      <c r="A39" s="4" t="s">
        <v>2135</v>
      </c>
      <c r="B39" s="4" t="s">
        <v>2139</v>
      </c>
    </row>
    <row r="40" spans="1:2" ht="31" customHeight="1">
      <c r="A40" s="4" t="s">
        <v>2135</v>
      </c>
      <c r="B40" s="4" t="s">
        <v>2140</v>
      </c>
    </row>
    <row r="41" spans="1:2" ht="31" customHeight="1">
      <c r="A41" s="4" t="s">
        <v>2135</v>
      </c>
      <c r="B41" s="4" t="s">
        <v>2141</v>
      </c>
    </row>
    <row r="42" spans="1:2" ht="31" customHeight="1">
      <c r="A42" s="4" t="s">
        <v>2135</v>
      </c>
      <c r="B42" s="4" t="s">
        <v>2142</v>
      </c>
    </row>
    <row r="43" spans="1:2" ht="31" customHeight="1">
      <c r="A43" s="4" t="s">
        <v>2135</v>
      </c>
      <c r="B43" s="4" t="s">
        <v>2143</v>
      </c>
    </row>
    <row r="44" spans="1:2" ht="31" customHeight="1">
      <c r="A44" s="4" t="s">
        <v>2135</v>
      </c>
      <c r="B44" s="4" t="s">
        <v>2144</v>
      </c>
    </row>
  </sheetData>
  <autoFilter ref="A1:B44"/>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25</vt:i4>
      </vt:variant>
    </vt:vector>
  </HeadingPairs>
  <TitlesOfParts>
    <vt:vector size="51" baseType="lpstr">
      <vt:lpstr>START_HERE</vt:lpstr>
      <vt:lpstr>Master_Panel</vt:lpstr>
      <vt:lpstr>Firm_Review</vt:lpstr>
      <vt:lpstr>Sector_Summary</vt:lpstr>
      <vt:lpstr>Support_Variables</vt:lpstr>
      <vt:lpstr>Document_Review</vt:lpstr>
      <vt:lpstr>Missing_Data</vt:lpstr>
      <vt:lpstr>Cell_Audit</vt:lpstr>
      <vt:lpstr>Document_Conflicts</vt:lpstr>
      <vt:lpstr>Assumptions</vt:lpstr>
      <vt:lpstr>Evidence_Log</vt:lpstr>
      <vt:lpstr>Original_Master</vt:lpstr>
      <vt:lpstr>Original_Support</vt:lpstr>
      <vt:lpstr>Original_Flags</vt:lpstr>
      <vt:lpstr>Change_Log</vt:lpstr>
      <vt:lpstr>Flags</vt:lpstr>
      <vt:lpstr>Double_Coding</vt:lpstr>
      <vt:lpstr>Reliability</vt:lpstr>
      <vt:lpstr>Building_FY_Panel</vt:lpstr>
      <vt:lpstr>Building_Definitions</vt:lpstr>
      <vt:lpstr>Paper_Financials</vt:lpstr>
      <vt:lpstr>Report_Findings</vt:lpstr>
      <vt:lpstr>Source_Index</vt:lpstr>
      <vt:lpstr>Data_Dictionary</vt:lpstr>
      <vt:lpstr>Checks</vt:lpstr>
      <vt:lpstr>Review_Notes</vt:lpstr>
      <vt:lpstr>Assumptions!Print_Titles</vt:lpstr>
      <vt:lpstr>Building_Definitions!Print_Titles</vt:lpstr>
      <vt:lpstr>Building_FY_Panel!Print_Titles</vt:lpstr>
      <vt:lpstr>Cell_Audit!Print_Titles</vt:lpstr>
      <vt:lpstr>Change_Log!Print_Titles</vt:lpstr>
      <vt:lpstr>Checks!Print_Titles</vt:lpstr>
      <vt:lpstr>Data_Dictionary!Print_Titles</vt:lpstr>
      <vt:lpstr>Document_Conflicts!Print_Titles</vt:lpstr>
      <vt:lpstr>Document_Review!Print_Titles</vt:lpstr>
      <vt:lpstr>Double_Coding!Print_Titles</vt:lpstr>
      <vt:lpstr>Evidence_Log!Print_Titles</vt:lpstr>
      <vt:lpstr>Firm_Review!Print_Titles</vt:lpstr>
      <vt:lpstr>Flags!Print_Titles</vt:lpstr>
      <vt:lpstr>Master_Panel!Print_Titles</vt:lpstr>
      <vt:lpstr>Missing_Data!Print_Titles</vt:lpstr>
      <vt:lpstr>Original_Flags!Print_Titles</vt:lpstr>
      <vt:lpstr>Original_Master!Print_Titles</vt:lpstr>
      <vt:lpstr>Original_Support!Print_Titles</vt:lpstr>
      <vt:lpstr>Paper_Financials!Print_Titles</vt:lpstr>
      <vt:lpstr>Reliability!Print_Titles</vt:lpstr>
      <vt:lpstr>Report_Findings!Print_Titles</vt:lpstr>
      <vt:lpstr>Review_Notes!Print_Titles</vt:lpstr>
      <vt:lpstr>Sector_Summary!Print_Titles</vt:lpstr>
      <vt:lpstr>Source_Index!Print_Titles</vt:lpstr>
      <vt:lpstr>Support_Variables!Print_Titles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Master Firm Panel — Transition Readiness</dc:title>
  <dc:creator/>
  <dc:description>Prepared from user-supplied workbook and eight sector reports. Missing values are not estimated.</dc:description>
  <cp:lastModifiedBy/>
  <dcterms:created xsi:type="dcterms:W3CDTF">2026-10-23T10:47:24Z</dcterms:created>
  <dcterms:modified xsi:type="dcterms:W3CDTF">2026-10-23T10:47:24Z</dcterms:modified>
</cp:coreProperties>
</file>