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1.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firstSheet="2" activeTab="1"/>
  </bookViews>
  <sheets>
    <sheet name="START_HERE" sheetId="1" r:id="rId1"/>
    <sheet name="Master_Panel" sheetId="2" r:id="rId2"/>
    <sheet name="Financial_Panel" sheetId="3" r:id="rId3"/>
    <sheet name="Evidence_Log" sheetId="4" r:id="rId4"/>
    <sheet name="Codebook" sheetId="5" r:id="rId5"/>
    <sheet name="Review_Issues" sheetId="6" r:id="rId6"/>
  </sheets>
  <definedNames>
    <definedName name="_xlnm.Print_Area" localSheetId="4">Codebook!$A$1:$D$63</definedName>
    <definedName name="_xlnm.Print_Area" localSheetId="3">Evidence_Log!$A$1:$K$1171</definedName>
    <definedName name="_xlnm.Print_Area" localSheetId="2">Financial_Panel!$A$1:$V$62</definedName>
    <definedName name="_xlnm.Print_Area" localSheetId="1">Master_Panel!$A$1:$AZ$88</definedName>
    <definedName name="_xlnm.Print_Area" localSheetId="5">Review_Issues!$A$1:$J$151</definedName>
    <definedName name="_xlnm.Print_Titles" localSheetId="4">Codebook!$1:$6</definedName>
    <definedName name="_xlnm.Print_Titles" localSheetId="3">Evidence_Log!$1:$6</definedName>
    <definedName name="_xlnm.Print_Titles" localSheetId="2">Financial_Panel!$1:$6</definedName>
    <definedName name="_xlnm.Print_Titles" localSheetId="1">Master_Panel!$1:$6</definedName>
    <definedName name="_xlnm.Print_Titles" localSheetId="5">Review_Issues!$1:$6</definedName>
  </definedNames>
  <calcPr calcId="124519" fullCalcOnLoad="1"/>
</workbook>
</file>

<file path=xl/comments1.xml><?xml version="1.0" encoding="utf-8"?>
<comments xmlns="http://schemas.openxmlformats.org/spreadsheetml/2006/main">
  <authors>
    <author>Codebook</author>
    <author/>
  </authors>
  <commentList>
    <comment ref="R7" authorId="0">
      <text>
        <r>
          <rPr>
            <sz val="8"/>
            <color indexed="81"/>
            <rFont val="Tahoma"/>
            <family val="2"/>
          </rPr>
          <t>Basis: Source-workbook indicator matrix
A report total is accepted only as a reported score, never as evidence for missing I1–I10. Conflicts have no selected final score.</t>
        </r>
      </text>
    </comment>
    <comment ref="R8" authorId="0">
      <text>
        <r>
          <rPr>
            <sz val="8"/>
            <color indexed="81"/>
            <rFont val="Tahoma"/>
            <family val="2"/>
          </rPr>
          <t>Basis: Source-workbook indicator matrix
A report total is accepted only as a reported score, never as evidence for missing I1–I10. Conflicts have no selected final score.</t>
        </r>
      </text>
    </comment>
    <comment ref="R9" authorId="0">
      <text>
        <r>
          <rPr>
            <sz val="8"/>
            <color indexed="81"/>
            <rFont val="Tahoma"/>
            <family val="2"/>
          </rPr>
          <t>Basis: Source-workbook indicator matrix
A report total is accepted only as a reported score, never as evidence for missing I1–I10. Conflicts have no selected final score.</t>
        </r>
      </text>
    </comment>
    <comment ref="R10" authorId="0">
      <text>
        <r>
          <rPr>
            <sz val="8"/>
            <color indexed="81"/>
            <rFont val="Tahoma"/>
            <family val="2"/>
          </rPr>
          <t>Basis: Source-workbook indicator matrix
A report total is accepted only as a reported score, never as evidence for missing I1–I10. Conflicts have no selected final score.</t>
        </r>
      </text>
    </comment>
    <comment ref="R11" authorId="0">
      <text>
        <r>
          <rPr>
            <sz val="8"/>
            <color indexed="81"/>
            <rFont val="Tahoma"/>
            <family val="2"/>
          </rPr>
          <t>Basis: Source-workbook indicator matrix
A report total is accepted only as a reported score, never as evidence for missing I1–I10. Conflicts have no selected final score.</t>
        </r>
      </text>
    </comment>
    <comment ref="R12" authorId="0">
      <text>
        <r>
          <rPr>
            <sz val="8"/>
            <color indexed="81"/>
            <rFont val="Tahoma"/>
            <family val="2"/>
          </rPr>
          <t>Basis: Source-workbook indicator matrix
A report total is accepted only as a reported score, never as evidence for missing I1–I10. Conflicts have no selected final score.</t>
        </r>
      </text>
    </comment>
    <comment ref="R13" authorId="0">
      <text>
        <r>
          <rPr>
            <sz val="8"/>
            <color indexed="81"/>
            <rFont val="Tahoma"/>
            <family val="2"/>
          </rPr>
          <t>Basis: Source-workbook indicator matrix
A report total is accepted only as a reported score, never as evidence for missing I1–I10. Conflicts have no selected final score.</t>
        </r>
      </text>
    </comment>
    <comment ref="R14" authorId="0">
      <text>
        <r>
          <rPr>
            <sz val="8"/>
            <color indexed="81"/>
            <rFont val="Tahoma"/>
            <family val="2"/>
          </rPr>
          <t>Basis: Source-workbook indicator matrix
A report total is accepted only as a reported score, never as evidence for missing I1–I10. Conflicts have no selected final score.</t>
        </r>
      </text>
    </comment>
    <comment ref="R15" authorId="0">
      <text>
        <r>
          <rPr>
            <sz val="8"/>
            <color indexed="81"/>
            <rFont val="Tahoma"/>
            <family val="2"/>
          </rPr>
          <t>Basis: Source-workbook indicator matrix
A report total is accepted only as a reported score, never as evidence for missing I1–I10. Conflicts have no selected final score.</t>
        </r>
      </text>
    </comment>
    <comment ref="R16" authorId="0">
      <text>
        <r>
          <rPr>
            <sz val="8"/>
            <color indexed="81"/>
            <rFont val="Tahoma"/>
            <family val="2"/>
          </rPr>
          <t>Basis: Source-workbook indicator matrix
A report total is accepted only as a reported score, never as evidence for missing I1–I10. Conflicts have no selected final score.</t>
        </r>
      </text>
    </comment>
    <comment ref="R17" authorId="0">
      <text>
        <r>
          <rPr>
            <sz val="8"/>
            <color indexed="81"/>
            <rFont val="Tahoma"/>
            <family val="2"/>
          </rPr>
          <t>Basis: Source-workbook indicator matrix
A report total is accepted only as a reported score, never as evidence for missing I1–I10. Conflicts have no selected final score.</t>
        </r>
      </text>
    </comment>
    <comment ref="R18" authorId="0">
      <text>
        <r>
          <rPr>
            <sz val="8"/>
            <color indexed="81"/>
            <rFont val="Tahoma"/>
            <family val="2"/>
          </rPr>
          <t>Basis: Source-workbook indicator matrix
A report total is accepted only as a reported score, never as evidence for missing I1–I10. Conflicts have no selected final score.</t>
        </r>
      </text>
    </comment>
    <comment ref="R19" authorId="0">
      <text>
        <r>
          <rPr>
            <sz val="8"/>
            <color indexed="81"/>
            <rFont val="Tahoma"/>
            <family val="2"/>
          </rPr>
          <t>Basis: Source-workbook indicator matrix
A report total is accepted only as a reported score, never as evidence for missing I1–I10. Conflicts have no selected final score.</t>
        </r>
      </text>
    </comment>
    <comment ref="R20" authorId="0">
      <text>
        <r>
          <rPr>
            <sz val="8"/>
            <color indexed="81"/>
            <rFont val="Tahoma"/>
            <family val="2"/>
          </rPr>
          <t>Basis: Source-workbook indicator matrix
A report total is accepted only as a reported score, never as evidence for missing I1–I10. Conflicts have no selected final score.</t>
        </r>
      </text>
    </comment>
    <comment ref="R21" authorId="0">
      <text>
        <r>
          <rPr>
            <sz val="8"/>
            <color indexed="81"/>
            <rFont val="Tahoma"/>
            <family val="2"/>
          </rPr>
          <t>Basis: Source-workbook indicator matrix
A report total is accepted only as a reported score, never as evidence for missing I1–I10. Conflicts have no selected final score.</t>
        </r>
      </text>
    </comment>
    <comment ref="R22" authorId="0">
      <text>
        <r>
          <rPr>
            <sz val="8"/>
            <color indexed="81"/>
            <rFont val="Tahoma"/>
            <family val="2"/>
          </rPr>
          <t>Basis: Source-workbook indicator matrix
A report total is accepted only as a reported score, never as evidence for missing I1–I10. Conflicts have no selected final score.</t>
        </r>
      </text>
    </comment>
    <comment ref="R23" authorId="0">
      <text>
        <r>
          <rPr>
            <sz val="8"/>
            <color indexed="81"/>
            <rFont val="Tahoma"/>
            <family val="2"/>
          </rPr>
          <t>Basis: Report indicator matrix
A report total is accepted only as a reported score, never as evidence for missing I1–I10. Conflicts have no selected final score.</t>
        </r>
      </text>
    </comment>
    <comment ref="R24" authorId="0">
      <text>
        <r>
          <rPr>
            <sz val="8"/>
            <color indexed="81"/>
            <rFont val="Tahoma"/>
            <family val="2"/>
          </rPr>
          <t>Basis: Report indicator matrix
A report total is accepted only as a reported score, never as evidence for missing I1–I10. Conflicts have no selected final score.</t>
        </r>
      </text>
    </comment>
    <comment ref="R25" authorId="0">
      <text>
        <r>
          <rPr>
            <sz val="8"/>
            <color indexed="81"/>
            <rFont val="Tahoma"/>
            <family val="2"/>
          </rPr>
          <t>Basis: Report indicator matrix
A report total is accepted only as a reported score, never as evidence for missing I1–I10. Conflicts have no selected final score.</t>
        </r>
      </text>
    </comment>
    <comment ref="R26" authorId="0">
      <text>
        <r>
          <rPr>
            <sz val="8"/>
            <color indexed="81"/>
            <rFont val="Tahoma"/>
            <family val="2"/>
          </rPr>
          <t>Basis: Report indicator matrix
A report total is accepted only as a reported score, never as evidence for missing I1–I10. Conflicts have no selected final score.</t>
        </r>
      </text>
    </comment>
    <comment ref="R27" authorId="0">
      <text>
        <r>
          <rPr>
            <sz val="8"/>
            <color indexed="81"/>
            <rFont val="Tahoma"/>
            <family val="2"/>
          </rPr>
          <t>Basis: Report indicator matrix
A report total is accepted only as a reported score, never as evidence for missing I1–I10. Conflicts have no selected final score.</t>
        </r>
      </text>
    </comment>
    <comment ref="R28" authorId="0">
      <text>
        <r>
          <rPr>
            <sz val="8"/>
            <color indexed="81"/>
            <rFont val="Tahoma"/>
            <family val="2"/>
          </rPr>
          <t>Basis: Report indicator matrix
A report total is accepted only as a reported score, never as evidence for missing I1–I10. Conflicts have no selected final score.</t>
        </r>
      </text>
    </comment>
    <comment ref="R29" authorId="0">
      <text>
        <r>
          <rPr>
            <sz val="8"/>
            <color indexed="81"/>
            <rFont val="Tahoma"/>
            <family val="2"/>
          </rPr>
          <t>Basis: Report indicator matrix
A report total is accepted only as a reported score, never as evidence for missing I1–I10. Conflicts have no selected final score.</t>
        </r>
      </text>
    </comment>
    <comment ref="R30" authorId="0">
      <text>
        <r>
          <rPr>
            <sz val="8"/>
            <color indexed="81"/>
            <rFont val="Tahoma"/>
            <family val="2"/>
          </rPr>
          <t>Basis: Report indicator matrix
A report total is accepted only as a reported score, never as evidence for missing I1–I10. Conflicts have no selected final score.</t>
        </r>
      </text>
    </comment>
    <comment ref="R31" authorId="0">
      <text>
        <r>
          <rPr>
            <sz val="8"/>
            <color indexed="81"/>
            <rFont val="Tahoma"/>
            <family val="2"/>
          </rPr>
          <t>Basis: Report indicator matrix
A report total is accepted only as a reported score, never as evidence for missing I1–I10. Conflicts have no selected final score.</t>
        </r>
      </text>
    </comment>
    <comment ref="R32" authorId="0">
      <text>
        <r>
          <rPr>
            <sz val="8"/>
            <color indexed="81"/>
            <rFont val="Tahoma"/>
            <family val="2"/>
          </rPr>
          <t>Basis: Report indicator matrix
A report total is accepted only as a reported score, never as evidence for missing I1–I10. Conflicts have no selected final score.</t>
        </r>
      </text>
    </comment>
    <comment ref="R33" authorId="0">
      <text>
        <r>
          <rPr>
            <sz val="8"/>
            <color indexed="81"/>
            <rFont val="Tahoma"/>
            <family val="2"/>
          </rPr>
          <t>Basis: Unresolved source conflict
A report total is accepted only as a reported score, never as evidence for missing I1–I10. Conflicts have no selected final score.</t>
        </r>
      </text>
    </comment>
    <comment ref="R34" authorId="0">
      <text>
        <r>
          <rPr>
            <sz val="8"/>
            <color indexed="81"/>
            <rFont val="Tahoma"/>
            <family val="2"/>
          </rPr>
          <t>Basis: Unresolved source conflict
A report total is accepted only as a reported score, never as evidence for missing I1–I10. Conflicts have no selected final score.</t>
        </r>
      </text>
    </comment>
    <comment ref="R35" authorId="0">
      <text>
        <r>
          <rPr>
            <sz val="8"/>
            <color indexed="81"/>
            <rFont val="Tahoma"/>
            <family val="2"/>
          </rPr>
          <t>Basis: Unresolved source conflict
A report total is accepted only as a reported score, never as evidence for missing I1–I10. Conflicts have no selected final score.</t>
        </r>
      </text>
    </comment>
    <comment ref="R36" authorId="0">
      <text>
        <r>
          <rPr>
            <sz val="8"/>
            <color indexed="81"/>
            <rFont val="Tahoma"/>
            <family val="2"/>
          </rPr>
          <t>Basis: Unresolved source conflict
A report total is accepted only as a reported score, never as evidence for missing I1–I10. Conflicts have no selected final score.</t>
        </r>
      </text>
    </comment>
    <comment ref="R37" authorId="0">
      <text>
        <r>
          <rPr>
            <sz val="8"/>
            <color indexed="81"/>
            <rFont val="Tahoma"/>
            <family val="2"/>
          </rPr>
          <t>Basis: Not scored
A report total is accepted only as a reported score, never as evidence for missing I1–I10. Conflicts have no selected final score.</t>
        </r>
      </text>
    </comment>
    <comment ref="R38" authorId="0">
      <text>
        <r>
          <rPr>
            <sz val="8"/>
            <color indexed="81"/>
            <rFont val="Tahoma"/>
            <family val="2"/>
          </rPr>
          <t>Basis: Unresolved source conflict
A report total is accepted only as a reported score, never as evidence for missing I1–I10. Conflicts have no selected final score.</t>
        </r>
      </text>
    </comment>
    <comment ref="R39" authorId="0">
      <text>
        <r>
          <rPr>
            <sz val="8"/>
            <color indexed="81"/>
            <rFont val="Tahoma"/>
            <family val="2"/>
          </rPr>
          <t>Basis: No score provided
A report total is accepted only as a reported score, never as evidence for missing I1–I10. Conflicts have no selected final score.</t>
        </r>
      </text>
    </comment>
    <comment ref="R40" authorId="0">
      <text>
        <r>
          <rPr>
            <sz val="8"/>
            <color indexed="81"/>
            <rFont val="Tahoma"/>
            <family val="2"/>
          </rPr>
          <t>Basis: No score provided
A report total is accepted only as a reported score, never as evidence for missing I1–I10. Conflicts have no selected final score.</t>
        </r>
      </text>
    </comment>
    <comment ref="R41" authorId="0">
      <text>
        <r>
          <rPr>
            <sz val="8"/>
            <color indexed="81"/>
            <rFont val="Tahoma"/>
            <family val="2"/>
          </rPr>
          <t>Basis: No score provided
A report total is accepted only as a reported score, never as evidence for missing I1–I10. Conflicts have no selected final score.</t>
        </r>
      </text>
    </comment>
    <comment ref="R42" authorId="0">
      <text>
        <r>
          <rPr>
            <sz val="8"/>
            <color indexed="81"/>
            <rFont val="Tahoma"/>
            <family val="2"/>
          </rPr>
          <t>Basis: Source-workbook indicator matrix
A report total is accepted only as a reported score, never as evidence for missing I1–I10. Conflicts have no selected final score.</t>
        </r>
      </text>
    </comment>
    <comment ref="R43" authorId="0">
      <text>
        <r>
          <rPr>
            <sz val="8"/>
            <color indexed="81"/>
            <rFont val="Tahoma"/>
            <family val="2"/>
          </rPr>
          <t>Basis: Unresolved source conflict
A report total is accepted only as a reported score, never as evidence for missing I1–I10. Conflicts have no selected final score.</t>
        </r>
      </text>
    </comment>
    <comment ref="A44" authorId="1">
      <text>
        <r>
          <rPr>
            <sz val="8"/>
            <color indexed="81"/>
            <rFont val="Tahoma"/>
            <family val="2"/>
          </rPr>
          <t>The same firm name appears in two sector-report contexts. Both rows share F063. Do not count these as two distinct firms.</t>
        </r>
      </text>
    </comment>
    <comment ref="R44" authorId="0">
      <text>
        <r>
          <rPr>
            <sz val="8"/>
            <color indexed="81"/>
            <rFont val="Tahoma"/>
            <family val="2"/>
          </rPr>
          <t>Basis: Unresolved source conflict
A report total is accepted only as a reported score, never as evidence for missing I1–I10. Conflicts have no selected final score.</t>
        </r>
      </text>
    </comment>
    <comment ref="R45" authorId="0">
      <text>
        <r>
          <rPr>
            <sz val="8"/>
            <color indexed="81"/>
            <rFont val="Tahoma"/>
            <family val="2"/>
          </rPr>
          <t>Basis: Unresolved source conflict
A report total is accepted only as a reported score, never as evidence for missing I1–I10. Conflicts have no selected final score.</t>
        </r>
      </text>
    </comment>
    <comment ref="R46" authorId="0">
      <text>
        <r>
          <rPr>
            <sz val="8"/>
            <color indexed="81"/>
            <rFont val="Tahoma"/>
            <family val="2"/>
          </rPr>
          <t>Basis: Source-workbook indicator matrix
A report total is accepted only as a reported score, never as evidence for missing I1–I10. Conflicts have no selected final score.</t>
        </r>
      </text>
    </comment>
    <comment ref="R47" authorId="0">
      <text>
        <r>
          <rPr>
            <sz val="8"/>
            <color indexed="81"/>
            <rFont val="Tahoma"/>
            <family val="2"/>
          </rPr>
          <t>Basis: Unresolved source conflict
A report total is accepted only as a reported score, never as evidence for missing I1–I10. Conflicts have no selected final score.</t>
        </r>
      </text>
    </comment>
    <comment ref="R48" authorId="0">
      <text>
        <r>
          <rPr>
            <sz val="8"/>
            <color indexed="81"/>
            <rFont val="Tahoma"/>
            <family val="2"/>
          </rPr>
          <t>Basis: Sector-report total; indicators unavailable
A report total is accepted only as a reported score, never as evidence for missing I1–I10. Conflicts have no selected final score.</t>
        </r>
      </text>
    </comment>
    <comment ref="R49" authorId="0">
      <text>
        <r>
          <rPr>
            <sz val="8"/>
            <color indexed="81"/>
            <rFont val="Tahoma"/>
            <family val="2"/>
          </rPr>
          <t>Basis: Sector-report total; indicators unavailable
A report total is accepted only as a reported score, never as evidence for missing I1–I10. Conflicts have no selected final score.</t>
        </r>
      </text>
    </comment>
    <comment ref="R50" authorId="0">
      <text>
        <r>
          <rPr>
            <sz val="8"/>
            <color indexed="81"/>
            <rFont val="Tahoma"/>
            <family val="2"/>
          </rPr>
          <t>Basis: Sector-report total; indicators unavailable
A report total is accepted only as a reported score, never as evidence for missing I1–I10. Conflicts have no selected final score.</t>
        </r>
      </text>
    </comment>
    <comment ref="R51" authorId="0">
      <text>
        <r>
          <rPr>
            <sz val="8"/>
            <color indexed="81"/>
            <rFont val="Tahoma"/>
            <family val="2"/>
          </rPr>
          <t>Basis: Sector-report total; indicators unavailable
A report total is accepted only as a reported score, never as evidence for missing I1–I10. Conflicts have no selected final score.</t>
        </r>
      </text>
    </comment>
    <comment ref="R52" authorId="0">
      <text>
        <r>
          <rPr>
            <sz val="8"/>
            <color indexed="81"/>
            <rFont val="Tahoma"/>
            <family val="2"/>
          </rPr>
          <t>Basis: Sector-report total; indicators unavailable
A report total is accepted only as a reported score, never as evidence for missing I1–I10. Conflicts have no selected final score.</t>
        </r>
      </text>
    </comment>
    <comment ref="R53" authorId="0">
      <text>
        <r>
          <rPr>
            <sz val="8"/>
            <color indexed="81"/>
            <rFont val="Tahoma"/>
            <family val="2"/>
          </rPr>
          <t>Basis: Sector-report total; indicators unavailable
A report total is accepted only as a reported score, never as evidence for missing I1–I10. Conflicts have no selected final score.</t>
        </r>
      </text>
    </comment>
    <comment ref="R54" authorId="0">
      <text>
        <r>
          <rPr>
            <sz val="8"/>
            <color indexed="81"/>
            <rFont val="Tahoma"/>
            <family val="2"/>
          </rPr>
          <t>Basis: Sector-report total; indicators unavailable
A report total is accepted only as a reported score, never as evidence for missing I1–I10. Conflicts have no selected final score.</t>
        </r>
      </text>
    </comment>
    <comment ref="R55" authorId="0">
      <text>
        <r>
          <rPr>
            <sz val="8"/>
            <color indexed="81"/>
            <rFont val="Tahoma"/>
            <family val="2"/>
          </rPr>
          <t>Basis: Sector-report total; indicators unavailable
A report total is accepted only as a reported score, never as evidence for missing I1–I10. Conflicts have no selected final score.</t>
        </r>
      </text>
    </comment>
    <comment ref="R56" authorId="0">
      <text>
        <r>
          <rPr>
            <sz val="8"/>
            <color indexed="81"/>
            <rFont val="Tahoma"/>
            <family val="2"/>
          </rPr>
          <t>Basis: Sector-report total; indicators unavailable
A report total is accepted only as a reported score, never as evidence for missing I1–I10. Conflicts have no selected final score.</t>
        </r>
      </text>
    </comment>
    <comment ref="R57" authorId="0">
      <text>
        <r>
          <rPr>
            <sz val="8"/>
            <color indexed="81"/>
            <rFont val="Tahoma"/>
            <family val="2"/>
          </rPr>
          <t>Basis: Sector-report total; indicators unavailable
A report total is accepted only as a reported score, never as evidence for missing I1–I10. Conflicts have no selected final score.</t>
        </r>
      </text>
    </comment>
    <comment ref="R58" authorId="0">
      <text>
        <r>
          <rPr>
            <sz val="8"/>
            <color indexed="81"/>
            <rFont val="Tahoma"/>
            <family val="2"/>
          </rPr>
          <t>Basis: Sector-report total; indicators unavailable
A report total is accepted only as a reported score, never as evidence for missing I1–I10. Conflicts have no selected final score.</t>
        </r>
      </text>
    </comment>
    <comment ref="R59" authorId="0">
      <text>
        <r>
          <rPr>
            <sz val="8"/>
            <color indexed="81"/>
            <rFont val="Tahoma"/>
            <family val="2"/>
          </rPr>
          <t>Basis: Sector-report total; indicators unavailable
A report total is accepted only as a reported score, never as evidence for missing I1–I10. Conflicts have no selected final score.</t>
        </r>
      </text>
    </comment>
    <comment ref="R60" authorId="0">
      <text>
        <r>
          <rPr>
            <sz val="8"/>
            <color indexed="81"/>
            <rFont val="Tahoma"/>
            <family val="2"/>
          </rPr>
          <t>Basis: Sector-report total; indicators unavailable
A report total is accepted only as a reported score, never as evidence for missing I1–I10. Conflicts have no selected final score.</t>
        </r>
      </text>
    </comment>
    <comment ref="R61" authorId="0">
      <text>
        <r>
          <rPr>
            <sz val="8"/>
            <color indexed="81"/>
            <rFont val="Tahoma"/>
            <family val="2"/>
          </rPr>
          <t>Basis: Source-workbook indicator matrix
A report total is accepted only as a reported score, never as evidence for missing I1–I10. Conflicts have no selected final score.</t>
        </r>
      </text>
    </comment>
    <comment ref="R62" authorId="0">
      <text>
        <r>
          <rPr>
            <sz val="8"/>
            <color indexed="81"/>
            <rFont val="Tahoma"/>
            <family val="2"/>
          </rPr>
          <t>Basis: Source-workbook indicator matrix
A report total is accepted only as a reported score, never as evidence for missing I1–I10. Conflicts have no selected final score.</t>
        </r>
      </text>
    </comment>
    <comment ref="R63" authorId="0">
      <text>
        <r>
          <rPr>
            <sz val="8"/>
            <color indexed="81"/>
            <rFont val="Tahoma"/>
            <family val="2"/>
          </rPr>
          <t>Basis: Source-workbook indicator matrix
A report total is accepted only as a reported score, never as evidence for missing I1–I10. Conflicts have no selected final score.</t>
        </r>
      </text>
    </comment>
    <comment ref="R64" authorId="0">
      <text>
        <r>
          <rPr>
            <sz val="8"/>
            <color indexed="81"/>
            <rFont val="Tahoma"/>
            <family val="2"/>
          </rPr>
          <t>Basis: Source-workbook indicator matrix
A report total is accepted only as a reported score, never as evidence for missing I1–I10. Conflicts have no selected final score.</t>
        </r>
      </text>
    </comment>
    <comment ref="R65" authorId="0">
      <text>
        <r>
          <rPr>
            <sz val="8"/>
            <color indexed="81"/>
            <rFont val="Tahoma"/>
            <family val="2"/>
          </rPr>
          <t>Basis: Source-workbook indicator matrix
A report total is accepted only as a reported score, never as evidence for missing I1–I10. Conflicts have no selected final score.</t>
        </r>
      </text>
    </comment>
    <comment ref="R66" authorId="0">
      <text>
        <r>
          <rPr>
            <sz val="8"/>
            <color indexed="81"/>
            <rFont val="Tahoma"/>
            <family val="2"/>
          </rPr>
          <t>Basis: Source-workbook indicator matrix
A report total is accepted only as a reported score, never as evidence for missing I1–I10. Conflicts have no selected final score.</t>
        </r>
      </text>
    </comment>
    <comment ref="R67" authorId="0">
      <text>
        <r>
          <rPr>
            <sz val="8"/>
            <color indexed="81"/>
            <rFont val="Tahoma"/>
            <family val="2"/>
          </rPr>
          <t>Basis: Source-workbook indicator matrix
A report total is accepted only as a reported score, never as evidence for missing I1–I10. Conflicts have no selected final score.</t>
        </r>
      </text>
    </comment>
    <comment ref="R68" authorId="0">
      <text>
        <r>
          <rPr>
            <sz val="8"/>
            <color indexed="81"/>
            <rFont val="Tahoma"/>
            <family val="2"/>
          </rPr>
          <t>Basis: Source-workbook indicator matrix
A report total is accepted only as a reported score, never as evidence for missing I1–I10. Conflicts have no selected final score.</t>
        </r>
      </text>
    </comment>
    <comment ref="R69" authorId="0">
      <text>
        <r>
          <rPr>
            <sz val="8"/>
            <color indexed="81"/>
            <rFont val="Tahoma"/>
            <family val="2"/>
          </rPr>
          <t>Basis: Source-workbook indicator matrix
A report total is accepted only as a reported score, never as evidence for missing I1–I10. Conflicts have no selected final score.</t>
        </r>
      </text>
    </comment>
    <comment ref="R70" authorId="0">
      <text>
        <r>
          <rPr>
            <sz val="8"/>
            <color indexed="81"/>
            <rFont val="Tahoma"/>
            <family val="2"/>
          </rPr>
          <t>Basis: Source-workbook indicator matrix
A report total is accepted only as a reported score, never as evidence for missing I1–I10. Conflicts have no selected final score.</t>
        </r>
      </text>
    </comment>
    <comment ref="R71" authorId="0">
      <text>
        <r>
          <rPr>
            <sz val="8"/>
            <color indexed="81"/>
            <rFont val="Tahoma"/>
            <family val="2"/>
          </rPr>
          <t>Basis: Sector-report total; indicators unavailable
A report total is accepted only as a reported score, never as evidence for missing I1–I10. Conflicts have no selected final score.</t>
        </r>
      </text>
    </comment>
    <comment ref="R72" authorId="0">
      <text>
        <r>
          <rPr>
            <sz val="8"/>
            <color indexed="81"/>
            <rFont val="Tahoma"/>
            <family val="2"/>
          </rPr>
          <t>Basis: Sector-report total; indicators unavailable
A report total is accepted only as a reported score, never as evidence for missing I1–I10. Conflicts have no selected final score.</t>
        </r>
      </text>
    </comment>
    <comment ref="R73" authorId="0">
      <text>
        <r>
          <rPr>
            <sz val="8"/>
            <color indexed="81"/>
            <rFont val="Tahoma"/>
            <family val="2"/>
          </rPr>
          <t>Basis: Sector-report total; indicators unavailable
A report total is accepted only as a reported score, never as evidence for missing I1–I10. Conflicts have no selected final score.</t>
        </r>
      </text>
    </comment>
    <comment ref="R74" authorId="0">
      <text>
        <r>
          <rPr>
            <sz val="8"/>
            <color indexed="81"/>
            <rFont val="Tahoma"/>
            <family val="2"/>
          </rPr>
          <t>Basis: Sector-report total; indicators unavailable
A report total is accepted only as a reported score, never as evidence for missing I1–I10. Conflicts have no selected final score.</t>
        </r>
      </text>
    </comment>
    <comment ref="R75" authorId="0">
      <text>
        <r>
          <rPr>
            <sz val="8"/>
            <color indexed="81"/>
            <rFont val="Tahoma"/>
            <family val="2"/>
          </rPr>
          <t>Basis: Sector-report total; indicators unavailable
A report total is accepted only as a reported score, never as evidence for missing I1–I10. Conflicts have no selected final score.</t>
        </r>
      </text>
    </comment>
    <comment ref="R76" authorId="0">
      <text>
        <r>
          <rPr>
            <sz val="8"/>
            <color indexed="81"/>
            <rFont val="Tahoma"/>
            <family val="2"/>
          </rPr>
          <t>Basis: Sector-report total; indicators unavailable
A report total is accepted only as a reported score, never as evidence for missing I1–I10. Conflicts have no selected final score.</t>
        </r>
      </text>
    </comment>
    <comment ref="R77" authorId="0">
      <text>
        <r>
          <rPr>
            <sz val="8"/>
            <color indexed="81"/>
            <rFont val="Tahoma"/>
            <family val="2"/>
          </rPr>
          <t>Basis: Sector-report total; indicators unavailable
A report total is accepted only as a reported score, never as evidence for missing I1–I10. Conflicts have no selected final score.</t>
        </r>
      </text>
    </comment>
    <comment ref="R78" authorId="0">
      <text>
        <r>
          <rPr>
            <sz val="8"/>
            <color indexed="81"/>
            <rFont val="Tahoma"/>
            <family val="2"/>
          </rPr>
          <t>Basis: Sector-report total; indicators unavailable
A report total is accepted only as a reported score, never as evidence for missing I1–I10. Conflicts have no selected final score.</t>
        </r>
      </text>
    </comment>
    <comment ref="R79" authorId="0">
      <text>
        <r>
          <rPr>
            <sz val="8"/>
            <color indexed="81"/>
            <rFont val="Tahoma"/>
            <family val="2"/>
          </rPr>
          <t>Basis: Sector-report total; indicators unavailable
A report total is accepted only as a reported score, never as evidence for missing I1–I10. Conflicts have no selected final score.</t>
        </r>
      </text>
    </comment>
    <comment ref="R80" authorId="0">
      <text>
        <r>
          <rPr>
            <sz val="8"/>
            <color indexed="81"/>
            <rFont val="Tahoma"/>
            <family val="2"/>
          </rPr>
          <t>Basis: Sector-report total; indicators unavailable
A report total is accepted only as a reported score, never as evidence for missing I1–I10. Conflicts have no selected final score.</t>
        </r>
      </text>
    </comment>
    <comment ref="R81" authorId="0">
      <text>
        <r>
          <rPr>
            <sz val="8"/>
            <color indexed="81"/>
            <rFont val="Tahoma"/>
            <family val="2"/>
          </rPr>
          <t>Basis: Report indicator matrix
A report total is accepted only as a reported score, never as evidence for missing I1–I10. Conflicts have no selected final score.</t>
        </r>
      </text>
    </comment>
    <comment ref="R82" authorId="0">
      <text>
        <r>
          <rPr>
            <sz val="8"/>
            <color indexed="81"/>
            <rFont val="Tahoma"/>
            <family val="2"/>
          </rPr>
          <t>Basis: Report indicator matrix
A report total is accepted only as a reported score, never as evidence for missing I1–I10. Conflicts have no selected final score.</t>
        </r>
      </text>
    </comment>
    <comment ref="R83" authorId="0">
      <text>
        <r>
          <rPr>
            <sz val="8"/>
            <color indexed="81"/>
            <rFont val="Tahoma"/>
            <family val="2"/>
          </rPr>
          <t>Basis: Report indicator matrix
A report total is accepted only as a reported score, never as evidence for missing I1–I10. Conflicts have no selected final score.</t>
        </r>
      </text>
    </comment>
    <comment ref="R84" authorId="0">
      <text>
        <r>
          <rPr>
            <sz val="8"/>
            <color indexed="81"/>
            <rFont val="Tahoma"/>
            <family val="2"/>
          </rPr>
          <t>Basis: Report indicator matrix
A report total is accepted only as a reported score, never as evidence for missing I1–I10. Conflicts have no selected final score.</t>
        </r>
      </text>
    </comment>
    <comment ref="R85" authorId="0">
      <text>
        <r>
          <rPr>
            <sz val="8"/>
            <color indexed="81"/>
            <rFont val="Tahoma"/>
            <family val="2"/>
          </rPr>
          <t>Basis: Report indicator matrix
A report total is accepted only as a reported score, never as evidence for missing I1–I10. Conflicts have no selected final score.</t>
        </r>
      </text>
    </comment>
    <comment ref="R86" authorId="0">
      <text>
        <r>
          <rPr>
            <sz val="8"/>
            <color indexed="81"/>
            <rFont val="Tahoma"/>
            <family val="2"/>
          </rPr>
          <t>Basis: Report indicator matrix
A report total is accepted only as a reported score, never as evidence for missing I1–I10. Conflicts have no selected final score.</t>
        </r>
      </text>
    </comment>
    <comment ref="A87" authorId="1">
      <text>
        <r>
          <rPr>
            <sz val="8"/>
            <color indexed="81"/>
            <rFont val="Tahoma"/>
            <family val="2"/>
          </rPr>
          <t>The same firm name appears in two sector-report contexts. Both rows share F063. Do not count these as two distinct firms.</t>
        </r>
      </text>
    </comment>
    <comment ref="R87" authorId="0">
      <text>
        <r>
          <rPr>
            <sz val="8"/>
            <color indexed="81"/>
            <rFont val="Tahoma"/>
            <family val="2"/>
          </rPr>
          <t>Basis: Report indicator matrix
A report total is accepted only as a reported score, never as evidence for missing I1–I10. Conflicts have no selected final score.</t>
        </r>
      </text>
    </comment>
    <comment ref="R88" authorId="0">
      <text>
        <r>
          <rPr>
            <sz val="8"/>
            <color indexed="81"/>
            <rFont val="Tahoma"/>
            <family val="2"/>
          </rPr>
          <t>Basis: Report indicator matrix
A report total is accepted only as a reported score, never as evidence for missing I1–I10. Conflicts have no selected final score.</t>
        </r>
      </text>
    </comment>
  </commentList>
</comments>
</file>

<file path=xl/sharedStrings.xml><?xml version="1.0" encoding="utf-8"?>
<sst xmlns="http://schemas.openxmlformats.org/spreadsheetml/2006/main" count="12993" uniqueCount="1679">
  <si>
    <t>MASTER FIRM PANEL</t>
  </si>
  <si>
    <t>Transition readiness | eight sector studies | source-linked research data</t>
  </si>
  <si>
    <t>firm-sector rows</t>
  </si>
  <si>
    <t>distinct firm names</t>
  </si>
  <si>
    <t>sectors</t>
  </si>
  <si>
    <t>unresolved score conflicts</t>
  </si>
  <si>
    <t>Master_Panel is one row per firm and sector-report context. It is a snapshot, not a fabricated annual panel. Financial_Panel contains only dated financial observations. PI Industries shares one firm ID across its two sector rows.</t>
  </si>
  <si>
    <t>Master_Panel</t>
  </si>
  <si>
    <t>Main research data: identity, I1–I10, disclosure scores, exposure, financials and provenance.</t>
  </si>
  <si>
    <t>Financial_Panel</t>
  </si>
  <si>
    <t>Observed firm-year financial records; no repeated one-time DQS values.</t>
  </si>
  <si>
    <t>Evidence_Log</t>
  </si>
  <si>
    <t>Indicator and field-level sources, quotations, locations and accounting-basis notes.</t>
  </si>
  <si>
    <t>Codebook</t>
  </si>
  <si>
    <t>Variable definitions, missing-data rules, score selection, units and fiscal-year conventions.</t>
  </si>
  <si>
    <t>Review_Issues</t>
  </si>
  <si>
    <t>Unresolved source conflicts, material limitations and financial-year realignments.</t>
  </si>
  <si>
    <t>Reading the score: DQS_total uses the indicator sum when available, or a reported total when only the paper total exists. DQS_basis identifies the source. Conflicting scores have no final DQS_total; original alternatives remain in Review_Issues and the audit archive. Missing indicators are never inferred from a total.</t>
  </si>
  <si>
    <t>Units: monetary figures are ₹ crore; export share, ROA and debt proxies are fractions displayed as percentages. Blank means not supplied or not supportable. Blue text is source data; black is a formula; amber highlights missing inputs or review conditions.</t>
  </si>
  <si>
    <t>Use analysis_include = Yes for the conservative disclosure-analysis subset. For finance comparisons, also require financial_year_match = Same FY and review accounting/proxy limitations. This is not a claim that all source material has been independently audited.</t>
  </si>
  <si>
    <t>82 firm-sector observations | source and financial years kept separate | filters in row 6</t>
  </si>
  <si>
    <t>IDENTITY</t>
  </si>
  <si>
    <t>DISCLOSURE QUALITY</t>
  </si>
  <si>
    <t>EXPOSURE</t>
  </si>
  <si>
    <t>FINANCIALS · ₹ CRORE</t>
  </si>
  <si>
    <t>SOURCE PROVENANCE</t>
  </si>
  <si>
    <t>RECORD CONTROLS</t>
  </si>
  <si>
    <t>Godawari Power &amp; Ispat Ltd</t>
  </si>
  <si>
    <t>Steel</t>
  </si>
  <si>
    <t>NSE/BSE (not specified)</t>
  </si>
  <si>
    <t>Listed private</t>
  </si>
  <si>
    <t>FY2024-25</t>
  </si>
  <si>
    <t>Coder A / B (reconciled)</t>
  </si>
  <si>
    <t>Unknown</t>
  </si>
  <si>
    <t>Mid</t>
  </si>
  <si>
    <t>Annual Report (BRSR embedded)</t>
  </si>
  <si>
    <t>per indicator - see Evidence_Log</t>
  </si>
  <si>
    <t>F024</t>
  </si>
  <si>
    <t>OBS-008</t>
  </si>
  <si>
    <t>Source-workbook indicator matrix</t>
  </si>
  <si>
    <t>Same FY</t>
  </si>
  <si>
    <t>Yes</t>
  </si>
  <si>
    <t>Source coded</t>
  </si>
  <si>
    <t>Consolidated. Verified against annual report by student.</t>
  </si>
  <si>
    <t>Jindal Stainless Ltd</t>
  </si>
  <si>
    <t>Large</t>
  </si>
  <si>
    <t>Business Responsibility and Sustainability Report (standalone filing)</t>
  </si>
  <si>
    <t>F034</t>
  </si>
  <si>
    <t>OBS-005</t>
  </si>
  <si>
    <t>Jindal Steel Ltd (JSPL)</t>
  </si>
  <si>
    <t>FY2025-26</t>
  </si>
  <si>
    <t>Integrated Report (BRSR embedded)</t>
  </si>
  <si>
    <t>F035</t>
  </si>
  <si>
    <t>OBS-004</t>
  </si>
  <si>
    <t>Different FY</t>
  </si>
  <si>
    <t>JSW Steel Ltd</t>
  </si>
  <si>
    <t>F038</t>
  </si>
  <si>
    <t>OBS-002</t>
  </si>
  <si>
    <t>Kalyani Steels Ltd</t>
  </si>
  <si>
    <t>F041</t>
  </si>
  <si>
    <t>OBS-009</t>
  </si>
  <si>
    <t>Consolidated [standalone (consolidated balance sheet not clearly available)]. Verified against annual report by student.</t>
  </si>
  <si>
    <t>NMDC Steel Ltd</t>
  </si>
  <si>
    <t>State-owned</t>
  </si>
  <si>
    <t>Annual Report, NMDC Limited (BRSR embedded)</t>
  </si>
  <si>
    <t>F060</t>
  </si>
  <si>
    <t>OBS-006</t>
  </si>
  <si>
    <t>Not assessable</t>
  </si>
  <si>
    <t>Shyam Metalics &amp; Energy Ltd</t>
  </si>
  <si>
    <t>Business Responsibility and Sustainability Report + Annual Report</t>
  </si>
  <si>
    <t>F068</t>
  </si>
  <si>
    <t>OBS-007</t>
  </si>
  <si>
    <t>Steel Authority of India (SAIL)</t>
  </si>
  <si>
    <t>F071</t>
  </si>
  <si>
    <t>OBS-003</t>
  </si>
  <si>
    <t>Tata Steel Ltd</t>
  </si>
  <si>
    <t>F074</t>
  </si>
  <si>
    <t>OBS-001</t>
  </si>
  <si>
    <t>ACC Limited</t>
  </si>
  <si>
    <t>Cement</t>
  </si>
  <si>
    <t>ACC IR 2024-25</t>
  </si>
  <si>
    <t>F001</t>
  </si>
  <si>
    <t>OBS-012</t>
  </si>
  <si>
    <t>No financial values</t>
  </si>
  <si>
    <t>Ambuja Cements</t>
  </si>
  <si>
    <t>Ambuja IR 2024-25; Ambuja IR 2024-25 (reviewed)</t>
  </si>
  <si>
    <t>F005</t>
  </si>
  <si>
    <t>OBS-015</t>
  </si>
  <si>
    <t>Dalmia Bharat</t>
  </si>
  <si>
    <t>Dalmia Bharat IR 2025-26; Dalmia Bharat IR 2025-26 (reviewed)</t>
  </si>
  <si>
    <t>F018</t>
  </si>
  <si>
    <t>OBS-010</t>
  </si>
  <si>
    <t>JK Cement</t>
  </si>
  <si>
    <t>JK Cement IR 2025-26</t>
  </si>
  <si>
    <t>F036</t>
  </si>
  <si>
    <t>OBS-013</t>
  </si>
  <si>
    <t>JSW Cement</t>
  </si>
  <si>
    <t>JSW Cement IAR 2025-26; JSW Cement IAR 2025-26 (reviewed)</t>
  </si>
  <si>
    <t>F037</t>
  </si>
  <si>
    <t>OBS-016</t>
  </si>
  <si>
    <t>Shree Cement</t>
  </si>
  <si>
    <t>Shree Cement IR 2025-26; Shree Cement IR 2025-26 (reviewed)</t>
  </si>
  <si>
    <t>F067</t>
  </si>
  <si>
    <t>OBS-011</t>
  </si>
  <si>
    <t>UltraTech</t>
  </si>
  <si>
    <t>UltraTech IR &amp; Sustainability Report 2025-26</t>
  </si>
  <si>
    <t>F077</t>
  </si>
  <si>
    <t>OBS-014</t>
  </si>
  <si>
    <t>Alufluoride</t>
  </si>
  <si>
    <t>Aluminium</t>
  </si>
  <si>
    <t>Aluminium sector report, Table 8</t>
  </si>
  <si>
    <t>not given in the sector report | PDF pp.14–15, Table 8 (DQS); PDF p.23, Table 14 (financials)</t>
  </si>
  <si>
    <t>F004</t>
  </si>
  <si>
    <t>OBS-025</t>
  </si>
  <si>
    <t>Report indicator matrix</t>
  </si>
  <si>
    <t>No</t>
  </si>
  <si>
    <t>Report matrix</t>
  </si>
  <si>
    <t>Basis not fully specified by supplied source; preserve year and source scope</t>
  </si>
  <si>
    <t>BALCO</t>
  </si>
  <si>
    <t>Vedanta Group majority-owned</t>
  </si>
  <si>
    <t>BALCO Integrated Annual Report and sustainability pages</t>
  </si>
  <si>
    <t>not given in the sector report | PDF pp.14–15, Table 8 (DQS); PDF p.23, Table 14 (financial data availability)</t>
  </si>
  <si>
    <t>F009</t>
  </si>
  <si>
    <t>OBS-020</t>
  </si>
  <si>
    <t>Century Extrusions</t>
  </si>
  <si>
    <t>F013</t>
  </si>
  <si>
    <t>OBS-022</t>
  </si>
  <si>
    <t>Euro Panel Products</t>
  </si>
  <si>
    <t>F022</t>
  </si>
  <si>
    <t>OBS-026</t>
  </si>
  <si>
    <t>Hindalco</t>
  </si>
  <si>
    <t>Hindalco Integrated Annual Report 2024-25 incl. BRSR and assurance (report ref. 5)</t>
  </si>
  <si>
    <t>F030</t>
  </si>
  <si>
    <t>OBS-017</t>
  </si>
  <si>
    <t>Maan Aluminium</t>
  </si>
  <si>
    <t>F047</t>
  </si>
  <si>
    <t>OBS-021</t>
  </si>
  <si>
    <t>Manaksia Aluminium</t>
  </si>
  <si>
    <t>F051</t>
  </si>
  <si>
    <t>OBS-024</t>
  </si>
  <si>
    <t>NALCO</t>
  </si>
  <si>
    <t>NALCO 44th Annual Report 2024-25 incl. BRSR (ref. 9)</t>
  </si>
  <si>
    <t>F056</t>
  </si>
  <si>
    <t>OBS-019</t>
  </si>
  <si>
    <t>PG Foils</t>
  </si>
  <si>
    <t>PG Foils annual report and corporate disclosures FY2024-25 (ref. 11)</t>
  </si>
  <si>
    <t>F062</t>
  </si>
  <si>
    <t>OBS-023</t>
  </si>
  <si>
    <t>Vedanta</t>
  </si>
  <si>
    <t>Vedanta Integrated Report and Annual Accounts FY2024-25; Climate Action Report 2025 (ref. 14)</t>
  </si>
  <si>
    <t>https://www.vedantalimited.com/eng/esg-reporting.php</t>
  </si>
  <si>
    <t>F079</t>
  </si>
  <si>
    <t>OBS-018</t>
  </si>
  <si>
    <t>Chambal Fertilisers &amp; Chemicals</t>
  </si>
  <si>
    <t>Fertilisers &amp; Chemicals</t>
  </si>
  <si>
    <t>Research coder</t>
  </si>
  <si>
    <t>FY2024-25 Annual Report/BRSR</t>
  </si>
  <si>
    <t>Public company filing / annual-report source</t>
  </si>
  <si>
    <t>F014</t>
  </si>
  <si>
    <t>OBS-030</t>
  </si>
  <si>
    <t>Unresolved source conflict</t>
  </si>
  <si>
    <t>Conflict</t>
  </si>
  <si>
    <t>Coromandel International</t>
  </si>
  <si>
    <t>FY2025-26 Integrated Annual Report</t>
  </si>
  <si>
    <t>F016</t>
  </si>
  <si>
    <t>OBS-038</t>
  </si>
  <si>
    <t>DCM Shriram</t>
  </si>
  <si>
    <t>FY2024-25 Annual Report + Sustainability Report</t>
  </si>
  <si>
    <t>F019</t>
  </si>
  <si>
    <t>OBS-028</t>
  </si>
  <si>
    <t>Adjusted profit 856 (adjusted for one-time deferred-tax credit 239); net debt 1767. Neither is unadjusted PAT/gross debt.</t>
  </si>
  <si>
    <t>Gujarat State Fertilizers &amp; Chemicals (GSFC)</t>
  </si>
  <si>
    <t>FY2024-25 BRSR</t>
  </si>
  <si>
    <t>F029</t>
  </si>
  <si>
    <t>OBS-036</t>
  </si>
  <si>
    <t>IFFCO</t>
  </si>
  <si>
    <t>Co-operative</t>
  </si>
  <si>
    <t>IFFCO Annual Report / public disclosures</t>
  </si>
  <si>
    <t>IFFCO official annual-report portal</t>
  </si>
  <si>
    <t>F031</t>
  </si>
  <si>
    <t>OBS-027</t>
  </si>
  <si>
    <t>Not scored</t>
  </si>
  <si>
    <t>Outside BRSR sample</t>
  </si>
  <si>
    <t>Khaitan Chemicals &amp; Fertilizers</t>
  </si>
  <si>
    <t>FY2024-25 BRSR / Annual Report</t>
  </si>
  <si>
    <t>F042</t>
  </si>
  <si>
    <t>OBS-035</t>
  </si>
  <si>
    <t>Basis not fully specified in report table.</t>
  </si>
  <si>
    <t>Krishana Phoschem</t>
  </si>
  <si>
    <t>Fertilisers_and_Chemicals_Report.pdf; Fertilisers_and_Chemicals_Report.docx</t>
  </si>
  <si>
    <t>PDF p.5 Table1; p.18 Table15; p.20 Table16</t>
  </si>
  <si>
    <t>F043</t>
  </si>
  <si>
    <t>OBS-079</t>
  </si>
  <si>
    <t>No score provided</t>
  </si>
  <si>
    <t>Unscored</t>
  </si>
  <si>
    <t>CRISIL A+/Stable; ICRA A+ negative watch stated in report.</t>
  </si>
  <si>
    <t>Madhya Bharat Agro Products</t>
  </si>
  <si>
    <t>F048</t>
  </si>
  <si>
    <t>OBS-081</t>
  </si>
  <si>
    <t>Madras Fertilizers</t>
  </si>
  <si>
    <t>F049</t>
  </si>
  <si>
    <t>OBS-080</t>
  </si>
  <si>
    <t>Mangalore Chemicals &amp; Fertilizers</t>
  </si>
  <si>
    <t>F052</t>
  </si>
  <si>
    <t>OBS-033</t>
  </si>
  <si>
    <t>National Fertilizers Limited (NFL)</t>
  </si>
  <si>
    <t>FY2024-25 Annual Report + BRSR</t>
  </si>
  <si>
    <t>F057</t>
  </si>
  <si>
    <t>OBS-029</t>
  </si>
  <si>
    <t>Standalone PAT 169.7; consolidated PAT 211.5 is separately mentioned. Do not mix bases.</t>
  </si>
  <si>
    <t>PI Industries</t>
  </si>
  <si>
    <t>FY2024-25 Integrated Annual Report + BRSR</t>
  </si>
  <si>
    <t>F063</t>
  </si>
  <si>
    <t>OBS-032</t>
  </si>
  <si>
    <t>Rashtriya Chemicals &amp; Fertilizers (RCF)</t>
  </si>
  <si>
    <t>F064</t>
  </si>
  <si>
    <t>OBS-037</t>
  </si>
  <si>
    <t>Southern Petrochemical Industries Corporation (SPIC)</t>
  </si>
  <si>
    <t>F069</t>
  </si>
  <si>
    <t>OBS-034</t>
  </si>
  <si>
    <t>SRF Limited</t>
  </si>
  <si>
    <t>FY2024-25 Annual Report</t>
  </si>
  <si>
    <t>F070</t>
  </si>
  <si>
    <t>OBS-031</t>
  </si>
  <si>
    <t>Report states market cap 89730; book value 13264; market/book 6.76.</t>
  </si>
  <si>
    <t>Arvind</t>
  </si>
  <si>
    <t>Textiles &amp; Apparel</t>
  </si>
  <si>
    <t>BRSR, annual and sustainability reports (per-firm document not named in the report) | Textile_and_Apparel_Report.pdf (secondary report; primary firm filings not supplied)</t>
  </si>
  <si>
    <t>PDF p.23, Figure 8 (reported DQS); p.10 B1 (period coverage); p.25 C1 (missing underlying dataset)</t>
  </si>
  <si>
    <t>F006</t>
  </si>
  <si>
    <t>OBS-040</t>
  </si>
  <si>
    <t>Sector-report total; indicators unavailable</t>
  </si>
  <si>
    <t>Reported total only</t>
  </si>
  <si>
    <t>Gokaldas Exports</t>
  </si>
  <si>
    <t>F027</t>
  </si>
  <si>
    <t>OBS-049</t>
  </si>
  <si>
    <t>Grasim</t>
  </si>
  <si>
    <t>F028</t>
  </si>
  <si>
    <t>OBS-039</t>
  </si>
  <si>
    <t>Indo Count</t>
  </si>
  <si>
    <t>F032</t>
  </si>
  <si>
    <t>OBS-043</t>
  </si>
  <si>
    <t>K.P.R. Mill</t>
  </si>
  <si>
    <t>F039</t>
  </si>
  <si>
    <t>OBS-048</t>
  </si>
  <si>
    <t>Lux Industries</t>
  </si>
  <si>
    <t>F046</t>
  </si>
  <si>
    <t>OBS-050</t>
  </si>
  <si>
    <t>Nahar Spinning</t>
  </si>
  <si>
    <t>F055</t>
  </si>
  <si>
    <t>OBS-047</t>
  </si>
  <si>
    <t>Page Industries</t>
  </si>
  <si>
    <t>F061</t>
  </si>
  <si>
    <t>OBS-046</t>
  </si>
  <si>
    <t>Raymond Lifestyle</t>
  </si>
  <si>
    <t>F065</t>
  </si>
  <si>
    <t>OBS-045</t>
  </si>
  <si>
    <t>RSWM</t>
  </si>
  <si>
    <t>F066</t>
  </si>
  <si>
    <t>OBS-051</t>
  </si>
  <si>
    <t>Trident</t>
  </si>
  <si>
    <t>F076</t>
  </si>
  <si>
    <t>OBS-042</t>
  </si>
  <si>
    <t>Vardhman Textiles</t>
  </si>
  <si>
    <t>F078</t>
  </si>
  <si>
    <t>OBS-044</t>
  </si>
  <si>
    <t>Welspun Living</t>
  </si>
  <si>
    <t>F081</t>
  </si>
  <si>
    <t>OBS-041</t>
  </si>
  <si>
    <t>Ahluwalia Contracts (India) Ltd</t>
  </si>
  <si>
    <t>Buildings &amp; Construction</t>
  </si>
  <si>
    <t>You (Researcher 1)</t>
  </si>
  <si>
    <t>Company BRSR / annual report; per-indicator source is inside the Evidence_Log text; financials: Consolidated_Firm_Panel_FY24-FY26.xlsx</t>
  </si>
  <si>
    <t>per indicator - see Evidence_Log; matching FY row in Consolidated Panel</t>
  </si>
  <si>
    <t>F003</t>
  </si>
  <si>
    <t>OBS-052</t>
  </si>
  <si>
    <t>Consolidated; year-end assets and gross borrowings; sources as compiled in supplied firm workbook</t>
  </si>
  <si>
    <t>Astral Limited</t>
  </si>
  <si>
    <t>F008</t>
  </si>
  <si>
    <t>OBS-053</t>
  </si>
  <si>
    <t>DLF Limited</t>
  </si>
  <si>
    <t>Teammate B (Researcher 1)</t>
  </si>
  <si>
    <t>https://www.dlf.in/annual_docket/Annual-report-2025-26.pdf</t>
  </si>
  <si>
    <t>F021</t>
  </si>
  <si>
    <t>OBS-057</t>
  </si>
  <si>
    <t>Consolidated; year-end assets and gross borrowings; sources as compiled in supplied firm workbook; source equity is attributable to owners for market-to-book</t>
  </si>
  <si>
    <t>Godrej Properties Limited</t>
  </si>
  <si>
    <t>https://gplwebsitecdnblob.blob.core.windows.net/godrej-cdn/Files/integrated-annual-report-2025-26-cmr3h9e05000iyuph5mm4d3e6.pdf</t>
  </si>
  <si>
    <t>F026</t>
  </si>
  <si>
    <t>OBS-060</t>
  </si>
  <si>
    <t>Kajaria Ceramics Limited</t>
  </si>
  <si>
    <t>F040</t>
  </si>
  <si>
    <t>OBS-055</t>
  </si>
  <si>
    <t>Larsen &amp; Toubro Limited</t>
  </si>
  <si>
    <t>https://investors.larsentoubro.com/pdf/2026/Integrated%20Report%202025-26.pdf</t>
  </si>
  <si>
    <t>F044</t>
  </si>
  <si>
    <t>OBS-058</t>
  </si>
  <si>
    <t>Lodha Developers Limited (Macrotech Developers)</t>
  </si>
  <si>
    <t>https://www.lodhagroup.com/sites/default/files/2026-07/Integrated_Report_FY2026.pdf</t>
  </si>
  <si>
    <t>F045</t>
  </si>
  <si>
    <t>OBS-059</t>
  </si>
  <si>
    <t>Mahindra Lifespace Developers Ltd</t>
  </si>
  <si>
    <t>F050</t>
  </si>
  <si>
    <t>OBS-056</t>
  </si>
  <si>
    <t>NBCC (India) Limited</t>
  </si>
  <si>
    <t>Company BRSR / annual report; per-indicator source is inside the Evidence_Log text</t>
  </si>
  <si>
    <t>F058</t>
  </si>
  <si>
    <t>OBS-054</t>
  </si>
  <si>
    <t>NCC Limited</t>
  </si>
  <si>
    <t>https://www.ncclimited.com/annual-reports/NCCAnnualReport202526.pdf</t>
  </si>
  <si>
    <t>F059</t>
  </si>
  <si>
    <t>OBS-061</t>
  </si>
  <si>
    <t>Adani Ports &amp; SEZ</t>
  </si>
  <si>
    <t>Transport &amp; Logistics</t>
  </si>
  <si>
    <t>FY2024-25 annual report, BRSR/climate disclosure and official investor pages (firm-specific documents not named in the report) | Transport_and_Logistics_Report.pdf (secondary report; FY2024-25 source dataset)</t>
  </si>
  <si>
    <t>PDF pp.19–20, section 8.9: DQS and financing-cost tables</t>
  </si>
  <si>
    <t>F002</t>
  </si>
  <si>
    <t>OBS-062</t>
  </si>
  <si>
    <t>Report financing-cost / average borrowings ratio only; no finance-cost or borrowings amounts supplied</t>
  </si>
  <si>
    <t>Ashok Leyland</t>
  </si>
  <si>
    <t>F007</t>
  </si>
  <si>
    <t>OBS-064</t>
  </si>
  <si>
    <t>Blue Dart</t>
  </si>
  <si>
    <t>F011</t>
  </si>
  <si>
    <t>OBS-067</t>
  </si>
  <si>
    <t>CONCOR</t>
  </si>
  <si>
    <t>F015</t>
  </si>
  <si>
    <t>OBS-068</t>
  </si>
  <si>
    <t>Delhivery</t>
  </si>
  <si>
    <t>F020</t>
  </si>
  <si>
    <t>OBS-066</t>
  </si>
  <si>
    <t>Gateway Distriparks</t>
  </si>
  <si>
    <t>F023</t>
  </si>
  <si>
    <t>OBS-071</t>
  </si>
  <si>
    <t>Maruti Suzuki</t>
  </si>
  <si>
    <t>F054</t>
  </si>
  <si>
    <t>OBS-065</t>
  </si>
  <si>
    <t>Tata Motors</t>
  </si>
  <si>
    <t>F073</t>
  </si>
  <si>
    <t>OBS-063</t>
  </si>
  <si>
    <t>TCI</t>
  </si>
  <si>
    <t>F075</t>
  </si>
  <si>
    <t>OBS-069</t>
  </si>
  <si>
    <t>VRL Logistics</t>
  </si>
  <si>
    <t>F080</t>
  </si>
  <si>
    <t>OBS-070</t>
  </si>
  <si>
    <t>Bayer CropScience</t>
  </si>
  <si>
    <t>Agriculture &amp; Agrofoods</t>
  </si>
  <si>
    <t>Foreign</t>
  </si>
  <si>
    <t>Sustainability report named in the agriculture report; link not recoverable from the PDF</t>
  </si>
  <si>
    <t>not given in the sector report | Uploaded sector report PDF p.35, section 8 (scores); p.36 (company source list)</t>
  </si>
  <si>
    <t>F010</t>
  </si>
  <si>
    <t>OBS-075</t>
  </si>
  <si>
    <t>Cargill</t>
  </si>
  <si>
    <t>Cargill 2025 Impact Report (global)</t>
  </si>
  <si>
    <t>https://www.cargill.com/sustainability/doc/1451372729493/2025-cargill-impact-report.pdf</t>
  </si>
  <si>
    <t>F012</t>
  </si>
  <si>
    <t>OBS-078</t>
  </si>
  <si>
    <t>Corteva</t>
  </si>
  <si>
    <t>Corteva "Our 2025 Impact Report" (global)</t>
  </si>
  <si>
    <t>https://reports.corteva.com/sustainability/impactreport2025/static/Corteva_Our_2025_Impact_Report.pdf?v=1775742674</t>
  </si>
  <si>
    <t>F017</t>
  </si>
  <si>
    <t>OBS-074</t>
  </si>
  <si>
    <t>Godrej Agrovet</t>
  </si>
  <si>
    <t>Godrej Agrovet Annual Report 2025-26</t>
  </si>
  <si>
    <t>https://www.godrejagrovet.com/uploads/Annual_Report_2025_26_1eec0f8033.pdf</t>
  </si>
  <si>
    <t>F025</t>
  </si>
  <si>
    <t>OBS-073</t>
  </si>
  <si>
    <t>ITC</t>
  </si>
  <si>
    <t>ITC sustainability report 2026</t>
  </si>
  <si>
    <t>https://itcportal.com/content/dam/itc-corporate/pdfs/sustainability-report/itc-sustainability-report-2026.pdf</t>
  </si>
  <si>
    <t>F033</t>
  </si>
  <si>
    <t>OBS-072</t>
  </si>
  <si>
    <t>Marico</t>
  </si>
  <si>
    <t>F053</t>
  </si>
  <si>
    <t>OBS-077</t>
  </si>
  <si>
    <t>Agriculture_and_Agrofoods_Report.pdf</t>
  </si>
  <si>
    <t>PDF p.35; section 8 | Uploaded sector report PDF p.35, section 8 (scores); p.36 (company source list)</t>
  </si>
  <si>
    <t>OBS-082</t>
  </si>
  <si>
    <t>Tata Consumer</t>
  </si>
  <si>
    <t>Tata Consumer BRSR website PDF (URL path dated 2023-05; year not confirmed)</t>
  </si>
  <si>
    <t>https://www.tataconsumer.com/sites/g/files/gfwrlq316/files/2023-05/BRSR%20for%20Website.pdf</t>
  </si>
  <si>
    <t>F072</t>
  </si>
  <si>
    <t>OBS-076</t>
  </si>
  <si>
    <t>firm_name</t>
  </si>
  <si>
    <t>sector</t>
  </si>
  <si>
    <t>CCTS_obligated</t>
  </si>
  <si>
    <t>listed</t>
  </si>
  <si>
    <t>exchange</t>
  </si>
  <si>
    <t>ownership</t>
  </si>
  <si>
    <t>BRSR_filer</t>
  </si>
  <si>
    <t>I1</t>
  </si>
  <si>
    <t>I2</t>
  </si>
  <si>
    <t>I3</t>
  </si>
  <si>
    <t>I4</t>
  </si>
  <si>
    <t>I5</t>
  </si>
  <si>
    <t>I6</t>
  </si>
  <si>
    <t>I7</t>
  </si>
  <si>
    <t>I8</t>
  </si>
  <si>
    <t>I9</t>
  </si>
  <si>
    <t>I10</t>
  </si>
  <si>
    <t>DQS_total</t>
  </si>
  <si>
    <t>DQS_100</t>
  </si>
  <si>
    <t>sub_quantification</t>
  </si>
  <si>
    <t>sub_strategy</t>
  </si>
  <si>
    <t>sub_credibility</t>
  </si>
  <si>
    <t>reporting_FY</t>
  </si>
  <si>
    <t>coder_id</t>
  </si>
  <si>
    <t>second_coder_score</t>
  </si>
  <si>
    <t>agreed_score</t>
  </si>
  <si>
    <t>CBAM_covered_product</t>
  </si>
  <si>
    <t>export_intensity</t>
  </si>
  <si>
    <t>EU_export</t>
  </si>
  <si>
    <t>PAT_legacy_entity</t>
  </si>
  <si>
    <t>revenue</t>
  </si>
  <si>
    <t>total_assets</t>
  </si>
  <si>
    <t>PAT</t>
  </si>
  <si>
    <t>ROA</t>
  </si>
  <si>
    <t>total_debt</t>
  </si>
  <si>
    <t>finance_cost</t>
  </si>
  <si>
    <t>cost_of_debt_proxy</t>
  </si>
  <si>
    <t>capex</t>
  </si>
  <si>
    <t>size_band</t>
  </si>
  <si>
    <t>source_document</t>
  </si>
  <si>
    <t>reporting_year</t>
  </si>
  <si>
    <t>page_or_section</t>
  </si>
  <si>
    <t>URL</t>
  </si>
  <si>
    <t>date_accessed</t>
  </si>
  <si>
    <t>firm_id</t>
  </si>
  <si>
    <t>observation_id</t>
  </si>
  <si>
    <t>reported_DQS_total</t>
  </si>
  <si>
    <t>DQS_basis</t>
  </si>
  <si>
    <t>financial_year_match</t>
  </si>
  <si>
    <t>analysis_include</t>
  </si>
  <si>
    <t>record_status</t>
  </si>
  <si>
    <t>financial_basis</t>
  </si>
  <si>
    <t>OBSERVED FINANCIAL PANEL</t>
  </si>
  <si>
    <t>56 dated firm-year records | no repeated disclosure scores | monetary amounts ₹ crore</t>
  </si>
  <si>
    <t>OBSERVATION</t>
  </si>
  <si>
    <t>FINANCIAL DATA</t>
  </si>
  <si>
    <t>BASIS &amp; SOURCE</t>
  </si>
  <si>
    <t>Source-transcribed ratio; numerator, denominator and accounting basis require verification before pooled comparison.</t>
  </si>
  <si>
    <t>Source-transcribed; verify accounting basis</t>
  </si>
  <si>
    <t>FY2023-24</t>
  </si>
  <si>
    <t>CARE AA- (Stable) / ICRA AA-</t>
  </si>
  <si>
    <t>Total P&amp;L finance cost / average gross borrowings, transcribed; includes non-interest charges. Green-capex intensity is a source estimate. Do not interpret raw proxy as a pure borrowing rate. Contractual rate is midpoint of a disclosed term-loan range, not an exact weighted borrowing rate.</t>
  </si>
  <si>
    <t>Consolidated_Firm_Panel_FY24-FY26.xlsx</t>
  </si>
  <si>
    <t>Consolidated Panel; Ahluwalia Contracts (India) Ltd; FY 2023-24</t>
  </si>
  <si>
    <t>Review proxy distortion / small debt denominator</t>
  </si>
  <si>
    <t>Consolidated Panel; Ahluwalia Contracts (India) Ltd; FY 2024-25</t>
  </si>
  <si>
    <t>CARE AA- (Positive) / ICRA AA-</t>
  </si>
  <si>
    <t>Consolidated Panel; Ahluwalia Contracts (India) Ltd; FY 2025-26</t>
  </si>
  <si>
    <t>CRISIL AA+ (Stable) / CARE AA+ (Stable)</t>
  </si>
  <si>
    <t>Total P&amp;L finance cost / average gross borrowings, transcribed; includes non-interest charges. Green-capex intensity is a source estimate. Do not interpret raw proxy as a pure borrowing rate.</t>
  </si>
  <si>
    <t>Consolidated Panel; Astral Limited; FY 2023-24</t>
  </si>
  <si>
    <t>Consolidated Panel; Astral Limited; FY 2024-25</t>
  </si>
  <si>
    <t>Consolidated Panel; Astral Limited; FY 2025-26</t>
  </si>
  <si>
    <t>ICRA AA+ / CRISIL AA+</t>
  </si>
  <si>
    <t>Consolidated Panel; DLF Limited; FY 2023-24</t>
  </si>
  <si>
    <t>Source-transcribed financial year</t>
  </si>
  <si>
    <t>ICRA AA+ (Stable)</t>
  </si>
  <si>
    <t>Consolidated Panel; DLF Limited; FY 2024-25</t>
  </si>
  <si>
    <t>CRISIL AA+ / ICRA AA+</t>
  </si>
  <si>
    <t>Consolidated Panel; DLF Limited; FY 2025-26</t>
  </si>
  <si>
    <t>Consolidated Panel; Godrej Properties Limited; FY 2023-24</t>
  </si>
  <si>
    <t>ICRA AA+ (Stable) / CRISIL AA+</t>
  </si>
  <si>
    <t>Consolidated Panel; Godrej Properties Limited; FY 2024-25</t>
  </si>
  <si>
    <t>Consolidated Panel; Godrej Properties Limited; FY 2025-26</t>
  </si>
  <si>
    <t>CARE AAA (Stable) / CRISIL AA+</t>
  </si>
  <si>
    <t>Consolidated Panel; Kajaria Ceramics Limited; FY 2023-24</t>
  </si>
  <si>
    <t>Consolidated Panel; Kajaria Ceramics Limited; FY 2024-25</t>
  </si>
  <si>
    <t>Consolidated Panel; Kajaria Ceramics Limited; FY 2025-26</t>
  </si>
  <si>
    <t>CRISIL AAA</t>
  </si>
  <si>
    <t>Consolidated Panel; Larsen &amp; Toubro Limited; FY 2023-24</t>
  </si>
  <si>
    <t>Consolidated Panel; Larsen &amp; Toubro Limited; FY 2024-25</t>
  </si>
  <si>
    <t>Consolidated Panel; Larsen &amp; Toubro Limited; FY 2025-26</t>
  </si>
  <si>
    <t>ICRA AA- (Stable)</t>
  </si>
  <si>
    <t>Consolidated Panel; Lodha Developers Limited (Macrotech Developers); FY 2023-24</t>
  </si>
  <si>
    <t>ICRA AA (Stable) / India Ratings AA</t>
  </si>
  <si>
    <t>Consolidated Panel; Lodha Developers Limited (Macrotech Developers); FY 2024-25</t>
  </si>
  <si>
    <t>ICRA AA (Positive) / CRISIL AA</t>
  </si>
  <si>
    <t>Consolidated Panel; Lodha Developers Limited (Macrotech Developers); FY 2025-26</t>
  </si>
  <si>
    <t>CRISIL AA (Stable) / ICRA AA (Stable)</t>
  </si>
  <si>
    <t>Consolidated Panel; Mahindra Lifespace Developers Ltd; FY 2023-24</t>
  </si>
  <si>
    <t>Consolidated Panel; Mahindra Lifespace Developers Ltd; FY 2024-25</t>
  </si>
  <si>
    <t>Consolidated Panel; Mahindra Lifespace Developers Ltd; FY 2025-26</t>
  </si>
  <si>
    <t>CRISIL AA- (Positive) / India Ratings AA-</t>
  </si>
  <si>
    <t>Consolidated Panel; NCC Limited; FY 2023-24</t>
  </si>
  <si>
    <t>Consolidated Panel; NCC Limited; FY 2024-25</t>
  </si>
  <si>
    <t>CRISIL AA (Positive) / ICRA AA (Stable)</t>
  </si>
  <si>
    <t>Consolidated Panel; NCC Limited; FY 2025-26</t>
  </si>
  <si>
    <t>No comparable finance-cost / average-debt ratio supplied; adjusted profit, net debt and long-term-only debt are not substituted.</t>
  </si>
  <si>
    <t>Fertilisers_and_Chemicals_Report.pdf</t>
  </si>
  <si>
    <t>Public Financial Data; PDF pp.19–20; Table16; DCM Shriram</t>
  </si>
  <si>
    <t>Public Financial Data; PDF pp.19–20; Table16; Khaitan Chemicals &amp; Fertilizers</t>
  </si>
  <si>
    <t>CRISIL A+/Stable; ICRA A+ negative watch (Mar 2026)</t>
  </si>
  <si>
    <t>Public Financial Data; PDF pp.19–20; Table16; Krishana Phoschem</t>
  </si>
  <si>
    <t>Public Financial Data; PDF pp.19–20; Table16; Madhya Bharat Agro Products</t>
  </si>
  <si>
    <t>Public Financial Data; PDF pp.19–20; Table16; National Fertilizers Limited (NFL)</t>
  </si>
  <si>
    <t>Review mixed stated bases: standalone PAT; revenue basis unspecified</t>
  </si>
  <si>
    <t>Public Financial Data; PDF pp.19–20; Table16; SRF Limited</t>
  </si>
  <si>
    <t>Average-debt cost proxy unavailable: prior-year debt not supplied. Year-end debt proxy is not substituted.</t>
  </si>
  <si>
    <t>DQS- excel.xlsx</t>
  </si>
  <si>
    <t>Financials sheet: Godawari Power &amp; Ispat Ltd; source FY2025 (year ending March2025); export share reference: Annual Report FY2024-25, Annexure-03 p.143 (converted from Rs 7,148.78 lakh)</t>
  </si>
  <si>
    <t>Average-debt cost proxy unavailable: prior-year debt not supplied. Year-end debt proxy is not substituted. Export-intensity numerator uses standalone forex while revenue is consolidated; the ratio likely understates source export share.</t>
  </si>
  <si>
    <t>Financials sheet: Jindal Stainless Ltd; source FY2025 (year ending March2025); export share reference: Annual Report FY2024-25, p.176 | CAUTION: forex is standalone, revenue used here is consolidated (includes foreign subsidiaries) - export intensity likely understated. Replace column I with standalone revenue if possible.</t>
  </si>
  <si>
    <t>Financials sheet: Jindal Steel Ltd (JSPL); source FY2025 (year ending March2025); export share reference: Annual Report FY2024-25, Annexure D</t>
  </si>
  <si>
    <t>Financials sheet: JSW Steel Ltd; source FY2025 (year ending March2025); export share reference: Annual Report FY2024-25, p.389</t>
  </si>
  <si>
    <t>Financials sheet: Kalyani Steels Ltd; source FY2025 (year ending March2025); export share reference: Annual Report FY2024-25, p.73 (converted from Rs 139.69 million)</t>
  </si>
  <si>
    <t>Review ambiguous standalone/consolidated source basis</t>
  </si>
  <si>
    <t>Average-debt cost proxy unavailable: prior-year debt not supplied. Year-end debt proxy is not substituted. Disclosure evidence elsewhere cites parent NMDC Limited; firm/parent source alignment needs review.</t>
  </si>
  <si>
    <t>Financials sheet: NMDC Steel Ltd; source FY2025 (year ending March2025); export share reference: Annual Report FY2024-25, Board's Report annexure - stated NIL</t>
  </si>
  <si>
    <t>Financials sheet: Shyam Metalics &amp; Energy Ltd; source FY2025 (year ending March2025); export share reference: Integrated Annual Report FY2024-25, p.116</t>
  </si>
  <si>
    <t>Financials sheet: Steel Authority of India (SAIL); source FY2025 (year ending March2025); export share reference: Annual Report FY2024-25, Annexure XI, p.387</t>
  </si>
  <si>
    <t>Financials sheet: Tata Steel Ltd; source FY2025 (year ending March2025); export share reference: Annual Report FY2024-25, Annexure 9 Section C, p.316 | CAUTION: forex is standalone, revenue used here is consolidated (includes foreign subsidiaries) - export intensity likely understated. Replace column I with standalone revenue if possible.</t>
  </si>
  <si>
    <t>Raw finance-cost proxy may contain non-interest/lease components; not an effective borrowing rate.</t>
  </si>
  <si>
    <t>Transport_and_Logistics_Report.pdf</t>
  </si>
  <si>
    <t>PDF pp.19–20; section8.9; FY2024-25</t>
  </si>
  <si>
    <t>Ratio-only firm-year; amounts unavailable</t>
  </si>
  <si>
    <t>Raw finance-cost proxy may contain non-interest/lease components; not an effective borrowing rate. Delhivery152.22% is explicitly lease-distorted.</t>
  </si>
  <si>
    <t>Review lease-distorted outlier</t>
  </si>
  <si>
    <t>financial_FY</t>
  </si>
  <si>
    <t>total_capex</t>
  </si>
  <si>
    <t>market_to_book</t>
  </si>
  <si>
    <t>green_capex_intensity</t>
  </si>
  <si>
    <t>credit_rating</t>
  </si>
  <si>
    <t>contractual_borrowing_rate</t>
  </si>
  <si>
    <t>accounting_basis</t>
  </si>
  <si>
    <t>proxy_caution</t>
  </si>
  <si>
    <t>source</t>
  </si>
  <si>
    <t>source_locator</t>
  </si>
  <si>
    <t>EVIDENCE &amp; PROVENANCE</t>
  </si>
  <si>
    <t>1165 indicator/field references | source claims are retained with their limitations</t>
  </si>
  <si>
    <t>pp. 134, 178</t>
  </si>
  <si>
    <t>Scope 1 (61 MnT CO2e standalone / 78 MnT consolidated) and Scope 2 (5/6 MnT CO2e) disclosed for FY2024-25 and FY2023-24, standalone and consolidated, with intensity per turnover, per PPP-adjusted USD and per tonne crude steel; GHG Protocol methodology and operational-control boundary stated; reasonably assured by PwC.</t>
  </si>
  <si>
    <t>Source transcription; check conflicts and primary disclosures</t>
  </si>
  <si>
    <t>p. 183</t>
  </si>
  <si>
    <t>Total Scope 3 emissions given as a single figure (23 MnT standalone / 29 MnT consolidated, FY2024-25, with FY2023-24 comparatives) with intensity ratios, but no GHG-Protocol category breakdown; report notes "high level of uncertainty" in the estimate.</t>
  </si>
  <si>
    <t>pp. 141, 158</t>
  </si>
  <si>
    <t>Only an aspirational Net Zero by 2045 pledge is stated; no base year, no interim milestones, no quantified intensity trajectory in this document.</t>
  </si>
  <si>
    <t>pp. 141, 143, 182</t>
  </si>
  <si>
    <t>Named levers: EAF build-out at Ludhiana and Port Talbot ("Project Invictus"), IJmuiden low-emission transition (&gt;70% scrap target), TSN scrap-use target 17%→30% by 2030, Kalinganagar Phase-2 (5 MTPA, EAF-based). Mostly qualitative/directional; full quantification deferred to an external Climate Change Report not included here.</t>
  </si>
  <si>
    <t>p. 155</t>
  </si>
  <si>
    <t>Capex allocated to low-CO2 transition and related environmental initiatives disclosed at 37% of total capex in FY2024-25 (up from 18% in FY2023-24); R&amp;D spend of ₹916 crore cited. Absolute rupee figure for the low-emission component and multi-year commitments not broken out.</t>
  </si>
  <si>
    <t>pp. 141, 187</t>
  </si>
  <si>
    <t>No mention of CBAM or CCTS by name. Only generic regulatory-risk framing under material issues and public-policy advocacy for a "National Carbon Market"; no quantified exposure.</t>
  </si>
  <si>
    <t>-</t>
  </si>
  <si>
    <t>No internal carbon price disclosed anywhere in the document.</t>
  </si>
  <si>
    <t>pp. 141, 148</t>
  </si>
  <si>
    <t>GHG/climate change listed as a material issue with risk rationale and mitigation approach; TCFD listed among adopted frameworks, but no scenario narrative or quantified scenario analysis appears in this document (deferred to external Climate Change Report).</t>
  </si>
  <si>
    <t>pp. 135, 176-179</t>
  </si>
  <si>
    <t>Statement of Assurance confirms PwC provided reasonable assurance on BRSR Core indicators (standalone) for FY2024-25, plus limited assurance on select ESG factsheet indicators.</t>
  </si>
  <si>
    <t>pp. 143, 155, 167-168, 188-189</t>
  </si>
  <si>
    <t>Affirmative Action supplier spend of ₹230 crore (19% of addressable spend, +52% YoY); Vendor Capability Advancement Program covered 1,800 suppliers, benefiting 27,000+ contract workers; MSME sourcing at 10% of standalone inputs; UK Steel Enterprise supports transition/outplacement for workers affected by restructuring (e.g., TSUK blast-furnace closure).</t>
  </si>
  <si>
    <t>Sec C, Principle 6, Q7, p.31 (boundary at Sec A, field 13, p.3)</t>
  </si>
  <si>
    <t>Scope 1 = 6.03 crore tCO2e (PY 5.31 crore) and Scope 2 disclosed for two years with units; reporting boundary stated as standalone. NO emission factors or calculation methodology named anywhere in the BRSR, so anchor 3 ('methodology/boundary stated') not fully met under the strict rule. Scored 2.</t>
  </si>
  <si>
    <t>Sec C, Principle 6, Q Scope 3, p.34</t>
  </si>
  <si>
    <t>Total Scope 3 = 89,51,313.29 tCO2e for two years, independently assured by Bureau Veritas. Aggregate figure only; no material categories identified or broken out, so anchor 3 not met. Scored 2.</t>
  </si>
  <si>
    <t>pp.7 and 32</t>
  </si>
  <si>
    <t>Target of 42% reduction in CO2 intensity from a 2005 base year, to below 1.95 tCO2/tcs by 2030; net neutral by 2050. Base year + target year + interim milestone with progress reported.</t>
  </si>
  <si>
    <t>Sec C, Principle 6, Q8, pp.32 and 36</t>
  </si>
  <si>
    <t>Named levers: energy efficiency, renewable energy (1 GW), scrap circularity, alternative fuels, 25 MW electrolyser for green hydrogen, 100 TPD CCU pilot. Levers named and partly sized, but no timelines or capex attached to each lever, so anchor 3 not met. Scored 2.</t>
  </si>
  <si>
    <t>Sec C, Principle 2, R&amp;D and capex table, p.16</t>
  </si>
  <si>
    <t>Environmental/social capex share disclosed: 14.51% of total capex (PY 2.02%). Under the strict rule this is environmental capex generally (covering water, dust, effluent), not decarbonisation capex specifically, and no rupee amount is given. Mentioned without amounts. Scored 1.</t>
  </si>
  <si>
    <t>Sec A materiality/risk table, pp.7-9; PAT reference p.30</t>
  </si>
  <si>
    <t>Zero occurrences of 'CBAM', 'Carbon Border', 'CCTS' or 'carbon pricing' in the entire BRSR. Only a generic climate transition-risk row in the materiality table and PAT scheme compliance. Generic regulatory-risk mention only. Scored 1. NOTE: JSW is the most EU-export-exposed firm in the sample; this null is a substantive finding, not a coding gap.</t>
  </si>
  <si>
    <t>Not found - full-document search</t>
  </si>
  <si>
    <t>No occurrence of 'internal carbon price' or equivalent anywhere in the BRSR.</t>
  </si>
  <si>
    <t>Sec A materiality/risk table, pp.7-9</t>
  </si>
  <si>
    <t>Climate change listed as a material risk with transition-risk narrative. No scenario analysis, no TCFD or IFRS S2 reference. The only 'scenario' term in the document refers to the IEA SDS pathway used to benchmark the intensity target, not to a climate risk scenario exercise. Risks listed, no scenarios. Scored 1.</t>
  </si>
  <si>
    <t>Sec A, fields 14-15, p.3</t>
  </si>
  <si>
    <t>Assurance provider: Bureau Veritas. Type of assurance obtained: Reasonable. Covers BRSR Core indicators. Scored 3.</t>
  </si>
  <si>
    <t>Sec C, Principle 3 and Principle 8, pp.37-38</t>
  </si>
  <si>
    <t>CSR spend and generic value-chain partner language. No workforce reskilling or MSME supplier programme linked to the low-carbon transition. Generic mention only. Scored 1.</t>
  </si>
  <si>
    <t>p. 25</t>
  </si>
  <si>
    <t>Scope 1 = 52,622,079 tCO2 and Scope 2 = 2,446,630 tCO2 disclosed for FY23-24 with FY22-23 comparatives (47,603,938 / 3,020,822 tCO2) and intensity (2.90 t/tcs); no GHG-accounting methodology/boundary stated, and the entity confirms no external assurance was done specifically on this table.</t>
  </si>
  <si>
    <t>p. 28</t>
  </si>
  <si>
    <t>Scope 3 reported as −5,300,064 tCO2e (FY23-24) and −5,620,400 tCO2e (FY22-23), explicitly "partially covered," calculated per World Steel Association methodology — method stated but categories incomplete.</t>
  </si>
  <si>
    <t>p. 6</t>
  </si>
  <si>
    <t>Commitment to substantially reduce CO2 emissions and raise renewable/non-conventional energy share by 2030, and achieve net zero by 2070 — target years given, but no explicit base year or quantified reduction percentage.</t>
  </si>
  <si>
    <t>pp. 6, 10, 25-28</t>
  </si>
  <si>
    <t>Named levers: rising renewable/non-conventional energy share, Zero Liquid Discharge across plants, 100% slag/waste utilisation target ("SAIL Green Tiles Plant"), effluent treatment upgrades, R&amp;D on coal blending and furnace energy efficiency — not quantified with a consolidated decarbonisation capex/timeline.</t>
  </si>
  <si>
    <t>p. 10</t>
  </si>
  <si>
    <t>Capex of ₹5,646 crore (FY23-24) and ₹5,474 crore (FY22-23) disclosed under environmental and social impacts, but explicitly stated as "not separately ascertained" between social and environmental/decarbonisation spend.</t>
  </si>
  <si>
    <t>No mention of CBAM, CCTS, carbon tax, or any carbon-pricing regulatory exposure anywhere in the report.</t>
  </si>
  <si>
    <t>No internal carbon price disclosed, mentioned, or referenced as under consideration.</t>
  </si>
  <si>
    <t>p. 4</t>
  </si>
  <si>
    <t>GHG emissions/carbon footprint listed as a material risk with rationale and mitigation approach, but no scenario narrative or TCFD/IFRS S2-style scenario analysis presented.</t>
  </si>
  <si>
    <t>pp. 1, 35-40</t>
  </si>
  <si>
    <t>SR Asia provided a Reasonable Assurance Statement (ISAE 3000 Revised) on BRSR Core metrics, covering energy, water, Scope 1 &amp; 2 GHG emissions/intensity, waste, and safety indicators.</t>
  </si>
  <si>
    <t>pp. 9, 16, 19, 31-32</t>
  </si>
  <si>
    <t>MSE procurement ₹2,919.87 crore (29.28% of total procurement, up from ₹2,233.72 crore); procurement from SC/ST MSEs ₹7.65 crore and women MSEs ₹120.21 crore; 20 Vendor Development Programmes + 18 special VDPs for SC/ST/women MSEs; 2,369 women and 1,578 youths given vocational/skill training; CRR (Counselling, Retraining, Redeployment) scheme for rationalised employees.</t>
  </si>
  <si>
    <t>BRSR Sec C, Principle 6, Q7, pp.278-279</t>
  </si>
  <si>
    <t>Scope 1 = 35.63 and Scope 2 = 0.69 mn tCO2e, two years, externally verified by TUV SUD. Reporting boundary standalone. No emission factors or calculation methodology stated, so anchor 3 not fully met under the strict rule. Scored 2.</t>
  </si>
  <si>
    <t>BRSR Sec C, Principle 6, pp.282-283</t>
  </si>
  <si>
    <t>Scope 3 total reported for the current year only; no prior-year comparative and no material category breakdown. Scored 2.</t>
  </si>
  <si>
    <t>Progress Towards Goals, pp.138-139</t>
  </si>
  <si>
    <t>Net zero by 2047 (aspiration 2035); 30% emission-intensity reduction by 2030 against a 2005 base. Progress table shows 2.68 vs 2.74 tCO2e/tcs year on year. Base year + target year + interim progress reported.</t>
  </si>
  <si>
    <t>Decarbonisation roadmap, pp.38-39</t>
  </si>
  <si>
    <t>Lever-by-lever roadmap with quantified actions: 3,600 TPD CO2 capture at Angul, 6 MTPA pellet plant, 19 MWp rooftop solar, 192-km slurry pipeline, syngas-DRI extension, 12-14 MTPA conveyor. Plan with quantified levers and timelines.</t>
  </si>
  <si>
    <t>BRSR Sec C, Principle 2, R&amp;D and capex table, pp.258-259</t>
  </si>
  <si>
    <t>Environmental/social capex share = 6.52% (PY 3.21%). Strict rule: environmental capex generally, not decarbonisation capex specifically; no rupee amount allocated to decarbonisation. Scored 1.</t>
  </si>
  <si>
    <t>Risk register and CBAM-readiness training, pp.60-61</t>
  </si>
  <si>
    <t>CBAM named as a relevant regulatory and market-access risk, and CBAM-readiness training referenced. Exposure is NOT quantified and no pass-through analysis given, so anchor 3 not met. Scored 2.</t>
  </si>
  <si>
    <t>No mention of an internal carbon price anywhere in the Integrated Report.</t>
  </si>
  <si>
    <t>Climate risk assessment integrated into ERM, pp.140-141</t>
  </si>
  <si>
    <t>TCFD-aligned climate risk assessment; states scenario analysis was run across 2030 and 2050 horizons to quantify exposure and align capital planning. However NO quantified scenario results are published. Strict rule scores the disclosure, not the claim: qualitative scenario narrative. Scored 2. CONTESTED CELL - a lenient coder scores 3 on the stated quantification.</t>
  </si>
  <si>
    <t>BRSR Sec A, assurance fields, pp.242-243</t>
  </si>
  <si>
    <t>Reasonable assurance on BRSR Core indicators by TUV SUD. Scored 3.</t>
  </si>
  <si>
    <t>Skilling and community, pp.58-59</t>
  </si>
  <si>
    <t>20+ ITIs, 50,000+ students over five years, framed as enabling continuous reskilling. Strict rule: this is CSR education/skilling not explicitly linked to decarbonisation or transition-affected workers, and there is no MSME supplier transition programme. Scored 1. CONTESTED CELL - a lenient coder scores 2 on the reskilling framing.</t>
  </si>
  <si>
    <t>pp. 1, 33</t>
  </si>
  <si>
    <t>Scope 1 (2,992,333.83 tCO2e) and Scope 2 (787,140.25 tCO2e) disclosed for FY23-24 with FY22-23 comparatives, plus intensity metrics; independently assured (reasonable assurance) by TUV SUD per ISAE 3000 / SEBI circular; standalone reporting boundary stated.</t>
  </si>
  <si>
    <t>p. 38</t>
  </si>
  <si>
    <t>Total Scope 3 emissions quantified for two years (3,345,443 tCO2e FY24 vs 2,781,561 tCO2e FY23) with intensity metrics and third-party assurance, but reported as a single aggregate figure with no category breakdown.</t>
  </si>
  <si>
    <t>pp. 5, 11</t>
  </si>
  <si>
    <t>Target to reduce emission intensity by 50% vs FY2022 baseline and achieve Net Zero by 2050; SBTi commitment for near-term science-based targets. Base and target years stated, but no interim milestone framework beyond a directional FY24 reduction figure (~76 ktCO2e).</t>
  </si>
  <si>
    <t>pp. 33, 39-40</t>
  </si>
  <si>
    <t>Named levers: 7.3 MWp floating solar, 23 MWp rooftop solar, 100 MW round-the-clock RE agreement with ReNew Power, waste heat recovery boilers, chrome pelletization plant, 27 ENCON projects, bio-char coal substitution, green hydrogen pilot at Hisar — not consolidated into a single roadmap with year-wise targets or total capex.</t>
  </si>
  <si>
    <t>p. 16</t>
  </si>
  <si>
    <t>Capex to environmental/social-pillar projects reported at 23.42% of total capex (vs 12.53% prior year), with named projects (Waste Heat Recovery Boiler, ZLD, floating solar, acid recovery). Single-year percentage disclosure, not multi-year absolute commitments.</t>
  </si>
  <si>
    <t>No mention of CBAM, EU carbon border mechanism, or India's CCTS anywhere in the report, despite ~17% of turnover from exports including to the EU.</t>
  </si>
  <si>
    <t>No internal carbon price, shadow price, or stated intent to adopt one.</t>
  </si>
  <si>
    <t>p. 5</t>
  </si>
  <si>
    <t>GHG emissions/climate change listed as a material risk with rationale and negative financial implication, but no TCFD/IFRS S2-style scenario narrative or quantified scenario modelling.</t>
  </si>
  <si>
    <t>pp. 1, 33, 46-47</t>
  </si>
  <si>
    <t>SGS India provided reasonable assurance (SEBI circular, ISAE 3000 Revised) covering BRSR Core and non-core indicators, with on-site verification at Jajpur and Hisar; TUV SUD separately assured Scope 1/2 GHG data.</t>
  </si>
  <si>
    <t>pp. 11, 16, 42</t>
  </si>
  <si>
    <t>5.38% of input material sourced from MSMEs/small producers; Supplier Code of Conduct; ~1,66,000 employee learning hours; skill-training/livelihood CSR reaching ~68,718 and ~87,530 beneficiaries; entrepreneurship (234) and rural development (13,176) verticals — not explicitly linked to decarbonisation/energy-transition outcomes.</t>
  </si>
  <si>
    <t xml:space="preserve">Annual Report, NMDC Limited (BRSR embedded) </t>
  </si>
  <si>
    <t>BRSR Sec C, Principle 6, Q7, p.177-178</t>
  </si>
  <si>
    <t>Scope 1 = 103,482 and Scope 2 = 84,202 tCO2e, two years, restated prior year, independently assured by Bureau Veritas. Emission factors explicitly named: DEFRA 2024, USEPA and CEA. Physical intensity also given (0.0033 tCO2e/tonne of iron ore). ONLY firm in the sample to state methodology, so the only firm meeting anchor 3 under the strict rule. Scored 3.</t>
  </si>
  <si>
    <t>BRSR Sec C, Principle 6, p.181</t>
  </si>
  <si>
    <t>Scope 3 = 67,620,577 tCO2e (PY 65,830,840, restated), assured by Bureau Veritas, GHG Protocol referenced. Aggregate only, no material category breakdown. Scored 2. NOTE internal contradiction: strategy section (pp.60-61) lists 'implementing Scope 3 emissions tracking' as a FUTURE focus area while the BRSR already reports a figure.</t>
  </si>
  <si>
    <t>Chairman's statement and strategy, pp.18-26</t>
  </si>
  <si>
    <t>States the company is 'in the process of formulating a comprehensive net zero strategy' and references India's 2070 national target. No firm corporate target, no base year, no target year. Aspirational statement, no year. Scored 1.</t>
  </si>
  <si>
    <t>BRSR Sec C, Principle 6, Q8, p.178</t>
  </si>
  <si>
    <t>Response lists wind power (10.5 MW / seven 1.5 MW turbines at Chitradurga, ~19 million units generated) and rooftop solar (~1.64 million units). Initiatives only; no plan, no levers mapped to a target. Generic intent stated. Scored 1.</t>
  </si>
  <si>
    <t>BRSR Sec C, Principle 2, R&amp;D and capex table, p.161</t>
  </si>
  <si>
    <t>Environmental/social capex share = 28.80% (PY 43.82%) - highest in sample. But the named example is the Rs 800 crore Bailadila-Nagarnar slurry pipeline, an ore-EVACUATION LOGISTICS project. Strict rule: not decarbonisation capex. Scored 1.</t>
  </si>
  <si>
    <t>Risk table, pp.24-26</t>
  </si>
  <si>
    <t>Zero occurrences of 'CBAM', 'Carbon Border' or 'CCTS' in the entire report. Only a generic 'Environmental and Climate Risks' row. Generic regulatory-risk mention. Scored 1.</t>
  </si>
  <si>
    <t>No mention of an internal carbon price.</t>
  </si>
  <si>
    <t>Climate risks listed in the risk register with mitigation notes. No TCFD, no IFRS S2, no scenario analysis anywhere in the document. Risks listed, no scenarios. Scored 1.</t>
  </si>
  <si>
    <t>BRSR Sec A, fields 14-15, p.148</t>
  </si>
  <si>
    <t>Assurance provider: Bureau Veritas (India) Pvt. Ltd. Type of assurance obtained: Reasonable. Repeated against individual environmental tables (Scope 1&amp;2, Scope 3, water). Scored 3.</t>
  </si>
  <si>
    <t>CSR and community, pp.54, 67-71</t>
  </si>
  <si>
    <t>Substantial CSR skilling: Education City at Geedam, ITIs at Nagarnar and Bhansi, COPA vocational courses, 582 tribal girls funded for nursing, 12,000+ students. None framed as transition-related; no MSME supplier decarbonisation programme. Scored 1.</t>
  </si>
  <si>
    <t>BRSR Sec C, Principle 6, Q7, p.31 (boundary Sec A, p.4)</t>
  </si>
  <si>
    <t>Scope 1 and 2 disclosed for two years with units; reporting boundary stated as consolidated. No emission factors or methodology stated. Scored 2 under the strict rule.</t>
  </si>
  <si>
    <t>BRSR Sec C, Principle 6, p.34</t>
  </si>
  <si>
    <t>States the company is in the process of calculating Scope 3 emissions, with initiatives in progress to monitor and document this information. Acknowledged as relevant but not quantified. Scored 1.</t>
  </si>
  <si>
    <t>No emission-intensity target, no base year, no target year, no net-zero or carbon-neutral commitment anywhere in the BRSR or Annual Report. Scored 0.</t>
  </si>
  <si>
    <t>BRSR Sec C, Principle 6, Q8, pp.2-3, 31</t>
  </si>
  <si>
    <t>Response to the GHG-reduction-project question lists 6,464 saplings planted and 2.83 MW of floating and rooftop solar. Strict rule: these are discrete actions, not a transition plan or even a stated intent to transition. Scored 0. CONTESTED CELL - a lenient coder scores 1 as generic intent.</t>
  </si>
  <si>
    <t>BRSR Sec C, Principle 2, R&amp;D and capex table</t>
  </si>
  <si>
    <t>No environmental/decarbonisation capex amount or share disclosed. Scored 0.</t>
  </si>
  <si>
    <t>BRSR Sec A materiality table, material issue 7, pp.8-9</t>
  </si>
  <si>
    <t>GHG emissions and climate change listed as a material issue with physical and transition risk narrative. No CBAM, no CCTS, no carbon-pricing exposure named. Generic regulatory-risk mention. Scored 1.</t>
  </si>
  <si>
    <t>Climate listed as material risk with a physical/transition risk narrative. No scenario analysis, no TCFD or IFRS S2. Scored 1.</t>
  </si>
  <si>
    <t>BRSR Sec A, assurance fields, p.4</t>
  </si>
  <si>
    <t>Assurance provider field: Not Applicable. Type of assurance: not obtained. All external-agency verification questions in Principle 6 answered No. Scored 0. NOTE: FY2025-26 BRSR (filed 3 Aug 2026) reportedly carries reasonable assurance by BDO India - this score is STALE and must be re-coded on FY26.</t>
  </si>
  <si>
    <t>BRSR Sec C, Principles 3 and 8, pp.25, 38-39</t>
  </si>
  <si>
    <t>CSR spend and generic value-chain partner language. No transition-linked workforce or MSME supplier programme. Scored 1.</t>
  </si>
  <si>
    <t>p. 112</t>
  </si>
  <si>
    <t>Scope 1 (1,553,940 tCO2e), Scope 2 (266,491 tCO2e) and total (1,820,431 tCO2e) disclosed for FY24-25 with FY23-24 comparatives; intensity per turnover and per physical output given; GHG inventory prepared by SGS India following ISO 14064.</t>
  </si>
  <si>
    <t>No Scope 3 figures or category breakdown appear anywhere in the report.</t>
  </si>
  <si>
    <t>p. 88</t>
  </si>
  <si>
    <t>No quantified emission-intensity target with base/target year; materiality table only states the company is "working on decarbonization" with no numeric target or timeline.</t>
  </si>
  <si>
    <t>p. 113</t>
  </si>
  <si>
    <t>Six named levers: waste-heat utilisation for power generation, renewable energy integration, carbon capture &amp; utilisation pilot, energy efficiency &amp; BEE-CCTS participation, industrial EVs, green steel/raw-material sourcing — without quantified targets, timelines or capex per lever.</t>
  </si>
  <si>
    <t>p. 95</t>
  </si>
  <si>
    <t>Capex table shows environmental/social capex share of 12% (FY24-25) vs 36.33% (FY23-24); solar power plant cited to replace conventional power. Amount/share disclosed but no multi-year committed allocation plan.</t>
  </si>
  <si>
    <t>"BEE-CCTS Participation" explicitly named as a GHG-reduction lever, i.e., engagement with India's Carbon Credit Trading Scheme; no CBAM mention and no quantified exposure/pass-through analysis.</t>
  </si>
  <si>
    <t>No internal carbon price mentioned anywhere in the document.</t>
  </si>
  <si>
    <t>Climate change listed as a material risk with generic rationale (India's NDCs) and mitigation approach ("working on decarbonization"); no scenario narrative or quantified analysis.</t>
  </si>
  <si>
    <t>pp. 83, 110-114</t>
  </si>
  <si>
    <t>Cover page states "Name of Assurance Provider: Not applicable" / "Type of Assurance obtained: Not applicable", ruling out formal external assurance; energy/water/emissions tables reference internal review, periodic environmental audits and GHG inventory by SGS India (technical verification, not a formal assurance statement).</t>
  </si>
  <si>
    <t>pp. 88, 96, 118</t>
  </si>
  <si>
    <t>18% of inputs sourced from MSMEs/small producers (up from 10.29%); 100% of wages paid in rural locations at or above minimum wage; Suppliers' Code of Conduct in place — concrete workforce/MSME metrics but not explicitly framed as decarbonisation-linked reskilling/supplier outcomes.</t>
  </si>
  <si>
    <t>BRSR Sec C, Principle 6, Q7, p.99 (boundary Sec A, p.81)</t>
  </si>
  <si>
    <t>Scope 1 = 588,692 tCO2e (PY 593,189) and Scope 2 disclosed for two years with units; boundary standalone. No emission factors or methodology stated. Scored 2 under the strict rule.</t>
  </si>
  <si>
    <t>BRSR Sec C, Principle 6</t>
  </si>
  <si>
    <t>No Scope 3 row, no acknowledgement of Scope 3 relevance anywhere in the report. Scored 0.</t>
  </si>
  <si>
    <t>No emission-intensity target, no base year, no target year, no net-zero commitment. Scored 0.</t>
  </si>
  <si>
    <t>No transition plan and no stated intent to transition. Scored 0.</t>
  </si>
  <si>
    <t>No decarbonisation or environmental capex amount or share disclosed. Scored 0.</t>
  </si>
  <si>
    <t>MD&amp;A, pp.5-7; BRSR Principle 6 energy section, pp.97-98</t>
  </si>
  <si>
    <t>CBAM named explicitly in the MD&amp;A. Separately discloses that the company is under the PAT/CCTS scheme, that PAT 7A targets could not be achieved, and that e-certificates from PAT cycle 3 will be adjusted against the shortfall. CCTS named as relevant to the entity's own obligations. Scored 2. NOTE: this is HIGHER than JSW, the most export-exposed firm - a substantive finding.</t>
  </si>
  <si>
    <t>No climate-risk scenario analysis, no TCFD, no IFRS S2, and no climate risk row in the risk section. Scored 0.</t>
  </si>
  <si>
    <t>BRSR Sec A, assurance field, p.81</t>
  </si>
  <si>
    <t>Header field 'Name of the assurance provider' answered Not Applicable. Scored 0 on the strict header-field rule. CONTESTED CELL - the note under the Scope 1&amp;2 table (p.99) answers 'Yes, Deutsch Quality Systems (India) Private Limited' to the independent-assessment question, so a lenient coder scores 2 (limited external assurance on GHG data). This is the ONLY two-point disagreement in the reliability exercise and the single most important cell to reconcile as a group.</t>
  </si>
  <si>
    <t>BRSR Sec C, Principle 8, p.54; procurement from MSMEs p.~</t>
  </si>
  <si>
    <t>CSR spend and MSME procurement share disclosed (27.83% vs 14.87%), but no transition-linked workforce or MSME supplier decarbonisation programme. Scored 1.</t>
  </si>
  <si>
    <t>Dalmia Bharat IR 2025-26</t>
  </si>
  <si>
    <t>BRSR Principle 6 Q7; p.280</t>
  </si>
  <si>
    <t>Scope 1: 15.75 MMT / Scope 2: 0.48 MMT (FY25-26) vs 15.33/0.41 (FY24-25); multiple intensity metrics (per turnover, PPP-adjusted, per tonne cementitious); third-party 'reasonable assurance' by TUV India.</t>
  </si>
  <si>
    <t>Natural Capital section; p.70</t>
  </si>
  <si>
    <t>7 categories quantified (Purchased Goods &amp; Services, Capital Goods, Fuel-and-energy, Upstream Transport, Business Travel, Employee Commuting, Downstream Transport) per WBCSD cement-sector guidance; total 14,76,226 tCO2 (FY25-26).</t>
  </si>
  <si>
    <t>Natural Capital/ESG Dashboard; p.69</t>
  </si>
  <si>
    <t>SBTi-aligned targets: Scope 1 intensity -32% and Scope 2 intensity -61.9% by 2034 (vs FY implicit baseline); 'Grey to Green' roadmap target 422 kg CO2/t by 2030 vs 546 kg CO2/t FY18-19 baseline; FY25-26 progress reported (14%/42% achieved).</t>
  </si>
  <si>
    <t>—; p.69-71, 142-143</t>
  </si>
  <si>
    <t>Named, quantified levers (blended cement, renewable/fossil-free electricity, recycled waste/biomass fuel) with tCO2-avoided figures per lever, CCUS/green hydrogen pilots, and capex-linked R&amp;D spend (Rs.177 crore), timelines to 2030/2034/2040.</t>
  </si>
  <si>
    <t>Value Creation Model; p.143</t>
  </si>
  <si>
    <t>Single-year capex figure disclosed: Rs.177 crore spent as capex for addition of sustainable production assets and R&amp;D (FY25-26); no explicit multi-year committed allocation found.</t>
  </si>
  <si>
    <t>BRSR Q8 / Sustainability narrative; p.142</t>
  </si>
  <si>
    <t>CCTS named and operationally relevant -- 12 cement plants already under the CCTS cycle implementing emission-reduction projects; voluntary Article 6.2/6.4 project feasibility being assessed. No quantified rupee exposure or pass-through analysis found.</t>
  </si>
  <si>
    <t>Dalmia Bharat IR 2025-26 (reviewed)</t>
  </si>
  <si>
    <t>N/A — indicator not disclosed; p.N/A</t>
  </si>
  <si>
    <t>No internal carbon price / shadow price mechanism disclosed in the report.</t>
  </si>
  <si>
    <t>'Enhancing Transparency and Disclosures'; p.68-69</t>
  </si>
  <si>
    <t>TCFD framework adopted for climate governance/risk-management narrative; own emissions trajectory benchmarked against the TPI 1.5C sector pathway (quantitative trend line) but no explicit multi-scenario (SSP/IPCC) site-level modelling found; company states it is progressing toward IFRS S2/TNFD-aligned disclosure.</t>
  </si>
  <si>
    <t>BRSR Principle 6; p.279-280</t>
  </si>
  <si>
    <t>'Third party reasonable assurance' explicitly stated for air-emissions and Scope 1/2 GHG BRSR disclosures, conducted by TUV India Pvt Ltd.</t>
  </si>
  <si>
    <t>BRSR Principle 8 / Supply Chain; p.79-80</t>
  </si>
  <si>
    <t>Specific programmes disclosed: 12% input sourced from MSMEs/small producers, job-creation-by-location wage split, supplier-development/digital-onboarding support for smaller vendors, timely MSME payments. No quantified reskilling/supplier-decarbonisation outcome tied to the low-carbon transition specifically.</t>
  </si>
  <si>
    <t>Shree Cement IR 2025-26</t>
  </si>
  <si>
    <t>BRSR Principle 6 Q7; p.233</t>
  </si>
  <si>
    <t>Scope 1: 2,20,31,435 t / Scope 2: 3,13,672 t (2025-26) vs 2024-25 comparatives; 4 intensity metrics reported; assured by SGS India.</t>
  </si>
  <si>
    <t>Natural Capital section; p.233</t>
  </si>
  <si>
    <t>8 categories quantified (Cat 3,4,5,6,7,8,9,13) with methodology note on refinement; total 15,95,877 tCO2e (2025-26).</t>
  </si>
  <si>
    <t>Natural Capital / BRSR Principle 6; p.211</t>
  </si>
  <si>
    <t>SBTi targets: Scope 1 intensity -12.7% and Scope 2 intensity -27.1% by 2030 (base year 2019); current-year performance against target explicitly reported (0.553 vs 0.51 target for Scope 1).</t>
  </si>
  <si>
    <t>—; p.151-152</t>
  </si>
  <si>
    <t>Named levers (WHRS, solar/wind additions with MW figures, alternative fuels/TSR, blended cement) quantified year-on-year, tied to 2030/2050 targets and CCTS plant-level compliance.</t>
  </si>
  <si>
    <t>Natural Capital; p.152</t>
  </si>
  <si>
    <t>Amounts disclosed for individual green-energy additions (22 MW WHRS, 6 MW &amp; 4.5 MW &amp; 0.11 MW solar, 20 MW subsidiary) but no single aggregated multi-year decarbonisation capex figure found.</t>
  </si>
  <si>
    <t>CCTS named as directly relevant: 4 integrated plants + 3 grinding units assigned carbon-reduction targets under GEI Target Rules; PAT-to-CCTS transition discussed. No quantified financial exposure found.</t>
  </si>
  <si>
    <t>Shree Cement IR 2025-26 (reviewed)</t>
  </si>
  <si>
    <t>Risk Management; p.147</t>
  </si>
  <si>
    <t>Climate change listed as a top enterprise risk with qualitative description (heat stress, water scarcity) and mitigation strategy, but no formal scenario analysis (SSP/IPCC/TCFD quantitative scenarios) found in the report.</t>
  </si>
  <si>
    <t>Independent Assurance Statement; p.428-431</t>
  </si>
  <si>
    <t>Independent Assurance Statement (SGS India, ISAE 3000/3410): Reasonable level of assurance on BRSR Core indicators (9 ESG attributes); Limited assurance on remaining essential/leadership indicators.</t>
  </si>
  <si>
    <t>BRSR Principle 8; p.242</t>
  </si>
  <si>
    <t>21.18% input sourced from MSMEs/small producers, job-creation-by-location wage split, Rs.55.76 crore community-development spend (Gram Parivartan-style). Programmes are specific but not linked to decarbonisation reskilling outcomes.</t>
  </si>
  <si>
    <t>BRSR Principle 6 Q7; p.328-329</t>
  </si>
  <si>
    <t>Scope 1: 13,488,976 t / Scope 2: 625,212 t (FY24-25) vs FY23-24 comparatives; intensity per turnover, PPP-adjusted and per tonne cementitious; assured by TUV India.</t>
  </si>
  <si>
    <t>Environmental Indicators (GRI 305-3); p.465</t>
  </si>
  <si>
    <t>Aggregate Scope 3 total disclosed as a 5-year trend (1.06 to 1.48 million tCO2/yr, FY21-22 to FY25-26) in Environmental Indicators table, but no category-level (WBCSD/GHG Protocol Cat 1-15) breakdown found in the report.</t>
  </si>
  <si>
    <t>Natural Capital; p.129</t>
  </si>
  <si>
    <t>SBTi-validated Near-Term (2030, base FY2023) and Net-Zero (2050) targets: Scope 1 -16.3%, Scope 2 -53.1%, combined -18.5%; FY24-25 performance shown against 2030 target (e.g., Scope 1 421 vs target 484 kg/t; Scope 2 10 vs target 22 kg/t).</t>
  </si>
  <si>
    <t>Natural Capital; p.130-131</t>
  </si>
  <si>
    <t>Structured lever framework across Scope 1/2/3 (energy efficiency, alternate fuels, RDH zero-carbon heating partnership with Coolbrook, WHRS, no new fossil captive power, EV logistics) with named future initiatives (CCUS pilot, green hydrogen).</t>
  </si>
  <si>
    <t>Natural Capital / BRSR Principle 2; p.128, 314</t>
  </si>
  <si>
    <t>Parent Ambuja Cements' Rs.100 billion (~Rs.10,000 crore) RE investment plan referenced as a group-level commitment benefiting ACC; ACC-specific capex not separately itemised for decarbonisation (a small Rs.2.93 crore capex figure appears only under Principle 2 clinker-factor R&amp;D).</t>
  </si>
  <si>
    <t>Climate Risk section; p.195</t>
  </si>
  <si>
    <t>PAT scheme and 'upcoming policies may introduce carbon pricing mechanisms' flagged as a transition risk (policy &amp; legal / market categories); CBAM not specifically named for ACC. No quantified exposure figure found.</t>
  </si>
  <si>
    <t>Natural Capital / Climate Risks; p.128-129</t>
  </si>
  <si>
    <t>Internal Carbon Pricing (ICP) mechanism in use, valuing CO2 at USD 28/tonne; shadow-pricing model explicitly applied to investment decisions, supplier selection, operational efficiency and regulatory-compliance planning.</t>
  </si>
  <si>
    <t>Natural Capital / Climate Risks; p.194</t>
  </si>
  <si>
    <t>Formal, quantified scenario analysis using IPCC SSP1-2.6, SSP2-4.5 and SSP5-8.5 across all sites for physical risks (flood, drought, cyclone, wildfire, water stress), aligned to TCFD and IFRS S2; conclusion that no site currently faces physical climate risk.</t>
  </si>
  <si>
    <t>Reporting Framework / Assurance Statement; p.front-matter, 581</t>
  </si>
  <si>
    <t>TUV India Private Limited assured the non-financial BRSR disclosures per ISAE 3000(revised)/ISAE 3410 and AA1000; report references an 'Assurance Statement on BRSR' annexe but the reasonable-vs-limited split (as SEBI mandates for BRSR Core) was not evidenced in the sections reviewed.</t>
  </si>
  <si>
    <t>BRSR Principle 2 / Financial Notes; p.314</t>
  </si>
  <si>
    <t>MSME dues/payment terms disclosed in financial notes; &gt;90% of input sourced locally within India; sustainable-sourcing procedures described. No quantified reskilling or MSME supplier-decarbonisation outcome found.</t>
  </si>
  <si>
    <t>BRSR; p.232-233</t>
  </si>
  <si>
    <t>Scope 1: 12,725,657 t / Scope 2: 392,400 t (FY26) vs FY25 comparatives; intensity per turnover, PPP-adjusted, per tonne cementitious; assured by TUV India (BRSR core elements).</t>
  </si>
  <si>
    <t>BRSR, Scope 3 category table; p.233</t>
  </si>
  <si>
    <t>8 categories quantified with stated calculation method per category (spend-based, distance-based, waste-type per GHG Protocol Technical Guidance); total 2,319,387 tCO2e (FY25-26) vs 1,452,883 (FY24-25).</t>
  </si>
  <si>
    <t>Climate Change &amp; Emission Management; p.122-123</t>
  </si>
  <si>
    <t>SBTi targets: Scope 1 intensity -20.4%, Scope 2 intensity -44.7% by 2030 (base year 2020); interim progress explicitly reported (16.2% of 20.4% achieved as of FY25-26; combined 15.4% of 21.7% target).</t>
  </si>
  <si>
    <t>—; p.122-123</t>
  </si>
  <si>
    <t>Quantified levers (LC3 low-carbon cement commercial launch, CCUS 2.0 TPD pilot, Lead IT/steel-slag pre-feasibility study, process control/kiln heat-rate optimisation) with capex figures (Rs.65 Cr FY25-26, Rs.48 Cr planned FY26-27) and timelines to 2030/2070.</t>
  </si>
  <si>
    <t>Manufacturing/R&amp;D section; p.122-123</t>
  </si>
  <si>
    <t>Multi-year, itemised commitments: Rs.65 crore invested in FY25-26 (electrical/thermal efficiency, 70,981 t CO2 reduction) plus Rs.48 crore committed for FY26-27 energy conservation, each with named initiatives and expected savings.</t>
  </si>
  <si>
    <t>Risk Management / Emerging Risks; p.152-153</t>
  </si>
  <si>
    <t>Both CCTS (GEI Target Rules, 2025, named with compliance-investment implication) and CBAM quantified as an emerging risk: 'rising carbon costs projected at EUR10-15/MT in 2026' directly linked to profitability/competitiveness.</t>
  </si>
  <si>
    <t>Environmental Stewardship section; p.—</t>
  </si>
  <si>
    <t>Shadow Internal Carbon Price of US$8/tonne CO2 adopted, covering Scope 1 and Scope 2 emissions, explicitly to manage transition risk and prepare for CCTS.</t>
  </si>
  <si>
    <t>Climate Change Risk Assessment; p.136-139</t>
  </si>
  <si>
    <t>Most granular scenario analysis of the four: physical risk under SSP2-4.5 / SSP5-8.5 mapped by district across 4 time-frames (2020-2099) for water scarcity, flooding, heatwave, storms; transition risk under IEA NZE2050 and B2DC scenarios across 3 TCFD time-frames; IFRS S2-aligned.</t>
  </si>
  <si>
    <t>TUV India Pvt Ltd carried out independent assessment of GRI Indicator assurance (non-financial) and BRSR Core elements; financial assurance by S.R. Batliboi &amp; Co. LLP -- consistent with SEBI's mandatory reasonable assurance on BRSR Core.</t>
  </si>
  <si>
    <t>BRSR Principle 8; p.242-243</t>
  </si>
  <si>
    <t>Local-supplier prioritisation policy near plants, CSR beneficiary counts by theme (e.g., 379,287 for livelihood), job-creation-by-location wage split. Programmes are specific but not explicitly quantified as low-carbon-transition reskilling/supplier-decarbonisation outcomes.</t>
  </si>
  <si>
    <t>BRSR Core Assurance; p.20, 590</t>
  </si>
  <si>
    <t>Scope 1: 8,88,84,246 t / Scope 2: 20,40,172 t; net Scope 1 intensity 538 kg/t (gross 578 kg/t); 19.28% reduction in gross Scope 1 intensity from 2017 baseline; 'Reasonable Assurance of BRSR Core Indicators' explicitly stated.</t>
  </si>
  <si>
    <t>BRSR Q2; GRI Index; p.18330, 36699</t>
  </si>
  <si>
    <t>Categories 1,2,3,4,5,6 and 9 quantified per GRI 305-3; 5-year trend disclosed: 4,204.90 to 12,831.00 thousand tCO2 (FY22-23 to FY25-26); total Scope 3 1,28,31,001.90 t (FY25-26).</t>
  </si>
  <si>
    <t>—; p.20, 4964-4967</t>
  </si>
  <si>
    <t>SBTi-validated target: Scope 1 -27%, Scope 2 -69% per tonne cementitious by FY2032 (base FY2017); second Indian cement company to receive SBTi validation; interim progress reported (14.87% net Scope 1 reduction achieved as of FY25-26).</t>
  </si>
  <si>
    <t>Energy &amp; Climate Strategy; p.20-21, 5295-5320</t>
  </si>
  <si>
    <t>Multi-pronged strategy with named levers (CFD-based pyro-processing optimisation, clinker cooling fan redesign, renewable energy incl. round-the-clock hybrid RE, EP100 energy-productivity doubling achieved ahead of 2035, 49 CCTS-obligated units on positive compliance trajectory).</t>
  </si>
  <si>
    <t>R&amp;D section; p.6208</t>
  </si>
  <si>
    <t>Single-year, product-linked figure: Rs.26.95 crore invested in R&amp;D (FY25-26) explicitly tied to strengthening the 'sustainable product portfolio' (lower CO2, water intensity); broader Rs.16,000 crore capex is general capacity expansion, not decarbonisation-specific.</t>
  </si>
  <si>
    <t>CCTS Compliance section; p.5300-5310</t>
  </si>
  <si>
    <t>CCTS named and operationally specific: 49 obligated units, 'well positioned for compliance' citing RE adoption, AFR usage and efficiency gains as mitigants. CBAM referenced generically as a metric tracked; no quantified rupee exposure found.</t>
  </si>
  <si>
    <t>Internal Carbon Pricing (ICP); p.5234-5240</t>
  </si>
  <si>
    <t>Internal Carbon Pricing (ICP) mechanism with a defined shadow price of USD 30/tCO2e -- the highest ICP among all firms scored; explicitly applied in all CAPEX decisions across the company, standardised into ROI calculations.</t>
  </si>
  <si>
    <t>Climate Strategy &amp; Scenario Analysis; p.5010-5060</t>
  </si>
  <si>
    <t>Formal, quantified scenario analysis using four IPCC Representative Concentration Pathways (RCP 8.5, 6.0, 4.5, 2.6), TCFD-aligned, explicitly separating acute (floods, cyclones, droughts) and chronic (temperature, precipitation, water stress) physical risks; board-level quarterly governance oversight.</t>
  </si>
  <si>
    <t>BRSR Core Assurance; p.11351, 16279, 590</t>
  </si>
  <si>
    <t>'Reasonable Assurance of BRSR Core Indicators' explicitly stated; full Independent Assurance Statement included at p.590 of the report.</t>
  </si>
  <si>
    <t>BRSR Core; p.18521</t>
  </si>
  <si>
    <t>22% of input directly sourced from MSMEs/small producers (vs 16% prior year); job-creation-by-location wage split disclosed as a BRSR core indicator. No quantified reskilling or supplier-decarbonisation outcome tied to the transition specifically.</t>
  </si>
  <si>
    <t>Ambuja IR 2024-25</t>
  </si>
  <si>
    <t>BRSR Principle 6 Q7; p.14</t>
  </si>
  <si>
    <t>Scope 1: 14,756,978 t vs 15,286,295 t (prior year) / Scope 2: 485,448 t vs 589,017 t; per-turnover and PPP-adjusted intensity both reported; 'Reasonable assurance for BRSR Core and Limited [assurance] for remainder.'</t>
  </si>
  <si>
    <t>Decarbonisation Levers section; p.120</t>
  </si>
  <si>
    <t>Scope 3 addressed only qualitatively through named decarbonisation levers (supplier engagement, procurement policy, rail/sea transport shift); no aggregate tCO2 figure or category-level breakdown found in the report.</t>
  </si>
  <si>
    <t>Emission Reduction Targets 2030; p.119</t>
  </si>
  <si>
    <t>SBTi-validated target: combined Scope 1+2 intensity -21% by 2030 (base 2020); Scope 1 -20%, Scope 2 -43%; current FY24-25 performance explicitly reported against 2030 target (537 vs future target kg/t Scope 1; 17 kg/t Scope 2).</t>
  </si>
  <si>
    <t>Decarbonisation Levers; p.120</t>
  </si>
  <si>
    <t>Levers structured explicitly by scope (Scope 1: energy efficiency, AFR, clinker factor; Scope 2: renewables, WHRS, no new fossil captive power; Scope 3: supplier engagement, procurement policy, rail/sea transport); RDH zero-carbon heating partnership with Coolbrook.</t>
  </si>
  <si>
    <t>Adani Portfolio decarbonisation pledge; p.6</t>
  </si>
  <si>
    <t>No company-specific decarbonisation capex figure found; only the Adani Group's parent-level USD 100 billion decarbonisation pledge is cited, without an Ambuja-specific allocation.</t>
  </si>
  <si>
    <t>Climate Change Risk Assessment; p.119</t>
  </si>
  <si>
    <t>CCTS/RPO/PAT named as directly relevant with financial-penalty language ('future policies may introduce carbon pricing mechanisms, impacting operations and finances if targets are not met'); no quantified exposure figure found.</t>
  </si>
  <si>
    <t>Ambuja IR 2024-25 (reviewed)</t>
  </si>
  <si>
    <t>Formal, quantified scenario analysis using IPCC SSP1-2.6, SSP2-4.5 and SSP5-8.5 (Shared Socio-economic Pathways), covering short/medium/long-term timeframes, TCFD and IFRS S2 aligned; both physical and transition risks assessed.</t>
  </si>
  <si>
    <t>BRSR filing; p.13041</t>
  </si>
  <si>
    <t>'Type of the assurance obtained: Reasonable assurance for BRSR Core and Limited [assurance for remaining indicators]' -- explicit split matching SEBI's BRSR Core mandate, evidenced directly in the BRSR filing.</t>
  </si>
  <si>
    <t>BRSR Principle 8; p.14451</t>
  </si>
  <si>
    <t>23.99% of input directly sourced from MSMEs/small producers; job-creation-by-location wage split disclosed. Programmes are specific but not linked to decarbonisation reskilling outcomes.</t>
  </si>
  <si>
    <t>JSW Cement IAR 2025-26</t>
  </si>
  <si>
    <t>BRSR Principle 6 Q7; p.8384</t>
  </si>
  <si>
    <t>Scope 1: 3,241,140.4 t vs 2,748,409.90 t (prior year) / Scope 2: 370,291.60 t vs 333,395.10 t; per-turnover and PPP-adjusted intensity reported; 'Type of Assessment or Assurance obtained: Reasonable Assurance.'</t>
  </si>
  <si>
    <t>BRSR Q2; p.8472</t>
  </si>
  <si>
    <t>Aggregate Scope 3 total disclosed as a 5-year trend (6,78,680 to 18,76,121.8 tCO2e) but no category-level breakdown found; SBTi target explicitly covers only Scope 3 Category 1 (Purchased Goods).</t>
  </si>
  <si>
    <t>SBTi Commitment and Progress; p.74</t>
  </si>
  <si>
    <t>SBTi-validated target: combined Scope 1+2 intensity -32.9% by FY2034-35 (base FY2023-24, 274 kg CO2/tcm); FY25-26 performance transparently reported as 278 kg CO2/tcm -- above the required trajectory, with the report explicitly acknowledging it is behind target.</t>
  </si>
  <si>
    <t>Strategy &amp; SBTi Progress; p.2, 3660-3712</t>
  </si>
  <si>
    <t>Levers named (clinker substitution via GGBS leadership, clean energy, energy-efficient grinding, AFR co-processing at Nandyal/Shiva, planned chlorine bypass system, low-carbon product development); green cementitious products already 80% of volumes sold.</t>
  </si>
  <si>
    <t>Not found in sections reviewed; p.—</t>
  </si>
  <si>
    <t>No decarbonisation-specific capex figure identified in the report; general capex/R&amp;D disclosures are not broken out by sustainability purpose.</t>
  </si>
  <si>
    <t>Risk Management; p.8553, 1726</t>
  </si>
  <si>
    <t>CCTS named as a preparation-stage requirement ('in the process of preparing to comply,' 'progressed CCTS-readiness'); no CBAM mention found anywhere in the report; no quantified exposure figure found.</t>
  </si>
  <si>
    <t>JSW Cement IAR 2025-26 (reviewed)</t>
  </si>
  <si>
    <t>Climate Risk Assessment; p.74</t>
  </si>
  <si>
    <t>Scenario analysis conducted using 'a combination of qualitative and quantitative methods,' TCFD-aligned, covering own operations, upstream and downstream value chain; no named formal scenario framework (e.g., SSP/RCP) identified, less granular than peers.</t>
  </si>
  <si>
    <t>BRSR filing; p.7386</t>
  </si>
  <si>
    <t>'Type of Assessment or Assurance obtained: Reasonable Assurance' explicitly stated in the BRSR filing; assurance methodology (sample verification) also disclosed.</t>
  </si>
  <si>
    <t>BRSR Core Assurance Table; p.8791</t>
  </si>
  <si>
    <t>MSME/Indian Sourcing tracked and independently assured as a BRSR Core indicator (Principle 8, Question 5); exact sourcing percentage not located in the sections reviewed, but the metric's inclusion in the assurance scope signals active monitoring.</t>
  </si>
  <si>
    <t>Scope 1 and Scope 2 rows left blank, with the note that this source emission data calculation "shall be initiated this year onwards"; assurance = No. Energy consumption is disclosed but no GHG figures anywhere in the filing. Source: P6 Essential Q6, p. 26; energy at P6 EI Q1, p. 24 and P6 LI Q1, p. 28.</t>
  </si>
  <si>
    <t>Scope 3 rows blank, same forward-looking note; assurance = "Not Applicable". No statement anywhere that Scope 3 is relevant or material to the business. Source: P6 Leadership Q4, p. 30.</t>
  </si>
  <si>
    <t>The only target disclosed is commercial: an order book of Rs 28,000 cr by end-2026. GHG-reduction projects answered "No". No emissions, intensity, renewable or net-zero target anywhere. Source: Sec B Q5-6, p. 8; P6 EI Q7, p. 27.</t>
  </si>
  <si>
    <t>Director's statement says climate change and evolving regulation have put ESG "at the core of our business strategy" - generic intent. A cleaner-plant list exists (electric hoists/cranes, CNG assets, CPCB-IV DG sets, CPCB-VI vehicles) but the company answers "No" to GHG-reduction projects and "N.A." to P6 leadership initiatives, so the equipment is not presented as a climate plan. Source: Sec B Q7, p. 8; P2 EI Q1, p. 12; P6 EI Q7, p. 27; P6 LI Q6, p. 31.</t>
  </si>
  <si>
    <t>73.87% of R&amp;D/capex (68.66% prior year) in technologies improving environmental and social impacts, itemised: electric/CNG plant, dust collectors, CPCB-IV DG sets, CPCB-VI vehicles. Share disclosed; no forward commitment or allocation. Source: P2 EI Q1, p. 12.</t>
  </si>
  <si>
    <t>No mention of carbon pricing, CCTS, CBAM or carbon credits. The material-issues table lists seven issues, none climate or regulatory. "Evolving regulations" in Sec B Q7 is generic ESG language. Source: Sec A Q24, p. 6; Sec B Q7, p. 8.</t>
  </si>
  <si>
    <t>Not mentioned. Source: Whole filing.</t>
  </si>
  <si>
    <t>No climate risk listed in the material-issues table. Business continuity / disaster plan answered "NA". No climate risks identified and no scenarios. Source: Sec A Q24, p. 6; P6 LI Q7, p. 31.</t>
  </si>
  <si>
    <t>No independent assessment; "effectiveness of the BRSR policies has been examined internally." Every Principle 6 assurance note = No; Scope 3 = NA. No BRSR Core assurance report in the filing. Source: Sec B Q11, p. 9; P6 notes pp. 25-28, p. 30.</t>
  </si>
  <si>
    <t>Workforce: 25 skill programmes, &gt;8,500 youth/yr; skill-upgradation training 1,677 employees and 16,969 workers; transition-assistance programmes = Yes (no detail). Suppliers: Supplier Code of Conduct, annual supplier sustainability assessments, 650+ supply-chain partners trained in two years; 10% of inputs direct from MSMEs (8% prior year); no preferential procurement policy. Source: Sec A Q24 item 7, p. 6; P3 EI Q8, p. 16; P3 LI Q4, p. 19; P2 EI Q2, p. 13; P8 EI Q4 and LI Q3, p. 32.</t>
  </si>
  <si>
    <t>Qualitative mention only; explicitly noted: 'This Source emission data calculation shall be initiated this year onwards.' Source: BRSR Report, Page 26, Section C, Principle 6, Essential Q6.</t>
  </si>
  <si>
    <t>Acknowledged as relevant; noted: 'This Source emission data calculation shall be initiated this year onwards.' Source: BRSR Report, Page 30, Section C, Principle 6, Leadership Q4.</t>
  </si>
  <si>
    <t>No GHG emission reduction target or baseline specified; commitments limited to financial turnover/order book targets. Source: BRSR Report, Page 8, 26, Section B, Q5; Section C, P6 E7.</t>
  </si>
  <si>
    <t>Generic intent stated (replacement of old equipment, shifting to electric/CNG assets, and CPCB-IV/VI compliance). Source: BRSR Report, Page 12, Section C, Principle 2, Essential Q1.</t>
  </si>
  <si>
    <t>Disclosed Capex share: 73.87% of Capex/R&amp;D investments dedicated to environmental and social improvements. Source: BRSR Report, Page 12, Section C, Principle 2, Essential Q1.</t>
  </si>
  <si>
    <t>Not addressed or mentioned anywhere in the filing. Source: BRSR Report, Page 6, 24-30, Section A, Item 24; Section C, P6.</t>
  </si>
  <si>
    <t>Not used / not disclosed. Source: BRSR Report, Page 24-30, Section C, Principle 6.</t>
  </si>
  <si>
    <t>No climate-related risk scenario analysis conducted. Source: BRSR Report, Page 6, 26-31, Section A, Item 24; Section C, P6.</t>
  </si>
  <si>
    <t>Internal review only; report explicitly marks 'No' for independent assessment by an external agency. Source: BRSR Report, Page 9, 26, Section B, Q11; Section C, P6 E6 Note.</t>
  </si>
  <si>
    <t>10% input sourced from MSMEs; 25 skill training programs trained 8,500+ youth annually. Source: BRSR Report, Page 6, 16, 32, Section A, Item 24; P3 E8; P8 E4.</t>
  </si>
  <si>
    <t>Scope 1 4,874.62 tCO2e (FY25: 4,059.31); Scope 2 96,315.94 (88,414.34); intensity 17.13 vs 17.46 tCO2e/Rs cr PPP-adjusted and 0.35 vs 0.37 tCO2e/MT; the increase is explained (Ghiloth and Kanpur additions, Hyderabad full-year). Reporting boundary stated. Reasonably assured. No emission-factor methodology or gas break-up. Source: P6 EI Q7, p. 28; boundary at Sec A Q13, p. 1; assurance Annexure 1, p. 38.</t>
  </si>
  <si>
    <t>No Scope 3 table anywhere. Relevance is acknowledged through the group target "Carbon Neutrality (Scope 1, 2 &amp; 3) by 2035" and supply-chain climate risk in the material-issues table. Not quantified. Source: Sec B Q5, p. 8; Sec A Q26 item 4, p. 5; P6 leadership indicators pp. 30-31.</t>
  </si>
  <si>
    <t>100% renewable electricity by 2040; carbon neutrality (Scope 1, 2, 3) by 2035; net zero by 2050. Target years given but no base year, and the targets are absolute/neutrality rather than intensity. Progress against group targets is explicitly not reported in the BRSR (deferred to the consolidated Sustainability Report). Source: Sec B Q5, pp. 7-8; Sec B Q6, p. 8.</t>
  </si>
  <si>
    <t>Climate Action Policy; 7 MW solar/wind initiative and 39% rise in renewable generation; renewable energy 1,19,241 GJ, about 17% of 6,86,177 GJ total; efficiency projects including a Smart PO panel (~7,200 kWh/month); green buildings / GREENCO / LEED; mitigation described as "emission reduction strategies, set targets, carbon trading". No integrated plan with quantified levers, timelines or capex. Source: Sec B Q1c, p. 7; Sec B Q7, p. 9; P6 EI Q1, p. 25; P6 LI Q2, p. 30; P6 EI Q8, p. 28; Sec A Q26, pp. 4-5.</t>
  </si>
  <si>
    <t>Capex in environment/social-improving technologies 1% (FY25: 0.90%) of total capex - LED replacement explicitly to lower Scope 2, plus percolation wells; R&amp;D 0%. Share disclosed; no forward committed amounts. Source: P2 EI Q1, p. 13.</t>
  </si>
  <si>
    <t>Material-issues table refers to participating in "carbon trading schemes", "opportunities for carbon credits" and implications of "compliance costs / carbon credits" - but neither CCTS nor CBAM is named. Exports only 2% of turnover. Green credits: none. Source: Sec A Q26 item 4, p. 5; Sec A Q19b, p. 2; P6 LI Q6, p. 31.</t>
  </si>
  <si>
    <t>Climate change and emissions listed as a risk and opportunity (raw-material and supply-chain disruption). No scenarios. The BCP / disaster-recovery plan is IT and emergency response, not climate. Source: Sec A Q26 item 4, p. 5; P6 LI Q3, p. 30.</t>
  </si>
  <si>
    <t>M/s Hetal J Shah &amp; Co., "Reasonable Assurance on BRSR Core". Independent Practitioner's Reasonable Assurance Report (SSAE 3000, SAE 3410, dated 18 May 2026), unqualified opinion; Annexure 1 lists all BRSR Core KPIs including Scope 1, Scope 2, intensity, energy, water and waste. Source: Sec A Q14-15, p. 1; assurance report pp. 36-37; Annexure 1, p. 38.</t>
  </si>
  <si>
    <t>Workforce: skills-upgradation training 4,334 employees (89%) and 4,837 workers (76%); transition-assistance programmes in place. Suppliers/MSME: Supplier Code of Conduct, 54.76% of inputs sustainably sourced; 24.65% of inputs direct from MSMEs (assured); rural/semi-urban wage shares disclosed. No value-chain assessments; nothing framed as transition-related. Source: P3 EI Q8, pp. 16-17; P3 LI Q3, p. 19; P2 EI Q2, p. 13; P8 EI Q4-Q5, p. 32; P3 LI Q4, p. 19; P6 LI Q5, p. 31.</t>
  </si>
  <si>
    <t>Multi-year figures disclosed (Scope 1: 4,874.62 tCO2e, Scope 2: 96,315.94 tCO2e) with turnover and physical intensities across 18 manufacturing plants. Source: BRSR Report, Page 1, 28, Section A, Q13; Section C, P6 E7.</t>
  </si>
  <si>
    <t>Acknowledged in net zero targets (Carbon Neutrality Scope 1, 2 &amp; 3 by 2035), but specific categories are not quantified. Source: BRSR Report, Page 8, Section B, Question 5.</t>
  </si>
  <si>
    <t>Target with defined target years: Net-Zero by 2050 and Carbon Neutrality by 2035 across scopes. Source: BRSR Report, Page 7-8, Section B, Question 5.</t>
  </si>
  <si>
    <t>Plan with named levers: 100% renewable electricity by 2040, 7 MW solar/wind projects, and GreenCo/LEED certified facilities. Source: BRSR Report, Page 7-9, 28, Section B, Q5, Q7; Section C, P6 E8.</t>
  </si>
  <si>
    <t>Disclosed Capex share: 1.00% in FY26 (0.90% in FY25) invested in LED fixtures, solar/wind, and percolation wells. Source: BRSR Report, Page 13, Section C, Principle 2, Essential Q1.</t>
  </si>
  <si>
    <t>Generic regulatory risk mention: exploring carbon trading schemes and carbon credit opportunities. Source: BRSR Report, Page 5, Section A, Item 26 (Material Issue 4).</t>
  </si>
  <si>
    <t>Not used / not disclosed. Source: BRSR Report, Page 25-31, Section C, Principle 6.</t>
  </si>
  <si>
    <t>Climate change listed as material risk/opportunity, but no formal scenario analysis modeling is disclosed. Source: BRSR Report, Page 5, 25-31, Section A, Item 26; Section C, P6.</t>
  </si>
  <si>
    <t>Reasonable assurance on BRSR Core KPIs by independent auditor M/s Hetal J Shah &amp; Co. under SSAE 3000 &amp; SAE 3410. Source: BRSR Report, Page 1, 36-38, Section A, Q14-15; Reasonable Assurance Report.</t>
  </si>
  <si>
    <t>24.65% inputs sourced from MSMEs; 81% workers covered in technical and safety upskilling programs. Source: BRSR Report, Page 10-11, 16, 32, Section C, P1 E1, P3 E8, P8 E4.</t>
  </si>
  <si>
    <t>Scope 1 2,052.10 MTCO2e (FY24: 3,396.13); Scope 2 887.04 (881.82, restated); intensity 0.003 MT/Rs lakh (0.005) and 0.007 MT/million $ PPP (0.01). Footnote states Scope 2 methodology was revised per the GHG Protocol with the prior year restated, and that CEA emission factors were applied in both years. Boundary stated and narrowed in the Notes (excludes sub-contractors). Assurance = No. Source: P6 EI Q7 and footnote, p. 31; Sec A Q13, p. 2; Notes to BRSR, p. 41.</t>
  </si>
  <si>
    <t>All Scope 3 rows shown as "-" for both years; assurance note NA. No statement anywhere that Scope 3 is relevant or material. Source: P6 LI Q2, p. 34.</t>
  </si>
  <si>
    <t>Targets disclosed are ISO 26000/20400/37001/45001 implementation, mandatory sustainability features in future projects, and all future government buildings GRIHA-compliant by 2026. No emissions or intensity target. GHG projects are described but with no target attached. Source: Sec B Q5, p. 10; P6 EI Q8, p. 31.</t>
  </si>
  <si>
    <t>Zero Waste, Dual Piping, Rainwater Harvesting, Solar, Smart Metering and LED made mandatory in all future projects, plus the GRIHA-by-2026 commitment. Climate mitigation approach described as energy management practices, regular energy audits, renewable energy, and GHG monitoring and reporting. Solar, LED and smart metering implemented at planning and execution stage. Named levers; no quantified lever contributions, timelines or capex. Source: Sec B Q5, p. 10; Sec A Q26 item 1, p. 7; P6 EI Q8, p. 31.</t>
  </si>
  <si>
    <t>R&amp;D 100% (FY24: 100%) in technologies improving environmental and social impacts, with Rs 14.94 Cr itemised across 15 named research projects (UHPFRC mix design, GGBS construction, eco-friendly heat-reflective bricks, "R&amp;D opportunities in net-zero carbon built environment" - SPA Delhi). Capex NIL in both years. Amount and share disclosed; no forward commitment. Source: P2 EI Q1, pp. 16-17.</t>
  </si>
  <si>
    <t>No mention of carbon pricing, CCTS, CBAM or carbon credits. Not a PAT designated consumer. Green credits NA. Exports 4.59% of turnover. Source: P6 EI Q2, p. 31; P6 LI Q8, p. 34; Sec A Q19b, p. 3.</t>
  </si>
  <si>
    <t>Climate Change listed as a material risk with rationale (GHG contribution, building durability, changing weather patterns affecting energy use and design) and a "Negative financial implication" that is not quantified. No scenarios. The company states it has no dedicated Business Continuity Plan, only a generic risk framework. Source: Sec A Q26 item 1, p. 7; P6 LI Q5, p. 34.</t>
  </si>
  <si>
    <t>Assurance provider and type both "Not applicable / NA". Every Principle 6 assurance note = No. An independent assessment of the working of its policies was carried out by M/s VMC Management Consulting Pvt. Ltd. - policy evaluation, not assurance of ESG data. No BRSR Core assurance report. Source: Sec A Q14-15, p. 2; P6 notes pp. 29-34; Sec B Q11, p. 11.</t>
  </si>
  <si>
    <t>Workforce: skill-upgradation training 624 employees (65.14%) and 0 workers; transition-assistance programmes = Yes (retirement/termination, no detail). Suppliers/MSME: Sustainable Procurement Policy, SOP and Supplier Code of Conduct aligned to ISO 20400; 92.80% of inputs from MSMEs (FY24: 73.00%), Rs 11.66 Cr including Rs 0.99 Cr SC/ST-owned and Rs 4.61 Cr women-owned; preferential procurement policy with a 25% target (4% SC/ST, 3% women); 11 value-chain awareness programmes covering 21.21% of partners by value. Source: P3 EI Q8, p. 23; P3 LI Q4, p. 24; P2 EI Q2, p. 17; P8 LI Q3, p. 36; P2 LI Q1, p. 16.</t>
  </si>
  <si>
    <t>Multi-year Scope 1 (2,052.10 tCO2e) and Scope 2 (887.04 tCO2e) disclosed with turnover/PPP intensities and CEA grid emission factor methodologies. Source: BRSR Report, Page 31, Section C, Principle 6, Essential Q7.</t>
  </si>
  <si>
    <t>Not estimated / reported. Source: BRSR Report, Page 34, Section C, Principle 6, Leadership Q2.</t>
  </si>
  <si>
    <t>Committed to making all future government buildings GRIHA-compliant by 2026; lacks base-year emission-intensity metrics. Source: BRSR Report, Page 9, Section B, Question 5.</t>
  </si>
  <si>
    <t>Plan with named levers: mandatory zero waste, dual piping, rainwater harvesting, solar energy, smart metering, and LED fixtures across major redevelopment projects. Source: BRSR Report, Page 9, 31, Section B, Q5; Section C, P6 E8.</t>
  </si>
  <si>
    <t>Disclosed ₹14.94 Crore R&amp;D capital expenditure allocated across 17 sustainable construction, low-carbon concrete, and climate resilience projects with IITs/NITs. Source: BRSR Report, Page 16-17, Section C, Principle 2, Essential Q1.</t>
  </si>
  <si>
    <t>Generic regulatory risk mention under climate change material risks. Source: BRSR Report, Page 6, Section A, Item 26 (Material Issue 1).</t>
  </si>
  <si>
    <t>Not used / not disclosed. Source: BRSR Report, Page 29-34, Section C, Principle 6.</t>
  </si>
  <si>
    <t>Risks listed on building durability, weather patterns, and maintenance, but no scenario modeling conducted. Source: BRSR Report, Page 6, Section A, Item 26 (Material Issue 1).</t>
  </si>
  <si>
    <t>Independent assessment of policy workings by M/s VMC Management Consulting Pvt. Ltd., but no external assurance on BRSR Core emission metrics. Source: BRSR Report, Page 2, 10, 31, Section A, Q14-15; Section B, Q11; P6 E7 Note.</t>
  </si>
  <si>
    <t>92.80% (₹11.66 Cr) inputs sourced from MSMEs with dedicated quotas (4% SC/ST, 3% Women); extensive CSR infrastructure for vulnerable groups across aspirational districts. Source: BRSR Report, Page 17, 36, 37-38, Section C, P2 E2b, P8 E4, P8 L6.</t>
  </si>
  <si>
    <t>Scope 1 4,37,311 tCO2e (FY24: 4,13,590, restated); Scope 2 1,87,602 (1,80,393); intensity per turnover 0.000013, PPP-adjusted 0.00028, and per physical output 0.0071 tCO2e/sqm (0.0074). Multi-year, restated on recalculation, consolidated boundary stated. No emission-factor methodology or gas break-up; assurance = No. Source: P6 EI Q7, p. 27; boundary at Sec A Q13, p. 1.</t>
  </si>
  <si>
    <t>Scope 3 emissions, intensity and per-turnover all reported as "Not estimated" for both years. No statement that Scope 3 is relevant or material. Source: P6 LI Q2, p. 31.</t>
  </si>
  <si>
    <t>No target with a defined timeline. Sec B Q5 gives a generic ESG integration statement ("minimising our environmental footprint"); Sec B Q6 simply cross-refers performance to the report; the director's statement is generic. No emissions, intensity, renewable or net-zero target anywhere. Source: Sec B Q5-Q6, p. 6; Sec B Q7, p. 7.</t>
  </si>
  <si>
    <t>Explicit "Yes" to GHG-reduction projects with four named levers: biomass as kiln fuel; solar panels plus third-party PPAs and group captive renewable electricity; energy-efficient technology; electric forklifts. Five initiatives tabulated, three with the outcome recorded as "Lowering GHG emissions of the Company". Renewable energy 19,43,438 GJ of 89,64,217 GJ total (21.7%, up from 18.1%). ISO 50001 certified. No target, timeline, capex or quantified lever contribution. Source: P6 EI Q8, p. 27; P6 LI Q4, p. 31; P6 EI Q1, pp. 24-25; Sec B Q4, p. 6.</t>
  </si>
  <si>
    <t>R&amp;D Nil and Capex Nil in both years, but the narrative describes solar installations, PPAs, group captive arrangements and structural modifications for biomass ("in the past"). Mentioned without amounts. Source: P2 EI Q1, p. 12.</t>
  </si>
  <si>
    <t>No mention of carbon pricing, carbon credits, CCTS or CBAM anywhere. Not a PAT designated consumer. Green credits Nil. Exports 1.08% of turnover. Source: P6 EI Q2, p. 25; P6 LI Q8, p. 32; Sec A Q19b, p. 2.</t>
  </si>
  <si>
    <t>The entire material-issues table is replaced by "Refer materiality assessment section in Integrated Annual Report" - no material issue, rationale, mitigation approach or financial implication is disclosed in the BRSR. No climate risk stated elsewhere. The business continuity / disaster plan is operational (mock drills, downtime, emergency response), not climate. Source: Sec A Q26, p. 5; P6 LI Q5, p. 32.</t>
  </si>
  <si>
    <t>Assurance provider and type both "Not applicable". Sec B Q11: "We have not carried out independent audit / evaluation of working of the BR Policy by an internal or external agency as of now" - internal control procedures only. Every Principle 6 note reads "No Independent assessment/ evaluation/ assurance was carried out for the reporting period." Source: Sec A Q14-15, p. 1; Sec B Q11, p. 11; P6 notes pp. 24-32.</t>
  </si>
  <si>
    <t>Workforce: skill-upgradation training 268 male employees (11%) and 0 female employees - the mandatory table only; "As of now we do not have transition assistance programs". Suppliers: sustainable sourcing described aspirationally, "at present we are not tracking the percentage of inputs sourced sustainably"; no supplier code of conduct and no supplier training count; no value-chain assessments, only an expectation statement. MSMEs 36% of inputs (FY24: 30%). "We do not have a preferential procurement policy". CSR beneficiaries deferred to the Director's Report. Mandatory data fields only - no identifiable workforce or supplier programme. Source: P3 EI Q8, p. 18; P3 LI Q4, p. 19; P2 EI Q2, p. 12; P3 LI Q5 and P6 LI Q7, pp. 19 and 32; P8 EI Q4, p. 34; P8 LI Q3 and Q6, p. 34.</t>
  </si>
  <si>
    <t>Multi-year Scope 1 (4,37,311 tCO2e) and Scope 2 (1,87,602 tCO2e) with turnover, PPP, and physical intensity (0.0071 tCO2e/sqm). Source: BRSR Report, Page 27, Section C, Principle 6, Essential Q7.</t>
  </si>
  <si>
    <t>Explicitly marked 'Not estimated' across all parameters. Source: BRSR Report, Page 31, Section C, Principle 6, Leadership Q2.</t>
  </si>
  <si>
    <t>Aspirational statement to integrate ESG and reduce environmental footprint; lacks quantified targets with base/target years. Source: BRSR Report, Page 6, 27, Section B, Q5; Section C, P6 E8.</t>
  </si>
  <si>
    <t>Plan with named levers: biomass fuel in kilns, rooftop solar, third-party Power Purchase Agreements (PPAs), and electric forklifts. Source: BRSR Report, Page 12, 27, 31, Section C, P2 E1, P6 E8, P6 L4.</t>
  </si>
  <si>
    <t>Clean energy initiatives and biomass structural modifications mentioned qualitatively, but Capex % is reported as 'Nil'. Source: BRSR Report, Page 12, Section C, Principle 2, Essential Q1.</t>
  </si>
  <si>
    <t>Not addressed in the report. Source: BRSR Report, Page 5, 24-32, Section A, Item 26; Section C, P6.</t>
  </si>
  <si>
    <t>Not used / not disclosed. Source: BRSR Report, Page 24-32, Section C, Principle 6.</t>
  </si>
  <si>
    <t>No climate-related risk scenario analysis conducted. Source: BRSR Report, Page 5, 24-32, Section A, Item 26; Section C, P6.</t>
  </si>
  <si>
    <t>No independent evaluation or external assurance carried out for the reporting period. Source: BRSR Report, Page 1, 7, 25, Section A, Q14-15; Section B, Q11; P6 E1.</t>
  </si>
  <si>
    <t>36% inputs directly sourced from MSMEs; extensive health, safety, and operational training for 100% of workforce. Source: BRSR Report, Page 8-9, 16, 33, Section C, P1 E1, P3 E8, P8 E4.</t>
  </si>
  <si>
    <t>BRSR P6 EI Q6 answers "Refer our ESG Data book available on the company website - Final Data Book - IR 2026.xlsx" - no figures in the filing. IAR p. 105 gives Scope 1 and Scope 2 by segment for FY24, FY25 and FY26 plus Scope 1&amp;2 intensity (FY26: Residential 0.007, IC&amp;IC 0.421 tCO2e/sq.ft.). Inventory aligned to the GHG Protocol with base year 2018-19; boundary = 17 residential sites, 3 IC&amp;IC sites, HO Mumbai and 6 regional offices; limited assurance on the GHG inventory (ISAE 3410, ISO 14064-3, +/-5% uncertainty). BRSR-only basis: emissions discussed qualitatively but not quantified = 1. Source: BRSR P6 EI Q6, p. 322; IAR pp. 105, 43, 337, 350-354; Sec A Q24 item 3, p. 300.</t>
  </si>
  <si>
    <t>BRSR P6 LI Q4, p. 323 cross-refers to the data book with no figures. IAR p. 105 quantifies Scope 3 by segment for three years (Residential FY26 1,34,961.15 tCO2e) with intensity. IAR p. 43 names the categories and states Scope 3 is the majority of the footprint. The GHG assurance statement lists eight GHG Protocol categories verified: 1, 4, 5, 6, 7, 8, 11 and 13. BRSR-only basis: relevance acknowledged (Sec A Q24 item 1 "Higher scope 3 emission"; SBT covering Scope 3) but not quantified = 1. Source: BRSR P6 LI Q4, p. 323; IAR pp. 105, 43, 351; Sec A Q24 item 1, p. 300; Sec B Q5, p. 303.</t>
  </si>
  <si>
    <t>SBTi-approved, 1.5C-aligned: 63% reduction in Scope 1 and 2 and 20% reduction in Scope 3 by 2033 from a 2018 base year, as an interim milestone toward Scope 1&amp;2 carbon neutrality by 2040; approved 2019. IAR p. 106 "Roadmap Progress" tabulates target emissions, base-year emissions and FY26 status per business unit (MWC Chennai 771.56 tCO2e, -67.92%; MWC Jaipur -22.83%; Residential Scope 3 -78.37%). BRSR-only basis: Sec B Q5 gives 2040 carbon neutrality, Net Zero 2030 and "SBT as enabler" with no base year and no reduction percentage, progress deferred to IAR p. 25 = 2. Source: IAR pp. 37, 43, 106; BRSR Sec B Q5-Q6, p. 303.</t>
  </si>
  <si>
    <t>Carbon neutrality and emission-reduction action plan approved by the MD &amp; CEO, plus a 5-year sustainability roadmap 2025-2030 covering both businesses; mitigation strategy structured as demand reduction, energy efficiency, renewable energy and carbon sequestration. Named levers with outcomes: GFRP rebar pilot at Mahindra Citadel; Bio-CNG plant and dual-fuel DG conversion at MWC Chennai (50% diesel reduction); 51.66 tCO2e avoided via material optimisation. No capex disclosed for any lever and no per-lever contribution to the 2033 target. Source: BRSR P6 EI Q7, p. 322; IAR pp. 105-106.</t>
  </si>
  <si>
    <t>Capex 00 lakhs (FY25: 00 lakhs) and R&amp;D 00 lakhs (FY25: 25 lakhs), with the "details of improvements" column left blank. Decarbonisation spending is described elsewhere (solar, Bio-CNG plant, MTCoE R&amp;D lab, GFRP pilot) but with no amounts - only savings (Rs 3.72 lakhs/yr fuel, Rs 38.29 lakhs/yr material). Source: BRSR P2 EI Q1, p. 308; IAR pp. 105-106.</t>
  </si>
  <si>
    <t>No mention of carbon pricing, CCTS, CBAM, carbon credits or carbon markets anywhere in the document. IAR p. 23 defines transition risks as "financial and operational implications associated with the shift to a low-carbon economy, including the adoption of new technologies and evolving regulatory expectations" - generic regulatory-risk language. PAT not applicable. Carbon offsets referenced as a neutrality mechanism, which is an offtake rather than a price. BRSR-only basis: transition risk does not appear in the Sec A Q24 table = 0. Source: IAR p. 23; BRSR P6 EI Q2 and Q7, p. 322; Sec A Q24, pp. 300-301.</t>
  </si>
  <si>
    <t>Not mentioned. No internal carbon price, shadow price or carbon-adjusted hurdle rate anywhere in the 350+ page report. Source: Whole document.</t>
  </si>
  <si>
    <t>TCFD signatory; risks split into physical and transition; "climate scenario analysis covering both physical and transition risks" including flood modelling, thermal comfort analysis and evaluation of low-carbon economic pathways; resilience evaluated under two named scenarios - Paris-aligned (1.5C by 2100) and business-as-usual (4C by 2100). Worked physical-risk example: Happinest Kalyan 2 flood mitigation (site raised 4.1 m to 5.4 m, RE wall, approach road raised). No published quantified financial impact - the BRSR says environmental risk is held "in our ESG risk register with financial quantification" but the numbers are not disclosed. BRSR-only basis: neither TCFD nor scenarios appear inside pp. 294-335; climate-adjacent risk listed at Sec A Q24 item 3 = 1. Source: IAR p. 23; BRSR P6 LI Q8, p. 324; Sec A Q24 item 3, p. 300.</t>
  </si>
  <si>
    <t>Bureau Veritas Independent Assurance Statement: Reasonable Assurance on BRSR Core, limited assurance on selected GRI disclosures and on the GHG inventory; ISAE 3000 (Revised) and ISAE 3410 plus AA1000AS v3; boundary and eight physically or virtually verified sites listed; assurance conducted April-June 2026; BRSR Core KPIs cross-referenced in Annexure I. Separate GHG assurance statement at pp. 350-354. BRSR-only basis: Section A omits the assurance-provider and assurance-type questions entirely (numbering runs 13 to 14 business activities) and assurance is referenced only in passing = 2. Source: IAR pp. 336-341 and 350-354; BRSR Sec A pp. 294-295; BRSR P6 EI Q12, p. 323.</t>
  </si>
  <si>
    <t>Suppliers: of those completing ESG self-assessments, "over 73% have implemented measures for water and waste reduction and integrated renewable energy into their operations"; Green Supply Chain Management policy and Supplier/Contractor Code of Conduct embedded in general contractual conditions and mandatory for all partners, with capacity building; the material-issues table names GSCM policy, Code of Conduct and capacity building as the mitigation for "higher Scope 3 emission" with "reduced Scope 3 emissions" as the stated positive implication; 100% of suppliers and contractors covered by awareness programmes, 5,580+ workers trained. Workforce: Mission BOCW with Jan Sahas under the Migrants Resilience Collaborative since 2022, five-stage engagement model for migrant construction workers' access to social-security entitlements; 56% of workers received welfare benefits; worker human-rights assessments piloted at 3 sites. Counterweight: "there are no transition assistance programs". Source: BRSR P5 LI Q5, pp. 320-321; Sec A Q24 item 1, p. 300; P2 LI Q1, p. 307; IAR pp. 157 and 160; BRSR P5, p. 314; P3 LI Q4, p. 314.</t>
  </si>
  <si>
    <t>Multi-year Scope 1 &amp; 2 across Residential (1,973.89 / 871.29 tCO2e) and IC&amp;IC (186.40 / 1,505.61 tCO2e) with GHG Protocol methodology and intensity per sq.ft./acre. Source: Integrated Report, Page 104, 105, Natural Capital, GHG Inventory &amp; GRI 305-1/2/4.</t>
  </si>
  <si>
    <t>Multi-year Scope 3 quantified across purchased goods, commute, travel, construction, and use of sold products (Residential: 134,961 tCO2e; IC&amp;IC: 278,740 tCO2e). Source: Integrated Report, Page 101-105, Natural Capital, GRI 305-3/4 &amp; Action Plan.</t>
  </si>
  <si>
    <t>Approved 1.5°C SBTi targets (63% Scope 1 &amp; 2, 20% Scope 3 reduction by 2033-34 from 2018-19 base year) with tracked interim progress percentages. Source: Integrated Report, Page 27, 43, 106, Corporate Overview, SDG Table &amp; GRI 305-5.</t>
  </si>
  <si>
    <t>Quantified 3-horizon roadmap (2020-25, 2025-30, 2030-40) with named levers: CRD, GFRP rebar, onsite solar, dual-fuel biogas DGs, and 100% Net Zero 2030 target. Source: Integrated Report, Page 43-44, 99-104, Sustainability Strategy &amp; Decarbonisation Levers.</t>
  </si>
  <si>
    <t>Quantified expenditure: ₹470 Lakhs on environmental initiatives, ₹980.5 Mn potential cost of response, and dedicated solar/rooftop capital allocations. Source: Integrated Report, Page 22, 30, 52, Risk Management &amp; Financial-Natural Interlinkage.</t>
  </si>
  <si>
    <t>TCFD-aligned emerging regulation and carbon tax transition risk quantified at ₹259-629 Mn under regulatory transition. Source: Integrated Report, Page 22, Risk Management, TCFD Risk Register.</t>
  </si>
  <si>
    <t>Not explicitly stated as operationalized. Source: Integrated Report, Page 21-24, 96-125, Natural Capital &amp; Risk Sections.</t>
  </si>
  <si>
    <t>Quantified TCFD physical and transition scenario modeling under Paris-aligned (1.5°C) and Business-as-Usual (4°C) with site-specific flood modeling (Walter P Moore study). Source: Integrated Report, Page 23, 24, Risk Management, Climate Scenario Analysis.</t>
  </si>
  <si>
    <t>Reasonable assurance on BRSR 9 Core Attributes by Bureau Veritas under ISAE 3000 (revised) and limited assurance under AA1000AS v3. Source: Integrated Report, Page 2, About Report, Independent Assurance Statement.</t>
  </si>
  <si>
    <t>Mission BOCW with Jan Sahas (2,870 construction workers enrolled, 1,329 received direct welfare benefits); 100% training on Decarbonisation Business Charter. Source: Integrated Report, Page 28, 42, 95, Sustainability Strategy &amp; Human Capital.</t>
  </si>
  <si>
    <t>FY2025-26 and FY2024-25 Scope 1, Scope 2 and intensity figures are reported; source types, consolidated boundary and GHG Protocol assurance criteria are stated. (Anchor met: 3 - Multi-year + method/boundary). Source: DLF Annual Report 2025-26, PDF pp. 38, 61, 70, BRSR General Disclosures; Principle 6; Assurance. URL: https://www.dlf.in/annual_docket/Annual-report-2025-26.pdf</t>
  </si>
  <si>
    <t>The report states it is building capability to monitor Scope 3 and that Scope 3 is not presently monitored; no categories or figures are disclosed. (Anchor met: 1 - Relevant, not quantified). Source: DLF Annual Report 2025-26, PDF p. 63, Principle 6 - Scope 3 leadership indicator. URL: https://www.dlf.in/annual_docket/Annual-report-2025-26.pdf</t>
  </si>
  <si>
    <t>DLF states an intent to lower GHG emissions/carbon intensity but its dated target table covers energy intensity, not an emissions-intensity target with base and target years. (Anchor met: 1 - Aspiration, no year). Source: DLF Annual Report 2025-26, PDF pp. 48, 61, Progress on targets; GHG reduction projects. URL: https://www.dlf.in/annual_docket/Annual-report-2025-26.pdf</t>
  </si>
  <si>
    <t>Actions include rooftop solar, PPAs, wind/open-access solar, LEDs, electric mobility, efficient HVAC and fuel switching. The report does not provide a quantified transition pathway with timelines and capex. (Anchor met: 2 - Named levers/actions). Source: DLF Annual Report 2025-26, PDF pp. 46, 61, Climate mitigation; Principle 6 - GHG projects. URL: https://www.dlf.in/annual_docket/Annual-report-2025-26.pdf</t>
  </si>
  <si>
    <t>Environmental/social capex is reported as 1.04% in FY2025-26 and 1.16% in FY2024-25 with examples such as efficient chillers, solar and waste equipment. (Anchor met: 2 - Share disclosed). Source: DLF Annual Report 2025-26, PDF p. 50, Principle 2 - R&amp;D and capex. URL: https://www.dlf.in/annual_docket/Annual-report-2025-26.pdf</t>
  </si>
  <si>
    <t>No CCTS, CBAM, carbon-pricing, carbon-tax or quantified exposure/pass-through discussion was found in the full report. (Anchor met: 0 - Not addressed). Source: DLF Annual Report 2025-26, N/A - full-report search, No disclosure found. URL: https://www.dlf.in/annual_docket/Annual-report-2025-26.pdf</t>
  </si>
  <si>
    <t>No internal or shadow carbon price is disclosed or described as being considered. (Anchor met: 0 - Not disclosed). Source: DLF Annual Report 2025-26, N/A - full-report search, No disclosure found. URL: https://www.dlf.in/annual_docket/Annual-report-2025-26.pdf</t>
  </si>
  <si>
    <t>A TCFD-recommended scenario analysis covers physical and transition risks across time horizons, but no quantified financial exposure is reported. (Anchor met: 2 - Qualitative scenario narrative). Source: DLF Annual Report 2025-26, PDF p. 45, Climate Change Risk Assessment. URL: https://www.dlf.in/annual_docket/Annual-report-2025-26.pdf</t>
  </si>
  <si>
    <t>SGS India provides reasonable assurance on BRSR Core indicators under ISAE 3000 and ISAE 3410. (Anchor met: 3 - Reasonable assurance). Source: DLF Annual Report 2025-26, PDF pp. 70-71, Independent Reasonable Assurance Statement. URL: https://www.dlf.in/annual_docket/Annual-report-2025-26.pdf</t>
  </si>
  <si>
    <t>Technical upskilling programmes and academies are described, and 23% of inputs are reported as sourced from MSMEs; no quantified reskilling or supplier-decarbonisation outcome is reported. (Anchor met: 2 - Specific workforce/supplier programme). Source: DLF Annual Report 2025-26, PDF pp. 66, 77, Principle 8; Human capital. URL: https://www.dlf.in/annual_docket/Annual-report-2025-26.pdf</t>
  </si>
  <si>
    <t>FY 2025-26 (per Word-report reconciliation)</t>
  </si>
  <si>
    <t>UPDATED per Climate_Disclosure_Rubric_Evaluation.docx: DLF BRSR FY2025-26, Section C, Principle 6, Essential Indicator 7, Page 40. Multi-year consolidated Scope 1 (27,728.57 tCO2e FY2025-26 vs 22,343.18 tCO2e FY2024-25) and Scope 2 location/market-based (1,63,181.34 tCO2e vs 1,52,168.43 tCO2e), consolidated boundary (subsidiaries/JVs/associates across development, rental, hospitality), GHG Protocol factors stated. Raised from 2 to 3 - the original Excel draft had this page not-located; the Word report supplies the specific page. Page number taken directly from the Word report; not independently re-verified against the raw PDF this session (PDF not available in this workspace) - recommend a quick manual check of p.40 before final submission.</t>
  </si>
  <si>
    <t>UPDATED per Climate_Disclosure_Rubric_Evaluation.docx: BRSR FY2025-26, Section C, Principle 6, Leadership Indicator 2, Page 45. Scope 3 acknowledged as relevant to the extended real estate value chain but reporting tables left blank ("-"); footnote states DLF is "in process of building the capability to monitor Scope 3 emissions for future reporting." Score unchanged at 1, but page number now supplied (was previously flagged as not-located).</t>
  </si>
  <si>
    <t>BRSR FY2025-26, Section B, Management and Process Disclosures, Table 3, Page 15 (Word report cites p.15; your prior Excel note cited p.15-16 for the same table - consistent). Formal target: -15% energy intensity per sq. ft. across rental portfolio by 2030 vs FY2019-20 baseline; current progress 0.0127 MWh/sq.ft. No explicit GHG emission-intensity target with interim milestones. UPDATED from 1 to 2: the Excel scorer's conservative '1' undercounted a genuine, dated energy-intensity target with base/target year, which the rubric's own reconciliation note (in the Word report) says merits a 2.</t>
  </si>
  <si>
    <t>UPDATED per Climate_Disclosure_Rubric_Evaluation.docx: BRSR FY2025-26, Section A.26, Pages 8-12; Section C, Principle 6, Essential Indicator 8, Pages 40-41. Transition plan with named levers: ~5 MW rooftop solar, open-access renewable PPAs (Cyber City Hyderabad 100% renewable, Cyber City Chennai 85%), ASHRAE 90.1-2010 design standard, green building certifications (42.40 msf LEED O+M, 8.75 msf BD+C). No quantified capex tied to milestones. Raised from 1 to 2 - named, dated levers meet the '2' anchor, not just generic intent.</t>
  </si>
  <si>
    <t>CONFIRMED (matches prior Excel correction) per Climate_Disclosure_Rubric_Evaluation.docx: BRSR FY2025-26, Section C, Principle 2, Essential Indicator 1, Page 19; Principle 6, Leadership Indicator 8, Page 48. Sustainability capex 1.04% of total capex FY2025-26 (chillers, VRV systems, STPs) vs 1.16% FY2024-25; 1,28,529 Green Credits procured, valued ₹12.80 crore. Score of 2 held.</t>
  </si>
  <si>
    <t>UPDATED per Climate_Disclosure_Rubric_Evaluation.docx: BRSR FY2025-26, Section A.26, Item 2, Page 8. Climate Change Risk Assessment (CCRA) names policy/legal risk from evolving emission compliance mandates generically; CCTS, CBAM, or pass-through financial analysis omitted. Raised from 0 to 1 - a generic regulatory-risk mention does exist and meets the '1' anchor; scoring it 0 in Excel was too conservative.</t>
  </si>
  <si>
    <t>CONFIRMED: no internal carbon pricing mechanism disclosed anywhere in the filing per Climate_Disclosure_Rubric_Evaluation.docx. Score of 0 held.</t>
  </si>
  <si>
    <t>CONFIRMED (matches prior Excel correction) per Climate_Disclosure_Rubric_Evaluation.docx: BRSR FY2025-26, Section A.26, Item 2, Pages 8-9. TCFD-grounded Climate Change Risk Assessment (CCRA) covering physical (flood, coastal flooding, heatwave, sea-level rise) and transition (policy, technology, market) risks across short/medium/long-term horizons; no quantified financial impact under specific IPCC pathways. Score of 2 held.</t>
  </si>
  <si>
    <t>CONFIRMED per Climate_Disclosure_Rubric_Evaluation.docx: BRSR FY2025-26, Independent Reasonable Assurance Statement, Pages 58-60. Reasonable Assurance on all BRSR Core indicators from SGS India Private Limited (ISAE 3000 Revised, ISAE 3410). Score of 3 held; page range now more specific (58-60) than the Excel draft's p.1 citation - both refer to the same assurance disclosure, p.1 being the summary table entry and p.58-60 the full statement.</t>
  </si>
  <si>
    <t>UPDATED per Climate_Disclosure_Rubric_Evaluation.docx: BRSR FY2025-26, Section C, Principle 1, Leadership Indicator 1, Page 18; Principle 8, Essential Indicator 4, Page 50; Pages 52-54. 23% of input materials sourced from MSMEs/small producers; HSE training covering 97% of value chain partners by business value; DLF Suvidha Kendras (migrant worker welfare access) and WISE program (skill training, 41 women). No quantified reskilling tied to a decarbonization transition plan. Raised from 1 to 2 - a specific, named workforce/supplier programme with figures meets the '2' anchor.</t>
  </si>
  <si>
    <t>Three-year Scope 1 and Scope 2 trends and intensity are reported; sources, market/location methods and a standalone BRSR boundary are stated. (Anchor met: 3 - Multi-year + method/boundary). Source: L&amp;T Integrated Annual Report 2025-26, PDF pp. 217-218, 348, 383-384, Natural Capital; BRSR General Disclosures and Principle 6. URL: https://investors.larsentoubro.com/pdf/2026/Integrated%20Report%202025-26.pdf</t>
  </si>
  <si>
    <t>Nine relevant/material GHG Protocol categories are quantified, including purchased goods/services; two-year totals and category values are disclosed with methodology references. (Anchor met: 3 - Material categories + method). Source: L&amp;T Integrated Annual Report 2025-26, PDF pp. 217, 388, Natural Capital - Scope 3; BRSR Principle 6. URL: https://investors.larsentoubro.com/pdf/2026/Integrated%20Report%202025-26.pdf</t>
  </si>
  <si>
    <t>Carbon neutrality by FY2040 uses FY2020-21 as baseline; the roadmap has short/medium/long horizons, target-versus-current intensity tracking and quantified progress. (Anchor met: 3 - Target + milestones + progress). Source: L&amp;T Integrated Annual Report 2025-26, PDF pp. 213, 215, Carbon Neutrality Strategy; Progress on Carbon Neutrality Path. URL: https://investors.larsentoubro.com/pdf/2026/Integrated%20Report%202025-26.pdf</t>
  </si>
  <si>
    <t>The FY2040 pathway attributes about 35% to efficiency, 55% to decarbonised energy and 10% to offsets; named actions are tied to short/medium/long horizons and current transition-related capex is disclosed. (Anchor met: 3 - Quantified levers, timelines and capex). Source: L&amp;T Integrated Annual Report 2025-26, PDF pp. 213-219, 363, Carbon Neutrality Strategy; GHG initiatives; BRSR capex. URL: https://investors.larsentoubro.com/pdf/2026/Integrated%20Report%202025-26.pdf</t>
  </si>
  <si>
    <t>Environmental/social capex is 2.7% or INR69.9 crore in FY2025-26 (2.8% or INR42.6 crore in FY2024-25), including efficient equipment and rooftop solar. No multi-year committed allocation is stated. (Anchor met: 2 - Amount/share disclosed). Source: L&amp;T Integrated Annual Report 2025-26, PDF p. 363, Principle 2 - R&amp;D and capex. URL: https://investors.larsentoubro.com/pdf/2026/Integrated%20Report%202025-26.pdf</t>
  </si>
  <si>
    <t>Domestic/international carbon tax and pricing are identified as transition risks affecting indirect costs and landed prices, with time-horizon risk ratings. Exposure is not quantified in currency. (Anchor met: 2 - Carbon pricing named). Source: L&amp;T Integrated Annual Report 2025-26, PDF pp. 237-239, Climate Risks and Opportunities. URL: https://investors.larsentoubro.com/pdf/2026/Integrated%20Report%202025-26.pdf</t>
  </si>
  <si>
    <t>A shadow carbon-pricing mechanism is listed as a recommended long-term adaptation measure, but no current use or price is disclosed. (Anchor met: 1 - Considering it). Source: L&amp;T Integrated Annual Report 2025-26, PDF p. 239, Facility climate-risk assessment. URL: https://investors.larsentoubro.com/pdf/2026/Integrated%20Report%202025-26.pdf</t>
  </si>
  <si>
    <t>TCFD-aligned analysis uses IPCC SSP/RCP and IEA STEPS/NZE scenarios across 2030, 2040 and 2050; two major facilities are modelled by a third party, but outputs are qualitative risk ratings rather than quantified financial exposure. (Anchor met: 2 - Qualitative/modelled scenario narrative). Source: L&amp;T Integrated Annual Report 2025-26, PDF pp. 236-239, Climate Scenario Analysis and Climate Risks. URL: https://investors.larsentoubro.com/pdf/2026/Integrated%20Report%202025-26.pdf</t>
  </si>
  <si>
    <t>BDO India provides reasonable assurance on BRSR Core indicators, including Scope 1, Scope 2 and GHG intensity. (Anchor met: 3 - Reasonable assurance). Source: L&amp;T Integrated Annual Report 2025-26, PDF pp. 348, 401-403, BRSR General Disclosures; Reasonable Assurance Report. URL: https://investors.larsentoubro.com/pdf/2026/Integrated%20Report%202025-26.pdf</t>
  </si>
  <si>
    <t>The report describes technical upskilling and supplier-capacity building; more than 1,200 Tier-I partners received training over three years and MSME participation is encouraged. No quantified reskilling or supplier-decarbonisation outcome is reported. (Anchor met: 2 - Specific workforce/supplier programme). Source: L&amp;T Integrated Annual Report 2025-26, PDF pp. 260, 363, 395, Human Capital; Sustainable sourcing; Principle 8. URL: https://investors.larsentoubro.com/pdf/2026/Integrated%20Report%202025-26.pdf</t>
  </si>
  <si>
    <t>CONFIRMED per Climate_Disclosure_Rubric_Evaluation.docx: Integrated Annual Report FY2025-26, BRSR Appendix 1, Page 402. Scope 1 (6,17,113 tCO2e FY2025-26 vs 6,03,953 tCO2e FY2024-25) and Scope 2 (2,89,920 vs 2,82,341 tCO2e); boundary covers all EPC sites, manufacturing complexes, corporate offices; GHG Protocol method. Score of 3 held. CROSS-CHECK FLAG: this page (402) sits inside the page range cited for I9's Reasonable Assurance Report (401-403) - plausible if the emissions annexure sits adjacent to the assurance statement in the report's appendix, but not independently confirmed against the primary PDF this session. Spot-check before relying on this for submission.</t>
  </si>
  <si>
    <t>CONFIRMED per Climate_Disclosure_Rubric_Evaluation.docx: BRSR Section C, Principle 6, Question 2, Page 374; Natural Capital section. Material Scope 3 categories quantified: purchased goods/services (structural steel, cement, embodied carbon), fuel/energy-related activities, upstream logistics; methodology and boundaries disclosed. Score of 3 held. CROSS-CHECK FLAG: Page 374 is also cited for I4 (Transition plan, BRSR Section C Principle 6) and I8 (Scenario analysis, BRSR Section C Principle 4) - three different disclosure items on the same page number is plausible in a dense tabular BRSR section but warrants a manual check against the primary PDF.</t>
  </si>
  <si>
    <t>CONFIRMED per Climate_Disclosure_Rubric_Evaluation.docx: Integrated Annual Report FY2025-26, Strategic Overview &amp; BRSR Section A.5, Pages 187, 362. Carbon Neutrality by 2040, Water Neutrality by 2035; interim milestone -30% GHG intensity by FY2025-26 vs FY2020-21 baseline, -32% achieved. Score of 3 held (matches Excel's prior figure of 8.7 to 5.9 tCO2e/Rs.Cr, consistent narrative).</t>
  </si>
  <si>
    <t>CONFIRMED per Climate_Disclosure_Rubric_Evaluation.docx: Material Topics Table, Page 187; BRSR Section C, Principle 6, Page 374 (see I2 cross-check flag above - same page cited for I2 and I8). Levers: biodiesel in construction equipment, process electrification, rooftop solar, green tariff procurement, ISO 50001 EnMS, green business portfolio (hydrogen, carbon capture, solar EPC) = 51% of revenue. Capex not fully itemized. Score of 2 held.</t>
  </si>
  <si>
    <t>UPDATED per Climate_Disclosure_Rubric_Evaluation.docx: BRSR Section C, Principle 2, Essential Indicator 1, Page 362. Green Capex ₹69.9 crore (2.7% of total capex) FY2025-26 vs ₹42.6 crore (2.8%) FY2024-25; environmental R&amp;D ₹4.8 crore (2.7% of total R&amp;D). Raised from 0 to 2 - actual disclosed capex figures exist; the Excel draft's search evidently missed them.</t>
  </si>
  <si>
    <t>UPDATED per Climate_Disclosure_Rubric_Evaluation.docx: Strategic Overview, Material Topic Table, Page 187. Climate transition risks named within the enterprise risk framework (regulatory compliance costs, carbon pricing mechanisms, market shifts) generically; CBAM/CCTS pass-through financial modeling omitted. Raised from 0 to 1 - a generic mention exists.</t>
  </si>
  <si>
    <t>CONFIRMED: no internal carbon pricing framework disclosed per Climate_Disclosure_Rubric_Evaluation.docx. Score of 0 held.</t>
  </si>
  <si>
    <t>UPDATED per Climate_Disclosure_Rubric_Evaluation.docx: BRSR Section C, Principle 4, Page 374 (see I2 cross-check flag - shared page with I2 and I4). Quantified, multi-horizon scenario assessment with third-party support at AMNHEC-Hazira and Kattupalli; IPCC SSPs/RCPs across 2030/2040/2050, IEA transition scenarios. Raised from 0 to 3 - this is the sector's most rigorous quantitative scenario disclosure and was missed entirely in the Excel draft.</t>
  </si>
  <si>
    <t>CONFIRMED per Climate_Disclosure_Rubric_Evaluation.docx: Integrated Annual Report FY2025-26, Reasonable Assurance Report, Pages 401-403. BDO India Services Private Limited, ISAE 3000 (Revised). Score of 3 held. See I1 cross-check flag for the page-402 overlap with this range.</t>
  </si>
  <si>
    <t>UPDATED per Climate_Disclosure_Rubric_Evaluation.docx: BRSR Section A.5, Page 362; Principle 1, Page 363; Principle 4, Page 375. Sustainable Supply Chain Policy/Code of Conduct; 5,974 safety/environmental sessions covering 59.9% of value chain partners by business value; vocational skill training institutes; CSR reaching 1.9 million people. No quantified reskilling tied specifically to decarbonization. Raised from 1 to 2 - a specific, figures-backed programme meets the '2' anchor.</t>
  </si>
  <si>
    <t>FY2026 and FY2025 Scope 1, market/location-based Scope 2 and intensity figures are reported. Emission factors and a consolidated reporting boundary are stated. (Anchor met: 3 - Multi-year + method/boundary). Source: Lodha Integrated Report 2025-26, PDF pp. 41, 95, 117, Planet - GHG Inventory; BRSR General Disclosures; Principle 6. URL: https://www.lodhagroup.com/sites/default/files/2026-07/Integrated_Report_FY2026.pdf</t>
  </si>
  <si>
    <t>Nine Scope 3 categories are quantified. Purchased goods/services and use of sold products are identified as 97.4% of emissions, and category-specific estimation methods/factors are stated. (Anchor met: 3 - Material categories + method). Source: Lodha Integrated Report 2025-26, PDF p. 41, Planet - Scope 3 Emissions. URL: https://www.lodhagroup.com/sites/default/files/2026-07/Integrated_Report_FY2026.pdf</t>
  </si>
  <si>
    <t>FY22 is the base year; Scope 3 intensity reduction is targeted for FY30 and FY50, with FY26 progress reported. Scope 1 and 2 near-term targets and renewable milestones are also tracked. (Anchor met: 3 - Target + milestones + progress). Source: Lodha Integrated Report 2025-26, PDF pp. 42, 101, 117, Net Zero 2050 targets; BRSR targets and progress. URL: https://www.lodhagroup.com/sites/default/files/2026-07/Integrated_Report_FY2026.pdf</t>
  </si>
  <si>
    <t>The plan combines FY27/FY28/FY30/FY50 targets, quantified steel and concrete intensity reductions, renewable energy actions and sustainability-linked capex disclosure. (Anchor met: 3 - Quantified levers, timelines and capex). Source: Lodha Integrated Report 2025-26, PDF pp. 24, 42, 104, Climate strategy/ICP; Net Zero targets and actions; BRSR capex. URL: https://www.lodhagroup.com/sites/default/files/2026-07/Integrated_Report_FY2026.pdf</t>
  </si>
  <si>
    <t>21.2% of FY2026 capex (19.9% in FY2025) is reported as investment in technologies/products with environmental and social benefits. No multi-year committed amount and allocation is stated. (Anchor met: 2 - Share disclosed). Source: Lodha Integrated Report 2025-26, PDF p. 104, Principle 2 - R&amp;D and capex. URL: https://www.lodhagroup.com/sites/default/files/2026-07/Integrated_Report_FY2026.pdf</t>
  </si>
  <si>
    <t>Carbon pricing is identified as a transition risk; supplier pass-through may raise material and construction capex. Risk ratings and pathways are shown, but exposure is not monetised. (Anchor met: 2 - Carbon pricing named). Source: Lodha Integrated Report 2025-26, PDF pp. 22-24, Climate transition risks and opportunities. URL: https://www.lodhagroup.com/sites/default/files/2026-07/Integrated_Report_FY2026.pdf</t>
  </si>
  <si>
    <t>A shadow price of US$40/tCO2e (about INR3,700) is used for Scope 1, Scope 2 and Scope 3 Category 1 in cost-benefit analysis, risk assessment, procurement and capex-related decisions. (Anchor met: 3 - Price and application stated). Source: Lodha Integrated Report 2025-26, PDF p. 24, Internal Carbon Price. URL: https://www.lodhagroup.com/sites/default/files/2026-07/Integrated_Report_FY2026.pdf</t>
  </si>
  <si>
    <t>NDC (2.3C) and Net Zero 2050 (1.5C) scenarios are assessed across three time horizons with risk/opportunity ratings and financial-impact types, but no quantified financial exposure is disclosed. (Anchor met: 2 - Qualitative scenario narrative). Source: Lodha Integrated Report 2025-26, PDF pp. 22-23, Transition climate risks and opportunities. URL: https://www.lodhagroup.com/sites/default/files/2026-07/Integrated_Report_FY2026.pdf</t>
  </si>
  <si>
    <t>DNV provides reasonable assurance on BRSR Core indicators and limited assurance on other indicators. (Anchor met: 3 - Reasonable assurance). Source: Lodha Integrated Report 2025-26, PDF pp. 95, 223-227, BRSR General Disclosures; Independent Assurance. URL: https://www.lodhagroup.com/sites/default/files/2026-07/Integrated_Report_FY2026.pdf</t>
  </si>
  <si>
    <t>The report quantifies supplier screening and ESG assessments, reports 83% blended-cement RMC, 12.9% MSME procurement and 160 beneficiaries of upskilling initiatives. (Anchor met: 3 - Quantified supplier/reskilling outcomes). Source: Lodha Integrated Report 2025-26, PDF pp. 52, 59-60, 124, Supplier ecosystem; Purpose outcomes; Principle 8. URL: https://www.lodhagroup.com/sites/default/files/2026-07/Integrated_Report_FY2026.pdf</t>
  </si>
  <si>
    <t>CONFIRMED per Climate_Disclosure_Rubric_Evaluation.docx: Integrated Report FY2025-26, BRSR Section C, Principle 6, Essential Indicator 7, Page 24. Scope 1 (2,071.86 tCO2e FY2025-26 vs 3,179.76 tCO2e FY2024-25); Scope 2 market-based 0.00 tCO2e post-offsets (pre-offset market-based 4,705.65 tCO2e, location-based 29,146.12 tCO2e). Score of 3 held.</t>
  </si>
  <si>
    <t>UPDATED per Climate_Disclosure_Rubric_Evaluation.docx: BRSR Section C, Principle 2, Leadership Indicator 1, Page 12; Principle 6, Leadership Indicator 2, Page 29. Scope 3: 13,18,845 tCO2e (7.91 tCO2e/Mn INR revenue; 0.97 tCO2e/sqm) FY2025-26 vs 13,80,388.89 tCO2e FY2024-25; LCA "cradle to site" boundary covering 85.37% of turnover, itemizing embodied carbon in steel, cement SCMs (fly ash/GGBS), formwork. Raised from 1 to 3 - a full material-category inventory with method exists; the Excel draft only found the qualitative carbon-neutral mention.</t>
  </si>
  <si>
    <t>UPDATED per Climate_Disclosure_Rubric_Evaluation.docx: BRSR Section B, Items 5-6, Page 8; Principle 6, Question 8, Page 24. SBTi-validated targets: -97.9% absolute Scope 1&amp;2 by FY2027-28 vs FY2021-22 baseline; -51.6% Scope 3 intensity per sqm by FY2029-30; Net Zero by FY2049-50. Progress reported: -85% Scope 1&amp;2 and -31% Scope 3 intensity achieved FY2025-26. Raised from 0 to 3 - this is a fully validated target with interim milestones and progress, the top rubric anchor; the Excel draft missed the SBTi disclosure entirely.</t>
  </si>
  <si>
    <t>UPDATED per Climate_Disclosure_Rubric_Evaluation.docx: BRSR Section B, Item 5, Page 8; Principle 2, Question 1, Page 11; Principle 6, Question 8, Page 24. Named levers tied to the SBTi roadmap: 100% renewable electricity, passive design, high-performance glazing, GGBS/LC3 supplementary cementitious materials, recycled steel, Lodha Foundation Sustainable Urbanisation Living Lab. No integrated multi-year capex schedule. Raised from 1 to 2 - multiple named, dated levers exist beyond the single renewable-electricity statement the Excel draft found.</t>
  </si>
  <si>
    <t>UPDATED per Climate_Disclosure_Rubric_Evaluation.docx: BRSR Section C, Principle 2, Essential Indicator 1, Page 11. Capex share dedicated to sustainable technologies/products: 21.2% FY2025-26 vs 19.9% FY2024-25; R&amp;D allocation 11.22%. No multi-year committed monetary capex table. Raised from 0 to 2 - a disclosed capex share exists; the Excel draft's 'no capex figures disclosed' was incorrect.</t>
  </si>
  <si>
    <t>UPDATED per Climate_Disclosure_Rubric_Evaluation.docx: BRSR Section A.26, Item 2, Page 6. Transition risks named generically (lifecycle Scope 1-3 emissions, green building mandates, regulatory transition); CCTS, CBAM, shadow carbon pricing omitted. Raised from 0 to 1 - a generic mention exists.</t>
  </si>
  <si>
    <t>CONFIRMED: no internal carbon price disclosed per Climate_Disclosure_Rubric_Evaluation.docx. Score of 0 held.</t>
  </si>
  <si>
    <t>UPDATED per Climate_Disclosure_Rubric_Evaluation.docx: BRSR Section A.26, Page 6. Physical risks (extreme heat, flooding) and transition risks listed in the material risk table; lacks formal qualitative or quantitative scenario analysis structured under TCFD/IFRS S2. Raised from 0 to 1 - a risk list does exist, meeting the '1' anchor (risks listed, no scenarios), which the Excel draft scored as fully absent.</t>
  </si>
  <si>
    <t>CONFIRMED per Climate_Disclosure_Rubric_Evaluation.docx: Section A.14-15, Page 2; Section B, Question 11, Page 8. Reasonable Assurance on BRSR Core indicators, Limited Assurance on select non-core indicators, from DNV Business Assurance India Private Limited. Score of 3 held.</t>
  </si>
  <si>
    <t>UPDATED per Climate_Disclosure_Rubric_Evaluation.docx: BRSR Section C, Principle 1, Page 11; Principle 5, Page 21; Principle 8, Essential Indicator 4, Page 31. 55.8% of input materials by value from MSMEs/small producers; Human Rights Due Diligence across sites/suppliers (12 risk vectors); Supplier Code of Conduct; safety training for 5,974 value chain partners; Unnati Program empowering 4,682 women. No quantified reskilling tied to decarbonization. Raised from 1 to 2 - a specific, figures-backed programme meets the '2' anchor.</t>
  </si>
  <si>
    <t>FY2025-26 and FY2024-25 Scope 1, Scope 2 and intensity figures are reported. GHG Protocol methodology and consolidated coverage across entities, subsidiaries and JVs are stated. (Anchor met: 3 - Multi-year + method/boundary). Source: Godrej Properties Integrated Report 2025-26, PDF pp. 47, 136, 148, Climate metrics; BRSR General Disclosures; Principle 6. URL: https://gplwebsitecdnblob.blob.core.windows.net/godrej-cdn/Files/integrated-annual-report-2025-26-cmr3h9e05000iyuph5mm4d3e6.pdf</t>
  </si>
  <si>
    <t>Purchased goods/services (Category 1) and use of sold products (Category 11) are identified as about 98% of total emissions; Scope 3 is measured under the GHG Protocol and performance is quantified. (Anchor met: 3 - Material categories + method). Source: Godrej Properties Integrated Report 2025-26, PDF pp. 47, 50, 151, Climate metrics; Emissions Performance; BRSR Scope 3. URL: https://gplwebsitecdnblob.blob.core.windows.net/godrej-cdn/Files/integrated-annual-report-2025-26-cmr3h9e05000iyuph5mm4d3e6.pdf</t>
  </si>
  <si>
    <t>FY2023-24 is the base year; a 63.8% Scope 3 intensity reduction is targeted by FY2034 and net zero by FY2050; FY2025-26 progress includes a 48% year-on-year intensity reduction. (Anchor met: 3 - Target + milestones + progress). Source: Godrej Properties Integrated Report 2025-26, PDF pp. 49-50, Science-based targets; Emissions Performance. URL: https://gplwebsitecdnblob.blob.core.windows.net/godrej-cdn/Files/integrated-annual-report-2025-26-cmr3h9e05000iyuph5mm4d3e6.pdf</t>
  </si>
  <si>
    <t>The formal Climate Transition Plan specifies four levers, FY2034/FY2050 targets, a five-year action horizon and approximately INR50 crore of transition capex/opex through FY2029-30. (Anchor met: 3 - Quantified levers, timelines and capex). Source: Godrej Properties Integrated Report 2025-26, PDF p. 50, Climate Transition Plan; Funding the Transition. URL: https://gplwebsitecdnblob.blob.core.windows.net/godrej-cdn/Files/integrated-annual-report-2025-26-cmr3h9e05000iyuph5mm4d3e6.pdf</t>
  </si>
  <si>
    <t>Approximately INR50 crore is committed for FY2025-26 to FY2029-30 and allocated across renewable energy, efficiency, low-carbon materials, supplier engagement, certifications, monitoring and resilience. (Anchor met: 3 - Multi-year commitment + allocation). Source: Godrej Properties Integrated Report 2025-26, PDF p. 50, Funding the Transition. URL: https://gplwebsitecdnblob.blob.core.windows.net/godrej-cdn/Files/integrated-annual-report-2025-26-cmr3h9e05000iyuph5mm4d3e6.pdf</t>
  </si>
  <si>
    <t>Carbon pricing is assessed as a transition risk and the report explicitly references India's upcoming domestic carbon market under the Energy Conservation framework. Exposure is not separately monetised. (Anchor met: 2 - CCTS/carbon pricing named). Source: Godrej Properties Integrated Report 2025-26, PDF pp. 44-46, Climate risk assessment; Strategic Transition Framework. URL: https://gplwebsitecdnblob.blob.core.windows.net/godrej-cdn/Files/integrated-annual-report-2025-26-cmr3h9e05000iyuph5mm4d3e6.pdf</t>
  </si>
  <si>
    <t>An implicit internal carbon price of INR978 (US$10.36) per tCO2e covers Scope 1, Scope 2 and material Scope 3 and is mandatory in capital allocation, procurement, operations and strategy. (Anchor met: 3 - Price and application stated). Source: Godrej Properties Integrated Report 2025-26, PDF p. 46, Internal Carbon Pricing. URL: https://gplwebsitecdnblob.blob.core.windows.net/godrej-cdn/Files/integrated-annual-report-2025-26-cmr3h9e05000iyuph5mm4d3e6.pdf</t>
  </si>
  <si>
    <t>IFRS S2/TCFD-aligned analysis uses IPCC SSP and IEA pathways, site-level probability weightings, risk indices, time horizons and financial-impact translation; the maturity map records quantitative financial-impact assessment. (Anchor met: 3 - Quantified IFRS S2/TCFD-style analysis). Source: Godrej Properties Integrated Report 2025-26, PDF pp. 44-48, Climate Risk Assessment; Strategic Resilience; TCFD Maturity Map. URL: https://gplwebsitecdnblob.blob.core.windows.net/godrej-cdn/Files/integrated-annual-report-2025-26-cmr3h9e05000iyuph5mm4d3e6.pdf</t>
  </si>
  <si>
    <t>TUV SUD provides reasonable assurance on non-financial BRSR Core indicators under ISAE 3000 and ISAE 3410. (Anchor met: 3 - Reasonable assurance). Source: Godrej Properties Integrated Report 2025-26, PDF pp. 252-253, Independent Reasonable Assurance Statement. URL: https://gplwebsitecdnblob.blob.core.windows.net/godrej-cdn/Files/integrated-annual-report-2025-26-cmr3h9e05000iyuph5mm4d3e6.pdf</t>
  </si>
  <si>
    <t>The report explicitly discusses just-transition principles and a Supply Chain Decarbonisation Programme; low-carbon substitutions are linked to a 48% year-on-year Scope 3 intensity reduction. (Anchor met: 3 - Quantified supplier-decarbonisation outcome). Source: Godrej Properties Integrated Report 2025-26, PDF p. 51, Value-chain decarbonisation; Just Transition Considerations. URL: https://gplwebsitecdnblob.blob.core.windows.net/godrej-cdn/Files/integrated-annual-report-2025-26-cmr3h9e05000iyuph5mm4d3e6.pdf</t>
  </si>
  <si>
    <t>UPDATED (now filing-sourced rather than secondary/web-sourced) per Climate_Disclosure_Rubric_Evaluation.docx: Integrated Report FY2025-26, BRSR Section C, Principle 6, Essential Indicator 7, Page 14. Scope 1 (936.16 tCO2e FY2025-26 vs 668.30 tCO2e FY2024-25); Scope 2 (3,831.81 vs 4,433.36 tCO2e); boundary covers group housing, retail, offices, plotted developments per GHG Protocol. Score of 3 held, but now backed by a direct BRSR page citation instead of the prior web-research-only sourcing - stronger evidentiary basis for submission.</t>
  </si>
  <si>
    <t>UPDATED per Climate_Disclosure_Rubric_Evaluation.docx: BRSR Section C, Principle 2, Leadership Indicator 1, Page 7; Principle 6, Leadership Indicator 2, Page 17. Scope 3: 20,66,232 tCO2e FY2025-26 vs 27,37,107 tCO2e FY2024-25; independent Cradle-to-Gate LCA covering 100% of turnover under NIC Code 4100; validated Scope 3 supply-chain targets under SBTi. Raised from 2 to 3 - a full category inventory with method is present in the filing itself, resolving the prior draft's 'not directly located in the BRSR text' concern.</t>
  </si>
  <si>
    <t>CONFIRMED per Climate_Disclosure_Rubric_Evaluation.docx: BRSR Section B, Items 5-6, Page 5; Principle 2, Page 7. SBTi-validated targets (Scope 1&amp;2 carbon neutrality; Scope 3 supply-chain reduction) with year-on-year progress tracked in the annual BRSR. Score of 3 held; now grounded in the BRSR filing directly rather than a BusinessToday citation.</t>
  </si>
  <si>
    <t>CONFIRMED per Climate_Disclosure_Rubric_Evaluation.docx: BRSR Section B, Item 5, Page 5; Principle 6, Leadership Indicator 4, Page 17. On-grid solar PV (676 kW), green tariff power (9,823 MWh across Mumbai/Pune), 100% green building certification target (min. IGBC Silver/Gold), GreenPro-certified low-carbon materials, afforestation offsets. No integrated multi-year capex schedule. Score of 2 held.</t>
  </si>
  <si>
    <t>UPDATED per Climate_Disclosure_Rubric_Evaluation.docx: BRSR Section C, Principle 2, Essential Indicator 1, Page 7; Principle 6, Page 17. Environmental capex share 3% of total capex FY2025-26 vs 0.6% FY2024-25; R&amp;D spend share 50%; ₹3.62 crore allocated to project-site solar PV infrastructure. Raised from 1 to 2 - this resolves the prior draft's 'no specific decarbonisation capex amount located' gap; a filing-level figure does exist.</t>
  </si>
  <si>
    <t>UPDATED per Climate_Disclosure_Rubric_Evaluation.docx: BRSR Section A.26, Item 1, Page 4. Regulatory risks from evolving climate regulations and potential carbon pricing mechanisms cited within the GHG management material issue disclosure; CBAM/CCTS pass-through modeling omitted. Raised from 0 to 1 - a generic mention does exist in the filing.</t>
  </si>
  <si>
    <t>CONFIRMED per Climate_Disclosure_Rubric_Evaluation.docx: BRSR Section A.26, Page 4. Climate change/GHG management listed as material issues reviewed by the Board ESG Committee; formal TCFD/IFRS S2 quantitative scenario modeling omitted. Score of 1 held; now grounded in the BRSR filing directly rather than the World Benchmarking Alliance citation.</t>
  </si>
  <si>
    <t>CONFIRMED per Climate_Disclosure_Rubric_Evaluation.docx: Integrated Report FY2025-26, Assurance Statement for BRSR Core, Pages 20-24. Independent Reasonable Assurance on BRSR Core indicators and Limited Assurance on non-core GRI indicators from TÜV SÜD South Asia Pvt. Ltd. Score of 3 held; this closes the prior 'not independently re-verified this session' gap with a specific page range.</t>
  </si>
  <si>
    <t>UPDATED per Climate_Disclosure_Rubric_Evaluation.docx: BRSR Section C, Principle 3, Question 4, Page 10; Principle 8, Essential Indicator 4, Page 19; Question 6, Page 19. 27% of input materials from MSMEs/small producers; quantified workforce social protection - 28,572 construction workers assisted into statutory BOCW welfare benefits, parametric climate insurance for 6,500 site workers, plus transition medical insurance for retired employees. Raised from 1 to 3 - matches the rubric reconciliation note's own basis for elevating Godrej to a 3 on I10.</t>
  </si>
  <si>
    <t>FY2025-26 and FY2024-25 Scope 1 and Scope 2 figures and intensity are reported. Assurance criteria cite the GHG Protocol and ISO 14064-1; reporting is standalone. (Anchor met: 3 - Multi-year + method/boundary). Source: NCC Integrated Annual Report 2025-26, PDF pp. 114, 148, 158, BRSR General Disclosures; Principle 6; Reasonable Assurance. URL: https://www.ncclimited.com/annual-reports/NCCAnnualReport202526.pdf</t>
  </si>
  <si>
    <t>Total Scope 3 is reported for two years. Purchased goods and upstream transport/distribution are identified and the GHG Protocol Scope 3 guidance is cited, but category-level amounts are not separately disclosed. (Anchor met: 2 - Partial categories quantified). Source: NCC Integrated Annual Report 2025-26, PDF p. 152, Principle 6 - Scope 3 leadership indicator. URL: https://www.ncclimited.com/annual-reports/NCCAnnualReport202526.pdf</t>
  </si>
  <si>
    <t>The report describes an intent to reduce emissions/environmental impact and reports current intensity, but gives no emissions-intensity target with a base year and target year. (Anchor met: 1 - Aspiration, no year). Source: NCC Integrated Annual Report 2025-26, PDF pp. 21, 123, 148, Strategy 7; BRSR governance; Principle 6. URL: https://www.ncclimited.com/annual-reports/NCCAnnualReport202526.pdf</t>
  </si>
  <si>
    <t>Named operational actions include LED replacement and automatic doors to reduce cooling demand; broader actions include renewable procurement and material circularity. No quantified transition pathway, timeline or transition capex is provided. (Anchor met: 2 - Named levers/actions). Source: NCC Integrated Annual Report 2025-26, PDF pp. 21, 148, Strategy 7; Principle 6 - GHG reduction projects. URL: https://www.ncclimited.com/annual-reports/NCCAnnualReport202526.pdf</t>
  </si>
  <si>
    <t>The BRSR capex row for technologies improving environmental/social impacts is shown as a dash for both FY2025-26 and FY2024-25; no decarbonisation amount or share is given. (Anchor met: 0 - Not disclosed). Source: NCC Integrated Annual Report 2025-26, PDF p. 129, Principle 2 - R&amp;D and capex. URL: https://www.ncclimited.com/annual-reports/NCCAnnualReport202526.pdf</t>
  </si>
  <si>
    <t>No CCTS, CBAM, carbon-pricing, carbon-tax or related exposure/pass-through disclosure was found in the full report. (Anchor met: 0 - Not addressed). Source: NCC Integrated Annual Report 2025-26, N/A - full-report search, No disclosure found. URL: https://www.ncclimited.com/annual-reports/NCCAnnualReport202526.pdf</t>
  </si>
  <si>
    <t>No internal or shadow carbon price is disclosed or described as under consideration. (Anchor met: 0 - Not disclosed). Source: NCC Integrated Annual Report 2025-26, N/A - full-report search, No disclosure found. URL: https://www.ncclimited.com/annual-reports/NCCAnnualReport202526.pdf</t>
  </si>
  <si>
    <t>No TCFD/IFRS S2-style climate scenario analysis or scenario-based climate-risk assessment was found. (Anchor met: 0 - None). Source: NCC Integrated Annual Report 2025-26, N/A - full-report search, No disclosure found. URL: https://www.ncclimited.com/annual-reports/NCCAnnualReport202526.pdf</t>
  </si>
  <si>
    <t>SGS India provides reasonable assurance on BRSR Core indicators, including Scope 1, Scope 2 and GHG intensity, under ISAE 3000 and ISAE 3410. (Anchor met: 3 - Reasonable assurance). Source: NCC Integrated Annual Report 2025-26, PDF pp. 158-160, Independent Reasonable Assurance Statement. URL: https://www.ncclimited.com/annual-reports/NCCAnnualReport202526.pdf</t>
  </si>
  <si>
    <t>Skill upgradation covered 5,464 employees; 157 value-chain partners representing 29% of spend were assessed on ESG parameters; MSME sourcing is also quantified in BRSR. (Anchor met: 3 - Quantified workforce/supplier outcomes). Source: NCC Integrated Annual Report 2025-26, PDF pp. 21, 154, Strategy 6-7; Principle 8. URL: https://www.ncclimited.com/annual-reports/NCCAnnualReport202526.pdf</t>
  </si>
  <si>
    <t>CONFIRMED per Climate_Disclosure_Rubric_Evaluation.docx: Integrated Annual Report FY2025-26, BRSR Section C, Principle 6, Essential Indicator 7, Page 36. Scope 1 (88,331 tCO2e FY2025-26 vs 1,19,629 tCO2e FY2024-25); Scope 2 (21,573 vs 26,248 tCO2e); boundary covers 186 operational project sites/offices, GHG Protocol method. Score of 3 held.</t>
  </si>
  <si>
    <t>UPDATED per Climate_Disclosure_Rubric_Evaluation.docx: BRSR Section C, Principle 6, Leadership Indicator 2, Page 40. Scope 3: 14,00,080 tCO2e (79 tCO2e/Cr turnover) FY2025-26 vs 15,87,895 tCO2e FY2024-25; covers purchased goods (42% steel/cement/pipes), upstream transportation, fuel logistics, employee commuting. Raised from 2 to 3 - the categories are quantified with a stated method, meeting the '3' anchor rather than '2' (partial, no method); note the tCO2e totals in the Word report (14,00,080 / 15,87,895) differ slightly in formatting from the Excel draft's figures (140,080 / 157,879) - same underlying numbers, likely an Indian-numbering (lakh) vs Western-numbering transcription difference; worth a quick re-check against the raw filing.</t>
  </si>
  <si>
    <t>CONFIRMED per Climate_Disclosure_Rubric_Evaluation.docx: BRSR Section B, Item 5, Page 10; Principle 6, Page 36. Operational efficiency goals (e.g. LED lighting transition, 40% lighting-load savings estimate) exist, but no quantitative GHG emission-intensity target with defined base/target years. Score of 1 held (matches Excel's prior finding that the 'net-zero-by-2045' claim is website-only, not in the BRSR filing).</t>
  </si>
  <si>
    <t>UPDATED per Climate_Disclosure_Rubric_Evaluation.docx: BRSR Section B, Item 6, Pages 10-11; Principle 6, Question 8, Page 36. Named levers: CFL-to-LED retrofits, automatic sliding glass doors (HVAC load reduction), smart metering contracts, water/wastewater management infrastructure. No quantified net-zero roadmap with capex. Raised from 0 to 2 - named, specific operational levers do exist in the filing; the Excel draft's 'no quantified transition roadmap in BRSR' was too strict a bar (I4's anchor is levers/actions, not a full roadmap).</t>
  </si>
  <si>
    <t>UPDATED per Climate_Disclosure_Rubric_Evaluation.docx: BRSR Section C, Principle 2, Essential Indicator 1, Page 17. 98.74% of R&amp;D spend FY2025-26 (100% FY2024-25) explicitly dedicated to raw material optimization and carbon footprint reduction; standalone decarbonization capex not separately broken out. Raised from 0 to 2 - a disclosed R&amp;D share tied to decarbonization does exist and meets the 'amount or share disclosed' anchor.</t>
  </si>
  <si>
    <t>UPDATED per Climate_Disclosure_Rubric_Evaluation.docx: BRSR Section A.26, Item 5, Page 8. General regulatory compliance risk (environmental legislation, waste mandates) named within the material issue risk matrix; CCTS, CBAM, financial pass-through analysis omitted. Raised from 0 to 1 - a generic mention exists.</t>
  </si>
  <si>
    <t>UPDATED per Climate_Disclosure_Rubric_Evaluation.docx: BRSR Section A.26, Item 5, Page 8 (same page as I6 - both sit within the Item 5 climate-risk narrative, which is internally consistent). Climate risks identified (extreme weather, water scarcity, operational delays) in the material issue overview; no TCFD/IFRS S2 scenario modeling. Raised from 0 to 1 - a risk list exists, meeting the '1' anchor.</t>
  </si>
  <si>
    <t>CONFIRMED per Climate_Disclosure_Rubric_Evaluation.docx: Integrated Annual Report FY2025-26, Independent Reasonable Assurance Statement, Pages 46-48. Reasonable Assurance on all BRSR Core indicators from SGS India Private Limited (ISAE 3000 Revised, ISAE 3410). Score of 3 held.</t>
  </si>
  <si>
    <t>UPDATED per Climate_Disclosure_Rubric_Evaluation.docx: BRSR Section C, Principle 4, Question 3, Pages 27-28; Principle 8, Essential Indicator 4, Page 42; Question 6, Page 43. 18% of input materials from MSMEs FY2025-26 (up from 10% FY2024-25); 157 value chain partners assessed (29% of annual procurement spend) on ESG/health/safety/human rights; CSR in education, maternal healthcare, rural infrastructure. No quantified reskilling tied to decarbonization. Raised from 1 to 2 - a specific, figures-backed supplier programme meets the '2' anchor.</t>
  </si>
  <si>
    <t>N/A</t>
  </si>
  <si>
    <t>Annual report; reporting-status note</t>
  </si>
  <si>
    <t>IFFCO is a multi-state co-operative and is not subject to the listed-entity BRSR mandate; scores are not treated as zero.</t>
  </si>
  <si>
    <t>BRSR Principles 6/7; Sustainability Report climate metrics; pp. 61–64</t>
  </si>
  <si>
    <t>Current-year Scope 1/2 disclosure in BRSR/ESG environmental indicators.</t>
  </si>
  <si>
    <t>Scope 3 disclosure where quantified; otherwise partial/acknowledged treatment reflected in score.</t>
  </si>
  <si>
    <t>Published emissions-intensity targets and/or progress where disclosed.</t>
  </si>
  <si>
    <t>Named climate/energy levers and transition actions in ESG/climate sections.</t>
  </si>
  <si>
    <t>Disclosure of decarbonisation/energy-transition expenditure or project investment where available.</t>
  </si>
  <si>
    <t>CBAM/CCTS/carbon-regulatory exposure discussed where applicable.</t>
  </si>
  <si>
    <t>No disclosed internal carbon price unless explicitly stated.</t>
  </si>
  <si>
    <t>Climate-risk/scenario discussion in risk-management or TCFD/IFRS S2-aligned sections where available.</t>
  </si>
  <si>
    <t>External assurance level stated in BRSR/ESG assurance statement.</t>
  </si>
  <si>
    <t>Workforce, supplier/MSME, skilling or community transition programmes in social/ESG disclosures.</t>
  </si>
  <si>
    <t>BRSR Principle 6 / Essential Indicators; Annexure-2; FY2024-25</t>
  </si>
  <si>
    <t>BRSR Principle 6 and ESG disclosures; FY2024-25</t>
  </si>
  <si>
    <t>ESG Performance / Natural Capital; BRSR Principle 6; pp. 76–77 and BRSR annexure</t>
  </si>
  <si>
    <t>BRSR pp. 268–269; climate/environment sections</t>
  </si>
  <si>
    <t>BRSR pp. 67 onward; Scope 3 and resource-efficiency disclosures</t>
  </si>
  <si>
    <t>BRSR environmental indicators; FY2024-25</t>
  </si>
  <si>
    <t>BRSR environmental indicators; 60-page BRSR</t>
  </si>
  <si>
    <t>BRSR environmental/ESG sections; FY2024-25</t>
  </si>
  <si>
    <t>GHG emissions and climate sections; pp. 228–229; BRSR Core assurance section</t>
  </si>
  <si>
    <t>No page or quote: score copied from the report table; recode from the filing</t>
  </si>
  <si>
    <t>Agriculture sector report, s.8 table</t>
  </si>
  <si>
    <t>Aluminium_Report.pdf</t>
  </si>
  <si>
    <t>PDF pp.14–15; Table 8</t>
  </si>
  <si>
    <t>Value transcribed from report scoring matrix; underlying company disclosure not independently verified.</t>
  </si>
  <si>
    <t>PDF p.35; section 8</t>
  </si>
  <si>
    <t>reported_CBAM_exposure_flag</t>
  </si>
  <si>
    <t>Steel group/Steel_Sector_Report.pdf</t>
  </si>
  <si>
    <t>PDF p.6, Table 3</t>
  </si>
  <si>
    <t>Tata Steel Ltd: CBAM 1.</t>
  </si>
  <si>
    <t>Report sample classification; Generic CBAM flag in report. Do not equate a zero to proof of no CBAM-covered product; the report does not supply product codes.; Added separate reported variable</t>
  </si>
  <si>
    <t>PDF p.6, source note below Table 3</t>
  </si>
  <si>
    <t>BRSR and annual reports FY2024–25.</t>
  </si>
  <si>
    <t>Disclosure sample source-year note; Secondary source-year statement; source workbooks contain some FY2025-26 entries for other firms. Underlying company filings were not supplied.; Filled missing master value</t>
  </si>
  <si>
    <t>JSW Steel Ltd: CBAM 1.</t>
  </si>
  <si>
    <t>Steel Authority of India (SAIL): CBAM 1.</t>
  </si>
  <si>
    <t>Jindal Steel Ltd (JSPL): CBAM 0.</t>
  </si>
  <si>
    <t>Jindal Stainless Ltd: CBAM 1.</t>
  </si>
  <si>
    <t>NMDC Steel Ltd: CBAM 0.</t>
  </si>
  <si>
    <t>Shyam Metalics &amp; Energy Ltd: CBAM 1.</t>
  </si>
  <si>
    <t>Godawari Power &amp; Ispat Ltd: CBAM 0.</t>
  </si>
  <si>
    <t>Kalyani Steels Ltd: CBAM 0.</t>
  </si>
  <si>
    <t>PDF p.5, section 2.3</t>
  </si>
  <si>
    <t>The two largest, Tata Steel and JSW Steel, have confirmed European export exposure.</t>
  </si>
  <si>
    <t>Reported qualitative export presence; No EU-specific export share supplied.; Filled missing master value</t>
  </si>
  <si>
    <t>reported_cost_of_debt_year_end</t>
  </si>
  <si>
    <t>Steel group/data/DQS- excel.xlsx</t>
  </si>
  <si>
    <t>Financials!J2; Steel_Sector_Report.pdf PDF p.17 section 10</t>
  </si>
  <si>
    <t>The dependent variable is ... interest and finance cost divided by total debt.</t>
  </si>
  <si>
    <t>FY2025; source proxy = finance_cost / year-end total_debt; Not average-debt basis. Populate original cost_of_debt_proxy only if a per-row basis column and dictionary change make this distinction explicit.; Added separate reported variable</t>
  </si>
  <si>
    <t>Financials!J3; Steel_Sector_Report.pdf PDF p.17 section 10</t>
  </si>
  <si>
    <t>Financials!J4; Steel_Sector_Report.pdf PDF p.17 section 10</t>
  </si>
  <si>
    <t>Financials!J5; Steel_Sector_Report.pdf PDF p.17 section 10</t>
  </si>
  <si>
    <t>Financials!J6; Steel_Sector_Report.pdf PDF p.17 section 10</t>
  </si>
  <si>
    <t>Financials!J7; Steel_Sector_Report.pdf PDF p.17 section 10</t>
  </si>
  <si>
    <t>Financials!J8; Steel_Sector_Report.pdf PDF p.17 section 10</t>
  </si>
  <si>
    <t>Financials!J9; Steel_Sector_Report.pdf PDF p.17 section 10</t>
  </si>
  <si>
    <t>Financials!J10; Steel_Sector_Report.pdf PDF p.17 section 10</t>
  </si>
  <si>
    <t>Cement/Cement_Report.pdf</t>
  </si>
  <si>
    <t>PDF p.5, problem context</t>
  </si>
  <si>
    <t>0.25% export revenue – UltraTech Cement Limited; 0% export revenue – Ambuja, ACC, Shree Cement &amp; JSW Cement.</t>
  </si>
  <si>
    <t>Export share of turnover, as reported; The report does not consistently state fiscal year/basis beside these shares. No EU-specific exports are disclosed; do not infer EU_export = 0 from this.; Filled missing master value</t>
  </si>
  <si>
    <t>PDF pp.7,10; firm sample and Table 2</t>
  </si>
  <si>
    <t>Cement is CBAM-covered (incl. clinker). Firm sample lists UltraTech, Ambuja, ACC, Shree Cement, JSW Cement, Dalmia Bharat and JK Cement as cement producers.</t>
  </si>
  <si>
    <t>Product-category exposure only; This marks the covered cement/clinker product category, not EU exports, importer liability or a legal firm-specific CBAM determination.; Filled missing master value</t>
  </si>
  <si>
    <t>reported_CCTS_units</t>
  </si>
  <si>
    <t>PDF p.10, Table 1</t>
  </si>
  <si>
    <t>12 plants already in CCTS cycle</t>
  </si>
  <si>
    <t>Explicit firm/unit claim in supplied secondary research; Secondary report/workbook claim of named units, not independently checked against a final official notification. Original CCTS_obligated remains blank pending final legal citation.; Added separate reported variable</t>
  </si>
  <si>
    <t>49 obligated units under CCTS</t>
  </si>
  <si>
    <t>Cement/Annexure A.xlsx</t>
  </si>
  <si>
    <t>Annexure A.xlsx, Evidence &amp; Sources!E38:F38</t>
  </si>
  <si>
    <t>4 integrated plants + 3 grinding units assigned carbon-reduction targets under GEI Target Rules; PAT-to-CCTS transition discussed.</t>
  </si>
  <si>
    <t>PAT Designated Consumer; no explicit CCTS reference.</t>
  </si>
  <si>
    <t>Explicit legacy PAT scheme designation in company-comparison table; PAT here means Perform Achieve and Trade, not profit after tax.; Filled missing master value</t>
  </si>
  <si>
    <t>reported_export_band</t>
  </si>
  <si>
    <t>&lt;0.1%</t>
  </si>
  <si>
    <t>PDF p.5, export-revenue discussion; pp.9–10 comparison tables</t>
  </si>
  <si>
    <t>&lt;0.1% for Dalmia Bharat</t>
  </si>
  <si>
    <t>Share/description as reported, not an exact point estimate; Do not convert an upper bound or negligible into zero or a midpoint.; Added separate reported variable</t>
  </si>
  <si>
    <t>Negligible</t>
  </si>
  <si>
    <t>JK Cement exports described as negligible</t>
  </si>
  <si>
    <t>total_debt_prior_year (Rs cr, INPUT)</t>
  </si>
  <si>
    <t>Building construction group/Consolidated_Firm_Panel_FY24-FY26.xlsx</t>
  </si>
  <si>
    <t>Consolidated Panel!N4; fiscal year C4</t>
  </si>
  <si>
    <t>FY 2023-24 gross borrowings = ₹44.97 crore.</t>
  </si>
  <si>
    <t>Prior year for main-panel FY 2024-25 consolidated financials.; This is a Support_Variables field, not a new master column. Finance costs cannot be back-calculated as exact inputs from rounded borrowing-cost ratios.; Filled missing support value</t>
  </si>
  <si>
    <t>Consolidated Panel!N7; fiscal year C7</t>
  </si>
  <si>
    <t>FY 2023-24 gross borrowings = ₹96.4 crore.</t>
  </si>
  <si>
    <t>Consolidated Panel!N10; fiscal year C10</t>
  </si>
  <si>
    <t>FY 2023-24 gross borrowings = ₹980.02 crore.</t>
  </si>
  <si>
    <t>Consolidated Panel!N13; fiscal year C13</t>
  </si>
  <si>
    <t>FY 2023-24 gross borrowings = ₹170.59 crore.</t>
  </si>
  <si>
    <t>Consolidated Panel!N16; fiscal year C16</t>
  </si>
  <si>
    <t>FY 2023-24 gross borrowings = ₹114039.77 crore.</t>
  </si>
  <si>
    <t>Consolidated Panel!N19; fiscal year C19</t>
  </si>
  <si>
    <t>FY 2023-24 gross borrowings = ₹4598.71 crore.</t>
  </si>
  <si>
    <t>Consolidated Panel!N22; fiscal year C22</t>
  </si>
  <si>
    <t>FY 2023-24 gross borrowings = ₹7679.9 crore.</t>
  </si>
  <si>
    <t>Consolidated Panel!N25; fiscal year C25</t>
  </si>
  <si>
    <t>FY 2023-24 gross borrowings = ₹10656.46 crore.</t>
  </si>
  <si>
    <t>Consolidated Panel!N28; fiscal year C28</t>
  </si>
  <si>
    <t>FY 2023-24 gross borrowings = ₹872.77 crore.</t>
  </si>
  <si>
    <t>Consolidated Panel!H5:I5</t>
  </si>
  <si>
    <t>FY 2024-25 export revenue is ₹0 crore; total export share 0.</t>
  </si>
  <si>
    <t>Direct consolidated export revenue.; Logical subset: direct EU exports cannot be positive when total direct export revenue is zero. Does not establish absence of indirect exports/customer exposure.; Filled missing master value</t>
  </si>
  <si>
    <t>Consolidated Panel!H20:I20</t>
  </si>
  <si>
    <t>Consolidated Panel!H23:I23</t>
  </si>
  <si>
    <t>Consolidated Panel!H26:I26</t>
  </si>
  <si>
    <t>Consolidated Panel!H29:I29</t>
  </si>
  <si>
    <t>Building construction group/Climate_Disclosure_Scoring_MASTER_10Firms_v1.xlsx</t>
  </si>
  <si>
    <t>Master Scoring Log!I47</t>
  </si>
  <si>
    <t>FY 2024-25 disclosure-scoring period.; Explicit negative PAT statement in source coding notes; not inferred from sector.; Filled missing master value</t>
  </si>
  <si>
    <t>Master Scoring Log!I47; original filing Section A Q19b p.3</t>
  </si>
  <si>
    <t>FY 2024-25 BRSR turnover/export share.; No matching consolidated financial workbook was supplied for NBCC; this is the BRSR-reported export share.; Filled missing master value</t>
  </si>
  <si>
    <t>PSU</t>
  </si>
  <si>
    <t>Master Scoring Log!B47</t>
  </si>
  <si>
    <t>PMC &amp; EPC construction (CPSE)</t>
  </si>
  <si>
    <t>Company explicitly labelled CPSE in source classification.; No exchange or government ownership percentage inferred.; Filled missing master value</t>
  </si>
  <si>
    <t>Master Scoring Log!I67</t>
  </si>
  <si>
    <t>Master Scoring Log!I87</t>
  </si>
  <si>
    <t>FY 2025-26 disclosure-scoring period.; Explicit negative PAT statement in source coding notes; not inferred from sector.; Filled missing master value</t>
  </si>
  <si>
    <t>Master Scoring Log!I106</t>
  </si>
  <si>
    <t>FY2025-26; source URL supplied by coder.; URL is transcribed, not independently opened or verified.; Filled missing master value</t>
  </si>
  <si>
    <t>Master Scoring Log!I126</t>
  </si>
  <si>
    <t>Master Scoring Log!I146</t>
  </si>
  <si>
    <t>Master Scoring Log!I166</t>
  </si>
  <si>
    <t>Master Scoring Log!I186</t>
  </si>
  <si>
    <t>PDF p.5 / DOCX Table 1</t>
  </si>
  <si>
    <t>Table 1: IFFCO; ownership cooperative; size Large; export band &lt;10%; CBAM-covered Yes.</t>
  </si>
  <si>
    <t>Survey classification: Large &gt;₹5,000cr; Mid ₹500–5,000cr; Reported firm size, not derived from an assumed revenue midpoint.; Filled missing master value</t>
  </si>
  <si>
    <t>&lt;10%</t>
  </si>
  <si>
    <t>Self-reported categorical export share; Do not convert the range to an exact export_intensity or midpoint. SRF section14.2 warns its disclosed export share differs from the survey band.; Added separate reported variable</t>
  </si>
  <si>
    <t>Self-reported response to CBAM product scope question; Perceived product scope, not verification of actual Annex I goods, tariff codes, or EU exports.; Added separate reported variable</t>
  </si>
  <si>
    <t>listed private</t>
  </si>
  <si>
    <t>Table 1: DCM Shriram; ownership listed private; size Large; export band 10–30%; CBAM-covered Yes.</t>
  </si>
  <si>
    <t>Firm profile in sector-report survey table; Self-reported profile; not independent registry verification.; Filled missing master value</t>
  </si>
  <si>
    <t>Explicit listed-private classification; Not an exchange-specific verification.; Filled missing master value</t>
  </si>
  <si>
    <t>10–30%</t>
  </si>
  <si>
    <t>Table 1: National Fertilizers Limited (NFL); ownership PSU; size Large; export band &lt;10%; CBAM-covered Yes.</t>
  </si>
  <si>
    <t>Table 1: Chambal Fertilisers &amp; Chemicals; ownership listed private; size Large; export band &lt;10%; CBAM-covered Yes.</t>
  </si>
  <si>
    <t>Table 1: Mangalore Chemicals &amp; Fertilizers; ownership listed private; size Mid; export band &lt;10%; CBAM-covered Yes.</t>
  </si>
  <si>
    <t>Table 1: Southern Petrochemical Industries Corporation (SPIC); ownership listed private; size Mid; export band &lt;10%; CBAM-covered Yes.</t>
  </si>
  <si>
    <t>Table 1: PI Industries; ownership listed private; size Large; export band &gt;60%; CBAM-covered No.</t>
  </si>
  <si>
    <t>&gt;60%</t>
  </si>
  <si>
    <t>Table 1: Madras Fertilizers; ownership PSU; size Mid; export band &lt;10%; CBAM-covered Yes.</t>
  </si>
  <si>
    <t>Table 1: Khaitan Chemicals &amp; Fertilizers; ownership listed private; size Mid; export band &lt;10%; CBAM-covered No.</t>
  </si>
  <si>
    <t>Table 1: Madhya Bharat Agro Products; ownership listed private; size Mid; export band &lt;10%; CBAM-covered Yes.</t>
  </si>
  <si>
    <t>Table 1: Krishana Phoschem; ownership listed private; size Mid; export band &lt;10%; CBAM-covered Yes.</t>
  </si>
  <si>
    <t>Table 1: SRF Limited; ownership listed private; size Large; export band &gt;60%; CBAM-covered No.</t>
  </si>
  <si>
    <t>reported_planned_green_capex_band</t>
  </si>
  <si>
    <t>No dedicated decarbonisation allocation; 15–30%</t>
  </si>
  <si>
    <t>Supporting material/Survey_Responses.xlsx; Supporting material/Respondent_Log.xlsx</t>
  </si>
  <si>
    <t>Survey: New Form Responses Q16; firm join from Respondent Log</t>
  </si>
  <si>
    <t>PI Industries respondent bands: No dedicated decarbonisation allocation; 15–30%.</t>
  </si>
  <si>
    <t>Planned next-three-year decarbonisation capex share; self report; Range responses retained; not audited current capex or green_capex_intensity. No midpoint assigned.; Added separate reported variable</t>
  </si>
  <si>
    <t>reported_CCTS_exposure</t>
  </si>
  <si>
    <t>Not sure; Directly covered or expected to have direct compliance obligations</t>
  </si>
  <si>
    <t>Survey: New Form Responses Q7; firm join from Respondent Log</t>
  </si>
  <si>
    <t>PI Industries respondents: Not sure; Directly covered or expected to have direct compliance obligations.</t>
  </si>
  <si>
    <t>Perceived current or EXPECTED obligations; Does not establish legal CCTS_obligated; leave legal flag unfilled without unit-level final notification.; Added separate reported variable</t>
  </si>
  <si>
    <t>5–15%; 15–30%</t>
  </si>
  <si>
    <t>IFFCO respondent bands: 5–15%; 15–30%.</t>
  </si>
  <si>
    <t>Directly covered or expected to have direct compliance obligations</t>
  </si>
  <si>
    <t>IFFCO respondents: Directly covered or expected to have direct compliance obligations.</t>
  </si>
  <si>
    <t>5–15%</t>
  </si>
  <si>
    <t>DCM Shriram respondent bands: 5–15%.</t>
  </si>
  <si>
    <t>DCM Shriram respondents: Directly covered or expected to have direct compliance obligations.</t>
  </si>
  <si>
    <t>National Fertilizers Limited (NFL) respondent bands: 5–15%.</t>
  </si>
  <si>
    <t>National Fertilizers Limited (NFL) respondents: Directly covered or expected to have direct compliance obligations.</t>
  </si>
  <si>
    <t>Chambal Fertilisers &amp; Chemicals respondent bands: 5–15%.</t>
  </si>
  <si>
    <t>Chambal Fertilisers &amp; Chemicals respondents: Directly covered or expected to have direct compliance obligations.</t>
  </si>
  <si>
    <t>15–30%</t>
  </si>
  <si>
    <t>SRF Limited respondent bands: 15–30%.</t>
  </si>
  <si>
    <t>SRF Limited respondents: Directly covered or expected to have direct compliance obligations.</t>
  </si>
  <si>
    <t>Less than 5%</t>
  </si>
  <si>
    <t>Mangalore Chemicals &amp; Fertilizers respondent bands: Less than 5%.</t>
  </si>
  <si>
    <t>Mangalore Chemicals &amp; Fertilizers respondents: Directly covered or expected to have direct compliance obligations.</t>
  </si>
  <si>
    <t>Southern Petrochemical Industries Corporation (SPIC) respondent bands: Less than 5%.</t>
  </si>
  <si>
    <t>Southern Petrochemical Industries Corporation (SPIC) respondents: Directly covered or expected to have direct compliance obligations.</t>
  </si>
  <si>
    <t>Madras Fertilizers respondent bands: Less than 5%.</t>
  </si>
  <si>
    <t>Madras Fertilizers respondents: Directly covered or expected to have direct compliance obligations.</t>
  </si>
  <si>
    <t>Khaitan Chemicals &amp; Fertilizers respondent bands: Less than 5%.</t>
  </si>
  <si>
    <t>Khaitan Chemicals &amp; Fertilizers respondents: Directly covered or expected to have direct compliance obligations.</t>
  </si>
  <si>
    <t>Madhya Bharat Agro Products respondent bands: Less than 5%.</t>
  </si>
  <si>
    <t>Madhya Bharat Agro Products respondents: Directly covered or expected to have direct compliance obligations.</t>
  </si>
  <si>
    <t>Krishana Phoschem respondent bands: Less than 5%.</t>
  </si>
  <si>
    <t>Krishana Phoschem respondents: Directly covered or expected to have direct compliance obligations.</t>
  </si>
  <si>
    <t>reported_DQS_indicators_coded</t>
  </si>
  <si>
    <t>PDF p.18 / DOCX Table 15</t>
  </si>
  <si>
    <t>Table 15 lists 10 of 10 indicators coded for Chambal Fertilisers &amp; Chemicals.</t>
  </si>
  <si>
    <t>Coverage reported in sector paper; This conflicts with several complete rows of Disclosure_Coding_Sheet.xlsx; neither version is silently overwritten.; Added separate reported variable</t>
  </si>
  <si>
    <t>reported_assurance</t>
  </si>
  <si>
    <t>Reasonable (Moore Singhi)</t>
  </si>
  <si>
    <t>Chambal Fertilisers &amp; Chemicals: Reasonable (Moore Singhi).</t>
  </si>
  <si>
    <t>Paper-reported assurance descriptor; Not translated into a new I9 score.; Added separate reported variable</t>
  </si>
  <si>
    <t>Table 15 lists 10 of 10 indicators coded for Mangalore Chemicals &amp; Fertilizers.</t>
  </si>
  <si>
    <t>None</t>
  </si>
  <si>
    <t>Mangalore Chemicals &amp; Fertilizers: None.</t>
  </si>
  <si>
    <t>Table 15 lists 10 of 10 indicators coded for Southern Petrochemical Industries Corporation (SPIC).</t>
  </si>
  <si>
    <t>Southern Petrochemical Industries Corporation (SPIC): None.</t>
  </si>
  <si>
    <t>Table 15 lists 10 of 10 indicators coded for Khaitan Chemicals &amp; Fertilizers.</t>
  </si>
  <si>
    <t>Khaitan Chemicals &amp; Fertilizers: None.</t>
  </si>
  <si>
    <t>Table 15 lists 2 of 10 indicators coded for DCM Shriram.</t>
  </si>
  <si>
    <t>Limited (Deloitte)</t>
  </si>
  <si>
    <t>DCM Shriram: Limited (Deloitte).</t>
  </si>
  <si>
    <t>Table 15 lists 2 of 10 indicators coded for PI Industries.</t>
  </si>
  <si>
    <t>Reasonable (PwC)</t>
  </si>
  <si>
    <t>PI Industries: Reasonable (PwC).</t>
  </si>
  <si>
    <t>Table 15 lists 3 of 10 indicators coded for Krishana Phoschem.</t>
  </si>
  <si>
    <t>Table 15 lists 1 of 10 indicators coded for SRF Limited.</t>
  </si>
  <si>
    <t>Reasonable + limited (BDO)</t>
  </si>
  <si>
    <t>SRF Limited: Reasonable + limited (BDO).</t>
  </si>
  <si>
    <t>Table 15 lists 0 of 10 indicators coded for National Fertilizers Limited (NFL).</t>
  </si>
  <si>
    <t>Table 15 lists 0 of 10 indicators coded for Madras Fertilizers.</t>
  </si>
  <si>
    <t>Table 15 lists 0 of 10 indicators coded for Madhya Bharat Agro Products.</t>
  </si>
  <si>
    <t>Table 15 lists 0 of 10 indicators coded for IFFCO.</t>
  </si>
  <si>
    <t>No BRSR (not SEBI-listed)</t>
  </si>
  <si>
    <t>IFFCO: No BRSR (not SEBI-listed).</t>
  </si>
  <si>
    <t>PDF p.19 / DOCX Table 16</t>
  </si>
  <si>
    <t>revenue: 13538; reporting_year: FY2025-26; reported_adjusted_PAT: 856; reported_net_debt: 1767</t>
  </si>
  <si>
    <t>All amounts ₹ crore; financial FY FY2025-26; ₹856cr is adjusted for a one-time ₹239cr deferred-tax credit, not unqualified PAT. ₹1,767cr is NET debt, not total debt.; Filled missing master value</t>
  </si>
  <si>
    <t>reported_adjusted_PAT</t>
  </si>
  <si>
    <t>All amounts ₹ crore; financial FY FY2025-26; ₹856cr is adjusted for a one-time ₹239cr deferred-tax credit, not unqualified PAT. ₹1,767cr is NET debt, not total debt.; Added separate reported variable</t>
  </si>
  <si>
    <t>reported_net_debt</t>
  </si>
  <si>
    <t>financial_data_status</t>
  </si>
  <si>
    <t>Report financials transcribed; ₹856cr is adjusted for a one-time ₹239cr deferred-tax credit, not unqualified PAT. ₹1,767cr is NET debt, not total debt.</t>
  </si>
  <si>
    <t>Uploaded report Table16; ₹856cr is adjusted for a one-time ₹239cr deferred-tax credit, not unqualified PAT. ₹1,767cr is NET debt, not total debt.; Added review annotation</t>
  </si>
  <si>
    <t>PDF p.20 / DOCX Table 16</t>
  </si>
  <si>
    <t>revenue: 21567.9; PAT: 169.7; reporting_year: FY2025-26; reported_consolidated_PAT: 211.5</t>
  </si>
  <si>
    <t>All amounts ₹ crore; financial FY FY2025-26; PAT ₹169.7cr explicitly standalone; consolidated PAT ₹211.5cr stored separately. Revenue basis is not specified, so do not assume a consolidated revenue/PAT combination.; Filled missing master value</t>
  </si>
  <si>
    <t>reported_consolidated_PAT</t>
  </si>
  <si>
    <t>All amounts ₹ crore; financial FY FY2025-26; PAT ₹169.7cr explicitly standalone; consolidated PAT ₹211.5cr stored separately. Revenue basis is not specified, so do not assume a consolidated revenue/PAT combination.; Added separate reported variable</t>
  </si>
  <si>
    <t>Report financials transcribed; PAT ₹169.7cr explicitly standalone; consolidated PAT ₹211.5cr stored separately. Revenue basis is not specified, so do not assume a consolidated revenue/PAT combination.</t>
  </si>
  <si>
    <t>Uploaded report Table16; PAT ₹169.7cr explicitly standalone; consolidated PAT ₹211.5cr stored separately. Revenue basis is not specified, so do not assume a consolidated revenue/PAT combination.; Added review annotation</t>
  </si>
  <si>
    <t>revenue: 1001.6; PAT: 68.8; reporting_year: FY2025-26</t>
  </si>
  <si>
    <t>All amounts ₹ crore; financial FY FY2025-26; Source does not fully identify standalone/consolidated basis. Do not combine with a different-basis denominator.; Filled missing master value</t>
  </si>
  <si>
    <t>Report financials transcribed; Source does not fully identify standalone/consolidated basis. Do not combine with a different-basis denominator.</t>
  </si>
  <si>
    <t>Uploaded report Table16; Source does not fully identify standalone/consolidated basis. Do not combine with a different-basis denominator.; Added review annotation</t>
  </si>
  <si>
    <t>revenue: 1867; PAT: 150.2; reporting_year: FY2025-26</t>
  </si>
  <si>
    <t>revenue: 2418; PAT: 180.1; reporting_year: FY2025-26</t>
  </si>
  <si>
    <t>total_debt: 4527; total_assets: 22261; reporting_year: FY2024-25; reported_market_cap: 89730; reported_book_value: 13264; market_to_book (source): 6.76</t>
  </si>
  <si>
    <t>All amounts ₹ crore; financial FY FY2024-25; Source does not fully identify standalone/consolidated basis. Do not combine with a different-basis denominator.; Filled missing master value</t>
  </si>
  <si>
    <t>reported_market_cap</t>
  </si>
  <si>
    <t>All amounts ₹ crore; financial FY FY2024-25; Source does not fully identify standalone/consolidated basis. Do not combine with a different-basis denominator.; Added separate reported variable</t>
  </si>
  <si>
    <t>reported_book_value</t>
  </si>
  <si>
    <t>market_to_book (source)</t>
  </si>
  <si>
    <t>All amounts ₹ crore; financial FY FY2024-25; Source does not fully identify standalone/consolidated basis. Do not combine with a different-basis denominator.; Filled missing support value</t>
  </si>
  <si>
    <t>reported_long_term_debt</t>
  </si>
  <si>
    <t>reported_long_term_debt: 82.3; reporting_year: FY2024-25; reported_net_margin: 0.099</t>
  </si>
  <si>
    <t>All amounts ₹ crore; financial FY FY2024-25; ₹82.3cr is long-term debt only; do not fill total_debt. No actual revenue or PAT is supplied.; Added separate reported variable</t>
  </si>
  <si>
    <t>All amounts ₹ crore; financial FY FY2024-25; ₹82.3cr is long-term debt only; do not fill total_debt. No actual revenue or PAT is supplied.; Filled missing master value</t>
  </si>
  <si>
    <t>reported_net_margin</t>
  </si>
  <si>
    <t>Report financials transcribed; ₹82.3cr is long-term debt only; do not fill total_debt. No actual revenue or PAT is supplied.</t>
  </si>
  <si>
    <t>Uploaded report Table16; ₹82.3cr is long-term debt only; do not fill total_debt. No actual revenue or PAT is supplied.; Added review annotation</t>
  </si>
  <si>
    <t>credit_rating (source)</t>
  </si>
  <si>
    <t>CRISIL upgraded to A+/Stable; ICRA existing A+ rating placed on negative watch in March 2026.</t>
  </si>
  <si>
    <t>Different agencies and dates retained; Do not collapse to one rating or omit the negative watch.; Filled missing support value</t>
  </si>
  <si>
    <t>PDF pp.5,18–20 / DOCX Tables 1,15,16</t>
  </si>
  <si>
    <t>Named in report firm sample and coding-status table.</t>
  </si>
  <si>
    <t>Sector-paper secondary source; Original company disclosures are not attached.; Filled missing master value</t>
  </si>
  <si>
    <t>PDF pp.5,18,20</t>
  </si>
  <si>
    <t>Named in report tables.</t>
  </si>
  <si>
    <t>Sector-paper source locators; Reporting_FY of actual disclosure scoring remains unavailable.; Filled missing master value</t>
  </si>
  <si>
    <t>Textile_and_Apparel_Report.pdf (secondary report; primary firm filings not supplied)</t>
  </si>
  <si>
    <t>Textile/Textile_and_Apparel_Report.pdf</t>
  </si>
  <si>
    <t>PDF p.10, B1; p.23, Figure 8; p.25, C1</t>
  </si>
  <si>
    <t>Disclosure-quality coding: 13 listed companies, FY2024-25 (FY2025-26 where available).</t>
  </si>
  <si>
    <t>Secondary research report; numeric ten-indicator matrix absent; The report refers to Clean_Shared_Data.xlsx, which is not present in the uploaded ZIP.; Extended provenance</t>
  </si>
  <si>
    <t>Company positioning by Disclosure Quality Score across all 13 coded firms.</t>
  </si>
  <si>
    <t>Report total only, not indicator evidence; Firm-specific report pages and exact FY cannot be assigned from this PDF.; Filled missing master value</t>
  </si>
  <si>
    <t>review_note</t>
  </si>
  <si>
    <t>Report total available; I1–I10, firm-specific FY and financial amounts are not printed. Report coverage is FY2024-25, or FY2025-26 where available. Clean_Shared_Data.xlsx is referenced but absent.</t>
  </si>
  <si>
    <t>C1: Clean_Shared_Data.xlsx contains full disclosure-coding sheet and merged firm-level master table.</t>
  </si>
  <si>
    <t>All 13 textile rows; Do not infer company-specific FY, scores, revenue or export fractions from aggregate results.; Added review annotation</t>
  </si>
  <si>
    <t>Transport and Logistics/Transport_and_Logistics_Report.pdf</t>
  </si>
  <si>
    <t>PDF pp.19–20, section 8.9; p.7, section 6.6</t>
  </si>
  <si>
    <t>A 10-company dataset drawn from FY2024-25 annual reports, BRSR/climate disclosures and official investor pages, verified 16 August 2026.</t>
  </si>
  <si>
    <t>Year of report’s disclosure/financing-cost dataset; Actual finance costs, borrowing denominators and statement scope are not printed.; Filled missing master value</t>
  </si>
  <si>
    <t>Transport_and_Logistics_Report.pdf (secondary report; FY2024-25 source dataset)</t>
  </si>
  <si>
    <t>Sample scope: evidence-based 10-company dataset drawn from FY2024-25 annual reports, BRSR/climate disclosures and official investor pages.</t>
  </si>
  <si>
    <t>Secondary source; primary financial filings not included; No firm-specific official report URL or score matrix exists in this PDF.; Extended provenance</t>
  </si>
  <si>
    <t>Disclosure Quality Score, all 10 firms; Financial proxy and usable sample.</t>
  </si>
  <si>
    <t>DQS total and separately reported financing ratio; Finance cost / average borrowings is a heterogeneous proxy, not a pure borrowing interest rate.; Filled missing master value</t>
  </si>
  <si>
    <t>Report financing ratio only; finance-cost and borrowing amounts not supplied.</t>
  </si>
  <si>
    <t>Two firms (Maruti Suzuki, Blue Dart Express) are effectively debt-free; CONCOR FY25 finance cost could not be safely extracted.</t>
  </si>
  <si>
    <t>FY2024-25; No zero financial data are substituted for missing/not-applicable values.; Added review annotation</t>
  </si>
  <si>
    <t>Report provides total DQS only; I1–I10 are unavailable. Source dataset is FY2024-25 and was verified by the report team on 16 August 2026 (not a new verification here). Reported ratio is finance cost divided by average borrowings; underlying amounts and consistent statement basis are not given.</t>
  </si>
  <si>
    <t>Report: raw proxy only; it must not be read as an effective interest rate or market cost of debt.</t>
  </si>
  <si>
    <t>FY2024-25; Self-reported survey CBAM flags and pooled firmographics are not company-specific product/ownership evidence.; Added review annotation</t>
  </si>
  <si>
    <t>Not applicable: report calls firm effectively debt-free.</t>
  </si>
  <si>
    <t>Report provides total DQS only; I1–I10 are unavailable. Source dataset is FY2024-25 and was verified by the report team on 16 August 2026 (not a new verification here). Not applicable: report calls firm effectively debt-free.</t>
  </si>
  <si>
    <t>Report provides total DQS only; I1–I10 are unavailable. Source dataset is FY2024-25 and was verified by the report team on 16 August 2026 (not a new verification here). Reported ratio is finance cost divided by average borrowings; underlying amounts and consistent statement basis are not given. Delhivery 152.22% is explicitly a lease-distorted outlier and should not be treated as an effective interest rate.</t>
  </si>
  <si>
    <t>Not applicable: report states no outstanding external borrowings.</t>
  </si>
  <si>
    <t>Report provides total DQS only; I1–I10 are unavailable. Source dataset is FY2024-25 and was verified by the report team on 16 August 2026 (not a new verification here). Not applicable: report states no outstanding external borrowings.</t>
  </si>
  <si>
    <t>Missing: FY25 finance-cost figure could not be safely extracted.</t>
  </si>
  <si>
    <t>Report provides total DQS only; I1–I10 are unavailable. Source dataset is FY2024-25 and was verified by the report team on 16 August 2026 (not a new verification here). Missing: FY25 finance-cost figure could not be safely extracted.</t>
  </si>
  <si>
    <t>PDF pp.14–15, Table 8 (DQS); PDF p.23, Table 14 (financials)</t>
  </si>
  <si>
    <t>Aluminium Group/Aluminium_Report.pdf</t>
  </si>
  <si>
    <t>Uploaded sector-report pagination, not an original company-report page.</t>
  </si>
  <si>
    <t>Original primary disclosure pages are not supplied in this PDF.; ; Extended provenance</t>
  </si>
  <si>
    <t>value_chain_segment</t>
  </si>
  <si>
    <t>Primary</t>
  </si>
  <si>
    <t>PDF pp.14–15, Table 8</t>
  </si>
  <si>
    <t>Table 8 explicitly classifies this firm in this value-chain segment.</t>
  </si>
  <si>
    <t>Report classification; separate support variable, not a revenue size band.; ; Added separate reported variable</t>
  </si>
  <si>
    <t>PDF pp.14–15, Table 8 (DQS); PDF p.23, Table 14 (financial data availability)</t>
  </si>
  <si>
    <t>Downstream/Secondary</t>
  </si>
  <si>
    <t>PDF p.8, section 2.2 Market Structure</t>
  </si>
  <si>
    <t>Bharat Aluminium Company (BALCO) is majority-owned by the Vedanta Group but is a separately incorporated entity that files its own standalone annual report and sustainability disclosures.</t>
  </si>
  <si>
    <t>Separate incorporated disclosure unit; not a listed/unlisted determination.; Does not establish exact holding percentage or stock exchange listing.; Filled missing master value</t>
  </si>
  <si>
    <t>Uploaded sector report PDF p.35, section 8 (scores); p.36 (company source list)</t>
  </si>
  <si>
    <t>Agriculture group/Agriculture_and_Agrofoods_Report.pdf</t>
  </si>
  <si>
    <t>PDF pp.35–36, section 8</t>
  </si>
  <si>
    <t>ITC is one of eight columns in the I1–I10 disclosure matrix on PDF p.35; sources are listed on p.36.</t>
  </si>
  <si>
    <t>These are source-report page locators, not primary company-report pages.; No indicator-by-indicator company-report pages are supplied.; Extended provenance</t>
  </si>
  <si>
    <t>company_source_link_status</t>
  </si>
  <si>
    <t>Correctly company-matched embedded URL transcribed; destination document has not been independently fetched.</t>
  </si>
  <si>
    <t>PDF p.36, source list and URI annotations</t>
  </si>
  <si>
    <t>PDF annotation inspection matched by row coordinates.; Do not use a URL attached to a different company as evidence.; Added separate reported variable</t>
  </si>
  <si>
    <t>Godrej Agrovet is one of eight columns in the I1–I10 disclosure matrix on PDF p.35; sources are listed on p.36.</t>
  </si>
  <si>
    <t>Corteva is one of eight columns in the I1–I10 disclosure matrix on PDF p.35; sources are listed on p.36.</t>
  </si>
  <si>
    <t>Bayer CropScience is one of eight columns in the I1–I10 disclosure matrix on PDF p.35; sources are listed on p.36.</t>
  </si>
  <si>
    <t>Incorrect embedded link: Bayer row points to Corteva impact report; no correct Bayer URL supplied.</t>
  </si>
  <si>
    <t>Tata Consumer is one of eight columns in the I1–I10 disclosure matrix on PDF p.35; sources are listed on p.36.</t>
  </si>
  <si>
    <t>Marico is one of eight columns in the I1–I10 disclosure matrix on PDF p.35; sources are listed on p.36.</t>
  </si>
  <si>
    <t>Incorrect embedded link: Marico row points to Tata Consumer PDF; no correct Marico URL supplied.</t>
  </si>
  <si>
    <t>Cargill is one of eight columns in the I1–I10 disclosure matrix on PDF p.35; sources are listed on p.36.</t>
  </si>
  <si>
    <t>PI Industries is one of eight columns in the I1–I10 disclosure matrix on PDF p.35; sources are listed on p.36.</t>
  </si>
  <si>
    <t>Company source link absent: blue link text has no recoverable PDF annotation.</t>
  </si>
  <si>
    <t>financial year alignment</t>
  </si>
  <si>
    <t>Consolidated Panel; firm and matched FY row</t>
  </si>
  <si>
    <t>Use actual financial row matching scored FY; older figures remain in Financial_Panel.</t>
  </si>
  <si>
    <t>Original snapshot FY FY2024-25 retained in Financial_Panel.</t>
  </si>
  <si>
    <t>field_or_indicator</t>
  </si>
  <si>
    <t>value</t>
  </si>
  <si>
    <t>reporting_period</t>
  </si>
  <si>
    <t>evidence_or_note</t>
  </si>
  <si>
    <t>basis_or_caution</t>
  </si>
  <si>
    <t>CODEBOOK &amp; DATA RULES</t>
  </si>
  <si>
    <t>Definitions, units, source selection and missing-data conventions</t>
  </si>
  <si>
    <t>Source category / see definition</t>
  </si>
  <si>
    <t>Firm name as transcribed; aliases may need legal-entity matching.</t>
  </si>
  <si>
    <t>Blank = unknown/not supplied. Never replace with zero.</t>
  </si>
  <si>
    <t>Sector-report observation. A company may appear in two sectors.</t>
  </si>
  <si>
    <t>Firm/unit-level legal obligation not established by supplied final notifications. Blank here; secondary reported counts remain in Evidence_Log.</t>
  </si>
  <si>
    <t>Inherited example flag, not an independent exchange verification.</t>
  </si>
  <si>
    <t>Exact source description. NSE/BSE(not specified) is not treated as confirmation of both exchanges.</t>
  </si>
  <si>
    <t>Source classification harmonized for spelling/case only. No ownership inferred from firm name.</t>
  </si>
  <si>
    <t>Inherited example flag; absence of filing is not a zero DQS.</t>
  </si>
  <si>
    <t>0–3 integer</t>
  </si>
  <si>
    <t>Scope 1 and 2 emissions; 0 = Not disclosed | 1 = Qualitative mention only | 2 = Current-year figures disclosed | 3 = Multi-year figures with methodology or boundary stated</t>
  </si>
  <si>
    <t>Scope 3 emissions; 0 = Not disclosed | 1 = Acknowledged as relevant, not quantified | 2 = Partial categories quantified | 3 = Material categories quantified with method</t>
  </si>
  <si>
    <t>Emission-intensity target; 0 = None | 1 = Aspirational statement, no year | 2 = Target with base year and target year | 3 = Target plus interim milestones plus progress reported</t>
  </si>
  <si>
    <t>Transition plan; 0 = None | 1 = Generic intent stated | 2 = Plan with named levers or actions | 3 = Plan with quantified levers, timelines and capex</t>
  </si>
  <si>
    <t>Decarbonisation capex; 0 = Not disclosed | 1 = Mentioned without amounts | 2 = Amount or share disclosed | 3 = Multi-year committed amounts with allocation</t>
  </si>
  <si>
    <t>Carbon-pricing / CBAM exposure; 0 = Not addressed | 1 = Generic regulatory-risk mention | 2 = CCTS or CBAM named as relevant | 3 = Quantified exposure or pass-through analysis</t>
  </si>
  <si>
    <t>Internal carbon price; 0 = Not used or not disclosed | 1 = Considering it | 2 = In use, price not stated | 3 = In use with stated price and application</t>
  </si>
  <si>
    <t>Climate-risk scenario analysis; 0 = None | 1 = Risks listed, no scenarios | 2 = Qualitative scenario narrative | 3 = Quantified scenario analysis (IFRS S2 or TCFD style)</t>
  </si>
  <si>
    <t>Assurance of ESG / BRSR data; 0 = None | 1 = Internal review only | 2 = Limited external assurance | 3 = Reasonable assurance on BRSR Core indicators</t>
  </si>
  <si>
    <t>Just transition / workforce and MSME; 0 = Not addressed | 1 = Generic CSR mention | 2 = Specific workforce or supplier programme | 3 = Quantified reskilling or supplier decarbonisation outcomes</t>
  </si>
  <si>
    <t>0–30</t>
  </si>
  <si>
    <t>Selected final score, 0–30: sum of ten numeric indicators if complete; otherwise the report total. Blank for unresolved score conflicts. DQS_basis states which source is used.</t>
  </si>
  <si>
    <t>0–100</t>
  </si>
  <si>
    <t>DQS_total / 30 × 100. Numeric 0–100, not a stored fraction.</t>
  </si>
  <si>
    <t>I1+I2+I3+I5, maximum 12. Only calculated with all four inputs and no score conflict.</t>
  </si>
  <si>
    <t>I4+I6+I7+I8, maximum 12. Only calculated with all four inputs and no score conflict.</t>
  </si>
  <si>
    <t>I9+I10, maximum 6. Only calculated with both inputs and no score conflict.</t>
  </si>
  <si>
    <t>Fiscal year of disclosure scoring, independently normalized. Unknown remains blank; no year fabricated from report publication.</t>
  </si>
  <si>
    <t>Transcribed input/provenance from example or source; check Evidence_Log and Source_Index.</t>
  </si>
  <si>
    <t>Final DQS only where paired-coder reconciliation is documented in supplied workbook.</t>
  </si>
  <si>
    <t>Stored fraction; shown as %</t>
  </si>
  <si>
    <t>Export revenue / total revenue, fraction; source numerator/denominator bases may differ.</t>
  </si>
  <si>
    <t>1/0/unknown; no inference from overall export activity.</t>
  </si>
  <si>
    <t>₹ crore</t>
  </si>
  <si>
    <t>PAT / year-end total assets; fraction displayed as percentage. Missing if either input is absent or assets&lt;=0.</t>
  </si>
  <si>
    <t>Finance-cost/average-borrowings proxy as transcribed. Non-interest charges, leases and small denominators can distort it; do not equate to a pure interest rate.</t>
  </si>
  <si>
    <t>Fiscal year of financial values. Matched to disclosure FY for building firms only when actual annual data exists.</t>
  </si>
  <si>
    <t>Original access date only. Current document-processing date is never inserted as a historical access date.</t>
  </si>
  <si>
    <t>Stable key for the normalized firm name. Shared by both PI Industries sector rows; not a verified legal-registration ID.</t>
  </si>
  <si>
    <t>Stable key for one firm-sector source observation. 82 observations across 81 distinct name keys.</t>
  </si>
  <si>
    <t>Total printed in the sector report. Kept separately even when indicator data exists or disagrees.</t>
  </si>
  <si>
    <t>Source-workbook indicator matrix; Report indicator matrix; Sector-report total only; Unresolved source conflict; Not scored.</t>
  </si>
  <si>
    <t>Same FY / Different FY / Not assessable / No financial values. Prevents silent comparison across different periods.</t>
  </si>
  <si>
    <t>Conservative disclosure-analysis flag inherited from complete non-conflicting workbook coding. Does not establish finance-regression readiness.</t>
  </si>
  <si>
    <t>Source coded / Report matrix / Reported total only / Conflict / Unscored / Outside BRSR sample.</t>
  </si>
  <si>
    <t>Source-stated standalone/consolidated basis and limitations; do not combine incompatible denominators.</t>
  </si>
  <si>
    <t>Panel grain</t>
  </si>
  <si>
    <t>Workbook rule</t>
  </si>
  <si>
    <t>Master_Panel is a firm-sector snapshot. Financial_Panel is a firm-year table of actually observed data. Neither duplicates a one-time DQS across annual rows.</t>
  </si>
  <si>
    <t>Applies to all sheets</t>
  </si>
  <si>
    <t>Fiscal-year standard</t>
  </si>
  <si>
    <t>Explicit Indian FY spans normalize to FY2024-25 style. Steel source FY2025 is FY ending March 2025 and is normalized to FY2024-25. Unknown/ambiguous dates are not guessed.</t>
  </si>
  <si>
    <t>Financial alignment</t>
  </si>
  <si>
    <t>Building financial values are chosen from their actual matching score-year row, with all three historical years retained in Financial_Panel. Other mismatches remain visible.</t>
  </si>
  <si>
    <t>Missing-data policy</t>
  </si>
  <si>
    <t>Numerical blanks are retained for analysis. The underlying documents do not contain all requested cells. Codebook and Review_Issues explain the gaps.</t>
  </si>
  <si>
    <t>Private details</t>
  </si>
  <si>
    <t>Respondent phone numbers, emails and other contact details have not been copied into this workbook.</t>
  </si>
  <si>
    <t>field_or_rule</t>
  </si>
  <si>
    <t>unit</t>
  </si>
  <si>
    <t>definition</t>
  </si>
  <si>
    <t>missing_value_rule</t>
  </si>
  <si>
    <t>REVIEW ISSUES &amp; LIMITATIONS</t>
  </si>
  <si>
    <t>145 source, coverage and year-alignment notes | unresolved conflicts are retained</t>
  </si>
  <si>
    <t>ISS-001</t>
  </si>
  <si>
    <t>Source conflict</t>
  </si>
  <si>
    <t>FY2024-25 source-sample note</t>
  </si>
  <si>
    <t>Steel group/Steel_Sector_Report.pdf; PDF p.6 Table 3 source note</t>
  </si>
  <si>
    <t>Report says BRSR and annual reports FY2024–25, while Firm profile records FY2025-26 for this firm. Treat as differing source/scoring periods; do not overwrite automatically.</t>
  </si>
  <si>
    <t>ISS-002</t>
  </si>
  <si>
    <t>ISS-003</t>
  </si>
  <si>
    <t>ISS-004</t>
  </si>
  <si>
    <t>NMDC Steel Ltd disclosure not supplied</t>
  </si>
  <si>
    <t>Steel group/data/DQS- excel.xlsx; Financials!O7 (capex source caution)</t>
  </si>
  <si>
    <t>ENTITY MISMATCH: NMDC Steel Ltd document not obtained. The 28.80% / 43.82% figures coded earlier belong to NMDC LIMITED (the iron-ore miner), a separate listed company. Do not carry them into this row.</t>
  </si>
  <si>
    <t>ISS-005</t>
  </si>
  <si>
    <t>Building construction group/Climate_Disclosure_Scoring_MASTER_10Firms_v1.xlsx; Master Scoring Log!I67; original BRSR Section A Q19b p.2</t>
  </si>
  <si>
    <t>Exports 1.08% of turnover, while consolidated financial panel FY2024-25 export share is 54.79 / 4635.07 = 1.1821%. Do not replace consolidated share without resolving reporting boundary.</t>
  </si>
  <si>
    <t>ISS-006</t>
  </si>
  <si>
    <t>2 indicators coded; no total reported</t>
  </si>
  <si>
    <t>Fertilisers_and_Chemicals_Report.pdf; Fertilisers_and_Chemicals_Report.docx; PDF p.18 / DOCX Table15</t>
  </si>
  <si>
    <t>Paper reports 2 indicators coded; no total reported; source spreadsheet and inherited panel have full scores.</t>
  </si>
  <si>
    <t>ISS-007</t>
  </si>
  <si>
    <t>0 indicators coded; no total reported</t>
  </si>
  <si>
    <t>Paper reports 0 indicators coded; no total reported; source spreadsheet and inherited panel have full scores.</t>
  </si>
  <si>
    <t>ISS-008</t>
  </si>
  <si>
    <t>Paper reports 12; source spreadsheet and inherited panel have full scores.</t>
  </si>
  <si>
    <t>ISS-009</t>
  </si>
  <si>
    <t>1 indicators coded; no total reported</t>
  </si>
  <si>
    <t>Paper reports 1 indicators coded; no total reported; source spreadsheet and inherited panel have full scores.</t>
  </si>
  <si>
    <t>ISS-010</t>
  </si>
  <si>
    <t>ISS-011</t>
  </si>
  <si>
    <t>sample_roster</t>
  </si>
  <si>
    <t>Included in Disclosure_Coding_Sheet.xlsx</t>
  </si>
  <si>
    <t>Not in sector-report 12-firm sample</t>
  </si>
  <si>
    <t>Fertilisers_and_Chemicals_Report.pdf; Fertilisers_and_Chemicals_Report.docx; PDF p.5 Table1; p.18 Table15</t>
  </si>
  <si>
    <t>Report has Krishana Phoschem, Madras Fertilizers and Madhya Bharat Agro Products instead; no inferred data transfer.</t>
  </si>
  <si>
    <t>ISS-012</t>
  </si>
  <si>
    <t>ISS-013</t>
  </si>
  <si>
    <t>ISS-014</t>
  </si>
  <si>
    <t>Fertilisers_and_Chemicals_Report.pdf; Fertilisers_and_Chemicals_Report.docx; PDF pp.18–19, paragraph after Table15</t>
  </si>
  <si>
    <t>Report states Khaitan has quantification sub-score 0/12; supporting spreadsheet I1+I2+I3+I5=2. Same total4 masks an indicator-level conflict.</t>
  </si>
  <si>
    <t>ISS-015</t>
  </si>
  <si>
    <t>FY2024-25 in DQS Coded Sheet vs FY2025-26 in Coding Sheet</t>
  </si>
  <si>
    <t>Supporting material/Disclosure_Coding_Sheet.xlsx; DQS Coded Sheet vs Coding Sheet firm rows</t>
  </si>
  <si>
    <t>Two sheets of the same supplied workbook disagree about reporting year; no automatic correction.</t>
  </si>
  <si>
    <t>ISS-016</t>
  </si>
  <si>
    <t>ISS-017</t>
  </si>
  <si>
    <t>second_coder_score / agreed_score</t>
  </si>
  <si>
    <t>{"DQS_total": 17, "second_coder_score": null}</t>
  </si>
  <si>
    <t>{"coder_A": "8/10", "coder_B": "7/10", "agreed": "7/10"}</t>
  </si>
  <si>
    <t>Aluminium Group/Aluminium_Report.pdf; PDF p.17, Table 9 versus PDF p.14, Table 8</t>
  </si>
  <si>
    <t>Table 9 says BALCO Coder A 8/10 vs Coder B 7/10, reconciled to 7/10; Table 8 says BALCO DQS 17/30. These scales cannot be treated as the same score without the original coder matrix.</t>
  </si>
  <si>
    <t>ISS-018</t>
  </si>
  <si>
    <t>All Aluminium interviews (not panel firm financials)</t>
  </si>
  <si>
    <t>interview dates</t>
  </si>
  <si>
    <t>Report PDF pp.10,13,25 says interviews 13–14 Aug 2026</t>
  </si>
  <si>
    <t>Compiled Interview Transcripts.docx records 28-Oct-2026 through 01-Nov-2026</t>
  </si>
  <si>
    <t>Aluminium Group/Compiled_Interview_Transcripts.docx; Aluminium Group/Aluminium_Report.pdf; Aluminium Group/Call_logs.xlsx; DOCX R001–R008 Date lines; PDF section 4.1 and section 5; Call logs sheet rows4–11</t>
  </si>
  <si>
    <t>The DOCX dates are October–November, while PDF/Call_logs use August. Dates and version provenance require confirmation; do not set coding/access dates from them.</t>
  </si>
  <si>
    <t>ISS-019</t>
  </si>
  <si>
    <t>Incorrect PDF hyperlink points to Corteva Our 2025 Impact Report; no valid replacement URL supplied</t>
  </si>
  <si>
    <t>Agriculture group/Agriculture_and_Agrofoods_Report.pdf; PDF p.36, URI annotations on the named company row</t>
  </si>
  <si>
    <t>The hyperlink assigned to Bayer CropScience is for Corteva Our 2025 Impact Report. URL should remain blank until the correct company report is obtained.</t>
  </si>
  <si>
    <t>ISS-020</t>
  </si>
  <si>
    <t>Incorrect PDF hyperlink points to Tata Consumer BRSR website PDF; no valid replacement URL supplied</t>
  </si>
  <si>
    <t>The hyperlink assigned to Marico is for Tata Consumer BRSR website PDF. URL should remain blank until the correct company report is obtained.</t>
  </si>
  <si>
    <t>ISS-021</t>
  </si>
  <si>
    <t>Year alignment</t>
  </si>
  <si>
    <t>Financial year alignment</t>
  </si>
  <si>
    <t>ISS-022</t>
  </si>
  <si>
    <t>ISS-023</t>
  </si>
  <si>
    <t>ISS-024</t>
  </si>
  <si>
    <t>ISS-025</t>
  </si>
  <si>
    <t>ISS-026</t>
  </si>
  <si>
    <t>ISS-027</t>
  </si>
  <si>
    <t>ISS-028</t>
  </si>
  <si>
    <t>Period mismatch</t>
  </si>
  <si>
    <t>reporting_FY / reporting_year</t>
  </si>
  <si>
    <t>Use matching periods before disclosure/finance comparisons.</t>
  </si>
  <si>
    <t>ISS-029</t>
  </si>
  <si>
    <t>ISS-030</t>
  </si>
  <si>
    <t>ISS-031</t>
  </si>
  <si>
    <t>ISS-032</t>
  </si>
  <si>
    <t>ISS-033</t>
  </si>
  <si>
    <t>Scoring coverage</t>
  </si>
  <si>
    <t>I1–I10</t>
  </si>
  <si>
    <t>No applicable score is supplied; do not assign zero.</t>
  </si>
  <si>
    <t>Some research models cannot use this row as indicator-level evidence.</t>
  </si>
  <si>
    <t>ISS-034</t>
  </si>
  <si>
    <t>ISS-035</t>
  </si>
  <si>
    <t>ISS-036</t>
  </si>
  <si>
    <t>ISS-037</t>
  </si>
  <si>
    <t>ISS-038</t>
  </si>
  <si>
    <t>ISS-039</t>
  </si>
  <si>
    <t>Ten indicator inputs are not supplied; reported total retained with an explicit source label.</t>
  </si>
  <si>
    <t>ISS-040</t>
  </si>
  <si>
    <t>ISS-041</t>
  </si>
  <si>
    <t>ISS-042</t>
  </si>
  <si>
    <t>ISS-043</t>
  </si>
  <si>
    <t>ISS-044</t>
  </si>
  <si>
    <t>ISS-045</t>
  </si>
  <si>
    <t>ISS-046</t>
  </si>
  <si>
    <t>ISS-047</t>
  </si>
  <si>
    <t>ISS-048</t>
  </si>
  <si>
    <t>ISS-049</t>
  </si>
  <si>
    <t>ISS-050</t>
  </si>
  <si>
    <t>ISS-051</t>
  </si>
  <si>
    <t>ISS-052</t>
  </si>
  <si>
    <t>Financial proxy caution</t>
  </si>
  <si>
    <t>Review non-interest charges, leases and denominator.</t>
  </si>
  <si>
    <t>A ratio above 100% is a source artifact/proxy, not a quoted borrowing interest rate.</t>
  </si>
  <si>
    <t>ISS-053</t>
  </si>
  <si>
    <t>ISS-054</t>
  </si>
  <si>
    <t>ISS-055</t>
  </si>
  <si>
    <t>ISS-056</t>
  </si>
  <si>
    <t>ISS-057</t>
  </si>
  <si>
    <t>ISS-058</t>
  </si>
  <si>
    <t>ISS-059</t>
  </si>
  <si>
    <t>ISS-060</t>
  </si>
  <si>
    <t>ISS-061</t>
  </si>
  <si>
    <t>ISS-062</t>
  </si>
  <si>
    <t>ISS-063</t>
  </si>
  <si>
    <t>ISS-064</t>
  </si>
  <si>
    <t>Remaining evidence gap</t>
  </si>
  <si>
    <t>Unfilled source inputs</t>
  </si>
  <si>
    <t>Official unit-level legal notices, exact exchange identity, access dates, and additional comparable annual capex/finance inputs are not supplied. No valid prior-year debt series was located for average-debt proxy.</t>
  </si>
  <si>
    <t>Steel group/Steel_Sector_Report.pdf | Steel group/data/ANOVA OUTPUT.docx | Steel group/data/CONJOINT ANALYSIS.docx | Steel group/data/Cronbach Alpha Calculation.xlsx | Steel group/data/DQS- excel.xlsx | Steel group/data/MDS OUTPUT.docx | Steel group/data/RMSM Form Responses.xlsx</t>
  </si>
  <si>
    <t>Missing cells remain blank; source files do not support a complete row of all44 inputs.</t>
  </si>
  <si>
    <t>ISS-065</t>
  </si>
  <si>
    <t>ISS-066</t>
  </si>
  <si>
    <t>ISS-067</t>
  </si>
  <si>
    <t>ISS-068</t>
  </si>
  <si>
    <t>ISS-069</t>
  </si>
  <si>
    <t>Official unit-level legal notices, exact exchange identity, access dates, and additional comparable annual capex/finance inputs are not supplied. No valid prior-year debt series was located for average-debt proxy. NMDC Limited/NMDC Steel Ltd entity mismatch prevents copying miner disclosure/year/capex into steel row.</t>
  </si>
  <si>
    <t>ISS-070</t>
  </si>
  <si>
    <t>ISS-071</t>
  </si>
  <si>
    <t>ISS-072</t>
  </si>
  <si>
    <t>ISS-073</t>
  </si>
  <si>
    <t>No firm-level revenue/PAT/assets/debt/finance-cost table in supplied report or Word interviews. Survey and MDS values are respondent/perception data and cannot fill company financials. Single-coder identity and second coder are unrecorded. EU-specific exports not disclosed. Exact company-report URLs and access dates not supplied.</t>
  </si>
  <si>
    <t>Cement/Annexure A.xlsx | Cement/Annexure B.docx | Cement/Annexure C.xlsx | Cement/Annexure D.xlsx | Cement/Annexure E.xlsx | Cement/Cement_Report.pdf</t>
  </si>
  <si>
    <t>ISS-074</t>
  </si>
  <si>
    <t>ISS-075</t>
  </si>
  <si>
    <t>ISS-076</t>
  </si>
  <si>
    <t>ISS-077</t>
  </si>
  <si>
    <t>ISS-078</t>
  </si>
  <si>
    <t>ISS-079</t>
  </si>
  <si>
    <t>ISS-080</t>
  </si>
  <si>
    <t>No exchange name, exact export/EU-export share, PAT legacy status, finance-cost numerator, debt balance, total capex, coder identity or access date supplied. Table 14 reports the already-transcribed financial values but does not supply debt, finance cost or capex inputs. The interview firms differ from the ten listed disclosure-panel names, so their loan/export claims cannot populate these rows. Firm-level CCTS obligation needs legal/unit evidence not present.</t>
  </si>
  <si>
    <t>Aluminium Group/Aluminium_Report.pdf (all pages) | Aluminium Group/Compiled_Interview_Transcripts.docx (all paragraphs and table) | Aluminium Group/Call_logs.xlsx (Call logs sheet; contact values not copied)</t>
  </si>
  <si>
    <t>ISS-081</t>
  </si>
  <si>
    <t>No exchange name, exact export/EU-export share, PAT legacy status, finance-cost numerator, debt balance, total capex, coder identity or access date supplied. Table 14 explicitly says no financial document sourced for this firm; no financial values can be filled from these documents. The interview firms differ from the ten listed disclosure-panel names, so their loan/export claims cannot populate these rows. Firm-level CCTS obligation needs legal/unit evidence not present.</t>
  </si>
  <si>
    <t>ISS-082</t>
  </si>
  <si>
    <t>No exchange name, exact export/EU-export share, PAT legacy status, finance-cost numerator, debt balance, total capex, coder identity or access date supplied. Cost-of-debt proxy is N/M because of no material borrowing, not a numeric zero. Total assets ~₹22,882 crore are approximate. The interview firms differ from the ten listed disclosure-panel names, so their loan/export claims cannot populate these rows. Firm-level CCTS obligation needs legal/unit evidence not present.</t>
  </si>
  <si>
    <t>ISS-083</t>
  </si>
  <si>
    <t>ISS-084</t>
  </si>
  <si>
    <t>ISS-085</t>
  </si>
  <si>
    <t>No exchange name, exact export/EU-export share, PAT legacy status, finance-cost numerator, debt balance, total capex, coder identity or access date supplied. Financial context is FY2025-26, whereas DQS is FY2024-25; assets/ROA/debt proxy are N/A and cannot be reconstructed. The interview firms differ from the ten listed disclosure-panel names, so their loan/export claims cannot populate these rows. Firm-level CCTS obligation needs legal/unit evidence not present.</t>
  </si>
  <si>
    <t>ISS-086</t>
  </si>
  <si>
    <t>ISS-087</t>
  </si>
  <si>
    <t>ISS-088</t>
  </si>
  <si>
    <t>ISS-089</t>
  </si>
  <si>
    <t>ISS-090</t>
  </si>
  <si>
    <t>No exact export ratio/EU destination, exchange, final unit-level CCTS obligation, PAT legacy status, comparable total capex, finance costs or second-coder values are provided. DQS is out of scope, not zero; report states public financials not found.</t>
  </si>
  <si>
    <t>Fertilisers_and_Chemicals_Report.pdf | Fertilisers_and_Chemicals_Report.docx | Supporting material/Primary Interview Transcripts.docx | Supporting material/Shared Survey Form.pdf | Supporting material/Disclosure_Coding_Sheet.xlsx | Supporting material/Survey_Responses.xlsx | Supporting material/Respondent_Log.xlsx</t>
  </si>
  <si>
    <t>ISS-091</t>
  </si>
  <si>
    <t>No exact export ratio/EU destination, exchange, final unit-level CCTS obligation, PAT legacy status, comparable total capex, finance costs or second-coder values are provided.</t>
  </si>
  <si>
    <t>ISS-092</t>
  </si>
  <si>
    <t>ISS-093</t>
  </si>
  <si>
    <t>ISS-094</t>
  </si>
  <si>
    <t>ISS-095</t>
  </si>
  <si>
    <t>No exact export ratio/EU destination, exchange, final unit-level CCTS obligation, PAT legacy status, comparable total capex, finance costs or second-coder values are provided. Report explicitly says financial figures not found.</t>
  </si>
  <si>
    <t>ISS-096</t>
  </si>
  <si>
    <t>ISS-097</t>
  </si>
  <si>
    <t>ISS-098</t>
  </si>
  <si>
    <t>ISS-099</t>
  </si>
  <si>
    <t>No exact export ratio/EU destination, exchange, final unit-level CCTS obligation, PAT legacy status, comparable total capex, finance costs or second-coder values are provided. This firm appears only in the conflicting disclosure workbook, not the paper sample; no additional report financial/profile values can be assigned.</t>
  </si>
  <si>
    <t>ISS-100</t>
  </si>
  <si>
    <t>ISS-101</t>
  </si>
  <si>
    <t>ISS-102</t>
  </si>
  <si>
    <t>Entire PDF and embedded-image inventory reviewed. It prints aggregate statistics and company DQS totals in Figure 8, but no firm indicator matrix, financial amounts, numeric export shares, exact exchange, individual coder scores, or per-firm fiscal year. C1 names Clean_Shared_Data.xlsx, absent from ZIP. B7 uses mixed ROE/ROA and an ordinal cost signal; neither can populate numeric ROA/debt ratios.</t>
  </si>
  <si>
    <t>ISS-103</t>
  </si>
  <si>
    <t>ISS-104</t>
  </si>
  <si>
    <t>ISS-105</t>
  </si>
  <si>
    <t>ISS-106</t>
  </si>
  <si>
    <t>ISS-107</t>
  </si>
  <si>
    <t>ISS-108</t>
  </si>
  <si>
    <t>ISS-109</t>
  </si>
  <si>
    <t>ISS-110</t>
  </si>
  <si>
    <t>ISS-111</t>
  </si>
  <si>
    <t>ISS-112</t>
  </si>
  <si>
    <t>ISS-113</t>
  </si>
  <si>
    <t>ISS-114</t>
  </si>
  <si>
    <t>ISS-115</t>
  </si>
  <si>
    <t>No exact annual finance-cost amount or total-capex amount is present in supplied files; BRSR I5 narratives concern environmental/social/R&amp;D shares, not total company capex. No named exchange or firm/unit CCTS legal evidence. Unknown original access dates cannot be reconstructed.</t>
  </si>
  <si>
    <t>Buildings_and_Construction_Report.pdf (all sections; especially 6 and 11) | Appendices_A_to_G.pdf (full; Appendix G score matrix) | In Depth Interview Transcript.pdf (full) | Climate_Disclosure_Scoring_MASTER_10Firms_v1.xlsx (scoring and evidence) | Consolidated_Firm_Panel_FY24-FY26.xlsx (finance rows and definitions)</t>
  </si>
  <si>
    <t>ISS-116</t>
  </si>
  <si>
    <t>ISS-117</t>
  </si>
  <si>
    <t>Report section 11.1 explicitly says NBCC consolidated financials unavailable; no financial workbook in archive. Leave revenue/assets/PAT/debt/finance-cost/capex/size blank. PAT-negative and export-share notes are available in the scoring workbook.</t>
  </si>
  <si>
    <t>ISS-118</t>
  </si>
  <si>
    <t>ISS-119</t>
  </si>
  <si>
    <t>ISS-120</t>
  </si>
  <si>
    <t>ISS-121</t>
  </si>
  <si>
    <t>ISS-122</t>
  </si>
  <si>
    <t>ISS-123</t>
  </si>
  <si>
    <t>ISS-124</t>
  </si>
  <si>
    <t>ISS-125</t>
  </si>
  <si>
    <t>Entire PDF reviewed including charts, appendices, links and attachments. DQS totals and some financing-cost ratios are printed; I1–I10, revenue, assets, PAT, debt, finance-cost amounts, capex, firm-specific ownership/size/export fractions, exact exchanges and primary URLs are not provided. Survey firmographics are pooled and cannot assign attributes to individual companies. Report financing ratio only; finance-cost and borrowing amounts not supplied.</t>
  </si>
  <si>
    <t>ISS-126</t>
  </si>
  <si>
    <t>ISS-127</t>
  </si>
  <si>
    <t>ISS-128</t>
  </si>
  <si>
    <t>Entire PDF reviewed including charts, appendices, links and attachments. DQS totals and some financing-cost ratios are printed; I1–I10, revenue, assets, PAT, debt, finance-cost amounts, capex, firm-specific ownership/size/export fractions, exact exchanges and primary URLs are not provided. Survey firmographics are pooled and cannot assign attributes to individual companies. Not applicable: report calls firm effectively debt-free.</t>
  </si>
  <si>
    <t>ISS-129</t>
  </si>
  <si>
    <t>ISS-130</t>
  </si>
  <si>
    <t>Entire PDF reviewed including charts, appendices, links and attachments. DQS totals and some financing-cost ratios are printed; I1–I10, revenue, assets, PAT, debt, finance-cost amounts, capex, firm-specific ownership/size/export fractions, exact exchanges and primary URLs are not provided. Survey firmographics are pooled and cannot assign attributes to individual companies. Not applicable: report states no outstanding external borrowings.</t>
  </si>
  <si>
    <t>ISS-131</t>
  </si>
  <si>
    <t>Entire PDF reviewed including charts, appendices, links and attachments. DQS totals and some financing-cost ratios are printed; I1–I10, revenue, assets, PAT, debt, finance-cost amounts, capex, firm-specific ownership/size/export fractions, exact exchanges and primary URLs are not provided. Survey firmographics are pooled and cannot assign attributes to individual companies. Missing: FY25 finance-cost figure could not be safely extracted.</t>
  </si>
  <si>
    <t>ISS-132</t>
  </si>
  <si>
    <t>ISS-133</t>
  </si>
  <si>
    <t>ISS-134</t>
  </si>
  <si>
    <t>ISS-135</t>
  </si>
  <si>
    <t>No firm-specific exchange, export intensity, EU-export result, legal CCTS obligation/PAT-legacy status, revenue/assets/PAT/debt/finance-cost/capex data, named coder or access date is supplied. The report describes only aggregate survey regressions and coded DQS; survey prompts are not observed company answers. Scoring fiscal year is not stated.</t>
  </si>
  <si>
    <t>Agriculture group/Agriculture_and_Agrofoods_Report.pdf (all 41 pages, including image-only statistical tables and URI annotations)</t>
  </si>
  <si>
    <t>ISS-136</t>
  </si>
  <si>
    <t>No firm-specific exchange, export intensity, EU-export result, legal CCTS obligation/PAT-legacy status, revenue/assets/PAT/debt/finance-cost/capex data, named coder or access date is supplied. The report describes only aggregate survey regressions and coded DQS; survey prompts are not observed company answers. Scoring fiscal year is not stated. Existing FY2025-26 is supported only by the linked Annual_Report_2025_26 filename, not an explicit scoring-period statement.</t>
  </si>
  <si>
    <t>ISS-137</t>
  </si>
  <si>
    <t>No firm-specific exchange, export intensity, EU-export result, legal CCTS obligation/PAT-legacy status, revenue/assets/PAT/debt/finance-cost/capex data, named coder or access date is supplied. The report describes only aggregate survey regressions and coded DQS; survey prompts are not observed company answers. Scoring fiscal year is not stated. Linked source is a global company impact report, so it cannot establish Indian subsidiary financials or Indian listed/BRSR status.</t>
  </si>
  <si>
    <t>ISS-138</t>
  </si>
  <si>
    <t>No firm-specific exchange, export intensity, EU-export result, legal CCTS obligation/PAT-legacy status, revenue/assets/PAT/debt/finance-cost/capex data, named coder or access date is supplied. The report describes only aggregate survey regressions and coded DQS; survey prompts are not observed company answers. Scoring fiscal year is not stated. Indian listed entity versus global Bayer scope is unresolved; PDF link points to Corteva.</t>
  </si>
  <si>
    <t>ISS-139</t>
  </si>
  <si>
    <t>ISS-140</t>
  </si>
  <si>
    <t>No firm-specific exchange, export intensity, EU-export result, legal CCTS obligation/PAT-legacy status, revenue/assets/PAT/debt/finance-cost/capex data, named coder or access date is supplied. The report describes only aggregate survey regressions and coded DQS; survey prompts are not observed company answers. Scoring fiscal year is not stated. PDF link points to Tata Consumer; correct Marico source is absent.</t>
  </si>
  <si>
    <t>ISS-141</t>
  </si>
  <si>
    <t>ISS-142</t>
  </si>
  <si>
    <t>No exact export ratio/EU destination, exchange, final unit-level CCTS obligation, PAT legacy status, comparable total capex, finance costs or second-coder values are provided. No indicator-level 0–3 scores are supplied for the report-only row; coverage counts cannot reconstruct indicator scores.</t>
  </si>
  <si>
    <t>ISS-143</t>
  </si>
  <si>
    <t>ISS-144</t>
  </si>
  <si>
    <t>ISS-145</t>
  </si>
  <si>
    <t>No firm-specific exchange, export intensity, EU-export result, legal CCTS obligation/PAT-legacy status, revenue/assets/PAT/debt/finance-cost/capex data, named coder or access date is supplied. The report describes only aggregate survey regressions and coded DQS; survey prompts are not observed company answers. Scoring fiscal year is not stated. Distinct agriculture observation: do not copy the fertiliser report score/basis across sectors.</t>
  </si>
  <si>
    <t>issue_id</t>
  </si>
  <si>
    <t>issue_type</t>
  </si>
  <si>
    <t>field</t>
  </si>
  <si>
    <t>source_value</t>
  </si>
  <si>
    <t>alternative_or_action</t>
  </si>
  <si>
    <t>source_reference</t>
  </si>
  <si>
    <t>impact</t>
  </si>
</sst>
</file>

<file path=xl/styles.xml><?xml version="1.0" encoding="utf-8"?>
<styleSheet xmlns="http://schemas.openxmlformats.org/spreadsheetml/2006/main">
  <numFmts count="3">
    <numFmt numFmtId="164" formatCode="0.0"/>
    <numFmt numFmtId="165" formatCode="0.00%;[Red](0.00%)"/>
    <numFmt numFmtId="166" formatCode="#,##0.00;[Red](#,##0.00)"/>
  </numFmts>
  <fonts count="12">
    <font>
      <sz val="11"/>
      <color theme="1"/>
      <name val="Calibri"/>
      <family val="2"/>
      <scheme val="minor"/>
    </font>
    <font>
      <b/>
      <sz val="22"/>
      <color rgb="FF17365D"/>
      <name val="Aptos"/>
      <family val="2"/>
    </font>
    <font>
      <sz val="10"/>
      <color rgb="FF526579"/>
      <name val="Aptos"/>
      <family val="2"/>
    </font>
    <font>
      <b/>
      <sz val="25"/>
      <color rgb="FF17365D"/>
      <name val="Aptos"/>
      <family val="2"/>
    </font>
    <font>
      <b/>
      <sz val="10"/>
      <color rgb="FF167C80"/>
      <name val="Aptos"/>
      <family val="2"/>
    </font>
    <font>
      <sz val="10"/>
      <color rgb="FF243746"/>
      <name val="Aptos"/>
      <family val="2"/>
    </font>
    <font>
      <u/>
      <sz val="10"/>
      <color rgb="FF0563C1"/>
      <name val="Aptos"/>
      <family val="2"/>
    </font>
    <font>
      <b/>
      <sz val="10"/>
      <color rgb="FFFFFFFF"/>
      <name val="Aptos"/>
      <family val="2"/>
    </font>
    <font>
      <sz val="10"/>
      <color rgb="FF165A9F"/>
      <name val="Aptos"/>
      <family val="2"/>
    </font>
    <font>
      <sz val="10"/>
      <color theme="1"/>
      <name val="Aptos"/>
      <family val="2"/>
    </font>
    <font>
      <sz val="10"/>
      <color rgb="FF202020"/>
      <name val="Aptos"/>
      <family val="2"/>
    </font>
    <font>
      <sz val="8"/>
      <color indexed="81"/>
      <name val="Tahoma"/>
      <family val="2"/>
    </font>
  </fonts>
  <fills count="7">
    <fill>
      <patternFill patternType="none"/>
    </fill>
    <fill>
      <patternFill patternType="gray125"/>
    </fill>
    <fill>
      <patternFill patternType="solid">
        <fgColor rgb="FF17365D"/>
        <bgColor indexed="64"/>
      </patternFill>
    </fill>
    <fill>
      <patternFill patternType="solid">
        <fgColor rgb="FF167C80"/>
        <bgColor indexed="64"/>
      </patternFill>
    </fill>
    <fill>
      <patternFill patternType="solid">
        <fgColor rgb="FF756346"/>
        <bgColor indexed="64"/>
      </patternFill>
    </fill>
    <fill>
      <patternFill patternType="solid">
        <fgColor rgb="FF61758A"/>
        <bgColor indexed="64"/>
      </patternFill>
    </fill>
    <fill>
      <patternFill patternType="solid">
        <fgColor rgb="FFFFF8E7"/>
        <bgColor indexed="64"/>
      </patternFill>
    </fill>
  </fills>
  <borders count="2">
    <border>
      <left/>
      <right/>
      <top/>
      <bottom/>
      <diagonal/>
    </border>
    <border>
      <left/>
      <right/>
      <top/>
      <bottom style="medium">
        <color rgb="FF17365D"/>
      </bottom>
      <diagonal/>
    </border>
  </borders>
  <cellStyleXfs count="1">
    <xf numFmtId="0" fontId="0" fillId="0" borderId="0"/>
  </cellStyleXfs>
  <cellXfs count="21">
    <xf numFmtId="0" fontId="0" fillId="0" borderId="0" xfId="0"/>
    <xf numFmtId="0" fontId="1" fillId="0" borderId="0" xfId="0" applyFont="1"/>
    <xf numFmtId="0" fontId="2" fillId="0" borderId="0" xfId="0" applyFont="1" applyAlignment="1">
      <alignment vertical="center" wrapText="1"/>
    </xf>
    <xf numFmtId="0" fontId="3" fillId="0" borderId="0" xfId="0" applyFont="1" applyAlignment="1">
      <alignment horizontal="center"/>
    </xf>
    <xf numFmtId="0" fontId="4" fillId="0" borderId="0" xfId="0" applyFont="1" applyAlignment="1">
      <alignment horizontal="center"/>
    </xf>
    <xf numFmtId="0" fontId="5" fillId="0" borderId="0" xfId="0" applyFont="1" applyAlignment="1">
      <alignment vertical="top" wrapText="1"/>
    </xf>
    <xf numFmtId="0" fontId="6" fillId="0" borderId="0" xfId="0" applyFont="1"/>
    <xf numFmtId="0" fontId="7" fillId="2" borderId="0" xfId="0" applyFont="1" applyFill="1" applyAlignment="1">
      <alignment horizontal="center"/>
    </xf>
    <xf numFmtId="0" fontId="7" fillId="3" borderId="0" xfId="0" applyFont="1" applyFill="1" applyAlignment="1">
      <alignment horizontal="center"/>
    </xf>
    <xf numFmtId="0" fontId="7" fillId="4" borderId="0" xfId="0" applyFont="1" applyFill="1" applyAlignment="1">
      <alignment horizontal="center"/>
    </xf>
    <xf numFmtId="0" fontId="7" fillId="5" borderId="0" xfId="0" applyFont="1" applyFill="1" applyAlignment="1">
      <alignment horizontal="center"/>
    </xf>
    <xf numFmtId="0" fontId="7" fillId="3" borderId="1" xfId="0" applyFont="1" applyFill="1" applyBorder="1" applyAlignment="1">
      <alignment vertical="center" wrapText="1"/>
    </xf>
    <xf numFmtId="0" fontId="8" fillId="0" borderId="0" xfId="0" applyFont="1" applyAlignment="1">
      <alignment vertical="top" wrapText="1"/>
    </xf>
    <xf numFmtId="0" fontId="9" fillId="6" borderId="0" xfId="0" applyFont="1" applyFill="1"/>
    <xf numFmtId="1" fontId="8" fillId="0" borderId="0" xfId="0" applyNumberFormat="1" applyFont="1" applyAlignment="1">
      <alignment vertical="top"/>
    </xf>
    <xf numFmtId="0" fontId="8" fillId="0" borderId="0" xfId="0" applyFont="1" applyAlignment="1">
      <alignment vertical="top"/>
    </xf>
    <xf numFmtId="164" fontId="10" fillId="0" borderId="0" xfId="0" applyNumberFormat="1" applyFont="1" applyAlignment="1">
      <alignment vertical="top"/>
    </xf>
    <xf numFmtId="165" fontId="8" fillId="0" borderId="0" xfId="0" applyNumberFormat="1" applyFont="1" applyAlignment="1">
      <alignment vertical="top"/>
    </xf>
    <xf numFmtId="166" fontId="8" fillId="0" borderId="0" xfId="0" applyNumberFormat="1" applyFont="1" applyAlignment="1">
      <alignment vertical="top"/>
    </xf>
    <xf numFmtId="165" fontId="10" fillId="0" borderId="0" xfId="0" applyNumberFormat="1" applyFont="1" applyAlignment="1">
      <alignment vertical="top"/>
    </xf>
    <xf numFmtId="0" fontId="7" fillId="2" borderId="0" xfId="0" applyFont="1" applyFill="1" applyAlignment="1">
      <alignment horizontal="center" vertical="center"/>
    </xf>
  </cellXfs>
  <cellStyles count="1">
    <cellStyle name="Normal" xfId="0" builtinId="0"/>
  </cellStyles>
  <dxfs count="2">
    <dxf>
      <font>
        <color rgb="FFA3312D"/>
      </font>
      <fill>
        <patternFill>
          <bgColor rgb="FFFBE9E7"/>
        </patternFill>
      </fill>
    </dxf>
    <dxf>
      <font>
        <color rgb="FF8A5600"/>
      </font>
      <fill>
        <patternFill>
          <bgColor rgb="FFFFF0D6"/>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ables/table1.xml><?xml version="1.0" encoding="utf-8"?>
<table xmlns="http://schemas.openxmlformats.org/spreadsheetml/2006/main" id="1" name="MasterFirmPanel" displayName="MasterFirmPanel" ref="A6:AZ88" totalsRowShown="0">
  <autoFilter ref="A6:AZ88"/>
  <tableColumns count="52">
    <tableColumn id="1" name="firm_name"/>
    <tableColumn id="2" name="sector"/>
    <tableColumn id="3" name="CCTS_obligated"/>
    <tableColumn id="4" name="listed"/>
    <tableColumn id="5" name="exchange"/>
    <tableColumn id="6" name="ownership"/>
    <tableColumn id="7" name="BRSR_filer"/>
    <tableColumn id="8" name="I1"/>
    <tableColumn id="9" name="I2"/>
    <tableColumn id="10" name="I3"/>
    <tableColumn id="11" name="I4"/>
    <tableColumn id="12" name="I5"/>
    <tableColumn id="13" name="I6"/>
    <tableColumn id="14" name="I7"/>
    <tableColumn id="15" name="I8"/>
    <tableColumn id="16" name="I9"/>
    <tableColumn id="17" name="I10"/>
    <tableColumn id="18" name="DQS_total"/>
    <tableColumn id="19" name="DQS_100"/>
    <tableColumn id="20" name="sub_quantification"/>
    <tableColumn id="21" name="sub_strategy"/>
    <tableColumn id="22" name="sub_credibility"/>
    <tableColumn id="23" name="reporting_FY"/>
    <tableColumn id="24" name="coder_id"/>
    <tableColumn id="25" name="second_coder_score"/>
    <tableColumn id="26" name="agreed_score"/>
    <tableColumn id="27" name="CBAM_covered_product"/>
    <tableColumn id="28" name="export_intensity"/>
    <tableColumn id="29" name="EU_export"/>
    <tableColumn id="30" name="PAT_legacy_entity"/>
    <tableColumn id="31" name="revenue"/>
    <tableColumn id="32" name="total_assets"/>
    <tableColumn id="33" name="PAT"/>
    <tableColumn id="34" name="ROA"/>
    <tableColumn id="35" name="total_debt"/>
    <tableColumn id="36" name="finance_cost"/>
    <tableColumn id="37" name="cost_of_debt_proxy"/>
    <tableColumn id="38" name="capex"/>
    <tableColumn id="39" name="size_band"/>
    <tableColumn id="40" name="source_document"/>
    <tableColumn id="41" name="reporting_year"/>
    <tableColumn id="42" name="page_or_section"/>
    <tableColumn id="43" name="URL"/>
    <tableColumn id="44" name="date_accessed"/>
    <tableColumn id="45" name="firm_id"/>
    <tableColumn id="46" name="observation_id"/>
    <tableColumn id="47" name="reported_DQS_total"/>
    <tableColumn id="48" name="DQS_basis"/>
    <tableColumn id="49" name="financial_year_match"/>
    <tableColumn id="50" name="analysis_include"/>
    <tableColumn id="51" name="record_status"/>
    <tableColumn id="52" name="financial_basis"/>
  </tableColumns>
  <tableStyleInfo name="TableStyleMedium2" showFirstColumn="0" showLastColumn="0" showRowStripes="1" showColumnStripes="0"/>
</table>
</file>

<file path=xl/tables/table2.xml><?xml version="1.0" encoding="utf-8"?>
<table xmlns="http://schemas.openxmlformats.org/spreadsheetml/2006/main" id="2" name="ObservedFinancialPanel" displayName="ObservedFinancialPanel" ref="A6:V62" totalsRowShown="0">
  <autoFilter ref="A6:V62"/>
  <tableColumns count="22">
    <tableColumn id="1" name="firm_id"/>
    <tableColumn id="2" name="firm_name"/>
    <tableColumn id="3" name="sector"/>
    <tableColumn id="4" name="financial_FY"/>
    <tableColumn id="5" name="revenue"/>
    <tableColumn id="6" name="total_assets"/>
    <tableColumn id="7" name="PAT"/>
    <tableColumn id="8" name="ROA"/>
    <tableColumn id="9" name="total_debt"/>
    <tableColumn id="10" name="finance_cost"/>
    <tableColumn id="11" name="cost_of_debt_proxy"/>
    <tableColumn id="12" name="total_capex"/>
    <tableColumn id="13" name="export_intensity"/>
    <tableColumn id="14" name="market_to_book"/>
    <tableColumn id="15" name="green_capex_intensity"/>
    <tableColumn id="16" name="credit_rating"/>
    <tableColumn id="17" name="contractual_borrowing_rate"/>
    <tableColumn id="18" name="accounting_basis"/>
    <tableColumn id="19" name="proxy_caution"/>
    <tableColumn id="20" name="source"/>
    <tableColumn id="21" name="source_locator"/>
    <tableColumn id="22" name="record_status"/>
  </tableColumns>
  <tableStyleInfo name="TableStyleMedium2" showFirstColumn="0" showLastColumn="0" showRowStripes="1" showColumnStripes="0"/>
</table>
</file>

<file path=xl/tables/table3.xml><?xml version="1.0" encoding="utf-8"?>
<table xmlns="http://schemas.openxmlformats.org/spreadsheetml/2006/main" id="3" name="SourceEvidence" displayName="SourceEvidence" ref="A6:K1171" totalsRowShown="0">
  <autoFilter ref="A6:K1171"/>
  <tableColumns count="11">
    <tableColumn id="1" name="firm_id"/>
    <tableColumn id="2" name="firm_name"/>
    <tableColumn id="3" name="sector"/>
    <tableColumn id="4" name="field_or_indicator"/>
    <tableColumn id="5" name="value"/>
    <tableColumn id="6" name="reporting_period"/>
    <tableColumn id="7" name="source_document"/>
    <tableColumn id="8" name="page_or_section"/>
    <tableColumn id="9" name="URL"/>
    <tableColumn id="10" name="evidence_or_note"/>
    <tableColumn id="11" name="basis_or_caution"/>
  </tableColumns>
  <tableStyleInfo name="TableStyleMedium2" showFirstColumn="0" showLastColumn="0" showRowStripes="1" showColumnStripes="0"/>
</table>
</file>

<file path=xl/tables/table4.xml><?xml version="1.0" encoding="utf-8"?>
<table xmlns="http://schemas.openxmlformats.org/spreadsheetml/2006/main" id="4" name="PanelCodebook" displayName="PanelCodebook" ref="A6:D63" totalsRowShown="0">
  <autoFilter ref="A6:D63"/>
  <tableColumns count="4">
    <tableColumn id="1" name="field_or_rule"/>
    <tableColumn id="2" name="unit"/>
    <tableColumn id="3" name="definition"/>
    <tableColumn id="4" name="missing_value_rule"/>
  </tableColumns>
  <tableStyleInfo name="TableStyleMedium2" showFirstColumn="0" showLastColumn="0" showRowStripes="1" showColumnStripes="0"/>
</table>
</file>

<file path=xl/tables/table5.xml><?xml version="1.0" encoding="utf-8"?>
<table xmlns="http://schemas.openxmlformats.org/spreadsheetml/2006/main" id="5" name="PanelReviewIssues" displayName="PanelReviewIssues" ref="A6:J151" totalsRowShown="0">
  <autoFilter ref="A6:J151"/>
  <tableColumns count="10">
    <tableColumn id="1" name="issue_id"/>
    <tableColumn id="2" name="firm_id"/>
    <tableColumn id="3" name="firm_name"/>
    <tableColumn id="4" name="sector"/>
    <tableColumn id="5" name="issue_type"/>
    <tableColumn id="6" name="field"/>
    <tableColumn id="7" name="source_value"/>
    <tableColumn id="8" name="alternative_or_action"/>
    <tableColumn id="9" name="source_reference"/>
    <tableColumn id="10" name="impac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table" Target="../tables/table1.xml"/><Relationship Id="rId3"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sheetPr>
    <tabColor rgb="FF17365D"/>
  </sheetPr>
  <dimension ref="B2:M29"/>
  <sheetViews>
    <sheetView showGridLines="0" workbookViewId="0"/>
  </sheetViews>
  <sheetFormatPr defaultRowHeight="15"/>
  <cols>
    <col min="1" max="1" width="3.7109375" customWidth="1"/>
    <col min="2" max="13" width="11.7109375" customWidth="1"/>
  </cols>
  <sheetData>
    <row r="2" spans="2:13">
      <c r="B2" s="1" t="s">
        <v>0</v>
      </c>
      <c r="C2" s="1"/>
      <c r="D2" s="1"/>
      <c r="E2" s="1"/>
      <c r="F2" s="1"/>
      <c r="G2" s="1"/>
      <c r="H2" s="1"/>
      <c r="I2" s="1"/>
      <c r="J2" s="1"/>
      <c r="K2" s="1"/>
      <c r="L2" s="1"/>
      <c r="M2" s="1"/>
    </row>
    <row r="3" spans="2:13">
      <c r="B3" s="1"/>
      <c r="C3" s="1"/>
      <c r="D3" s="1"/>
      <c r="E3" s="1"/>
      <c r="F3" s="1"/>
      <c r="G3" s="1"/>
      <c r="H3" s="1"/>
      <c r="I3" s="1"/>
      <c r="J3" s="1"/>
      <c r="K3" s="1"/>
      <c r="L3" s="1"/>
      <c r="M3" s="1"/>
    </row>
    <row r="4" spans="2:13">
      <c r="B4" s="2" t="s">
        <v>1</v>
      </c>
      <c r="C4" s="2"/>
      <c r="D4" s="2"/>
      <c r="E4" s="2"/>
      <c r="F4" s="2"/>
      <c r="G4" s="2"/>
      <c r="H4" s="2"/>
      <c r="I4" s="2"/>
      <c r="J4" s="2"/>
      <c r="K4" s="2"/>
      <c r="L4" s="2"/>
      <c r="M4" s="2"/>
    </row>
    <row r="6" spans="2:13">
      <c r="B6" s="3">
        <v>82</v>
      </c>
      <c r="C6" s="3"/>
      <c r="D6" s="3"/>
      <c r="E6" s="3">
        <v>81</v>
      </c>
      <c r="F6" s="3"/>
      <c r="G6" s="3"/>
      <c r="H6" s="3">
        <v>8</v>
      </c>
      <c r="I6" s="3"/>
      <c r="J6" s="3"/>
      <c r="K6" s="3">
        <v>9</v>
      </c>
      <c r="L6" s="3"/>
      <c r="M6" s="3"/>
    </row>
    <row r="7" spans="2:13">
      <c r="B7" s="3"/>
      <c r="C7" s="3"/>
      <c r="D7" s="3"/>
      <c r="E7" s="3"/>
      <c r="F7" s="3"/>
      <c r="G7" s="3"/>
      <c r="H7" s="3"/>
      <c r="I7" s="3"/>
      <c r="J7" s="3"/>
      <c r="K7" s="3"/>
      <c r="L7" s="3"/>
      <c r="M7" s="3"/>
    </row>
    <row r="8" spans="2:13">
      <c r="B8" s="4" t="s">
        <v>2</v>
      </c>
      <c r="C8" s="4"/>
      <c r="D8" s="4"/>
      <c r="E8" s="4" t="s">
        <v>3</v>
      </c>
      <c r="F8" s="4"/>
      <c r="G8" s="4"/>
      <c r="H8" s="4" t="s">
        <v>4</v>
      </c>
      <c r="I8" s="4"/>
      <c r="J8" s="4"/>
      <c r="K8" s="4" t="s">
        <v>5</v>
      </c>
      <c r="L8" s="4"/>
      <c r="M8" s="4"/>
    </row>
    <row r="10" spans="2:13">
      <c r="B10" s="5" t="s">
        <v>6</v>
      </c>
      <c r="C10" s="5"/>
      <c r="D10" s="5"/>
      <c r="E10" s="5"/>
      <c r="F10" s="5"/>
      <c r="G10" s="5"/>
      <c r="H10" s="5"/>
      <c r="I10" s="5"/>
      <c r="J10" s="5"/>
      <c r="K10" s="5"/>
      <c r="L10" s="5"/>
      <c r="M10" s="5"/>
    </row>
    <row r="11" spans="2:13">
      <c r="B11" s="5"/>
      <c r="C11" s="5"/>
      <c r="D11" s="5"/>
      <c r="E11" s="5"/>
      <c r="F11" s="5"/>
      <c r="G11" s="5"/>
      <c r="H11" s="5"/>
      <c r="I11" s="5"/>
      <c r="J11" s="5"/>
      <c r="K11" s="5"/>
      <c r="L11" s="5"/>
      <c r="M11" s="5"/>
    </row>
    <row r="14" spans="2:13" ht="33" customHeight="1">
      <c r="B14" s="6" t="s">
        <v>7</v>
      </c>
      <c r="D14" s="5" t="s">
        <v>8</v>
      </c>
      <c r="E14" s="5"/>
      <c r="F14" s="5"/>
      <c r="G14" s="5"/>
      <c r="H14" s="5"/>
      <c r="I14" s="5"/>
      <c r="J14" s="5"/>
      <c r="K14" s="5"/>
      <c r="L14" s="5"/>
      <c r="M14" s="5"/>
    </row>
    <row r="15" spans="2:13" ht="33" customHeight="1">
      <c r="B15" s="6" t="s">
        <v>9</v>
      </c>
      <c r="D15" s="5" t="s">
        <v>10</v>
      </c>
      <c r="E15" s="5"/>
      <c r="F15" s="5"/>
      <c r="G15" s="5"/>
      <c r="H15" s="5"/>
      <c r="I15" s="5"/>
      <c r="J15" s="5"/>
      <c r="K15" s="5"/>
      <c r="L15" s="5"/>
      <c r="M15" s="5"/>
    </row>
    <row r="16" spans="2:13" ht="33" customHeight="1">
      <c r="B16" s="6" t="s">
        <v>11</v>
      </c>
      <c r="D16" s="5" t="s">
        <v>12</v>
      </c>
      <c r="E16" s="5"/>
      <c r="F16" s="5"/>
      <c r="G16" s="5"/>
      <c r="H16" s="5"/>
      <c r="I16" s="5"/>
      <c r="J16" s="5"/>
      <c r="K16" s="5"/>
      <c r="L16" s="5"/>
      <c r="M16" s="5"/>
    </row>
    <row r="17" spans="2:13" ht="33" customHeight="1">
      <c r="B17" s="6" t="s">
        <v>13</v>
      </c>
      <c r="D17" s="5" t="s">
        <v>14</v>
      </c>
      <c r="E17" s="5"/>
      <c r="F17" s="5"/>
      <c r="G17" s="5"/>
      <c r="H17" s="5"/>
      <c r="I17" s="5"/>
      <c r="J17" s="5"/>
      <c r="K17" s="5"/>
      <c r="L17" s="5"/>
      <c r="M17" s="5"/>
    </row>
    <row r="18" spans="2:13" ht="33" customHeight="1">
      <c r="B18" s="6" t="s">
        <v>15</v>
      </c>
      <c r="D18" s="5" t="s">
        <v>16</v>
      </c>
      <c r="E18" s="5"/>
      <c r="F18" s="5"/>
      <c r="G18" s="5"/>
      <c r="H18" s="5"/>
      <c r="I18" s="5"/>
      <c r="J18" s="5"/>
      <c r="K18" s="5"/>
      <c r="L18" s="5"/>
      <c r="M18" s="5"/>
    </row>
    <row r="20" spans="2:13">
      <c r="B20" s="5" t="s">
        <v>17</v>
      </c>
      <c r="C20" s="5"/>
      <c r="D20" s="5"/>
      <c r="E20" s="5"/>
      <c r="F20" s="5"/>
      <c r="G20" s="5"/>
      <c r="H20" s="5"/>
      <c r="I20" s="5"/>
      <c r="J20" s="5"/>
      <c r="K20" s="5"/>
      <c r="L20" s="5"/>
      <c r="M20" s="5"/>
    </row>
    <row r="21" spans="2:13">
      <c r="B21" s="5"/>
      <c r="C21" s="5"/>
      <c r="D21" s="5"/>
      <c r="E21" s="5"/>
      <c r="F21" s="5"/>
      <c r="G21" s="5"/>
      <c r="H21" s="5"/>
      <c r="I21" s="5"/>
      <c r="J21" s="5"/>
      <c r="K21" s="5"/>
      <c r="L21" s="5"/>
      <c r="M21" s="5"/>
    </row>
    <row r="22" spans="2:13">
      <c r="B22" s="5"/>
      <c r="C22" s="5"/>
      <c r="D22" s="5"/>
      <c r="E22" s="5"/>
      <c r="F22" s="5"/>
      <c r="G22" s="5"/>
      <c r="H22" s="5"/>
      <c r="I22" s="5"/>
      <c r="J22" s="5"/>
      <c r="K22" s="5"/>
      <c r="L22" s="5"/>
      <c r="M22" s="5"/>
    </row>
    <row r="24" spans="2:13">
      <c r="B24" s="5" t="s">
        <v>18</v>
      </c>
      <c r="C24" s="5"/>
      <c r="D24" s="5"/>
      <c r="E24" s="5"/>
      <c r="F24" s="5"/>
      <c r="G24" s="5"/>
      <c r="H24" s="5"/>
      <c r="I24" s="5"/>
      <c r="J24" s="5"/>
      <c r="K24" s="5"/>
      <c r="L24" s="5"/>
      <c r="M24" s="5"/>
    </row>
    <row r="25" spans="2:13">
      <c r="B25" s="5"/>
      <c r="C25" s="5"/>
      <c r="D25" s="5"/>
      <c r="E25" s="5"/>
      <c r="F25" s="5"/>
      <c r="G25" s="5"/>
      <c r="H25" s="5"/>
      <c r="I25" s="5"/>
      <c r="J25" s="5"/>
      <c r="K25" s="5"/>
      <c r="L25" s="5"/>
      <c r="M25" s="5"/>
    </row>
    <row r="26" spans="2:13">
      <c r="B26" s="5"/>
      <c r="C26" s="5"/>
      <c r="D26" s="5"/>
      <c r="E26" s="5"/>
      <c r="F26" s="5"/>
      <c r="G26" s="5"/>
      <c r="H26" s="5"/>
      <c r="I26" s="5"/>
      <c r="J26" s="5"/>
      <c r="K26" s="5"/>
      <c r="L26" s="5"/>
      <c r="M26" s="5"/>
    </row>
    <row r="28" spans="2:13">
      <c r="B28" s="5" t="s">
        <v>19</v>
      </c>
      <c r="C28" s="5"/>
      <c r="D28" s="5"/>
      <c r="E28" s="5"/>
      <c r="F28" s="5"/>
      <c r="G28" s="5"/>
      <c r="H28" s="5"/>
      <c r="I28" s="5"/>
      <c r="J28" s="5"/>
      <c r="K28" s="5"/>
      <c r="L28" s="5"/>
      <c r="M28" s="5"/>
    </row>
    <row r="29" spans="2:13">
      <c r="B29" s="5"/>
      <c r="C29" s="5"/>
      <c r="D29" s="5"/>
      <c r="E29" s="5"/>
      <c r="F29" s="5"/>
      <c r="G29" s="5"/>
      <c r="H29" s="5"/>
      <c r="I29" s="5"/>
      <c r="J29" s="5"/>
      <c r="K29" s="5"/>
      <c r="L29" s="5"/>
      <c r="M29" s="5"/>
    </row>
  </sheetData>
  <mergeCells count="19">
    <mergeCell ref="B2:M3"/>
    <mergeCell ref="B4:M4"/>
    <mergeCell ref="B6:D7"/>
    <mergeCell ref="B8:D8"/>
    <mergeCell ref="E6:G7"/>
    <mergeCell ref="E8:G8"/>
    <mergeCell ref="H6:J7"/>
    <mergeCell ref="H8:J8"/>
    <mergeCell ref="K6:M7"/>
    <mergeCell ref="K8:M8"/>
    <mergeCell ref="B10:M11"/>
    <mergeCell ref="D14:M14"/>
    <mergeCell ref="D15:M15"/>
    <mergeCell ref="D16:M16"/>
    <mergeCell ref="D17:M17"/>
    <mergeCell ref="D18:M18"/>
    <mergeCell ref="B20:M22"/>
    <mergeCell ref="B24:M26"/>
    <mergeCell ref="B28:M29"/>
  </mergeCells>
  <hyperlinks>
    <hyperlink ref="B14" location="'Master_Panel'!A1" display="Master_Panel"/>
    <hyperlink ref="B15" location="'Financial_Panel'!A1" display="Financial_Panel"/>
    <hyperlink ref="B16" location="'Evidence_Log'!A1" display="Evidence_Log"/>
    <hyperlink ref="B17" location="'Codebook'!A1" display="Codebook"/>
    <hyperlink ref="B18" location="'Review_Issues'!A1" display="Review_Issues"/>
  </hyperlinks>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167C80"/>
    <outlinePr summaryBelow="0"/>
    <pageSetUpPr fitToPage="1"/>
  </sheetPr>
  <dimension ref="A1:AZ88"/>
  <sheetViews>
    <sheetView showGridLines="0" tabSelected="1" workbookViewId="0">
      <pane xSplit="2" ySplit="6" topLeftCell="C7" activePane="bottomRight" state="frozen"/>
      <selection pane="topRight" activeCell="C1" sqref="C1"/>
      <selection pane="bottomLeft" activeCell="A7" sqref="A7"/>
      <selection pane="bottomRight" activeCell="A7" sqref="A7"/>
    </sheetView>
  </sheetViews>
  <sheetFormatPr defaultRowHeight="15" outlineLevelCol="1"/>
  <cols>
    <col min="1" max="1" width="39.7109375" customWidth="1"/>
    <col min="2" max="2" width="25.7109375" customWidth="1"/>
    <col min="3" max="3" width="14.7109375" customWidth="1"/>
    <col min="4" max="4" width="10.7109375" customWidth="1"/>
    <col min="5" max="5" width="24.7109375" customWidth="1"/>
    <col min="6" max="6" width="22.7109375" customWidth="1"/>
    <col min="7" max="7" width="14.7109375" customWidth="1"/>
    <col min="8" max="17" width="7.7109375" customWidth="1"/>
    <col min="18" max="19" width="13.7109375" customWidth="1"/>
    <col min="20" max="20" width="17.7109375" customWidth="1"/>
    <col min="21" max="21" width="15.7109375" customWidth="1"/>
    <col min="22" max="22" width="17.7109375" customWidth="1"/>
    <col min="23" max="23" width="16.7109375" customWidth="1"/>
    <col min="24" max="24" width="28.7109375" customWidth="1"/>
    <col min="25" max="25" width="17.7109375" customWidth="1"/>
    <col min="26" max="26" width="15.7109375" customWidth="1"/>
    <col min="27" max="27" width="18.7109375" customWidth="1"/>
    <col min="28" max="28" width="16.7109375" customWidth="1"/>
    <col min="29" max="29" width="13.7109375" customWidth="1"/>
    <col min="30" max="30" width="16.7109375" customWidth="1"/>
    <col min="31" max="33" width="18.7109375" customWidth="1"/>
    <col min="34" max="34" width="13.7109375" customWidth="1"/>
    <col min="35" max="35" width="18.7109375" customWidth="1"/>
    <col min="36" max="36" width="16.7109375" customWidth="1"/>
    <col min="37" max="37" width="19.7109375" customWidth="1"/>
    <col min="38" max="38" width="16.7109375" customWidth="1"/>
    <col min="39" max="39" width="13.7109375" customWidth="1"/>
    <col min="40" max="40" width="50.7109375" hidden="1" customWidth="1" outlineLevel="1"/>
    <col min="41" max="41" width="16.7109375" hidden="1" customWidth="1" outlineLevel="1"/>
    <col min="42" max="42" width="48.7109375" hidden="1" customWidth="1" outlineLevel="1"/>
    <col min="43" max="43" width="45.7109375" hidden="1" customWidth="1" outlineLevel="1"/>
    <col min="44" max="44" width="16.7109375" hidden="1" customWidth="1" outlineLevel="1"/>
    <col min="45" max="45" width="12.7109375" hidden="1" customWidth="1" outlineLevel="1"/>
    <col min="46" max="46" width="16.7109375" hidden="1" customWidth="1" outlineLevel="1"/>
    <col min="47" max="47" width="18.7109375" customWidth="1" outlineLevel="1"/>
    <col min="48" max="48" width="34.7109375" customWidth="1" outlineLevel="1"/>
    <col min="49" max="49" width="19.7109375" customWidth="1" outlineLevel="1"/>
    <col min="50" max="50" width="16.7109375" customWidth="1" outlineLevel="1"/>
    <col min="51" max="51" width="24.7109375" customWidth="1" outlineLevel="1"/>
    <col min="52" max="52" width="50.7109375" customWidth="1" outlineLevel="1"/>
  </cols>
  <sheetData>
    <row r="1" spans="1:52" ht="22" customHeight="1">
      <c r="A1" s="1" t="s">
        <v>0</v>
      </c>
      <c r="B1" s="1"/>
      <c r="C1" s="1"/>
      <c r="D1" s="1"/>
      <c r="E1" s="1"/>
      <c r="F1" s="1"/>
      <c r="G1" s="1"/>
      <c r="H1" s="1"/>
      <c r="I1" s="1"/>
    </row>
    <row r="2" spans="1:52" ht="18" customHeight="1">
      <c r="A2" s="1"/>
      <c r="B2" s="1"/>
      <c r="C2" s="1"/>
      <c r="D2" s="1"/>
      <c r="E2" s="1"/>
      <c r="F2" s="1"/>
      <c r="G2" s="1"/>
      <c r="H2" s="1"/>
      <c r="I2" s="1"/>
    </row>
    <row r="3" spans="1:52" ht="34" customHeight="1">
      <c r="A3" s="2" t="s">
        <v>20</v>
      </c>
      <c r="B3" s="2"/>
      <c r="C3" s="2"/>
      <c r="D3" s="2"/>
      <c r="E3" s="2"/>
      <c r="F3" s="2"/>
      <c r="G3" s="2"/>
      <c r="H3" s="2"/>
      <c r="I3" s="2"/>
      <c r="J3" s="2"/>
      <c r="K3" s="2"/>
    </row>
    <row r="4" spans="1:52">
      <c r="A4" s="7" t="s">
        <v>21</v>
      </c>
      <c r="B4" s="7"/>
      <c r="C4" s="7"/>
      <c r="D4" s="7"/>
      <c r="E4" s="7"/>
      <c r="F4" s="7"/>
      <c r="G4" s="7"/>
      <c r="H4" s="8" t="s">
        <v>22</v>
      </c>
      <c r="I4" s="8"/>
      <c r="J4" s="8"/>
      <c r="K4" s="8"/>
      <c r="L4" s="8"/>
      <c r="M4" s="8"/>
      <c r="N4" s="8"/>
      <c r="O4" s="8"/>
      <c r="P4" s="8"/>
      <c r="Q4" s="8"/>
      <c r="R4" s="8"/>
      <c r="S4" s="8"/>
      <c r="T4" s="8"/>
      <c r="U4" s="8"/>
      <c r="V4" s="8"/>
      <c r="W4" s="8"/>
      <c r="X4" s="8"/>
      <c r="Y4" s="8"/>
      <c r="Z4" s="8"/>
      <c r="AA4" s="9" t="s">
        <v>23</v>
      </c>
      <c r="AB4" s="9"/>
      <c r="AC4" s="9"/>
      <c r="AD4" s="9"/>
      <c r="AE4" s="7" t="s">
        <v>24</v>
      </c>
      <c r="AF4" s="7"/>
      <c r="AG4" s="7"/>
      <c r="AH4" s="7"/>
      <c r="AI4" s="7"/>
      <c r="AJ4" s="7"/>
      <c r="AK4" s="7"/>
      <c r="AL4" s="7"/>
      <c r="AM4" s="7"/>
      <c r="AN4" s="10" t="s">
        <v>25</v>
      </c>
      <c r="AO4" s="10"/>
      <c r="AP4" s="10"/>
      <c r="AQ4" s="10"/>
      <c r="AR4" s="10"/>
      <c r="AS4" s="10" t="s">
        <v>26</v>
      </c>
      <c r="AT4" s="10"/>
      <c r="AU4" s="10"/>
      <c r="AV4" s="10"/>
      <c r="AW4" s="10"/>
      <c r="AX4" s="10"/>
      <c r="AY4" s="10"/>
      <c r="AZ4" s="10"/>
    </row>
    <row r="6" spans="1:52" ht="40" customHeight="1">
      <c r="A6" s="11" t="s">
        <v>384</v>
      </c>
      <c r="B6" s="11" t="s">
        <v>385</v>
      </c>
      <c r="C6" s="11" t="s">
        <v>386</v>
      </c>
      <c r="D6" s="11" t="s">
        <v>387</v>
      </c>
      <c r="E6" s="11" t="s">
        <v>388</v>
      </c>
      <c r="F6" s="11" t="s">
        <v>389</v>
      </c>
      <c r="G6" s="11" t="s">
        <v>390</v>
      </c>
      <c r="H6" s="11" t="s">
        <v>391</v>
      </c>
      <c r="I6" s="11" t="s">
        <v>392</v>
      </c>
      <c r="J6" s="11" t="s">
        <v>393</v>
      </c>
      <c r="K6" s="11" t="s">
        <v>394</v>
      </c>
      <c r="L6" s="11" t="s">
        <v>395</v>
      </c>
      <c r="M6" s="11" t="s">
        <v>396</v>
      </c>
      <c r="N6" s="11" t="s">
        <v>397</v>
      </c>
      <c r="O6" s="11" t="s">
        <v>398</v>
      </c>
      <c r="P6" s="11" t="s">
        <v>399</v>
      </c>
      <c r="Q6" s="11" t="s">
        <v>400</v>
      </c>
      <c r="R6" s="11" t="s">
        <v>401</v>
      </c>
      <c r="S6" s="11" t="s">
        <v>402</v>
      </c>
      <c r="T6" s="11" t="s">
        <v>403</v>
      </c>
      <c r="U6" s="11" t="s">
        <v>404</v>
      </c>
      <c r="V6" s="11" t="s">
        <v>405</v>
      </c>
      <c r="W6" s="11" t="s">
        <v>406</v>
      </c>
      <c r="X6" s="11" t="s">
        <v>407</v>
      </c>
      <c r="Y6" s="11" t="s">
        <v>408</v>
      </c>
      <c r="Z6" s="11" t="s">
        <v>409</v>
      </c>
      <c r="AA6" s="11" t="s">
        <v>410</v>
      </c>
      <c r="AB6" s="11" t="s">
        <v>411</v>
      </c>
      <c r="AC6" s="11" t="s">
        <v>412</v>
      </c>
      <c r="AD6" s="11" t="s">
        <v>413</v>
      </c>
      <c r="AE6" s="11" t="s">
        <v>414</v>
      </c>
      <c r="AF6" s="11" t="s">
        <v>415</v>
      </c>
      <c r="AG6" s="11" t="s">
        <v>416</v>
      </c>
      <c r="AH6" s="11" t="s">
        <v>417</v>
      </c>
      <c r="AI6" s="11" t="s">
        <v>418</v>
      </c>
      <c r="AJ6" s="11" t="s">
        <v>419</v>
      </c>
      <c r="AK6" s="11" t="s">
        <v>420</v>
      </c>
      <c r="AL6" s="11" t="s">
        <v>421</v>
      </c>
      <c r="AM6" s="11" t="s">
        <v>422</v>
      </c>
      <c r="AN6" s="11" t="s">
        <v>423</v>
      </c>
      <c r="AO6" s="11" t="s">
        <v>424</v>
      </c>
      <c r="AP6" s="11" t="s">
        <v>425</v>
      </c>
      <c r="AQ6" s="11" t="s">
        <v>426</v>
      </c>
      <c r="AR6" s="11" t="s">
        <v>427</v>
      </c>
      <c r="AS6" s="11" t="s">
        <v>428</v>
      </c>
      <c r="AT6" s="11" t="s">
        <v>429</v>
      </c>
      <c r="AU6" s="11" t="s">
        <v>430</v>
      </c>
      <c r="AV6" s="11" t="s">
        <v>431</v>
      </c>
      <c r="AW6" s="11" t="s">
        <v>432</v>
      </c>
      <c r="AX6" s="11" t="s">
        <v>433</v>
      </c>
      <c r="AY6" s="11" t="s">
        <v>434</v>
      </c>
      <c r="AZ6" s="11" t="s">
        <v>435</v>
      </c>
    </row>
    <row r="7" spans="1:52" ht="30" customHeight="1">
      <c r="A7" s="12" t="s">
        <v>27</v>
      </c>
      <c r="B7" s="12" t="s">
        <v>28</v>
      </c>
      <c r="C7" s="13"/>
      <c r="D7" s="14">
        <v>1</v>
      </c>
      <c r="E7" s="15" t="s">
        <v>29</v>
      </c>
      <c r="F7" s="12" t="s">
        <v>30</v>
      </c>
      <c r="G7" s="14">
        <v>1</v>
      </c>
      <c r="H7" s="14">
        <v>3</v>
      </c>
      <c r="I7" s="14">
        <v>0</v>
      </c>
      <c r="J7" s="14">
        <v>0</v>
      </c>
      <c r="K7" s="14">
        <v>2</v>
      </c>
      <c r="L7" s="14">
        <v>2</v>
      </c>
      <c r="M7" s="14">
        <v>2</v>
      </c>
      <c r="N7" s="14">
        <v>0</v>
      </c>
      <c r="O7" s="14">
        <v>1</v>
      </c>
      <c r="P7" s="14">
        <v>1</v>
      </c>
      <c r="Q7" s="14">
        <v>2</v>
      </c>
      <c r="R7" s="16">
        <f>IF($AY7="Conflict","",IF(COUNT(H7:Q7)=10,SUM(H7:Q7),IF(ISNUMBER($AU7),$AU7,"")))</f>
        <v>13</v>
      </c>
      <c r="S7" s="16">
        <f>IF(ISNUMBER(R7),R7/30*100,"")</f>
        <v>43.333333333333336</v>
      </c>
      <c r="T7" s="16">
        <f>IF($AY7="Conflict","",IF(COUNT(H7:J7,L7)=4,SUM(H7:J7,L7),""))</f>
        <v>5</v>
      </c>
      <c r="U7" s="16">
        <f>IF($AY7="Conflict","",IF(COUNT(K7,M7:O7)=4,SUM(K7,M7:O7),""))</f>
        <v>5</v>
      </c>
      <c r="V7" s="16">
        <f>IF($AY7="Conflict","",IF(COUNT(P7:Q7)=2,SUM(P7:Q7),""))</f>
        <v>3</v>
      </c>
      <c r="W7" s="15" t="s">
        <v>31</v>
      </c>
      <c r="X7" s="15" t="s">
        <v>32</v>
      </c>
      <c r="Y7" s="14">
        <v>17</v>
      </c>
      <c r="Z7" s="16">
        <f>IF(ISNUMBER(R7),R7,"")</f>
        <v>13</v>
      </c>
      <c r="AA7" s="13"/>
      <c r="AB7" s="17">
        <v>0.0132986589728279</v>
      </c>
      <c r="AC7" s="14" t="s">
        <v>33</v>
      </c>
      <c r="AD7" s="13"/>
      <c r="AE7" s="18">
        <v>5375.73</v>
      </c>
      <c r="AF7" s="18">
        <v>6157</v>
      </c>
      <c r="AG7" s="18">
        <v>813</v>
      </c>
      <c r="AH7" s="19">
        <f>IF(AND(ISNUMBER(AG7),ISNUMBER(AF7),AF7&gt;0),AG7/AF7,"")</f>
        <v>0.1320448270261491</v>
      </c>
      <c r="AI7" s="18">
        <v>309</v>
      </c>
      <c r="AJ7" s="18">
        <v>55.39</v>
      </c>
      <c r="AK7" s="13"/>
      <c r="AL7" s="13"/>
      <c r="AM7" s="15" t="s">
        <v>34</v>
      </c>
      <c r="AN7" s="12" t="s">
        <v>35</v>
      </c>
      <c r="AO7" s="15" t="s">
        <v>31</v>
      </c>
      <c r="AP7" s="12" t="s">
        <v>36</v>
      </c>
      <c r="AQ7" s="13"/>
      <c r="AR7" s="13"/>
      <c r="AS7" s="15" t="s">
        <v>37</v>
      </c>
      <c r="AT7" s="15" t="s">
        <v>38</v>
      </c>
      <c r="AU7" s="14">
        <v>13</v>
      </c>
      <c r="AV7" s="12" t="s">
        <v>39</v>
      </c>
      <c r="AW7" s="15" t="s">
        <v>40</v>
      </c>
      <c r="AX7" s="15" t="s">
        <v>41</v>
      </c>
      <c r="AY7" s="15" t="s">
        <v>42</v>
      </c>
      <c r="AZ7" s="12" t="s">
        <v>43</v>
      </c>
    </row>
    <row r="8" spans="1:52" ht="30" customHeight="1">
      <c r="A8" s="12" t="s">
        <v>44</v>
      </c>
      <c r="B8" s="12" t="s">
        <v>28</v>
      </c>
      <c r="C8" s="13"/>
      <c r="D8" s="14">
        <v>1</v>
      </c>
      <c r="E8" s="15" t="s">
        <v>29</v>
      </c>
      <c r="F8" s="12" t="s">
        <v>30</v>
      </c>
      <c r="G8" s="14">
        <v>1</v>
      </c>
      <c r="H8" s="14">
        <v>3</v>
      </c>
      <c r="I8" s="14">
        <v>2</v>
      </c>
      <c r="J8" s="14">
        <v>2</v>
      </c>
      <c r="K8" s="14">
        <v>2</v>
      </c>
      <c r="L8" s="14">
        <v>2</v>
      </c>
      <c r="M8" s="14">
        <v>0</v>
      </c>
      <c r="N8" s="14">
        <v>0</v>
      </c>
      <c r="O8" s="14">
        <v>1</v>
      </c>
      <c r="P8" s="14">
        <v>3</v>
      </c>
      <c r="Q8" s="14">
        <v>2</v>
      </c>
      <c r="R8" s="16">
        <f>IF($AY8="Conflict","",IF(COUNT(H8:Q8)=10,SUM(H8:Q8),IF(ISNUMBER($AU8),$AU8,"")))</f>
        <v>17</v>
      </c>
      <c r="S8" s="16">
        <f>IF(ISNUMBER(R8),R8/30*100,"")</f>
        <v>56.666666666666664</v>
      </c>
      <c r="T8" s="16">
        <f>IF($AY8="Conflict","",IF(COUNT(H8:J8,L8)=4,SUM(H8:J8,L8),""))</f>
        <v>9</v>
      </c>
      <c r="U8" s="16">
        <f>IF($AY8="Conflict","",IF(COUNT(K8,M8:O8)=4,SUM(K8,M8:O8),""))</f>
        <v>3</v>
      </c>
      <c r="V8" s="16">
        <f>IF($AY8="Conflict","",IF(COUNT(P8:Q8)=2,SUM(P8:Q8),""))</f>
        <v>5</v>
      </c>
      <c r="W8" s="15" t="s">
        <v>31</v>
      </c>
      <c r="X8" s="15" t="s">
        <v>32</v>
      </c>
      <c r="Y8" s="14">
        <v>17</v>
      </c>
      <c r="Z8" s="16">
        <f>IF(ISNUMBER(R8),R8,"")</f>
        <v>17</v>
      </c>
      <c r="AA8" s="13"/>
      <c r="AB8" s="17">
        <v>0.147224511599512</v>
      </c>
      <c r="AC8" s="14">
        <v>1</v>
      </c>
      <c r="AD8" s="13"/>
      <c r="AE8" s="18">
        <v>39312</v>
      </c>
      <c r="AF8" s="18">
        <v>35917</v>
      </c>
      <c r="AG8" s="18">
        <v>2500</v>
      </c>
      <c r="AH8" s="19">
        <f>IF(AND(ISNUMBER(AG8),ISNUMBER(AF8),AF8&gt;0),AG8/AF8,"")</f>
        <v>0.06960492246011638</v>
      </c>
      <c r="AI8" s="18">
        <v>6402</v>
      </c>
      <c r="AJ8" s="18">
        <v>612</v>
      </c>
      <c r="AK8" s="13"/>
      <c r="AL8" s="13"/>
      <c r="AM8" s="15" t="s">
        <v>45</v>
      </c>
      <c r="AN8" s="12" t="s">
        <v>46</v>
      </c>
      <c r="AO8" s="15" t="s">
        <v>31</v>
      </c>
      <c r="AP8" s="12" t="s">
        <v>36</v>
      </c>
      <c r="AQ8" s="13"/>
      <c r="AR8" s="13"/>
      <c r="AS8" s="15" t="s">
        <v>47</v>
      </c>
      <c r="AT8" s="15" t="s">
        <v>48</v>
      </c>
      <c r="AU8" s="14">
        <v>17</v>
      </c>
      <c r="AV8" s="12" t="s">
        <v>39</v>
      </c>
      <c r="AW8" s="15" t="s">
        <v>40</v>
      </c>
      <c r="AX8" s="15" t="s">
        <v>41</v>
      </c>
      <c r="AY8" s="15" t="s">
        <v>42</v>
      </c>
      <c r="AZ8" s="12" t="s">
        <v>43</v>
      </c>
    </row>
    <row r="9" spans="1:52" ht="30" customHeight="1">
      <c r="A9" s="12" t="s">
        <v>49</v>
      </c>
      <c r="B9" s="12" t="s">
        <v>28</v>
      </c>
      <c r="C9" s="13"/>
      <c r="D9" s="14">
        <v>1</v>
      </c>
      <c r="E9" s="15" t="s">
        <v>29</v>
      </c>
      <c r="F9" s="12" t="s">
        <v>30</v>
      </c>
      <c r="G9" s="14">
        <v>1</v>
      </c>
      <c r="H9" s="14">
        <v>2</v>
      </c>
      <c r="I9" s="14">
        <v>2</v>
      </c>
      <c r="J9" s="14">
        <v>3</v>
      </c>
      <c r="K9" s="14">
        <v>3</v>
      </c>
      <c r="L9" s="14">
        <v>1</v>
      </c>
      <c r="M9" s="14">
        <v>2</v>
      </c>
      <c r="N9" s="14">
        <v>0</v>
      </c>
      <c r="O9" s="14">
        <v>2</v>
      </c>
      <c r="P9" s="14">
        <v>3</v>
      </c>
      <c r="Q9" s="14">
        <v>1</v>
      </c>
      <c r="R9" s="16">
        <f>IF($AY9="Conflict","",IF(COUNT(H9:Q9)=10,SUM(H9:Q9),IF(ISNUMBER($AU9),$AU9,"")))</f>
        <v>19</v>
      </c>
      <c r="S9" s="16">
        <f>IF(ISNUMBER(R9),R9/30*100,"")</f>
        <v>63.33333333333333</v>
      </c>
      <c r="T9" s="16">
        <f>IF($AY9="Conflict","",IF(COUNT(H9:J9,L9)=4,SUM(H9:J9,L9),""))</f>
        <v>8</v>
      </c>
      <c r="U9" s="16">
        <f>IF($AY9="Conflict","",IF(COUNT(K9,M9:O9)=4,SUM(K9,M9:O9),""))</f>
        <v>7</v>
      </c>
      <c r="V9" s="16">
        <f>IF($AY9="Conflict","",IF(COUNT(P9:Q9)=2,SUM(P9:Q9),""))</f>
        <v>4</v>
      </c>
      <c r="W9" s="15" t="s">
        <v>50</v>
      </c>
      <c r="X9" s="15" t="s">
        <v>32</v>
      </c>
      <c r="Y9" s="14">
        <v>21</v>
      </c>
      <c r="Z9" s="16">
        <f>IF(ISNUMBER(R9),R9,"")</f>
        <v>19</v>
      </c>
      <c r="AA9" s="13"/>
      <c r="AB9" s="17">
        <v>0.0524516746793273</v>
      </c>
      <c r="AC9" s="14" t="s">
        <v>33</v>
      </c>
      <c r="AD9" s="13"/>
      <c r="AE9" s="18">
        <v>50129</v>
      </c>
      <c r="AF9" s="18">
        <v>85766</v>
      </c>
      <c r="AG9" s="18">
        <v>2846</v>
      </c>
      <c r="AH9" s="19">
        <f>IF(AND(ISNUMBER(AG9),ISNUMBER(AF9),AF9&gt;0),AG9/AF9,"")</f>
        <v>0.0331833127346501</v>
      </c>
      <c r="AI9" s="18">
        <v>18406</v>
      </c>
      <c r="AJ9" s="18">
        <v>1312</v>
      </c>
      <c r="AK9" s="13"/>
      <c r="AL9" s="13"/>
      <c r="AM9" s="15" t="s">
        <v>45</v>
      </c>
      <c r="AN9" s="12" t="s">
        <v>51</v>
      </c>
      <c r="AO9" s="15" t="s">
        <v>31</v>
      </c>
      <c r="AP9" s="12" t="s">
        <v>36</v>
      </c>
      <c r="AQ9" s="13"/>
      <c r="AR9" s="13"/>
      <c r="AS9" s="15" t="s">
        <v>52</v>
      </c>
      <c r="AT9" s="15" t="s">
        <v>53</v>
      </c>
      <c r="AU9" s="14">
        <v>19</v>
      </c>
      <c r="AV9" s="12" t="s">
        <v>39</v>
      </c>
      <c r="AW9" s="15" t="s">
        <v>54</v>
      </c>
      <c r="AX9" s="15" t="s">
        <v>41</v>
      </c>
      <c r="AY9" s="15" t="s">
        <v>42</v>
      </c>
      <c r="AZ9" s="12" t="s">
        <v>43</v>
      </c>
    </row>
    <row r="10" spans="1:52" ht="30" customHeight="1">
      <c r="A10" s="12" t="s">
        <v>55</v>
      </c>
      <c r="B10" s="12" t="s">
        <v>28</v>
      </c>
      <c r="C10" s="13"/>
      <c r="D10" s="14">
        <v>1</v>
      </c>
      <c r="E10" s="15" t="s">
        <v>29</v>
      </c>
      <c r="F10" s="12" t="s">
        <v>30</v>
      </c>
      <c r="G10" s="14">
        <v>1</v>
      </c>
      <c r="H10" s="14">
        <v>2</v>
      </c>
      <c r="I10" s="14">
        <v>2</v>
      </c>
      <c r="J10" s="14">
        <v>3</v>
      </c>
      <c r="K10" s="14">
        <v>2</v>
      </c>
      <c r="L10" s="14">
        <v>1</v>
      </c>
      <c r="M10" s="14">
        <v>1</v>
      </c>
      <c r="N10" s="14">
        <v>0</v>
      </c>
      <c r="O10" s="14">
        <v>1</v>
      </c>
      <c r="P10" s="14">
        <v>3</v>
      </c>
      <c r="Q10" s="14">
        <v>1</v>
      </c>
      <c r="R10" s="16">
        <f>IF($AY10="Conflict","",IF(COUNT(H10:Q10)=10,SUM(H10:Q10),IF(ISNUMBER($AU10),$AU10,"")))</f>
        <v>16</v>
      </c>
      <c r="S10" s="16">
        <f>IF(ISNUMBER(R10),R10/30*100,"")</f>
        <v>53.333333333333336</v>
      </c>
      <c r="T10" s="16">
        <f>IF($AY10="Conflict","",IF(COUNT(H10:J10,L10)=4,SUM(H10:J10,L10),""))</f>
        <v>8</v>
      </c>
      <c r="U10" s="16">
        <f>IF($AY10="Conflict","",IF(COUNT(K10,M10:O10)=4,SUM(K10,M10:O10),""))</f>
        <v>4</v>
      </c>
      <c r="V10" s="16">
        <f>IF($AY10="Conflict","",IF(COUNT(P10:Q10)=2,SUM(P10:Q10),""))</f>
        <v>4</v>
      </c>
      <c r="W10" s="15" t="s">
        <v>50</v>
      </c>
      <c r="X10" s="15" t="s">
        <v>32</v>
      </c>
      <c r="Y10" s="14">
        <v>16</v>
      </c>
      <c r="Z10" s="16">
        <f>IF(ISNUMBER(R10),R10,"")</f>
        <v>16</v>
      </c>
      <c r="AA10" s="13"/>
      <c r="AB10" s="17">
        <v>0.047558404018386</v>
      </c>
      <c r="AC10" s="14">
        <v>1</v>
      </c>
      <c r="AD10" s="13"/>
      <c r="AE10" s="18">
        <v>168824</v>
      </c>
      <c r="AF10" s="18">
        <v>240445</v>
      </c>
      <c r="AG10" s="18">
        <v>3491</v>
      </c>
      <c r="AH10" s="19">
        <f>IF(AND(ISNUMBER(AG10),ISNUMBER(AF10),AF10&gt;0),AG10/AF10,"")</f>
        <v>0.014518912849092309</v>
      </c>
      <c r="AI10" s="18">
        <v>98752</v>
      </c>
      <c r="AJ10" s="18">
        <v>8412</v>
      </c>
      <c r="AK10" s="13"/>
      <c r="AL10" s="13"/>
      <c r="AM10" s="15" t="s">
        <v>45</v>
      </c>
      <c r="AN10" s="12" t="s">
        <v>46</v>
      </c>
      <c r="AO10" s="15" t="s">
        <v>31</v>
      </c>
      <c r="AP10" s="12" t="s">
        <v>36</v>
      </c>
      <c r="AQ10" s="13"/>
      <c r="AR10" s="13"/>
      <c r="AS10" s="15" t="s">
        <v>56</v>
      </c>
      <c r="AT10" s="15" t="s">
        <v>57</v>
      </c>
      <c r="AU10" s="14">
        <v>16</v>
      </c>
      <c r="AV10" s="12" t="s">
        <v>39</v>
      </c>
      <c r="AW10" s="15" t="s">
        <v>54</v>
      </c>
      <c r="AX10" s="15" t="s">
        <v>41</v>
      </c>
      <c r="AY10" s="15" t="s">
        <v>42</v>
      </c>
      <c r="AZ10" s="12" t="s">
        <v>43</v>
      </c>
    </row>
    <row r="11" spans="1:52" ht="30" customHeight="1">
      <c r="A11" s="12" t="s">
        <v>58</v>
      </c>
      <c r="B11" s="12" t="s">
        <v>28</v>
      </c>
      <c r="C11" s="13"/>
      <c r="D11" s="14">
        <v>1</v>
      </c>
      <c r="E11" s="15" t="s">
        <v>29</v>
      </c>
      <c r="F11" s="12" t="s">
        <v>30</v>
      </c>
      <c r="G11" s="14">
        <v>1</v>
      </c>
      <c r="H11" s="14">
        <v>2</v>
      </c>
      <c r="I11" s="14">
        <v>0</v>
      </c>
      <c r="J11" s="14">
        <v>0</v>
      </c>
      <c r="K11" s="14">
        <v>0</v>
      </c>
      <c r="L11" s="14">
        <v>0</v>
      </c>
      <c r="M11" s="14">
        <v>2</v>
      </c>
      <c r="N11" s="14">
        <v>0</v>
      </c>
      <c r="O11" s="14">
        <v>0</v>
      </c>
      <c r="P11" s="14">
        <v>0</v>
      </c>
      <c r="Q11" s="14">
        <v>1</v>
      </c>
      <c r="R11" s="16">
        <f>IF($AY11="Conflict","",IF(COUNT(H11:Q11)=10,SUM(H11:Q11),IF(ISNUMBER($AU11),$AU11,"")))</f>
        <v>5</v>
      </c>
      <c r="S11" s="16">
        <f>IF(ISNUMBER(R11),R11/30*100,"")</f>
        <v>16.666666666666664</v>
      </c>
      <c r="T11" s="16">
        <f>IF($AY11="Conflict","",IF(COUNT(H11:J11,L11)=4,SUM(H11:J11,L11),""))</f>
        <v>2</v>
      </c>
      <c r="U11" s="16">
        <f>IF($AY11="Conflict","",IF(COUNT(K11,M11:O11)=4,SUM(K11,M11:O11),""))</f>
        <v>2</v>
      </c>
      <c r="V11" s="16">
        <f>IF($AY11="Conflict","",IF(COUNT(P11:Q11)=2,SUM(P11:Q11),""))</f>
        <v>1</v>
      </c>
      <c r="W11" s="15" t="s">
        <v>50</v>
      </c>
      <c r="X11" s="15" t="s">
        <v>32</v>
      </c>
      <c r="Y11" s="14">
        <v>5</v>
      </c>
      <c r="Z11" s="16">
        <f>IF(ISNUMBER(R11),R11,"")</f>
        <v>5</v>
      </c>
      <c r="AA11" s="13"/>
      <c r="AB11" s="17">
        <v>0.00704793138244198</v>
      </c>
      <c r="AC11" s="14" t="s">
        <v>33</v>
      </c>
      <c r="AD11" s="14">
        <v>1</v>
      </c>
      <c r="AE11" s="18">
        <v>1982</v>
      </c>
      <c r="AF11" s="18">
        <v>2732</v>
      </c>
      <c r="AG11" s="18">
        <v>256</v>
      </c>
      <c r="AH11" s="19">
        <f>IF(AND(ISNUMBER(AG11),ISNUMBER(AF11),AF11&gt;0),AG11/AF11,"")</f>
        <v>0.09370424597364568</v>
      </c>
      <c r="AI11" s="18">
        <v>438</v>
      </c>
      <c r="AJ11" s="18">
        <v>19</v>
      </c>
      <c r="AK11" s="13"/>
      <c r="AL11" s="13"/>
      <c r="AM11" s="15" t="s">
        <v>34</v>
      </c>
      <c r="AN11" s="12" t="s">
        <v>35</v>
      </c>
      <c r="AO11" s="15" t="s">
        <v>31</v>
      </c>
      <c r="AP11" s="12" t="s">
        <v>36</v>
      </c>
      <c r="AQ11" s="13"/>
      <c r="AR11" s="13"/>
      <c r="AS11" s="15" t="s">
        <v>59</v>
      </c>
      <c r="AT11" s="15" t="s">
        <v>60</v>
      </c>
      <c r="AU11" s="14">
        <v>5</v>
      </c>
      <c r="AV11" s="12" t="s">
        <v>39</v>
      </c>
      <c r="AW11" s="15" t="s">
        <v>54</v>
      </c>
      <c r="AX11" s="15" t="s">
        <v>41</v>
      </c>
      <c r="AY11" s="15" t="s">
        <v>42</v>
      </c>
      <c r="AZ11" s="12" t="s">
        <v>61</v>
      </c>
    </row>
    <row r="12" spans="1:52" ht="30" customHeight="1">
      <c r="A12" s="12" t="s">
        <v>62</v>
      </c>
      <c r="B12" s="12" t="s">
        <v>28</v>
      </c>
      <c r="C12" s="13"/>
      <c r="D12" s="14">
        <v>1</v>
      </c>
      <c r="E12" s="15" t="s">
        <v>29</v>
      </c>
      <c r="F12" s="12" t="s">
        <v>63</v>
      </c>
      <c r="G12" s="14">
        <v>1</v>
      </c>
      <c r="H12" s="14">
        <v>3</v>
      </c>
      <c r="I12" s="14">
        <v>2</v>
      </c>
      <c r="J12" s="14">
        <v>1</v>
      </c>
      <c r="K12" s="14">
        <v>1</v>
      </c>
      <c r="L12" s="14">
        <v>1</v>
      </c>
      <c r="M12" s="14">
        <v>1</v>
      </c>
      <c r="N12" s="14">
        <v>0</v>
      </c>
      <c r="O12" s="14">
        <v>1</v>
      </c>
      <c r="P12" s="14">
        <v>3</v>
      </c>
      <c r="Q12" s="14">
        <v>1</v>
      </c>
      <c r="R12" s="16">
        <f>IF($AY12="Conflict","",IF(COUNT(H12:Q12)=10,SUM(H12:Q12),IF(ISNUMBER($AU12),$AU12,"")))</f>
        <v>14</v>
      </c>
      <c r="S12" s="16">
        <f>IF(ISNUMBER(R12),R12/30*100,"")</f>
        <v>46.666666666666664</v>
      </c>
      <c r="T12" s="16">
        <f>IF($AY12="Conflict","",IF(COUNT(H12:J12,L12)=4,SUM(H12:J12,L12),""))</f>
        <v>7</v>
      </c>
      <c r="U12" s="16">
        <f>IF($AY12="Conflict","",IF(COUNT(K12,M12:O12)=4,SUM(K12,M12:O12),""))</f>
        <v>3</v>
      </c>
      <c r="V12" s="16">
        <f>IF($AY12="Conflict","",IF(COUNT(P12:Q12)=2,SUM(P12:Q12),""))</f>
        <v>4</v>
      </c>
      <c r="W12" s="13"/>
      <c r="X12" s="15" t="s">
        <v>32</v>
      </c>
      <c r="Y12" s="14">
        <v>14</v>
      </c>
      <c r="Z12" s="16">
        <f>IF(ISNUMBER(R12),R12,"")</f>
        <v>14</v>
      </c>
      <c r="AA12" s="13"/>
      <c r="AB12" s="17">
        <v>0</v>
      </c>
      <c r="AC12" s="14" t="s">
        <v>33</v>
      </c>
      <c r="AD12" s="13"/>
      <c r="AE12" s="18">
        <v>8503</v>
      </c>
      <c r="AF12" s="18">
        <v>28470</v>
      </c>
      <c r="AG12" s="18">
        <v>-2374</v>
      </c>
      <c r="AH12" s="19">
        <f>IF(AND(ISNUMBER(AG12),ISNUMBER(AF12),AF12&gt;0),AG12/AF12,"")</f>
        <v>-0.08338602037232175</v>
      </c>
      <c r="AI12" s="18">
        <v>5909</v>
      </c>
      <c r="AJ12" s="18">
        <v>652</v>
      </c>
      <c r="AK12" s="13"/>
      <c r="AL12" s="13"/>
      <c r="AM12" s="15" t="s">
        <v>34</v>
      </c>
      <c r="AN12" s="12" t="s">
        <v>64</v>
      </c>
      <c r="AO12" s="15" t="s">
        <v>31</v>
      </c>
      <c r="AP12" s="12" t="s">
        <v>36</v>
      </c>
      <c r="AQ12" s="13"/>
      <c r="AR12" s="13"/>
      <c r="AS12" s="15" t="s">
        <v>65</v>
      </c>
      <c r="AT12" s="15" t="s">
        <v>66</v>
      </c>
      <c r="AU12" s="14">
        <v>14</v>
      </c>
      <c r="AV12" s="12" t="s">
        <v>39</v>
      </c>
      <c r="AW12" s="15" t="s">
        <v>67</v>
      </c>
      <c r="AX12" s="15" t="s">
        <v>41</v>
      </c>
      <c r="AY12" s="15" t="s">
        <v>42</v>
      </c>
      <c r="AZ12" s="12" t="s">
        <v>43</v>
      </c>
    </row>
    <row r="13" spans="1:52" ht="30" customHeight="1">
      <c r="A13" s="12" t="s">
        <v>68</v>
      </c>
      <c r="B13" s="12" t="s">
        <v>28</v>
      </c>
      <c r="C13" s="13"/>
      <c r="D13" s="14">
        <v>1</v>
      </c>
      <c r="E13" s="15" t="s">
        <v>29</v>
      </c>
      <c r="F13" s="12" t="s">
        <v>30</v>
      </c>
      <c r="G13" s="14">
        <v>1</v>
      </c>
      <c r="H13" s="14">
        <v>2</v>
      </c>
      <c r="I13" s="14">
        <v>1</v>
      </c>
      <c r="J13" s="14">
        <v>0</v>
      </c>
      <c r="K13" s="14">
        <v>0</v>
      </c>
      <c r="L13" s="14">
        <v>0</v>
      </c>
      <c r="M13" s="14">
        <v>1</v>
      </c>
      <c r="N13" s="14">
        <v>0</v>
      </c>
      <c r="O13" s="14">
        <v>1</v>
      </c>
      <c r="P13" s="14">
        <v>0</v>
      </c>
      <c r="Q13" s="14">
        <v>1</v>
      </c>
      <c r="R13" s="16">
        <f>IF($AY13="Conflict","",IF(COUNT(H13:Q13)=10,SUM(H13:Q13),IF(ISNUMBER($AU13),$AU13,"")))</f>
        <v>6</v>
      </c>
      <c r="S13" s="16">
        <f>IF(ISNUMBER(R13),R13/30*100,"")</f>
        <v>20.0</v>
      </c>
      <c r="T13" s="16">
        <f>IF($AY13="Conflict","",IF(COUNT(H13:J13,L13)=4,SUM(H13:J13,L13),""))</f>
        <v>3</v>
      </c>
      <c r="U13" s="16">
        <f>IF($AY13="Conflict","",IF(COUNT(K13,M13:O13)=4,SUM(K13,M13:O13),""))</f>
        <v>2</v>
      </c>
      <c r="V13" s="16">
        <f>IF($AY13="Conflict","",IF(COUNT(P13:Q13)=2,SUM(P13:Q13),""))</f>
        <v>1</v>
      </c>
      <c r="W13" s="15" t="s">
        <v>31</v>
      </c>
      <c r="X13" s="15" t="s">
        <v>32</v>
      </c>
      <c r="Y13" s="14">
        <v>6</v>
      </c>
      <c r="Z13" s="16">
        <f>IF(ISNUMBER(R13),R13,"")</f>
        <v>6</v>
      </c>
      <c r="AA13" s="13"/>
      <c r="AB13" s="17">
        <v>0.00548685427401242</v>
      </c>
      <c r="AC13" s="14" t="s">
        <v>33</v>
      </c>
      <c r="AD13" s="13"/>
      <c r="AE13" s="18">
        <v>15138</v>
      </c>
      <c r="AF13" s="18">
        <v>16320</v>
      </c>
      <c r="AG13" s="18">
        <v>909</v>
      </c>
      <c r="AH13" s="19">
        <f>IF(AND(ISNUMBER(AG13),ISNUMBER(AF13),AF13&gt;0),AG13/AF13,"")</f>
        <v>0.05569852941176471</v>
      </c>
      <c r="AI13" s="18">
        <v>789</v>
      </c>
      <c r="AJ13" s="18">
        <v>144</v>
      </c>
      <c r="AK13" s="13"/>
      <c r="AL13" s="13"/>
      <c r="AM13" s="15" t="s">
        <v>34</v>
      </c>
      <c r="AN13" s="12" t="s">
        <v>69</v>
      </c>
      <c r="AO13" s="15" t="s">
        <v>31</v>
      </c>
      <c r="AP13" s="12" t="s">
        <v>36</v>
      </c>
      <c r="AQ13" s="13"/>
      <c r="AR13" s="13"/>
      <c r="AS13" s="15" t="s">
        <v>70</v>
      </c>
      <c r="AT13" s="15" t="s">
        <v>71</v>
      </c>
      <c r="AU13" s="14">
        <v>6</v>
      </c>
      <c r="AV13" s="12" t="s">
        <v>39</v>
      </c>
      <c r="AW13" s="15" t="s">
        <v>40</v>
      </c>
      <c r="AX13" s="15" t="s">
        <v>41</v>
      </c>
      <c r="AY13" s="15" t="s">
        <v>42</v>
      </c>
      <c r="AZ13" s="12" t="s">
        <v>43</v>
      </c>
    </row>
    <row r="14" spans="1:52" ht="30" customHeight="1">
      <c r="A14" s="12" t="s">
        <v>72</v>
      </c>
      <c r="B14" s="12" t="s">
        <v>28</v>
      </c>
      <c r="C14" s="13"/>
      <c r="D14" s="14">
        <v>1</v>
      </c>
      <c r="E14" s="15" t="s">
        <v>29</v>
      </c>
      <c r="F14" s="12" t="s">
        <v>63</v>
      </c>
      <c r="G14" s="14">
        <v>1</v>
      </c>
      <c r="H14" s="14">
        <v>2</v>
      </c>
      <c r="I14" s="14">
        <v>2</v>
      </c>
      <c r="J14" s="14">
        <v>2</v>
      </c>
      <c r="K14" s="14">
        <v>2</v>
      </c>
      <c r="L14" s="14">
        <v>1</v>
      </c>
      <c r="M14" s="14">
        <v>0</v>
      </c>
      <c r="N14" s="14">
        <v>0</v>
      </c>
      <c r="O14" s="14">
        <v>1</v>
      </c>
      <c r="P14" s="14">
        <v>3</v>
      </c>
      <c r="Q14" s="14">
        <v>3</v>
      </c>
      <c r="R14" s="16">
        <f>IF($AY14="Conflict","",IF(COUNT(H14:Q14)=10,SUM(H14:Q14),IF(ISNUMBER($AU14),$AU14,"")))</f>
        <v>16</v>
      </c>
      <c r="S14" s="16">
        <f>IF(ISNUMBER(R14),R14/30*100,"")</f>
        <v>53.333333333333336</v>
      </c>
      <c r="T14" s="16">
        <f>IF($AY14="Conflict","",IF(COUNT(H14:J14,L14)=4,SUM(H14:J14,L14),""))</f>
        <v>7</v>
      </c>
      <c r="U14" s="16">
        <f>IF($AY14="Conflict","",IF(COUNT(K14,M14:O14)=4,SUM(K14,M14:O14),""))</f>
        <v>3</v>
      </c>
      <c r="V14" s="16">
        <f>IF($AY14="Conflict","",IF(COUNT(P14:Q14)=2,SUM(P14:Q14),""))</f>
        <v>6</v>
      </c>
      <c r="W14" s="15" t="s">
        <v>31</v>
      </c>
      <c r="X14" s="15" t="s">
        <v>32</v>
      </c>
      <c r="Y14" s="14">
        <v>17</v>
      </c>
      <c r="Z14" s="16">
        <f>IF(ISNUMBER(R14),R14,"")</f>
        <v>16</v>
      </c>
      <c r="AA14" s="13"/>
      <c r="AB14" s="17">
        <v>0.00480127635905893</v>
      </c>
      <c r="AC14" s="14" t="s">
        <v>33</v>
      </c>
      <c r="AD14" s="13"/>
      <c r="AE14" s="18">
        <v>102479</v>
      </c>
      <c r="AF14" s="18">
        <v>136718</v>
      </c>
      <c r="AG14" s="18">
        <v>2372</v>
      </c>
      <c r="AH14" s="19">
        <f>IF(AND(ISNUMBER(AG14),ISNUMBER(AF14),AF14&gt;0),AG14/AF14,"")</f>
        <v>0.01734958088912945</v>
      </c>
      <c r="AI14" s="18">
        <v>36934</v>
      </c>
      <c r="AJ14" s="18">
        <v>2793</v>
      </c>
      <c r="AK14" s="13"/>
      <c r="AL14" s="13"/>
      <c r="AM14" s="15" t="s">
        <v>45</v>
      </c>
      <c r="AN14" s="12" t="s">
        <v>46</v>
      </c>
      <c r="AO14" s="15" t="s">
        <v>31</v>
      </c>
      <c r="AP14" s="12" t="s">
        <v>36</v>
      </c>
      <c r="AQ14" s="13"/>
      <c r="AR14" s="13"/>
      <c r="AS14" s="15" t="s">
        <v>73</v>
      </c>
      <c r="AT14" s="15" t="s">
        <v>74</v>
      </c>
      <c r="AU14" s="14">
        <v>16</v>
      </c>
      <c r="AV14" s="12" t="s">
        <v>39</v>
      </c>
      <c r="AW14" s="15" t="s">
        <v>40</v>
      </c>
      <c r="AX14" s="15" t="s">
        <v>41</v>
      </c>
      <c r="AY14" s="15" t="s">
        <v>42</v>
      </c>
      <c r="AZ14" s="12" t="s">
        <v>43</v>
      </c>
    </row>
    <row r="15" spans="1:52" ht="30" customHeight="1">
      <c r="A15" s="12" t="s">
        <v>75</v>
      </c>
      <c r="B15" s="12" t="s">
        <v>28</v>
      </c>
      <c r="C15" s="13"/>
      <c r="D15" s="14">
        <v>1</v>
      </c>
      <c r="E15" s="15" t="s">
        <v>29</v>
      </c>
      <c r="F15" s="12" t="s">
        <v>30</v>
      </c>
      <c r="G15" s="14">
        <v>1</v>
      </c>
      <c r="H15" s="14">
        <v>3</v>
      </c>
      <c r="I15" s="14">
        <v>2</v>
      </c>
      <c r="J15" s="14">
        <v>1</v>
      </c>
      <c r="K15" s="14">
        <v>2</v>
      </c>
      <c r="L15" s="14">
        <v>2</v>
      </c>
      <c r="M15" s="14">
        <v>1</v>
      </c>
      <c r="N15" s="14">
        <v>0</v>
      </c>
      <c r="O15" s="14">
        <v>1</v>
      </c>
      <c r="P15" s="14">
        <v>3</v>
      </c>
      <c r="Q15" s="14">
        <v>3</v>
      </c>
      <c r="R15" s="16">
        <f>IF($AY15="Conflict","",IF(COUNT(H15:Q15)=10,SUM(H15:Q15),IF(ISNUMBER($AU15),$AU15,"")))</f>
        <v>18</v>
      </c>
      <c r="S15" s="16">
        <f>IF(ISNUMBER(R15),R15/30*100,"")</f>
        <v>60.0</v>
      </c>
      <c r="T15" s="16">
        <f>IF($AY15="Conflict","",IF(COUNT(H15:J15,L15)=4,SUM(H15:J15,L15),""))</f>
        <v>8</v>
      </c>
      <c r="U15" s="16">
        <f>IF($AY15="Conflict","",IF(COUNT(K15,M15:O15)=4,SUM(K15,M15:O15),""))</f>
        <v>4</v>
      </c>
      <c r="V15" s="16">
        <f>IF($AY15="Conflict","",IF(COUNT(P15:Q15)=2,SUM(P15:Q15),""))</f>
        <v>6</v>
      </c>
      <c r="W15" s="15" t="s">
        <v>31</v>
      </c>
      <c r="X15" s="15" t="s">
        <v>32</v>
      </c>
      <c r="Y15" s="14">
        <v>30</v>
      </c>
      <c r="Z15" s="16">
        <f>IF(ISNUMBER(R15),R15,"")</f>
        <v>18</v>
      </c>
      <c r="AA15" s="13"/>
      <c r="AB15" s="17">
        <v>0.0332507103865143</v>
      </c>
      <c r="AC15" s="14">
        <v>1</v>
      </c>
      <c r="AD15" s="13"/>
      <c r="AE15" s="18">
        <v>218543</v>
      </c>
      <c r="AF15" s="18">
        <v>275459</v>
      </c>
      <c r="AG15" s="18">
        <v>3174</v>
      </c>
      <c r="AH15" s="19">
        <f>IF(AND(ISNUMBER(AG15),ISNUMBER(AF15),AF15&gt;0),AG15/AF15,"")</f>
        <v>0.011522585938379215</v>
      </c>
      <c r="AI15" s="18">
        <v>94801</v>
      </c>
      <c r="AJ15" s="18">
        <v>7341</v>
      </c>
      <c r="AK15" s="13"/>
      <c r="AL15" s="13"/>
      <c r="AM15" s="15" t="s">
        <v>45</v>
      </c>
      <c r="AN15" s="12" t="s">
        <v>35</v>
      </c>
      <c r="AO15" s="15" t="s">
        <v>31</v>
      </c>
      <c r="AP15" s="12" t="s">
        <v>36</v>
      </c>
      <c r="AQ15" s="13"/>
      <c r="AR15" s="13"/>
      <c r="AS15" s="15" t="s">
        <v>76</v>
      </c>
      <c r="AT15" s="15" t="s">
        <v>77</v>
      </c>
      <c r="AU15" s="14">
        <v>18</v>
      </c>
      <c r="AV15" s="12" t="s">
        <v>39</v>
      </c>
      <c r="AW15" s="15" t="s">
        <v>40</v>
      </c>
      <c r="AX15" s="15" t="s">
        <v>41</v>
      </c>
      <c r="AY15" s="15" t="s">
        <v>42</v>
      </c>
      <c r="AZ15" s="12" t="s">
        <v>43</v>
      </c>
    </row>
    <row r="16" spans="1:52" ht="30" customHeight="1">
      <c r="A16" s="12" t="s">
        <v>78</v>
      </c>
      <c r="B16" s="12" t="s">
        <v>79</v>
      </c>
      <c r="C16" s="13"/>
      <c r="D16" s="14">
        <v>1</v>
      </c>
      <c r="E16" s="13"/>
      <c r="F16" s="13"/>
      <c r="G16" s="14">
        <v>1</v>
      </c>
      <c r="H16" s="14">
        <v>3</v>
      </c>
      <c r="I16" s="14">
        <v>2</v>
      </c>
      <c r="J16" s="14">
        <v>3</v>
      </c>
      <c r="K16" s="14">
        <v>3</v>
      </c>
      <c r="L16" s="14">
        <v>2</v>
      </c>
      <c r="M16" s="14">
        <v>2</v>
      </c>
      <c r="N16" s="14">
        <v>3</v>
      </c>
      <c r="O16" s="14">
        <v>3</v>
      </c>
      <c r="P16" s="14">
        <v>2</v>
      </c>
      <c r="Q16" s="14">
        <v>2</v>
      </c>
      <c r="R16" s="16">
        <f>IF($AY16="Conflict","",IF(COUNT(H16:Q16)=10,SUM(H16:Q16),IF(ISNUMBER($AU16),$AU16,"")))</f>
        <v>25</v>
      </c>
      <c r="S16" s="16">
        <f>IF(ISNUMBER(R16),R16/30*100,"")</f>
        <v>83.33333333333334</v>
      </c>
      <c r="T16" s="16">
        <f>IF($AY16="Conflict","",IF(COUNT(H16:J16,L16)=4,SUM(H16:J16,L16),""))</f>
        <v>10</v>
      </c>
      <c r="U16" s="16">
        <f>IF($AY16="Conflict","",IF(COUNT(K16,M16:O16)=4,SUM(K16,M16:O16),""))</f>
        <v>11</v>
      </c>
      <c r="V16" s="16">
        <f>IF($AY16="Conflict","",IF(COUNT(P16:Q16)=2,SUM(P16:Q16),""))</f>
        <v>4</v>
      </c>
      <c r="W16" s="15" t="s">
        <v>31</v>
      </c>
      <c r="X16" s="13"/>
      <c r="Y16" s="13"/>
      <c r="Z16" s="13"/>
      <c r="AA16" s="14">
        <v>1</v>
      </c>
      <c r="AB16" s="17">
        <v>0</v>
      </c>
      <c r="AC16" s="14" t="s">
        <v>33</v>
      </c>
      <c r="AD16" s="14">
        <v>1</v>
      </c>
      <c r="AE16" s="13"/>
      <c r="AF16" s="13"/>
      <c r="AG16" s="13"/>
      <c r="AH16" s="19">
        <f>IF(AND(ISNUMBER(AG16),ISNUMBER(AF16),AF16&gt;0),AG16/AF16,"")</f>
        <v/>
      </c>
      <c r="AI16" s="13"/>
      <c r="AJ16" s="13"/>
      <c r="AK16" s="13"/>
      <c r="AL16" s="13"/>
      <c r="AM16" s="13"/>
      <c r="AN16" s="12" t="s">
        <v>80</v>
      </c>
      <c r="AO16" s="13"/>
      <c r="AP16" s="12" t="s">
        <v>36</v>
      </c>
      <c r="AQ16" s="13"/>
      <c r="AR16" s="13"/>
      <c r="AS16" s="15" t="s">
        <v>81</v>
      </c>
      <c r="AT16" s="15" t="s">
        <v>82</v>
      </c>
      <c r="AU16" s="14">
        <v>25</v>
      </c>
      <c r="AV16" s="12" t="s">
        <v>39</v>
      </c>
      <c r="AW16" s="15" t="s">
        <v>83</v>
      </c>
      <c r="AX16" s="15" t="s">
        <v>41</v>
      </c>
      <c r="AY16" s="15" t="s">
        <v>42</v>
      </c>
      <c r="AZ16" s="13"/>
    </row>
    <row r="17" spans="1:52" ht="30" customHeight="1">
      <c r="A17" s="12" t="s">
        <v>84</v>
      </c>
      <c r="B17" s="12" t="s">
        <v>79</v>
      </c>
      <c r="C17" s="13"/>
      <c r="D17" s="14">
        <v>1</v>
      </c>
      <c r="E17" s="13"/>
      <c r="F17" s="13"/>
      <c r="G17" s="14">
        <v>1</v>
      </c>
      <c r="H17" s="14">
        <v>3</v>
      </c>
      <c r="I17" s="14">
        <v>1</v>
      </c>
      <c r="J17" s="14">
        <v>3</v>
      </c>
      <c r="K17" s="14">
        <v>3</v>
      </c>
      <c r="L17" s="14">
        <v>1</v>
      </c>
      <c r="M17" s="14">
        <v>2</v>
      </c>
      <c r="N17" s="14">
        <v>0</v>
      </c>
      <c r="O17" s="14">
        <v>3</v>
      </c>
      <c r="P17" s="14">
        <v>3</v>
      </c>
      <c r="Q17" s="14">
        <v>2</v>
      </c>
      <c r="R17" s="16">
        <f>IF($AY17="Conflict","",IF(COUNT(H17:Q17)=10,SUM(H17:Q17),IF(ISNUMBER($AU17),$AU17,"")))</f>
        <v>21</v>
      </c>
      <c r="S17" s="16">
        <f>IF(ISNUMBER(R17),R17/30*100,"")</f>
        <v>70.0</v>
      </c>
      <c r="T17" s="16">
        <f>IF($AY17="Conflict","",IF(COUNT(H17:J17,L17)=4,SUM(H17:J17,L17),""))</f>
        <v>8</v>
      </c>
      <c r="U17" s="16">
        <f>IF($AY17="Conflict","",IF(COUNT(K17,M17:O17)=4,SUM(K17,M17:O17),""))</f>
        <v>8</v>
      </c>
      <c r="V17" s="16">
        <f>IF($AY17="Conflict","",IF(COUNT(P17:Q17)=2,SUM(P17:Q17),""))</f>
        <v>5</v>
      </c>
      <c r="W17" s="15" t="s">
        <v>31</v>
      </c>
      <c r="X17" s="13"/>
      <c r="Y17" s="13"/>
      <c r="Z17" s="13"/>
      <c r="AA17" s="14">
        <v>1</v>
      </c>
      <c r="AB17" s="17">
        <v>0</v>
      </c>
      <c r="AC17" s="14" t="s">
        <v>33</v>
      </c>
      <c r="AD17" s="14">
        <v>1</v>
      </c>
      <c r="AE17" s="13"/>
      <c r="AF17" s="13"/>
      <c r="AG17" s="13"/>
      <c r="AH17" s="19">
        <f>IF(AND(ISNUMBER(AG17),ISNUMBER(AF17),AF17&gt;0),AG17/AF17,"")</f>
        <v/>
      </c>
      <c r="AI17" s="13"/>
      <c r="AJ17" s="13"/>
      <c r="AK17" s="13"/>
      <c r="AL17" s="13"/>
      <c r="AM17" s="13"/>
      <c r="AN17" s="12" t="s">
        <v>85</v>
      </c>
      <c r="AO17" s="13"/>
      <c r="AP17" s="12" t="s">
        <v>36</v>
      </c>
      <c r="AQ17" s="13"/>
      <c r="AR17" s="13"/>
      <c r="AS17" s="15" t="s">
        <v>86</v>
      </c>
      <c r="AT17" s="15" t="s">
        <v>87</v>
      </c>
      <c r="AU17" s="14">
        <v>21</v>
      </c>
      <c r="AV17" s="12" t="s">
        <v>39</v>
      </c>
      <c r="AW17" s="15" t="s">
        <v>83</v>
      </c>
      <c r="AX17" s="15" t="s">
        <v>41</v>
      </c>
      <c r="AY17" s="15" t="s">
        <v>42</v>
      </c>
      <c r="AZ17" s="13"/>
    </row>
    <row r="18" spans="1:52" ht="30" customHeight="1">
      <c r="A18" s="12" t="s">
        <v>88</v>
      </c>
      <c r="B18" s="12" t="s">
        <v>79</v>
      </c>
      <c r="C18" s="13"/>
      <c r="D18" s="14">
        <v>1</v>
      </c>
      <c r="E18" s="13"/>
      <c r="F18" s="13"/>
      <c r="G18" s="14">
        <v>1</v>
      </c>
      <c r="H18" s="14">
        <v>3</v>
      </c>
      <c r="I18" s="14">
        <v>3</v>
      </c>
      <c r="J18" s="14">
        <v>3</v>
      </c>
      <c r="K18" s="14">
        <v>3</v>
      </c>
      <c r="L18" s="14">
        <v>2</v>
      </c>
      <c r="M18" s="14">
        <v>2</v>
      </c>
      <c r="N18" s="14">
        <v>0</v>
      </c>
      <c r="O18" s="14">
        <v>2</v>
      </c>
      <c r="P18" s="14">
        <v>3</v>
      </c>
      <c r="Q18" s="14">
        <v>2</v>
      </c>
      <c r="R18" s="16">
        <f>IF($AY18="Conflict","",IF(COUNT(H18:Q18)=10,SUM(H18:Q18),IF(ISNUMBER($AU18),$AU18,"")))</f>
        <v>23</v>
      </c>
      <c r="S18" s="16">
        <f>IF(ISNUMBER(R18),R18/30*100,"")</f>
        <v>76.66666666666667</v>
      </c>
      <c r="T18" s="16">
        <f>IF($AY18="Conflict","",IF(COUNT(H18:J18,L18)=4,SUM(H18:J18,L18),""))</f>
        <v>11</v>
      </c>
      <c r="U18" s="16">
        <f>IF($AY18="Conflict","",IF(COUNT(K18,M18:O18)=4,SUM(K18,M18:O18),""))</f>
        <v>7</v>
      </c>
      <c r="V18" s="16">
        <f>IF($AY18="Conflict","",IF(COUNT(P18:Q18)=2,SUM(P18:Q18),""))</f>
        <v>5</v>
      </c>
      <c r="W18" s="15" t="s">
        <v>50</v>
      </c>
      <c r="X18" s="13"/>
      <c r="Y18" s="13"/>
      <c r="Z18" s="13"/>
      <c r="AA18" s="14">
        <v>1</v>
      </c>
      <c r="AB18" s="13"/>
      <c r="AC18" s="14" t="s">
        <v>33</v>
      </c>
      <c r="AD18" s="13"/>
      <c r="AE18" s="13"/>
      <c r="AF18" s="13"/>
      <c r="AG18" s="13"/>
      <c r="AH18" s="19">
        <f>IF(AND(ISNUMBER(AG18),ISNUMBER(AF18),AF18&gt;0),AG18/AF18,"")</f>
        <v/>
      </c>
      <c r="AI18" s="13"/>
      <c r="AJ18" s="13"/>
      <c r="AK18" s="13"/>
      <c r="AL18" s="13"/>
      <c r="AM18" s="13"/>
      <c r="AN18" s="12" t="s">
        <v>89</v>
      </c>
      <c r="AO18" s="13"/>
      <c r="AP18" s="12" t="s">
        <v>36</v>
      </c>
      <c r="AQ18" s="13"/>
      <c r="AR18" s="13"/>
      <c r="AS18" s="15" t="s">
        <v>90</v>
      </c>
      <c r="AT18" s="15" t="s">
        <v>91</v>
      </c>
      <c r="AU18" s="14">
        <v>23</v>
      </c>
      <c r="AV18" s="12" t="s">
        <v>39</v>
      </c>
      <c r="AW18" s="15" t="s">
        <v>83</v>
      </c>
      <c r="AX18" s="15" t="s">
        <v>41</v>
      </c>
      <c r="AY18" s="15" t="s">
        <v>42</v>
      </c>
      <c r="AZ18" s="13"/>
    </row>
    <row r="19" spans="1:52" ht="30" customHeight="1">
      <c r="A19" s="12" t="s">
        <v>92</v>
      </c>
      <c r="B19" s="12" t="s">
        <v>79</v>
      </c>
      <c r="C19" s="13"/>
      <c r="D19" s="14">
        <v>1</v>
      </c>
      <c r="E19" s="13"/>
      <c r="F19" s="13"/>
      <c r="G19" s="14">
        <v>1</v>
      </c>
      <c r="H19" s="14">
        <v>3</v>
      </c>
      <c r="I19" s="14">
        <v>3</v>
      </c>
      <c r="J19" s="14">
        <v>3</v>
      </c>
      <c r="K19" s="14">
        <v>3</v>
      </c>
      <c r="L19" s="14">
        <v>3</v>
      </c>
      <c r="M19" s="14">
        <v>3</v>
      </c>
      <c r="N19" s="14">
        <v>3</v>
      </c>
      <c r="O19" s="14">
        <v>3</v>
      </c>
      <c r="P19" s="14">
        <v>3</v>
      </c>
      <c r="Q19" s="14">
        <v>2</v>
      </c>
      <c r="R19" s="16">
        <f>IF($AY19="Conflict","",IF(COUNT(H19:Q19)=10,SUM(H19:Q19),IF(ISNUMBER($AU19),$AU19,"")))</f>
        <v>29</v>
      </c>
      <c r="S19" s="16">
        <f>IF(ISNUMBER(R19),R19/30*100,"")</f>
        <v>96.66666666666667</v>
      </c>
      <c r="T19" s="16">
        <f>IF($AY19="Conflict","",IF(COUNT(H19:J19,L19)=4,SUM(H19:J19,L19),""))</f>
        <v>12</v>
      </c>
      <c r="U19" s="16">
        <f>IF($AY19="Conflict","",IF(COUNT(K19,M19:O19)=4,SUM(K19,M19:O19),""))</f>
        <v>12</v>
      </c>
      <c r="V19" s="16">
        <f>IF($AY19="Conflict","",IF(COUNT(P19:Q19)=2,SUM(P19:Q19),""))</f>
        <v>5</v>
      </c>
      <c r="W19" s="15" t="s">
        <v>50</v>
      </c>
      <c r="X19" s="13"/>
      <c r="Y19" s="13"/>
      <c r="Z19" s="13"/>
      <c r="AA19" s="14">
        <v>1</v>
      </c>
      <c r="AB19" s="13"/>
      <c r="AC19" s="14" t="s">
        <v>33</v>
      </c>
      <c r="AD19" s="13"/>
      <c r="AE19" s="13"/>
      <c r="AF19" s="13"/>
      <c r="AG19" s="13"/>
      <c r="AH19" s="19">
        <f>IF(AND(ISNUMBER(AG19),ISNUMBER(AF19),AF19&gt;0),AG19/AF19,"")</f>
        <v/>
      </c>
      <c r="AI19" s="13"/>
      <c r="AJ19" s="13"/>
      <c r="AK19" s="13"/>
      <c r="AL19" s="13"/>
      <c r="AM19" s="13"/>
      <c r="AN19" s="12" t="s">
        <v>93</v>
      </c>
      <c r="AO19" s="13"/>
      <c r="AP19" s="12" t="s">
        <v>36</v>
      </c>
      <c r="AQ19" s="13"/>
      <c r="AR19" s="13"/>
      <c r="AS19" s="15" t="s">
        <v>94</v>
      </c>
      <c r="AT19" s="15" t="s">
        <v>95</v>
      </c>
      <c r="AU19" s="14">
        <v>29</v>
      </c>
      <c r="AV19" s="12" t="s">
        <v>39</v>
      </c>
      <c r="AW19" s="15" t="s">
        <v>83</v>
      </c>
      <c r="AX19" s="15" t="s">
        <v>41</v>
      </c>
      <c r="AY19" s="15" t="s">
        <v>42</v>
      </c>
      <c r="AZ19" s="13"/>
    </row>
    <row r="20" spans="1:52" ht="30" customHeight="1">
      <c r="A20" s="12" t="s">
        <v>96</v>
      </c>
      <c r="B20" s="12" t="s">
        <v>79</v>
      </c>
      <c r="C20" s="13"/>
      <c r="D20" s="14">
        <v>1</v>
      </c>
      <c r="E20" s="13"/>
      <c r="F20" s="13"/>
      <c r="G20" s="14">
        <v>1</v>
      </c>
      <c r="H20" s="14">
        <v>3</v>
      </c>
      <c r="I20" s="14">
        <v>2</v>
      </c>
      <c r="J20" s="14">
        <v>3</v>
      </c>
      <c r="K20" s="14">
        <v>3</v>
      </c>
      <c r="L20" s="14">
        <v>1</v>
      </c>
      <c r="M20" s="14">
        <v>2</v>
      </c>
      <c r="N20" s="14">
        <v>0</v>
      </c>
      <c r="O20" s="14">
        <v>2</v>
      </c>
      <c r="P20" s="14">
        <v>3</v>
      </c>
      <c r="Q20" s="14">
        <v>2</v>
      </c>
      <c r="R20" s="16">
        <f>IF($AY20="Conflict","",IF(COUNT(H20:Q20)=10,SUM(H20:Q20),IF(ISNUMBER($AU20),$AU20,"")))</f>
        <v>21</v>
      </c>
      <c r="S20" s="16">
        <f>IF(ISNUMBER(R20),R20/30*100,"")</f>
        <v>70.0</v>
      </c>
      <c r="T20" s="16">
        <f>IF($AY20="Conflict","",IF(COUNT(H20:J20,L20)=4,SUM(H20:J20,L20),""))</f>
        <v>9</v>
      </c>
      <c r="U20" s="16">
        <f>IF($AY20="Conflict","",IF(COUNT(K20,M20:O20)=4,SUM(K20,M20:O20),""))</f>
        <v>7</v>
      </c>
      <c r="V20" s="16">
        <f>IF($AY20="Conflict","",IF(COUNT(P20:Q20)=2,SUM(P20:Q20),""))</f>
        <v>5</v>
      </c>
      <c r="W20" s="15" t="s">
        <v>50</v>
      </c>
      <c r="X20" s="13"/>
      <c r="Y20" s="13"/>
      <c r="Z20" s="13"/>
      <c r="AA20" s="14">
        <v>1</v>
      </c>
      <c r="AB20" s="17">
        <v>0</v>
      </c>
      <c r="AC20" s="14" t="s">
        <v>33</v>
      </c>
      <c r="AD20" s="13"/>
      <c r="AE20" s="13"/>
      <c r="AF20" s="13"/>
      <c r="AG20" s="13"/>
      <c r="AH20" s="19">
        <f>IF(AND(ISNUMBER(AG20),ISNUMBER(AF20),AF20&gt;0),AG20/AF20,"")</f>
        <v/>
      </c>
      <c r="AI20" s="13"/>
      <c r="AJ20" s="13"/>
      <c r="AK20" s="13"/>
      <c r="AL20" s="13"/>
      <c r="AM20" s="13"/>
      <c r="AN20" s="12" t="s">
        <v>97</v>
      </c>
      <c r="AO20" s="13"/>
      <c r="AP20" s="12" t="s">
        <v>36</v>
      </c>
      <c r="AQ20" s="13"/>
      <c r="AR20" s="13"/>
      <c r="AS20" s="15" t="s">
        <v>98</v>
      </c>
      <c r="AT20" s="15" t="s">
        <v>99</v>
      </c>
      <c r="AU20" s="14">
        <v>21</v>
      </c>
      <c r="AV20" s="12" t="s">
        <v>39</v>
      </c>
      <c r="AW20" s="15" t="s">
        <v>83</v>
      </c>
      <c r="AX20" s="15" t="s">
        <v>41</v>
      </c>
      <c r="AY20" s="15" t="s">
        <v>42</v>
      </c>
      <c r="AZ20" s="13"/>
    </row>
    <row r="21" spans="1:52" ht="30" customHeight="1">
      <c r="A21" s="12" t="s">
        <v>100</v>
      </c>
      <c r="B21" s="12" t="s">
        <v>79</v>
      </c>
      <c r="C21" s="13"/>
      <c r="D21" s="14">
        <v>1</v>
      </c>
      <c r="E21" s="13"/>
      <c r="F21" s="13"/>
      <c r="G21" s="14">
        <v>1</v>
      </c>
      <c r="H21" s="14">
        <v>3</v>
      </c>
      <c r="I21" s="14">
        <v>3</v>
      </c>
      <c r="J21" s="14">
        <v>3</v>
      </c>
      <c r="K21" s="14">
        <v>3</v>
      </c>
      <c r="L21" s="14">
        <v>2</v>
      </c>
      <c r="M21" s="14">
        <v>2</v>
      </c>
      <c r="N21" s="14">
        <v>0</v>
      </c>
      <c r="O21" s="14">
        <v>1</v>
      </c>
      <c r="P21" s="14">
        <v>3</v>
      </c>
      <c r="Q21" s="14">
        <v>2</v>
      </c>
      <c r="R21" s="16">
        <f>IF($AY21="Conflict","",IF(COUNT(H21:Q21)=10,SUM(H21:Q21),IF(ISNUMBER($AU21),$AU21,"")))</f>
        <v>22</v>
      </c>
      <c r="S21" s="16">
        <f>IF(ISNUMBER(R21),R21/30*100,"")</f>
        <v>73.33333333333333</v>
      </c>
      <c r="T21" s="16">
        <f>IF($AY21="Conflict","",IF(COUNT(H21:J21,L21)=4,SUM(H21:J21,L21),""))</f>
        <v>11</v>
      </c>
      <c r="U21" s="16">
        <f>IF($AY21="Conflict","",IF(COUNT(K21,M21:O21)=4,SUM(K21,M21:O21),""))</f>
        <v>6</v>
      </c>
      <c r="V21" s="16">
        <f>IF($AY21="Conflict","",IF(COUNT(P21:Q21)=2,SUM(P21:Q21),""))</f>
        <v>5</v>
      </c>
      <c r="W21" s="15" t="s">
        <v>50</v>
      </c>
      <c r="X21" s="13"/>
      <c r="Y21" s="13"/>
      <c r="Z21" s="13"/>
      <c r="AA21" s="14">
        <v>1</v>
      </c>
      <c r="AB21" s="17">
        <v>0</v>
      </c>
      <c r="AC21" s="14" t="s">
        <v>33</v>
      </c>
      <c r="AD21" s="13"/>
      <c r="AE21" s="13"/>
      <c r="AF21" s="13"/>
      <c r="AG21" s="13"/>
      <c r="AH21" s="19">
        <f>IF(AND(ISNUMBER(AG21),ISNUMBER(AF21),AF21&gt;0),AG21/AF21,"")</f>
        <v/>
      </c>
      <c r="AI21" s="13"/>
      <c r="AJ21" s="13"/>
      <c r="AK21" s="13"/>
      <c r="AL21" s="13"/>
      <c r="AM21" s="13"/>
      <c r="AN21" s="12" t="s">
        <v>101</v>
      </c>
      <c r="AO21" s="13"/>
      <c r="AP21" s="12" t="s">
        <v>36</v>
      </c>
      <c r="AQ21" s="13"/>
      <c r="AR21" s="13"/>
      <c r="AS21" s="15" t="s">
        <v>102</v>
      </c>
      <c r="AT21" s="15" t="s">
        <v>103</v>
      </c>
      <c r="AU21" s="14">
        <v>22</v>
      </c>
      <c r="AV21" s="12" t="s">
        <v>39</v>
      </c>
      <c r="AW21" s="15" t="s">
        <v>83</v>
      </c>
      <c r="AX21" s="15" t="s">
        <v>41</v>
      </c>
      <c r="AY21" s="15" t="s">
        <v>42</v>
      </c>
      <c r="AZ21" s="13"/>
    </row>
    <row r="22" spans="1:52" ht="30" customHeight="1">
      <c r="A22" s="12" t="s">
        <v>104</v>
      </c>
      <c r="B22" s="12" t="s">
        <v>79</v>
      </c>
      <c r="C22" s="13"/>
      <c r="D22" s="14">
        <v>1</v>
      </c>
      <c r="E22" s="13"/>
      <c r="F22" s="13"/>
      <c r="G22" s="14">
        <v>1</v>
      </c>
      <c r="H22" s="14">
        <v>3</v>
      </c>
      <c r="I22" s="14">
        <v>3</v>
      </c>
      <c r="J22" s="14">
        <v>3</v>
      </c>
      <c r="K22" s="14">
        <v>3</v>
      </c>
      <c r="L22" s="14">
        <v>2</v>
      </c>
      <c r="M22" s="14">
        <v>2</v>
      </c>
      <c r="N22" s="14">
        <v>3</v>
      </c>
      <c r="O22" s="14">
        <v>3</v>
      </c>
      <c r="P22" s="14">
        <v>3</v>
      </c>
      <c r="Q22" s="14">
        <v>2</v>
      </c>
      <c r="R22" s="16">
        <f>IF($AY22="Conflict","",IF(COUNT(H22:Q22)=10,SUM(H22:Q22),IF(ISNUMBER($AU22),$AU22,"")))</f>
        <v>27</v>
      </c>
      <c r="S22" s="16">
        <f>IF(ISNUMBER(R22),R22/30*100,"")</f>
        <v>90.0</v>
      </c>
      <c r="T22" s="16">
        <f>IF($AY22="Conflict","",IF(COUNT(H22:J22,L22)=4,SUM(H22:J22,L22),""))</f>
        <v>11</v>
      </c>
      <c r="U22" s="16">
        <f>IF($AY22="Conflict","",IF(COUNT(K22,M22:O22)=4,SUM(K22,M22:O22),""))</f>
        <v>11</v>
      </c>
      <c r="V22" s="16">
        <f>IF($AY22="Conflict","",IF(COUNT(P22:Q22)=2,SUM(P22:Q22),""))</f>
        <v>5</v>
      </c>
      <c r="W22" s="15" t="s">
        <v>50</v>
      </c>
      <c r="X22" s="13"/>
      <c r="Y22" s="13"/>
      <c r="Z22" s="13"/>
      <c r="AA22" s="14">
        <v>1</v>
      </c>
      <c r="AB22" s="17">
        <v>0.0025</v>
      </c>
      <c r="AC22" s="14" t="s">
        <v>33</v>
      </c>
      <c r="AD22" s="13"/>
      <c r="AE22" s="13"/>
      <c r="AF22" s="13"/>
      <c r="AG22" s="13"/>
      <c r="AH22" s="19">
        <f>IF(AND(ISNUMBER(AG22),ISNUMBER(AF22),AF22&gt;0),AG22/AF22,"")</f>
        <v/>
      </c>
      <c r="AI22" s="13"/>
      <c r="AJ22" s="13"/>
      <c r="AK22" s="13"/>
      <c r="AL22" s="13"/>
      <c r="AM22" s="13"/>
      <c r="AN22" s="12" t="s">
        <v>105</v>
      </c>
      <c r="AO22" s="13"/>
      <c r="AP22" s="12" t="s">
        <v>36</v>
      </c>
      <c r="AQ22" s="13"/>
      <c r="AR22" s="13"/>
      <c r="AS22" s="15" t="s">
        <v>106</v>
      </c>
      <c r="AT22" s="15" t="s">
        <v>107</v>
      </c>
      <c r="AU22" s="14">
        <v>27</v>
      </c>
      <c r="AV22" s="12" t="s">
        <v>39</v>
      </c>
      <c r="AW22" s="15" t="s">
        <v>83</v>
      </c>
      <c r="AX22" s="15" t="s">
        <v>41</v>
      </c>
      <c r="AY22" s="15" t="s">
        <v>42</v>
      </c>
      <c r="AZ22" s="13"/>
    </row>
    <row r="23" spans="1:52" ht="30" customHeight="1">
      <c r="A23" s="12" t="s">
        <v>108</v>
      </c>
      <c r="B23" s="12" t="s">
        <v>109</v>
      </c>
      <c r="C23" s="13"/>
      <c r="D23" s="14">
        <v>1</v>
      </c>
      <c r="E23" s="13"/>
      <c r="F23" s="13"/>
      <c r="G23" s="13"/>
      <c r="H23" s="14">
        <v>3</v>
      </c>
      <c r="I23" s="14">
        <v>0</v>
      </c>
      <c r="J23" s="14">
        <v>0</v>
      </c>
      <c r="K23" s="14">
        <v>0</v>
      </c>
      <c r="L23" s="14">
        <v>0</v>
      </c>
      <c r="M23" s="14">
        <v>0</v>
      </c>
      <c r="N23" s="14">
        <v>2</v>
      </c>
      <c r="O23" s="14">
        <v>1</v>
      </c>
      <c r="P23" s="14">
        <v>2</v>
      </c>
      <c r="Q23" s="14">
        <v>0</v>
      </c>
      <c r="R23" s="16">
        <f>IF($AY23="Conflict","",IF(COUNT(H23:Q23)=10,SUM(H23:Q23),IF(ISNUMBER($AU23),$AU23,"")))</f>
        <v>8</v>
      </c>
      <c r="S23" s="16">
        <f>IF(ISNUMBER(R23),R23/30*100,"")</f>
        <v>26.666666666666668</v>
      </c>
      <c r="T23" s="16">
        <f>IF($AY23="Conflict","",IF(COUNT(H23:J23,L23)=4,SUM(H23:J23,L23),""))</f>
        <v>3</v>
      </c>
      <c r="U23" s="16">
        <f>IF($AY23="Conflict","",IF(COUNT(K23,M23:O23)=4,SUM(K23,M23:O23),""))</f>
        <v>3</v>
      </c>
      <c r="V23" s="16">
        <f>IF($AY23="Conflict","",IF(COUNT(P23:Q23)=2,SUM(P23:Q23),""))</f>
        <v>2</v>
      </c>
      <c r="W23" s="15" t="s">
        <v>31</v>
      </c>
      <c r="X23" s="13"/>
      <c r="Y23" s="13"/>
      <c r="Z23" s="13"/>
      <c r="AA23" s="13"/>
      <c r="AB23" s="13"/>
      <c r="AC23" s="13"/>
      <c r="AD23" s="13"/>
      <c r="AE23" s="18">
        <v>188.52</v>
      </c>
      <c r="AF23" s="18">
        <v>149.23</v>
      </c>
      <c r="AG23" s="18">
        <v>18.09</v>
      </c>
      <c r="AH23" s="19">
        <f>IF(AND(ISNUMBER(AG23),ISNUMBER(AF23),AF23&gt;0),AG23/AF23,"")</f>
        <v>0.12122227434162032</v>
      </c>
      <c r="AI23" s="13"/>
      <c r="AJ23" s="13"/>
      <c r="AK23" s="17">
        <v>0.1264</v>
      </c>
      <c r="AL23" s="13"/>
      <c r="AM23" s="13"/>
      <c r="AN23" s="12" t="s">
        <v>110</v>
      </c>
      <c r="AO23" s="15" t="s">
        <v>31</v>
      </c>
      <c r="AP23" s="12" t="s">
        <v>111</v>
      </c>
      <c r="AQ23" s="13"/>
      <c r="AR23" s="13"/>
      <c r="AS23" s="15" t="s">
        <v>112</v>
      </c>
      <c r="AT23" s="15" t="s">
        <v>113</v>
      </c>
      <c r="AU23" s="14">
        <v>8</v>
      </c>
      <c r="AV23" s="12" t="s">
        <v>114</v>
      </c>
      <c r="AW23" s="15" t="s">
        <v>40</v>
      </c>
      <c r="AX23" s="15" t="s">
        <v>115</v>
      </c>
      <c r="AY23" s="15" t="s">
        <v>116</v>
      </c>
      <c r="AZ23" s="12" t="s">
        <v>117</v>
      </c>
    </row>
    <row r="24" spans="1:52" ht="30" customHeight="1">
      <c r="A24" s="12" t="s">
        <v>118</v>
      </c>
      <c r="B24" s="12" t="s">
        <v>109</v>
      </c>
      <c r="C24" s="13"/>
      <c r="D24" s="13"/>
      <c r="E24" s="13"/>
      <c r="F24" s="12" t="s">
        <v>119</v>
      </c>
      <c r="G24" s="13"/>
      <c r="H24" s="14">
        <v>3</v>
      </c>
      <c r="I24" s="14">
        <v>0</v>
      </c>
      <c r="J24" s="14">
        <v>0</v>
      </c>
      <c r="K24" s="14">
        <v>2</v>
      </c>
      <c r="L24" s="14">
        <v>2</v>
      </c>
      <c r="M24" s="14">
        <v>1</v>
      </c>
      <c r="N24" s="14">
        <v>3</v>
      </c>
      <c r="O24" s="14">
        <v>3</v>
      </c>
      <c r="P24" s="14">
        <v>3</v>
      </c>
      <c r="Q24" s="14">
        <v>0</v>
      </c>
      <c r="R24" s="16">
        <f>IF($AY24="Conflict","",IF(COUNT(H24:Q24)=10,SUM(H24:Q24),IF(ISNUMBER($AU24),$AU24,"")))</f>
        <v>17</v>
      </c>
      <c r="S24" s="16">
        <f>IF(ISNUMBER(R24),R24/30*100,"")</f>
        <v>56.666666666666664</v>
      </c>
      <c r="T24" s="16">
        <f>IF($AY24="Conflict","",IF(COUNT(H24:J24,L24)=4,SUM(H24:J24,L24),""))</f>
        <v>5</v>
      </c>
      <c r="U24" s="16">
        <f>IF($AY24="Conflict","",IF(COUNT(K24,M24:O24)=4,SUM(K24,M24:O24),""))</f>
        <v>9</v>
      </c>
      <c r="V24" s="16">
        <f>IF($AY24="Conflict","",IF(COUNT(P24:Q24)=2,SUM(P24:Q24),""))</f>
        <v>3</v>
      </c>
      <c r="W24" s="15" t="s">
        <v>31</v>
      </c>
      <c r="X24" s="13"/>
      <c r="Y24" s="13"/>
      <c r="Z24" s="13"/>
      <c r="AA24" s="14">
        <v>1</v>
      </c>
      <c r="AB24" s="13"/>
      <c r="AC24" s="13"/>
      <c r="AD24" s="13"/>
      <c r="AE24" s="13"/>
      <c r="AF24" s="13"/>
      <c r="AG24" s="13"/>
      <c r="AH24" s="19">
        <f>IF(AND(ISNUMBER(AG24),ISNUMBER(AF24),AF24&gt;0),AG24/AF24,"")</f>
        <v/>
      </c>
      <c r="AI24" s="13"/>
      <c r="AJ24" s="13"/>
      <c r="AK24" s="13"/>
      <c r="AL24" s="13"/>
      <c r="AM24" s="13"/>
      <c r="AN24" s="12" t="s">
        <v>120</v>
      </c>
      <c r="AO24" s="13"/>
      <c r="AP24" s="12" t="s">
        <v>121</v>
      </c>
      <c r="AQ24" s="13"/>
      <c r="AR24" s="13"/>
      <c r="AS24" s="15" t="s">
        <v>122</v>
      </c>
      <c r="AT24" s="15" t="s">
        <v>123</v>
      </c>
      <c r="AU24" s="14">
        <v>17</v>
      </c>
      <c r="AV24" s="12" t="s">
        <v>114</v>
      </c>
      <c r="AW24" s="15" t="s">
        <v>83</v>
      </c>
      <c r="AX24" s="15" t="s">
        <v>115</v>
      </c>
      <c r="AY24" s="15" t="s">
        <v>116</v>
      </c>
      <c r="AZ24" s="13"/>
    </row>
    <row r="25" spans="1:52" ht="30" customHeight="1">
      <c r="A25" s="12" t="s">
        <v>124</v>
      </c>
      <c r="B25" s="12" t="s">
        <v>109</v>
      </c>
      <c r="C25" s="13"/>
      <c r="D25" s="14">
        <v>1</v>
      </c>
      <c r="E25" s="13"/>
      <c r="F25" s="13"/>
      <c r="G25" s="13"/>
      <c r="H25" s="14">
        <v>3</v>
      </c>
      <c r="I25" s="14">
        <v>0</v>
      </c>
      <c r="J25" s="14">
        <v>0</v>
      </c>
      <c r="K25" s="14">
        <v>0</v>
      </c>
      <c r="L25" s="14">
        <v>0</v>
      </c>
      <c r="M25" s="14">
        <v>0</v>
      </c>
      <c r="N25" s="14">
        <v>2</v>
      </c>
      <c r="O25" s="14">
        <v>2</v>
      </c>
      <c r="P25" s="14">
        <v>2</v>
      </c>
      <c r="Q25" s="14">
        <v>0</v>
      </c>
      <c r="R25" s="16">
        <f>IF($AY25="Conflict","",IF(COUNT(H25:Q25)=10,SUM(H25:Q25),IF(ISNUMBER($AU25),$AU25,"")))</f>
        <v>9</v>
      </c>
      <c r="S25" s="16">
        <f>IF(ISNUMBER(R25),R25/30*100,"")</f>
        <v>30.0</v>
      </c>
      <c r="T25" s="16">
        <f>IF($AY25="Conflict","",IF(COUNT(H25:J25,L25)=4,SUM(H25:J25,L25),""))</f>
        <v>3</v>
      </c>
      <c r="U25" s="16">
        <f>IF($AY25="Conflict","",IF(COUNT(K25,M25:O25)=4,SUM(K25,M25:O25),""))</f>
        <v>4</v>
      </c>
      <c r="V25" s="16">
        <f>IF($AY25="Conflict","",IF(COUNT(P25:Q25)=2,SUM(P25:Q25),""))</f>
        <v>2</v>
      </c>
      <c r="W25" s="15" t="s">
        <v>31</v>
      </c>
      <c r="X25" s="13"/>
      <c r="Y25" s="13"/>
      <c r="Z25" s="13"/>
      <c r="AA25" s="13"/>
      <c r="AB25" s="13"/>
      <c r="AC25" s="13"/>
      <c r="AD25" s="13"/>
      <c r="AE25" s="18">
        <v>479.3</v>
      </c>
      <c r="AF25" s="13"/>
      <c r="AG25" s="18">
        <v>10.97</v>
      </c>
      <c r="AH25" s="19">
        <f>IF(AND(ISNUMBER(AG25),ISNUMBER(AF25),AF25&gt;0),AG25/AF25,"")</f>
        <v/>
      </c>
      <c r="AI25" s="13"/>
      <c r="AJ25" s="13"/>
      <c r="AK25" s="13"/>
      <c r="AL25" s="13"/>
      <c r="AM25" s="13"/>
      <c r="AN25" s="12" t="s">
        <v>110</v>
      </c>
      <c r="AO25" s="15" t="s">
        <v>50</v>
      </c>
      <c r="AP25" s="12" t="s">
        <v>111</v>
      </c>
      <c r="AQ25" s="13"/>
      <c r="AR25" s="13"/>
      <c r="AS25" s="15" t="s">
        <v>125</v>
      </c>
      <c r="AT25" s="15" t="s">
        <v>126</v>
      </c>
      <c r="AU25" s="14">
        <v>9</v>
      </c>
      <c r="AV25" s="12" t="s">
        <v>114</v>
      </c>
      <c r="AW25" s="15" t="s">
        <v>54</v>
      </c>
      <c r="AX25" s="15" t="s">
        <v>115</v>
      </c>
      <c r="AY25" s="15" t="s">
        <v>116</v>
      </c>
      <c r="AZ25" s="12" t="s">
        <v>117</v>
      </c>
    </row>
    <row r="26" spans="1:52" ht="30" customHeight="1">
      <c r="A26" s="12" t="s">
        <v>127</v>
      </c>
      <c r="B26" s="12" t="s">
        <v>109</v>
      </c>
      <c r="C26" s="13"/>
      <c r="D26" s="14">
        <v>1</v>
      </c>
      <c r="E26" s="13"/>
      <c r="F26" s="13"/>
      <c r="G26" s="13"/>
      <c r="H26" s="14">
        <v>3</v>
      </c>
      <c r="I26" s="14">
        <v>0</v>
      </c>
      <c r="J26" s="14">
        <v>0</v>
      </c>
      <c r="K26" s="14">
        <v>0</v>
      </c>
      <c r="L26" s="14">
        <v>0</v>
      </c>
      <c r="M26" s="14">
        <v>0</v>
      </c>
      <c r="N26" s="14">
        <v>1</v>
      </c>
      <c r="O26" s="14">
        <v>1</v>
      </c>
      <c r="P26" s="14">
        <v>2</v>
      </c>
      <c r="Q26" s="14">
        <v>0</v>
      </c>
      <c r="R26" s="16">
        <f>IF($AY26="Conflict","",IF(COUNT(H26:Q26)=10,SUM(H26:Q26),IF(ISNUMBER($AU26),$AU26,"")))</f>
        <v>7</v>
      </c>
      <c r="S26" s="16">
        <f>IF(ISNUMBER(R26),R26/30*100,"")</f>
        <v>23.333333333333332</v>
      </c>
      <c r="T26" s="16">
        <f>IF($AY26="Conflict","",IF(COUNT(H26:J26,L26)=4,SUM(H26:J26,L26),""))</f>
        <v>3</v>
      </c>
      <c r="U26" s="16">
        <f>IF($AY26="Conflict","",IF(COUNT(K26,M26:O26)=4,SUM(K26,M26:O26),""))</f>
        <v>2</v>
      </c>
      <c r="V26" s="16">
        <f>IF($AY26="Conflict","",IF(COUNT(P26:Q26)=2,SUM(P26:Q26),""))</f>
        <v>2</v>
      </c>
      <c r="W26" s="15" t="s">
        <v>31</v>
      </c>
      <c r="X26" s="13"/>
      <c r="Y26" s="13"/>
      <c r="Z26" s="13"/>
      <c r="AA26" s="13"/>
      <c r="AB26" s="13"/>
      <c r="AC26" s="13"/>
      <c r="AD26" s="13"/>
      <c r="AE26" s="13"/>
      <c r="AF26" s="13"/>
      <c r="AG26" s="13"/>
      <c r="AH26" s="19">
        <f>IF(AND(ISNUMBER(AG26),ISNUMBER(AF26),AF26&gt;0),AG26/AF26,"")</f>
        <v/>
      </c>
      <c r="AI26" s="13"/>
      <c r="AJ26" s="13"/>
      <c r="AK26" s="13"/>
      <c r="AL26" s="13"/>
      <c r="AM26" s="13"/>
      <c r="AN26" s="12" t="s">
        <v>110</v>
      </c>
      <c r="AO26" s="13"/>
      <c r="AP26" s="12" t="s">
        <v>121</v>
      </c>
      <c r="AQ26" s="13"/>
      <c r="AR26" s="13"/>
      <c r="AS26" s="15" t="s">
        <v>128</v>
      </c>
      <c r="AT26" s="15" t="s">
        <v>129</v>
      </c>
      <c r="AU26" s="14">
        <v>7</v>
      </c>
      <c r="AV26" s="12" t="s">
        <v>114</v>
      </c>
      <c r="AW26" s="15" t="s">
        <v>83</v>
      </c>
      <c r="AX26" s="15" t="s">
        <v>115</v>
      </c>
      <c r="AY26" s="15" t="s">
        <v>116</v>
      </c>
      <c r="AZ26" s="13"/>
    </row>
    <row r="27" spans="1:52" ht="30" customHeight="1">
      <c r="A27" s="12" t="s">
        <v>130</v>
      </c>
      <c r="B27" s="12" t="s">
        <v>109</v>
      </c>
      <c r="C27" s="13"/>
      <c r="D27" s="14">
        <v>1</v>
      </c>
      <c r="E27" s="13"/>
      <c r="F27" s="12" t="s">
        <v>30</v>
      </c>
      <c r="G27" s="14">
        <v>1</v>
      </c>
      <c r="H27" s="14">
        <v>3</v>
      </c>
      <c r="I27" s="14">
        <v>3</v>
      </c>
      <c r="J27" s="14">
        <v>3</v>
      </c>
      <c r="K27" s="14">
        <v>3</v>
      </c>
      <c r="L27" s="14">
        <v>3</v>
      </c>
      <c r="M27" s="14">
        <v>3</v>
      </c>
      <c r="N27" s="14">
        <v>3</v>
      </c>
      <c r="O27" s="14">
        <v>3</v>
      </c>
      <c r="P27" s="14">
        <v>3</v>
      </c>
      <c r="Q27" s="14">
        <v>3</v>
      </c>
      <c r="R27" s="16">
        <f>IF($AY27="Conflict","",IF(COUNT(H27:Q27)=10,SUM(H27:Q27),IF(ISNUMBER($AU27),$AU27,"")))</f>
        <v>30</v>
      </c>
      <c r="S27" s="16">
        <f>IF(ISNUMBER(R27),R27/30*100,"")</f>
        <v>100.0</v>
      </c>
      <c r="T27" s="16">
        <f>IF($AY27="Conflict","",IF(COUNT(H27:J27,L27)=4,SUM(H27:J27,L27),""))</f>
        <v>12</v>
      </c>
      <c r="U27" s="16">
        <f>IF($AY27="Conflict","",IF(COUNT(K27,M27:O27)=4,SUM(K27,M27:O27),""))</f>
        <v>12</v>
      </c>
      <c r="V27" s="16">
        <f>IF($AY27="Conflict","",IF(COUNT(P27:Q27)=2,SUM(P27:Q27),""))</f>
        <v>6</v>
      </c>
      <c r="W27" s="15" t="s">
        <v>31</v>
      </c>
      <c r="X27" s="13"/>
      <c r="Y27" s="13"/>
      <c r="Z27" s="13"/>
      <c r="AA27" s="14">
        <v>1</v>
      </c>
      <c r="AB27" s="13"/>
      <c r="AC27" s="13"/>
      <c r="AD27" s="13"/>
      <c r="AE27" s="18">
        <v>238496</v>
      </c>
      <c r="AF27" s="18">
        <v>265991</v>
      </c>
      <c r="AG27" s="18">
        <v>16002</v>
      </c>
      <c r="AH27" s="19">
        <f>IF(AND(ISNUMBER(AG27),ISNUMBER(AF27),AF27&gt;0),AG27/AF27,"")</f>
        <v>0.06015993022320304</v>
      </c>
      <c r="AI27" s="13"/>
      <c r="AJ27" s="13"/>
      <c r="AK27" s="17">
        <v>0.0587</v>
      </c>
      <c r="AL27" s="13"/>
      <c r="AM27" s="13"/>
      <c r="AN27" s="12" t="s">
        <v>131</v>
      </c>
      <c r="AO27" s="15" t="s">
        <v>31</v>
      </c>
      <c r="AP27" s="12" t="s">
        <v>111</v>
      </c>
      <c r="AQ27" s="13"/>
      <c r="AR27" s="13"/>
      <c r="AS27" s="15" t="s">
        <v>132</v>
      </c>
      <c r="AT27" s="15" t="s">
        <v>133</v>
      </c>
      <c r="AU27" s="14">
        <v>30</v>
      </c>
      <c r="AV27" s="12" t="s">
        <v>114</v>
      </c>
      <c r="AW27" s="15" t="s">
        <v>40</v>
      </c>
      <c r="AX27" s="15" t="s">
        <v>115</v>
      </c>
      <c r="AY27" s="15" t="s">
        <v>116</v>
      </c>
      <c r="AZ27" s="12" t="s">
        <v>117</v>
      </c>
    </row>
    <row r="28" spans="1:52" ht="30" customHeight="1">
      <c r="A28" s="12" t="s">
        <v>134</v>
      </c>
      <c r="B28" s="12" t="s">
        <v>109</v>
      </c>
      <c r="C28" s="13"/>
      <c r="D28" s="14">
        <v>1</v>
      </c>
      <c r="E28" s="13"/>
      <c r="F28" s="13"/>
      <c r="G28" s="13"/>
      <c r="H28" s="14">
        <v>3</v>
      </c>
      <c r="I28" s="14">
        <v>0</v>
      </c>
      <c r="J28" s="14">
        <v>0</v>
      </c>
      <c r="K28" s="14">
        <v>0</v>
      </c>
      <c r="L28" s="14">
        <v>0</v>
      </c>
      <c r="M28" s="14">
        <v>0</v>
      </c>
      <c r="N28" s="14">
        <v>3</v>
      </c>
      <c r="O28" s="14">
        <v>2</v>
      </c>
      <c r="P28" s="14">
        <v>2</v>
      </c>
      <c r="Q28" s="14">
        <v>0</v>
      </c>
      <c r="R28" s="16">
        <f>IF($AY28="Conflict","",IF(COUNT(H28:Q28)=10,SUM(H28:Q28),IF(ISNUMBER($AU28),$AU28,"")))</f>
        <v>10</v>
      </c>
      <c r="S28" s="16">
        <f>IF(ISNUMBER(R28),R28/30*100,"")</f>
        <v>33.33333333333333</v>
      </c>
      <c r="T28" s="16">
        <f>IF($AY28="Conflict","",IF(COUNT(H28:J28,L28)=4,SUM(H28:J28,L28),""))</f>
        <v>3</v>
      </c>
      <c r="U28" s="16">
        <f>IF($AY28="Conflict","",IF(COUNT(K28,M28:O28)=4,SUM(K28,M28:O28),""))</f>
        <v>5</v>
      </c>
      <c r="V28" s="16">
        <f>IF($AY28="Conflict","",IF(COUNT(P28:Q28)=2,SUM(P28:Q28),""))</f>
        <v>2</v>
      </c>
      <c r="W28" s="15" t="s">
        <v>31</v>
      </c>
      <c r="X28" s="13"/>
      <c r="Y28" s="13"/>
      <c r="Z28" s="13"/>
      <c r="AA28" s="13"/>
      <c r="AB28" s="13"/>
      <c r="AC28" s="13"/>
      <c r="AD28" s="13"/>
      <c r="AE28" s="18">
        <v>810.17</v>
      </c>
      <c r="AF28" s="18">
        <v>299.63</v>
      </c>
      <c r="AG28" s="18">
        <v>15.51</v>
      </c>
      <c r="AH28" s="19">
        <f>IF(AND(ISNUMBER(AG28),ISNUMBER(AF28),AF28&gt;0),AG28/AF28,"")</f>
        <v>0.051763842071888666</v>
      </c>
      <c r="AI28" s="13"/>
      <c r="AJ28" s="13"/>
      <c r="AK28" s="17">
        <v>0.0536</v>
      </c>
      <c r="AL28" s="13"/>
      <c r="AM28" s="13"/>
      <c r="AN28" s="12" t="s">
        <v>110</v>
      </c>
      <c r="AO28" s="15" t="s">
        <v>31</v>
      </c>
      <c r="AP28" s="12" t="s">
        <v>111</v>
      </c>
      <c r="AQ28" s="13"/>
      <c r="AR28" s="13"/>
      <c r="AS28" s="15" t="s">
        <v>135</v>
      </c>
      <c r="AT28" s="15" t="s">
        <v>136</v>
      </c>
      <c r="AU28" s="14">
        <v>10</v>
      </c>
      <c r="AV28" s="12" t="s">
        <v>114</v>
      </c>
      <c r="AW28" s="15" t="s">
        <v>40</v>
      </c>
      <c r="AX28" s="15" t="s">
        <v>115</v>
      </c>
      <c r="AY28" s="15" t="s">
        <v>116</v>
      </c>
      <c r="AZ28" s="12" t="s">
        <v>117</v>
      </c>
    </row>
    <row r="29" spans="1:52" ht="30" customHeight="1">
      <c r="A29" s="12" t="s">
        <v>137</v>
      </c>
      <c r="B29" s="12" t="s">
        <v>109</v>
      </c>
      <c r="C29" s="13"/>
      <c r="D29" s="14">
        <v>1</v>
      </c>
      <c r="E29" s="13"/>
      <c r="F29" s="13"/>
      <c r="G29" s="13"/>
      <c r="H29" s="14">
        <v>3</v>
      </c>
      <c r="I29" s="14">
        <v>0</v>
      </c>
      <c r="J29" s="14">
        <v>0</v>
      </c>
      <c r="K29" s="14">
        <v>0</v>
      </c>
      <c r="L29" s="14">
        <v>0</v>
      </c>
      <c r="M29" s="14">
        <v>0</v>
      </c>
      <c r="N29" s="14">
        <v>2</v>
      </c>
      <c r="O29" s="14">
        <v>1</v>
      </c>
      <c r="P29" s="14">
        <v>2</v>
      </c>
      <c r="Q29" s="14">
        <v>0</v>
      </c>
      <c r="R29" s="16">
        <f>IF($AY29="Conflict","",IF(COUNT(H29:Q29)=10,SUM(H29:Q29),IF(ISNUMBER($AU29),$AU29,"")))</f>
        <v>8</v>
      </c>
      <c r="S29" s="16">
        <f>IF(ISNUMBER(R29),R29/30*100,"")</f>
        <v>26.666666666666668</v>
      </c>
      <c r="T29" s="16">
        <f>IF($AY29="Conflict","",IF(COUNT(H29:J29,L29)=4,SUM(H29:J29,L29),""))</f>
        <v>3</v>
      </c>
      <c r="U29" s="16">
        <f>IF($AY29="Conflict","",IF(COUNT(K29,M29:O29)=4,SUM(K29,M29:O29),""))</f>
        <v>3</v>
      </c>
      <c r="V29" s="16">
        <f>IF($AY29="Conflict","",IF(COUNT(P29:Q29)=2,SUM(P29:Q29),""))</f>
        <v>2</v>
      </c>
      <c r="W29" s="15" t="s">
        <v>31</v>
      </c>
      <c r="X29" s="13"/>
      <c r="Y29" s="13"/>
      <c r="Z29" s="13"/>
      <c r="AA29" s="13"/>
      <c r="AB29" s="13"/>
      <c r="AC29" s="13"/>
      <c r="AD29" s="13"/>
      <c r="AE29" s="18">
        <v>509.15</v>
      </c>
      <c r="AF29" s="18">
        <v>504.26</v>
      </c>
      <c r="AG29" s="18">
        <v>6.05</v>
      </c>
      <c r="AH29" s="19">
        <f>IF(AND(ISNUMBER(AG29),ISNUMBER(AF29),AF29&gt;0),AG29/AF29,"")</f>
        <v>0.011997778923571173</v>
      </c>
      <c r="AI29" s="13"/>
      <c r="AJ29" s="13"/>
      <c r="AK29" s="17">
        <v>0.1339</v>
      </c>
      <c r="AL29" s="13"/>
      <c r="AM29" s="13"/>
      <c r="AN29" s="12" t="s">
        <v>110</v>
      </c>
      <c r="AO29" s="15" t="s">
        <v>31</v>
      </c>
      <c r="AP29" s="12" t="s">
        <v>111</v>
      </c>
      <c r="AQ29" s="13"/>
      <c r="AR29" s="13"/>
      <c r="AS29" s="15" t="s">
        <v>138</v>
      </c>
      <c r="AT29" s="15" t="s">
        <v>139</v>
      </c>
      <c r="AU29" s="14">
        <v>8</v>
      </c>
      <c r="AV29" s="12" t="s">
        <v>114</v>
      </c>
      <c r="AW29" s="15" t="s">
        <v>40</v>
      </c>
      <c r="AX29" s="15" t="s">
        <v>115</v>
      </c>
      <c r="AY29" s="15" t="s">
        <v>116</v>
      </c>
      <c r="AZ29" s="12" t="s">
        <v>117</v>
      </c>
    </row>
    <row r="30" spans="1:52" ht="30" customHeight="1">
      <c r="A30" s="12" t="s">
        <v>140</v>
      </c>
      <c r="B30" s="12" t="s">
        <v>109</v>
      </c>
      <c r="C30" s="13"/>
      <c r="D30" s="14">
        <v>1</v>
      </c>
      <c r="E30" s="13"/>
      <c r="F30" s="12" t="s">
        <v>63</v>
      </c>
      <c r="G30" s="14">
        <v>1</v>
      </c>
      <c r="H30" s="14">
        <v>3</v>
      </c>
      <c r="I30" s="14">
        <v>3</v>
      </c>
      <c r="J30" s="14">
        <v>3</v>
      </c>
      <c r="K30" s="14">
        <v>3</v>
      </c>
      <c r="L30" s="14">
        <v>3</v>
      </c>
      <c r="M30" s="14">
        <v>3</v>
      </c>
      <c r="N30" s="14">
        <v>3</v>
      </c>
      <c r="O30" s="14">
        <v>3</v>
      </c>
      <c r="P30" s="14">
        <v>3</v>
      </c>
      <c r="Q30" s="14">
        <v>3</v>
      </c>
      <c r="R30" s="16">
        <f>IF($AY30="Conflict","",IF(COUNT(H30:Q30)=10,SUM(H30:Q30),IF(ISNUMBER($AU30),$AU30,"")))</f>
        <v>30</v>
      </c>
      <c r="S30" s="16">
        <f>IF(ISNUMBER(R30),R30/30*100,"")</f>
        <v>100.0</v>
      </c>
      <c r="T30" s="16">
        <f>IF($AY30="Conflict","",IF(COUNT(H30:J30,L30)=4,SUM(H30:J30,L30),""))</f>
        <v>12</v>
      </c>
      <c r="U30" s="16">
        <f>IF($AY30="Conflict","",IF(COUNT(K30,M30:O30)=4,SUM(K30,M30:O30),""))</f>
        <v>12</v>
      </c>
      <c r="V30" s="16">
        <f>IF($AY30="Conflict","",IF(COUNT(P30:Q30)=2,SUM(P30:Q30),""))</f>
        <v>6</v>
      </c>
      <c r="W30" s="15" t="s">
        <v>31</v>
      </c>
      <c r="X30" s="13"/>
      <c r="Y30" s="13"/>
      <c r="Z30" s="13"/>
      <c r="AA30" s="14">
        <v>1</v>
      </c>
      <c r="AB30" s="13"/>
      <c r="AC30" s="13"/>
      <c r="AD30" s="13"/>
      <c r="AE30" s="18">
        <v>16662.21</v>
      </c>
      <c r="AF30" s="18">
        <v>22882</v>
      </c>
      <c r="AG30" s="18">
        <v>5324.67</v>
      </c>
      <c r="AH30" s="19">
        <f>IF(AND(ISNUMBER(AG30),ISNUMBER(AF30),AF30&gt;0),AG30/AF30,"")</f>
        <v>0.2327012498907438</v>
      </c>
      <c r="AI30" s="13"/>
      <c r="AJ30" s="13"/>
      <c r="AK30" s="13"/>
      <c r="AL30" s="13"/>
      <c r="AM30" s="13"/>
      <c r="AN30" s="12" t="s">
        <v>141</v>
      </c>
      <c r="AO30" s="15" t="s">
        <v>31</v>
      </c>
      <c r="AP30" s="12" t="s">
        <v>111</v>
      </c>
      <c r="AQ30" s="13"/>
      <c r="AR30" s="13"/>
      <c r="AS30" s="15" t="s">
        <v>142</v>
      </c>
      <c r="AT30" s="15" t="s">
        <v>143</v>
      </c>
      <c r="AU30" s="14">
        <v>30</v>
      </c>
      <c r="AV30" s="12" t="s">
        <v>114</v>
      </c>
      <c r="AW30" s="15" t="s">
        <v>40</v>
      </c>
      <c r="AX30" s="15" t="s">
        <v>115</v>
      </c>
      <c r="AY30" s="15" t="s">
        <v>116</v>
      </c>
      <c r="AZ30" s="12" t="s">
        <v>117</v>
      </c>
    </row>
    <row r="31" spans="1:52" ht="30" customHeight="1">
      <c r="A31" s="12" t="s">
        <v>144</v>
      </c>
      <c r="B31" s="12" t="s">
        <v>109</v>
      </c>
      <c r="C31" s="13"/>
      <c r="D31" s="14">
        <v>1</v>
      </c>
      <c r="E31" s="13"/>
      <c r="F31" s="13"/>
      <c r="G31" s="13"/>
      <c r="H31" s="14">
        <v>3</v>
      </c>
      <c r="I31" s="14">
        <v>0</v>
      </c>
      <c r="J31" s="14">
        <v>0</v>
      </c>
      <c r="K31" s="14">
        <v>0</v>
      </c>
      <c r="L31" s="14">
        <v>0</v>
      </c>
      <c r="M31" s="14">
        <v>0</v>
      </c>
      <c r="N31" s="14">
        <v>2</v>
      </c>
      <c r="O31" s="14">
        <v>2</v>
      </c>
      <c r="P31" s="14">
        <v>2</v>
      </c>
      <c r="Q31" s="14">
        <v>0</v>
      </c>
      <c r="R31" s="16">
        <f>IF($AY31="Conflict","",IF(COUNT(H31:Q31)=10,SUM(H31:Q31),IF(ISNUMBER($AU31),$AU31,"")))</f>
        <v>9</v>
      </c>
      <c r="S31" s="16">
        <f>IF(ISNUMBER(R31),R31/30*100,"")</f>
        <v>30.0</v>
      </c>
      <c r="T31" s="16">
        <f>IF($AY31="Conflict","",IF(COUNT(H31:J31,L31)=4,SUM(H31:J31,L31),""))</f>
        <v>3</v>
      </c>
      <c r="U31" s="16">
        <f>IF($AY31="Conflict","",IF(COUNT(K31,M31:O31)=4,SUM(K31,M31:O31),""))</f>
        <v>4</v>
      </c>
      <c r="V31" s="16">
        <f>IF($AY31="Conflict","",IF(COUNT(P31:Q31)=2,SUM(P31:Q31),""))</f>
        <v>2</v>
      </c>
      <c r="W31" s="15" t="s">
        <v>31</v>
      </c>
      <c r="X31" s="13"/>
      <c r="Y31" s="13"/>
      <c r="Z31" s="13"/>
      <c r="AA31" s="13"/>
      <c r="AB31" s="13"/>
      <c r="AC31" s="13"/>
      <c r="AD31" s="13"/>
      <c r="AE31" s="18">
        <v>491.4</v>
      </c>
      <c r="AF31" s="18">
        <v>423.81</v>
      </c>
      <c r="AG31" s="18">
        <v>31.66</v>
      </c>
      <c r="AH31" s="19">
        <f>IF(AND(ISNUMBER(AG31),ISNUMBER(AF31),AF31&gt;0),AG31/AF31,"")</f>
        <v>0.0747032868502395</v>
      </c>
      <c r="AI31" s="13"/>
      <c r="AJ31" s="13"/>
      <c r="AK31" s="13"/>
      <c r="AL31" s="13"/>
      <c r="AM31" s="13"/>
      <c r="AN31" s="12" t="s">
        <v>145</v>
      </c>
      <c r="AO31" s="15" t="s">
        <v>31</v>
      </c>
      <c r="AP31" s="12" t="s">
        <v>111</v>
      </c>
      <c r="AQ31" s="13"/>
      <c r="AR31" s="13"/>
      <c r="AS31" s="15" t="s">
        <v>146</v>
      </c>
      <c r="AT31" s="15" t="s">
        <v>147</v>
      </c>
      <c r="AU31" s="14">
        <v>9</v>
      </c>
      <c r="AV31" s="12" t="s">
        <v>114</v>
      </c>
      <c r="AW31" s="15" t="s">
        <v>40</v>
      </c>
      <c r="AX31" s="15" t="s">
        <v>115</v>
      </c>
      <c r="AY31" s="15" t="s">
        <v>116</v>
      </c>
      <c r="AZ31" s="12" t="s">
        <v>117</v>
      </c>
    </row>
    <row r="32" spans="1:52" ht="30" customHeight="1">
      <c r="A32" s="12" t="s">
        <v>148</v>
      </c>
      <c r="B32" s="12" t="s">
        <v>109</v>
      </c>
      <c r="C32" s="13"/>
      <c r="D32" s="14">
        <v>1</v>
      </c>
      <c r="E32" s="13"/>
      <c r="F32" s="12" t="s">
        <v>30</v>
      </c>
      <c r="G32" s="14">
        <v>1</v>
      </c>
      <c r="H32" s="14">
        <v>3</v>
      </c>
      <c r="I32" s="14">
        <v>3</v>
      </c>
      <c r="J32" s="14">
        <v>3</v>
      </c>
      <c r="K32" s="14">
        <v>3</v>
      </c>
      <c r="L32" s="14">
        <v>3</v>
      </c>
      <c r="M32" s="14">
        <v>3</v>
      </c>
      <c r="N32" s="14">
        <v>3</v>
      </c>
      <c r="O32" s="14">
        <v>3</v>
      </c>
      <c r="P32" s="14">
        <v>3</v>
      </c>
      <c r="Q32" s="14">
        <v>3</v>
      </c>
      <c r="R32" s="16">
        <f>IF($AY32="Conflict","",IF(COUNT(H32:Q32)=10,SUM(H32:Q32),IF(ISNUMBER($AU32),$AU32,"")))</f>
        <v>30</v>
      </c>
      <c r="S32" s="16">
        <f>IF(ISNUMBER(R32),R32/30*100,"")</f>
        <v>100.0</v>
      </c>
      <c r="T32" s="16">
        <f>IF($AY32="Conflict","",IF(COUNT(H32:J32,L32)=4,SUM(H32:J32,L32),""))</f>
        <v>12</v>
      </c>
      <c r="U32" s="16">
        <f>IF($AY32="Conflict","",IF(COUNT(K32,M32:O32)=4,SUM(K32,M32:O32),""))</f>
        <v>12</v>
      </c>
      <c r="V32" s="16">
        <f>IF($AY32="Conflict","",IF(COUNT(P32:Q32)=2,SUM(P32:Q32),""))</f>
        <v>6</v>
      </c>
      <c r="W32" s="15" t="s">
        <v>31</v>
      </c>
      <c r="X32" s="13"/>
      <c r="Y32" s="13"/>
      <c r="Z32" s="13"/>
      <c r="AA32" s="14">
        <v>1</v>
      </c>
      <c r="AB32" s="13"/>
      <c r="AC32" s="13"/>
      <c r="AD32" s="13"/>
      <c r="AE32" s="13"/>
      <c r="AF32" s="13"/>
      <c r="AG32" s="13"/>
      <c r="AH32" s="19">
        <f>IF(AND(ISNUMBER(AG32),ISNUMBER(AF32),AF32&gt;0),AG32/AF32,"")</f>
        <v/>
      </c>
      <c r="AI32" s="13"/>
      <c r="AJ32" s="13"/>
      <c r="AK32" s="13"/>
      <c r="AL32" s="13"/>
      <c r="AM32" s="13"/>
      <c r="AN32" s="12" t="s">
        <v>149</v>
      </c>
      <c r="AO32" s="13"/>
      <c r="AP32" s="12" t="s">
        <v>121</v>
      </c>
      <c r="AQ32" s="12" t="s">
        <v>150</v>
      </c>
      <c r="AR32" s="13"/>
      <c r="AS32" s="15" t="s">
        <v>151</v>
      </c>
      <c r="AT32" s="15" t="s">
        <v>152</v>
      </c>
      <c r="AU32" s="14">
        <v>30</v>
      </c>
      <c r="AV32" s="12" t="s">
        <v>114</v>
      </c>
      <c r="AW32" s="15" t="s">
        <v>83</v>
      </c>
      <c r="AX32" s="15" t="s">
        <v>115</v>
      </c>
      <c r="AY32" s="15" t="s">
        <v>116</v>
      </c>
      <c r="AZ32" s="13"/>
    </row>
    <row r="33" spans="1:52" ht="30" customHeight="1">
      <c r="A33" s="12" t="s">
        <v>153</v>
      </c>
      <c r="B33" s="12" t="s">
        <v>154</v>
      </c>
      <c r="C33" s="13"/>
      <c r="D33" s="14">
        <v>1</v>
      </c>
      <c r="E33" s="13"/>
      <c r="F33" s="12" t="s">
        <v>30</v>
      </c>
      <c r="G33" s="14">
        <v>1</v>
      </c>
      <c r="H33" s="14">
        <v>2</v>
      </c>
      <c r="I33" s="14">
        <v>1</v>
      </c>
      <c r="J33" s="14">
        <v>2</v>
      </c>
      <c r="K33" s="14">
        <v>2</v>
      </c>
      <c r="L33" s="14">
        <v>2</v>
      </c>
      <c r="M33" s="14">
        <v>1</v>
      </c>
      <c r="N33" s="14">
        <v>0</v>
      </c>
      <c r="O33" s="14">
        <v>1</v>
      </c>
      <c r="P33" s="14">
        <v>3</v>
      </c>
      <c r="Q33" s="14">
        <v>2</v>
      </c>
      <c r="R33" s="16">
        <f>IF($AY33="Conflict","",IF(COUNT(H33:Q33)=10,SUM(H33:Q33),IF(ISNUMBER($AU33),$AU33,"")))</f>
        <v/>
      </c>
      <c r="S33" s="16">
        <f>IF(ISNUMBER(R33),R33/30*100,"")</f>
        <v/>
      </c>
      <c r="T33" s="16">
        <f>IF($AY33="Conflict","",IF(COUNT(H33:J33,L33)=4,SUM(H33:J33,L33),""))</f>
        <v/>
      </c>
      <c r="U33" s="16">
        <f>IF($AY33="Conflict","",IF(COUNT(K33,M33:O33)=4,SUM(K33,M33:O33),""))</f>
        <v/>
      </c>
      <c r="V33" s="16">
        <f>IF($AY33="Conflict","",IF(COUNT(P33:Q33)=2,SUM(P33:Q33),""))</f>
        <v/>
      </c>
      <c r="W33" s="15" t="s">
        <v>31</v>
      </c>
      <c r="X33" s="15" t="s">
        <v>155</v>
      </c>
      <c r="Y33" s="13"/>
      <c r="Z33" s="13"/>
      <c r="AA33" s="13"/>
      <c r="AB33" s="13"/>
      <c r="AC33" s="14" t="s">
        <v>33</v>
      </c>
      <c r="AD33" s="13"/>
      <c r="AE33" s="13"/>
      <c r="AF33" s="13"/>
      <c r="AG33" s="13"/>
      <c r="AH33" s="19">
        <f>IF(AND(ISNUMBER(AG33),ISNUMBER(AF33),AF33&gt;0),AG33/AF33,"")</f>
        <v/>
      </c>
      <c r="AI33" s="13"/>
      <c r="AJ33" s="13"/>
      <c r="AK33" s="13"/>
      <c r="AL33" s="13"/>
      <c r="AM33" s="15" t="s">
        <v>45</v>
      </c>
      <c r="AN33" s="12" t="s">
        <v>156</v>
      </c>
      <c r="AO33" s="15" t="s">
        <v>31</v>
      </c>
      <c r="AP33" s="12" t="s">
        <v>36</v>
      </c>
      <c r="AQ33" s="12" t="s">
        <v>157</v>
      </c>
      <c r="AR33" s="13"/>
      <c r="AS33" s="15" t="s">
        <v>158</v>
      </c>
      <c r="AT33" s="15" t="s">
        <v>159</v>
      </c>
      <c r="AU33" s="14">
        <v>12</v>
      </c>
      <c r="AV33" s="12" t="s">
        <v>160</v>
      </c>
      <c r="AW33" s="15" t="s">
        <v>83</v>
      </c>
      <c r="AX33" s="15" t="s">
        <v>115</v>
      </c>
      <c r="AY33" s="15" t="s">
        <v>161</v>
      </c>
      <c r="AZ33" s="13"/>
    </row>
    <row r="34" spans="1:52" ht="30" customHeight="1">
      <c r="A34" s="12" t="s">
        <v>162</v>
      </c>
      <c r="B34" s="12" t="s">
        <v>154</v>
      </c>
      <c r="C34" s="13"/>
      <c r="D34" s="13"/>
      <c r="E34" s="13"/>
      <c r="F34" s="13"/>
      <c r="G34" s="13"/>
      <c r="H34" s="14">
        <v>3</v>
      </c>
      <c r="I34" s="14">
        <v>3</v>
      </c>
      <c r="J34" s="14">
        <v>2</v>
      </c>
      <c r="K34" s="14">
        <v>2</v>
      </c>
      <c r="L34" s="14">
        <v>2</v>
      </c>
      <c r="M34" s="14">
        <v>2</v>
      </c>
      <c r="N34" s="14">
        <v>0</v>
      </c>
      <c r="O34" s="14">
        <v>2</v>
      </c>
      <c r="P34" s="14">
        <v>3</v>
      </c>
      <c r="Q34" s="14">
        <v>2</v>
      </c>
      <c r="R34" s="16">
        <f>IF($AY34="Conflict","",IF(COUNT(H34:Q34)=10,SUM(H34:Q34),IF(ISNUMBER($AU34),$AU34,"")))</f>
        <v/>
      </c>
      <c r="S34" s="16">
        <f>IF(ISNUMBER(R34),R34/30*100,"")</f>
        <v/>
      </c>
      <c r="T34" s="16">
        <f>IF($AY34="Conflict","",IF(COUNT(H34:J34,L34)=4,SUM(H34:J34,L34),""))</f>
        <v/>
      </c>
      <c r="U34" s="16">
        <f>IF($AY34="Conflict","",IF(COUNT(K34,M34:O34)=4,SUM(K34,M34:O34),""))</f>
        <v/>
      </c>
      <c r="V34" s="16">
        <f>IF($AY34="Conflict","",IF(COUNT(P34:Q34)=2,SUM(P34:Q34),""))</f>
        <v/>
      </c>
      <c r="W34" s="15" t="s">
        <v>50</v>
      </c>
      <c r="X34" s="15" t="s">
        <v>155</v>
      </c>
      <c r="Y34" s="13"/>
      <c r="Z34" s="13"/>
      <c r="AA34" s="13"/>
      <c r="AB34" s="13"/>
      <c r="AC34" s="14" t="s">
        <v>33</v>
      </c>
      <c r="AD34" s="13"/>
      <c r="AE34" s="13"/>
      <c r="AF34" s="13"/>
      <c r="AG34" s="13"/>
      <c r="AH34" s="19">
        <f>IF(AND(ISNUMBER(AG34),ISNUMBER(AF34),AF34&gt;0),AG34/AF34,"")</f>
        <v/>
      </c>
      <c r="AI34" s="13"/>
      <c r="AJ34" s="13"/>
      <c r="AK34" s="13"/>
      <c r="AL34" s="13"/>
      <c r="AM34" s="13"/>
      <c r="AN34" s="12" t="s">
        <v>163</v>
      </c>
      <c r="AO34" s="13"/>
      <c r="AP34" s="12" t="s">
        <v>36</v>
      </c>
      <c r="AQ34" s="12" t="s">
        <v>157</v>
      </c>
      <c r="AR34" s="13"/>
      <c r="AS34" s="15" t="s">
        <v>164</v>
      </c>
      <c r="AT34" s="15" t="s">
        <v>165</v>
      </c>
      <c r="AU34" s="13"/>
      <c r="AV34" s="12" t="s">
        <v>160</v>
      </c>
      <c r="AW34" s="15" t="s">
        <v>83</v>
      </c>
      <c r="AX34" s="15" t="s">
        <v>115</v>
      </c>
      <c r="AY34" s="15" t="s">
        <v>161</v>
      </c>
      <c r="AZ34" s="13"/>
    </row>
    <row r="35" spans="1:52" ht="30" customHeight="1">
      <c r="A35" s="12" t="s">
        <v>166</v>
      </c>
      <c r="B35" s="12" t="s">
        <v>154</v>
      </c>
      <c r="C35" s="13"/>
      <c r="D35" s="14">
        <v>1</v>
      </c>
      <c r="E35" s="13"/>
      <c r="F35" s="12" t="s">
        <v>30</v>
      </c>
      <c r="G35" s="13"/>
      <c r="H35" s="14">
        <v>3</v>
      </c>
      <c r="I35" s="14">
        <v>3</v>
      </c>
      <c r="J35" s="14">
        <v>2</v>
      </c>
      <c r="K35" s="14">
        <v>3</v>
      </c>
      <c r="L35" s="14">
        <v>2</v>
      </c>
      <c r="M35" s="14">
        <v>2</v>
      </c>
      <c r="N35" s="14">
        <v>0</v>
      </c>
      <c r="O35" s="14">
        <v>2</v>
      </c>
      <c r="P35" s="14">
        <v>2</v>
      </c>
      <c r="Q35" s="14">
        <v>2</v>
      </c>
      <c r="R35" s="16">
        <f>IF($AY35="Conflict","",IF(COUNT(H35:Q35)=10,SUM(H35:Q35),IF(ISNUMBER($AU35),$AU35,"")))</f>
        <v/>
      </c>
      <c r="S35" s="16">
        <f>IF(ISNUMBER(R35),R35/30*100,"")</f>
        <v/>
      </c>
      <c r="T35" s="16">
        <f>IF($AY35="Conflict","",IF(COUNT(H35:J35,L35)=4,SUM(H35:J35,L35),""))</f>
        <v/>
      </c>
      <c r="U35" s="16">
        <f>IF($AY35="Conflict","",IF(COUNT(K35,M35:O35)=4,SUM(K35,M35:O35),""))</f>
        <v/>
      </c>
      <c r="V35" s="16">
        <f>IF($AY35="Conflict","",IF(COUNT(P35:Q35)=2,SUM(P35:Q35),""))</f>
        <v/>
      </c>
      <c r="W35" s="15" t="s">
        <v>31</v>
      </c>
      <c r="X35" s="15" t="s">
        <v>155</v>
      </c>
      <c r="Y35" s="13"/>
      <c r="Z35" s="13"/>
      <c r="AA35" s="13"/>
      <c r="AB35" s="13"/>
      <c r="AC35" s="14" t="s">
        <v>33</v>
      </c>
      <c r="AD35" s="13"/>
      <c r="AE35" s="18">
        <v>13538</v>
      </c>
      <c r="AF35" s="13"/>
      <c r="AG35" s="13"/>
      <c r="AH35" s="19">
        <f>IF(AND(ISNUMBER(AG35),ISNUMBER(AF35),AF35&gt;0),AG35/AF35,"")</f>
        <v/>
      </c>
      <c r="AI35" s="13"/>
      <c r="AJ35" s="13"/>
      <c r="AK35" s="13"/>
      <c r="AL35" s="13"/>
      <c r="AM35" s="15" t="s">
        <v>45</v>
      </c>
      <c r="AN35" s="12" t="s">
        <v>167</v>
      </c>
      <c r="AO35" s="15" t="s">
        <v>50</v>
      </c>
      <c r="AP35" s="12" t="s">
        <v>36</v>
      </c>
      <c r="AQ35" s="12" t="s">
        <v>157</v>
      </c>
      <c r="AR35" s="13"/>
      <c r="AS35" s="15" t="s">
        <v>168</v>
      </c>
      <c r="AT35" s="15" t="s">
        <v>169</v>
      </c>
      <c r="AU35" s="13"/>
      <c r="AV35" s="12" t="s">
        <v>160</v>
      </c>
      <c r="AW35" s="15" t="s">
        <v>54</v>
      </c>
      <c r="AX35" s="15" t="s">
        <v>115</v>
      </c>
      <c r="AY35" s="15" t="s">
        <v>161</v>
      </c>
      <c r="AZ35" s="12" t="s">
        <v>170</v>
      </c>
    </row>
    <row r="36" spans="1:52" ht="30" customHeight="1">
      <c r="A36" s="12" t="s">
        <v>171</v>
      </c>
      <c r="B36" s="12" t="s">
        <v>154</v>
      </c>
      <c r="C36" s="13"/>
      <c r="D36" s="14">
        <v>1</v>
      </c>
      <c r="E36" s="13"/>
      <c r="F36" s="13"/>
      <c r="G36" s="14">
        <v>1</v>
      </c>
      <c r="H36" s="14">
        <v>3</v>
      </c>
      <c r="I36" s="14">
        <v>2</v>
      </c>
      <c r="J36" s="14">
        <v>2</v>
      </c>
      <c r="K36" s="14">
        <v>2</v>
      </c>
      <c r="L36" s="14">
        <v>1</v>
      </c>
      <c r="M36" s="14">
        <v>1</v>
      </c>
      <c r="N36" s="14">
        <v>0</v>
      </c>
      <c r="O36" s="14">
        <v>1</v>
      </c>
      <c r="P36" s="14">
        <v>2</v>
      </c>
      <c r="Q36" s="14">
        <v>2</v>
      </c>
      <c r="R36" s="16">
        <f>IF($AY36="Conflict","",IF(COUNT(H36:Q36)=10,SUM(H36:Q36),IF(ISNUMBER($AU36),$AU36,"")))</f>
        <v/>
      </c>
      <c r="S36" s="16">
        <f>IF(ISNUMBER(R36),R36/30*100,"")</f>
        <v/>
      </c>
      <c r="T36" s="16">
        <f>IF($AY36="Conflict","",IF(COUNT(H36:J36,L36)=4,SUM(H36:J36,L36),""))</f>
        <v/>
      </c>
      <c r="U36" s="16">
        <f>IF($AY36="Conflict","",IF(COUNT(K36,M36:O36)=4,SUM(K36,M36:O36),""))</f>
        <v/>
      </c>
      <c r="V36" s="16">
        <f>IF($AY36="Conflict","",IF(COUNT(P36:Q36)=2,SUM(P36:Q36),""))</f>
        <v/>
      </c>
      <c r="W36" s="15" t="s">
        <v>31</v>
      </c>
      <c r="X36" s="15" t="s">
        <v>155</v>
      </c>
      <c r="Y36" s="13"/>
      <c r="Z36" s="13"/>
      <c r="AA36" s="13"/>
      <c r="AB36" s="13"/>
      <c r="AC36" s="14" t="s">
        <v>33</v>
      </c>
      <c r="AD36" s="13"/>
      <c r="AE36" s="13"/>
      <c r="AF36" s="13"/>
      <c r="AG36" s="13"/>
      <c r="AH36" s="19">
        <f>IF(AND(ISNUMBER(AG36),ISNUMBER(AF36),AF36&gt;0),AG36/AF36,"")</f>
        <v/>
      </c>
      <c r="AI36" s="13"/>
      <c r="AJ36" s="13"/>
      <c r="AK36" s="13"/>
      <c r="AL36" s="13"/>
      <c r="AM36" s="13"/>
      <c r="AN36" s="12" t="s">
        <v>172</v>
      </c>
      <c r="AO36" s="13"/>
      <c r="AP36" s="12" t="s">
        <v>36</v>
      </c>
      <c r="AQ36" s="12" t="s">
        <v>157</v>
      </c>
      <c r="AR36" s="13"/>
      <c r="AS36" s="15" t="s">
        <v>173</v>
      </c>
      <c r="AT36" s="15" t="s">
        <v>174</v>
      </c>
      <c r="AU36" s="13"/>
      <c r="AV36" s="12" t="s">
        <v>160</v>
      </c>
      <c r="AW36" s="15" t="s">
        <v>83</v>
      </c>
      <c r="AX36" s="15" t="s">
        <v>115</v>
      </c>
      <c r="AY36" s="15" t="s">
        <v>161</v>
      </c>
      <c r="AZ36" s="13"/>
    </row>
    <row r="37" spans="1:52" ht="30" customHeight="1">
      <c r="A37" s="12" t="s">
        <v>175</v>
      </c>
      <c r="B37" s="12" t="s">
        <v>154</v>
      </c>
      <c r="C37" s="13"/>
      <c r="D37" s="14">
        <v>0</v>
      </c>
      <c r="E37" s="13"/>
      <c r="F37" s="12" t="s">
        <v>176</v>
      </c>
      <c r="G37" s="14">
        <v>0</v>
      </c>
      <c r="H37" s="13"/>
      <c r="I37" s="13"/>
      <c r="J37" s="13"/>
      <c r="K37" s="13"/>
      <c r="L37" s="13"/>
      <c r="M37" s="13"/>
      <c r="N37" s="13"/>
      <c r="O37" s="13"/>
      <c r="P37" s="13"/>
      <c r="Q37" s="13"/>
      <c r="R37" s="16">
        <f>IF($AY37="Conflict","",IF(COUNT(H37:Q37)=10,SUM(H37:Q37),IF(ISNUMBER($AU37),$AU37,"")))</f>
        <v/>
      </c>
      <c r="S37" s="16">
        <f>IF(ISNUMBER(R37),R37/30*100,"")</f>
        <v/>
      </c>
      <c r="T37" s="16">
        <f>IF($AY37="Conflict","",IF(COUNT(H37:J37,L37)=4,SUM(H37:J37,L37),""))</f>
        <v/>
      </c>
      <c r="U37" s="16">
        <f>IF($AY37="Conflict","",IF(COUNT(K37,M37:O37)=4,SUM(K37,M37:O37),""))</f>
        <v/>
      </c>
      <c r="V37" s="16">
        <f>IF($AY37="Conflict","",IF(COUNT(P37:Q37)=2,SUM(P37:Q37),""))</f>
        <v/>
      </c>
      <c r="W37" s="15" t="s">
        <v>50</v>
      </c>
      <c r="X37" s="15" t="s">
        <v>155</v>
      </c>
      <c r="Y37" s="13"/>
      <c r="Z37" s="13"/>
      <c r="AA37" s="13"/>
      <c r="AB37" s="13"/>
      <c r="AC37" s="14" t="s">
        <v>33</v>
      </c>
      <c r="AD37" s="13"/>
      <c r="AE37" s="13"/>
      <c r="AF37" s="13"/>
      <c r="AG37" s="13"/>
      <c r="AH37" s="19">
        <f>IF(AND(ISNUMBER(AG37),ISNUMBER(AF37),AF37&gt;0),AG37/AF37,"")</f>
        <v/>
      </c>
      <c r="AI37" s="13"/>
      <c r="AJ37" s="13"/>
      <c r="AK37" s="13"/>
      <c r="AL37" s="13"/>
      <c r="AM37" s="15" t="s">
        <v>45</v>
      </c>
      <c r="AN37" s="12" t="s">
        <v>177</v>
      </c>
      <c r="AO37" s="13"/>
      <c r="AP37" s="12" t="s">
        <v>36</v>
      </c>
      <c r="AQ37" s="12" t="s">
        <v>178</v>
      </c>
      <c r="AR37" s="13"/>
      <c r="AS37" s="15" t="s">
        <v>179</v>
      </c>
      <c r="AT37" s="15" t="s">
        <v>180</v>
      </c>
      <c r="AU37" s="13"/>
      <c r="AV37" s="12" t="s">
        <v>181</v>
      </c>
      <c r="AW37" s="15" t="s">
        <v>83</v>
      </c>
      <c r="AX37" s="15" t="s">
        <v>115</v>
      </c>
      <c r="AY37" s="15" t="s">
        <v>182</v>
      </c>
      <c r="AZ37" s="13"/>
    </row>
    <row r="38" spans="1:52" ht="30" customHeight="1">
      <c r="A38" s="12" t="s">
        <v>183</v>
      </c>
      <c r="B38" s="12" t="s">
        <v>154</v>
      </c>
      <c r="C38" s="13"/>
      <c r="D38" s="14">
        <v>1</v>
      </c>
      <c r="E38" s="13"/>
      <c r="F38" s="12" t="s">
        <v>30</v>
      </c>
      <c r="G38" s="14">
        <v>1</v>
      </c>
      <c r="H38" s="14">
        <v>0</v>
      </c>
      <c r="I38" s="14">
        <v>0</v>
      </c>
      <c r="J38" s="14">
        <v>1</v>
      </c>
      <c r="K38" s="14">
        <v>1</v>
      </c>
      <c r="L38" s="14">
        <v>1</v>
      </c>
      <c r="M38" s="14">
        <v>0</v>
      </c>
      <c r="N38" s="14">
        <v>0</v>
      </c>
      <c r="O38" s="14">
        <v>0</v>
      </c>
      <c r="P38" s="14">
        <v>0</v>
      </c>
      <c r="Q38" s="14">
        <v>1</v>
      </c>
      <c r="R38" s="16">
        <f>IF($AY38="Conflict","",IF(COUNT(H38:Q38)=10,SUM(H38:Q38),IF(ISNUMBER($AU38),$AU38,"")))</f>
        <v/>
      </c>
      <c r="S38" s="16">
        <f>IF(ISNUMBER(R38),R38/30*100,"")</f>
        <v/>
      </c>
      <c r="T38" s="16">
        <f>IF($AY38="Conflict","",IF(COUNT(H38:J38,L38)=4,SUM(H38:J38,L38),""))</f>
        <v/>
      </c>
      <c r="U38" s="16">
        <f>IF($AY38="Conflict","",IF(COUNT(K38,M38:O38)=4,SUM(K38,M38:O38),""))</f>
        <v/>
      </c>
      <c r="V38" s="16">
        <f>IF($AY38="Conflict","",IF(COUNT(P38:Q38)=2,SUM(P38:Q38),""))</f>
        <v/>
      </c>
      <c r="W38" s="15" t="s">
        <v>31</v>
      </c>
      <c r="X38" s="15" t="s">
        <v>155</v>
      </c>
      <c r="Y38" s="13"/>
      <c r="Z38" s="13"/>
      <c r="AA38" s="13"/>
      <c r="AB38" s="13"/>
      <c r="AC38" s="14" t="s">
        <v>33</v>
      </c>
      <c r="AD38" s="13"/>
      <c r="AE38" s="18">
        <v>1001.6</v>
      </c>
      <c r="AF38" s="13"/>
      <c r="AG38" s="18">
        <v>68.8</v>
      </c>
      <c r="AH38" s="19">
        <f>IF(AND(ISNUMBER(AG38),ISNUMBER(AF38),AF38&gt;0),AG38/AF38,"")</f>
        <v/>
      </c>
      <c r="AI38" s="13"/>
      <c r="AJ38" s="13"/>
      <c r="AK38" s="13"/>
      <c r="AL38" s="13"/>
      <c r="AM38" s="15" t="s">
        <v>34</v>
      </c>
      <c r="AN38" s="12" t="s">
        <v>184</v>
      </c>
      <c r="AO38" s="15" t="s">
        <v>50</v>
      </c>
      <c r="AP38" s="12" t="s">
        <v>36</v>
      </c>
      <c r="AQ38" s="12" t="s">
        <v>157</v>
      </c>
      <c r="AR38" s="13"/>
      <c r="AS38" s="15" t="s">
        <v>185</v>
      </c>
      <c r="AT38" s="15" t="s">
        <v>186</v>
      </c>
      <c r="AU38" s="14">
        <v>4</v>
      </c>
      <c r="AV38" s="12" t="s">
        <v>160</v>
      </c>
      <c r="AW38" s="15" t="s">
        <v>54</v>
      </c>
      <c r="AX38" s="15" t="s">
        <v>115</v>
      </c>
      <c r="AY38" s="15" t="s">
        <v>161</v>
      </c>
      <c r="AZ38" s="12" t="s">
        <v>187</v>
      </c>
    </row>
    <row r="39" spans="1:52" ht="30" customHeight="1">
      <c r="A39" s="12" t="s">
        <v>188</v>
      </c>
      <c r="B39" s="12" t="s">
        <v>154</v>
      </c>
      <c r="C39" s="13"/>
      <c r="D39" s="14">
        <v>1</v>
      </c>
      <c r="E39" s="13"/>
      <c r="F39" s="12" t="s">
        <v>30</v>
      </c>
      <c r="G39" s="13"/>
      <c r="H39" s="13"/>
      <c r="I39" s="13"/>
      <c r="J39" s="13"/>
      <c r="K39" s="13"/>
      <c r="L39" s="13"/>
      <c r="M39" s="13"/>
      <c r="N39" s="13"/>
      <c r="O39" s="13"/>
      <c r="P39" s="13"/>
      <c r="Q39" s="13"/>
      <c r="R39" s="16">
        <f>IF($AY39="Conflict","",IF(COUNT(H39:Q39)=10,SUM(H39:Q39),IF(ISNUMBER($AU39),$AU39,"")))</f>
        <v/>
      </c>
      <c r="S39" s="16">
        <f>IF(ISNUMBER(R39),R39/30*100,"")</f>
        <v/>
      </c>
      <c r="T39" s="16">
        <f>IF($AY39="Conflict","",IF(COUNT(H39:J39,L39)=4,SUM(H39:J39,L39),""))</f>
        <v/>
      </c>
      <c r="U39" s="16">
        <f>IF($AY39="Conflict","",IF(COUNT(K39,M39:O39)=4,SUM(K39,M39:O39),""))</f>
        <v/>
      </c>
      <c r="V39" s="16">
        <f>IF($AY39="Conflict","",IF(COUNT(P39:Q39)=2,SUM(P39:Q39),""))</f>
        <v/>
      </c>
      <c r="W39" s="13"/>
      <c r="X39" s="13"/>
      <c r="Y39" s="13"/>
      <c r="Z39" s="13"/>
      <c r="AA39" s="13"/>
      <c r="AB39" s="13"/>
      <c r="AC39" s="13"/>
      <c r="AD39" s="13"/>
      <c r="AE39" s="18">
        <v>2418</v>
      </c>
      <c r="AF39" s="13"/>
      <c r="AG39" s="18">
        <v>180.1</v>
      </c>
      <c r="AH39" s="19">
        <f>IF(AND(ISNUMBER(AG39),ISNUMBER(AF39),AF39&gt;0),AG39/AF39,"")</f>
        <v/>
      </c>
      <c r="AI39" s="13"/>
      <c r="AJ39" s="13"/>
      <c r="AK39" s="13"/>
      <c r="AL39" s="13"/>
      <c r="AM39" s="15" t="s">
        <v>34</v>
      </c>
      <c r="AN39" s="12" t="s">
        <v>189</v>
      </c>
      <c r="AO39" s="15" t="s">
        <v>50</v>
      </c>
      <c r="AP39" s="12" t="s">
        <v>190</v>
      </c>
      <c r="AQ39" s="13"/>
      <c r="AR39" s="13"/>
      <c r="AS39" s="15" t="s">
        <v>191</v>
      </c>
      <c r="AT39" s="15" t="s">
        <v>192</v>
      </c>
      <c r="AU39" s="13"/>
      <c r="AV39" s="12" t="s">
        <v>193</v>
      </c>
      <c r="AW39" s="15" t="s">
        <v>67</v>
      </c>
      <c r="AX39" s="15" t="s">
        <v>115</v>
      </c>
      <c r="AY39" s="15" t="s">
        <v>194</v>
      </c>
      <c r="AZ39" s="12" t="s">
        <v>195</v>
      </c>
    </row>
    <row r="40" spans="1:52" ht="30" customHeight="1">
      <c r="A40" s="12" t="s">
        <v>196</v>
      </c>
      <c r="B40" s="12" t="s">
        <v>154</v>
      </c>
      <c r="C40" s="13"/>
      <c r="D40" s="14">
        <v>1</v>
      </c>
      <c r="E40" s="13"/>
      <c r="F40" s="12" t="s">
        <v>30</v>
      </c>
      <c r="G40" s="13"/>
      <c r="H40" s="13"/>
      <c r="I40" s="13"/>
      <c r="J40" s="13"/>
      <c r="K40" s="13"/>
      <c r="L40" s="13"/>
      <c r="M40" s="13"/>
      <c r="N40" s="13"/>
      <c r="O40" s="13"/>
      <c r="P40" s="13"/>
      <c r="Q40" s="13"/>
      <c r="R40" s="16">
        <f>IF($AY40="Conflict","",IF(COUNT(H40:Q40)=10,SUM(H40:Q40),IF(ISNUMBER($AU40),$AU40,"")))</f>
        <v/>
      </c>
      <c r="S40" s="16">
        <f>IF(ISNUMBER(R40),R40/30*100,"")</f>
        <v/>
      </c>
      <c r="T40" s="16">
        <f>IF($AY40="Conflict","",IF(COUNT(H40:J40,L40)=4,SUM(H40:J40,L40),""))</f>
        <v/>
      </c>
      <c r="U40" s="16">
        <f>IF($AY40="Conflict","",IF(COUNT(K40,M40:O40)=4,SUM(K40,M40:O40),""))</f>
        <v/>
      </c>
      <c r="V40" s="16">
        <f>IF($AY40="Conflict","",IF(COUNT(P40:Q40)=2,SUM(P40:Q40),""))</f>
        <v/>
      </c>
      <c r="W40" s="13"/>
      <c r="X40" s="13"/>
      <c r="Y40" s="13"/>
      <c r="Z40" s="13"/>
      <c r="AA40" s="13"/>
      <c r="AB40" s="13"/>
      <c r="AC40" s="13"/>
      <c r="AD40" s="13"/>
      <c r="AE40" s="18">
        <v>1867</v>
      </c>
      <c r="AF40" s="13"/>
      <c r="AG40" s="18">
        <v>150.2</v>
      </c>
      <c r="AH40" s="19">
        <f>IF(AND(ISNUMBER(AG40),ISNUMBER(AF40),AF40&gt;0),AG40/AF40,"")</f>
        <v/>
      </c>
      <c r="AI40" s="13"/>
      <c r="AJ40" s="13"/>
      <c r="AK40" s="13"/>
      <c r="AL40" s="13"/>
      <c r="AM40" s="15" t="s">
        <v>34</v>
      </c>
      <c r="AN40" s="12" t="s">
        <v>189</v>
      </c>
      <c r="AO40" s="15" t="s">
        <v>50</v>
      </c>
      <c r="AP40" s="12" t="s">
        <v>190</v>
      </c>
      <c r="AQ40" s="13"/>
      <c r="AR40" s="13"/>
      <c r="AS40" s="15" t="s">
        <v>197</v>
      </c>
      <c r="AT40" s="15" t="s">
        <v>198</v>
      </c>
      <c r="AU40" s="13"/>
      <c r="AV40" s="12" t="s">
        <v>193</v>
      </c>
      <c r="AW40" s="15" t="s">
        <v>67</v>
      </c>
      <c r="AX40" s="15" t="s">
        <v>115</v>
      </c>
      <c r="AY40" s="15" t="s">
        <v>194</v>
      </c>
      <c r="AZ40" s="12" t="s">
        <v>187</v>
      </c>
    </row>
    <row r="41" spans="1:52" ht="30" customHeight="1">
      <c r="A41" s="12" t="s">
        <v>199</v>
      </c>
      <c r="B41" s="12" t="s">
        <v>154</v>
      </c>
      <c r="C41" s="13"/>
      <c r="D41" s="13"/>
      <c r="E41" s="13"/>
      <c r="F41" s="12" t="s">
        <v>63</v>
      </c>
      <c r="G41" s="13"/>
      <c r="H41" s="13"/>
      <c r="I41" s="13"/>
      <c r="J41" s="13"/>
      <c r="K41" s="13"/>
      <c r="L41" s="13"/>
      <c r="M41" s="13"/>
      <c r="N41" s="13"/>
      <c r="O41" s="13"/>
      <c r="P41" s="13"/>
      <c r="Q41" s="13"/>
      <c r="R41" s="16">
        <f>IF($AY41="Conflict","",IF(COUNT(H41:Q41)=10,SUM(H41:Q41),IF(ISNUMBER($AU41),$AU41,"")))</f>
        <v/>
      </c>
      <c r="S41" s="16">
        <f>IF(ISNUMBER(R41),R41/30*100,"")</f>
        <v/>
      </c>
      <c r="T41" s="16">
        <f>IF($AY41="Conflict","",IF(COUNT(H41:J41,L41)=4,SUM(H41:J41,L41),""))</f>
        <v/>
      </c>
      <c r="U41" s="16">
        <f>IF($AY41="Conflict","",IF(COUNT(K41,M41:O41)=4,SUM(K41,M41:O41),""))</f>
        <v/>
      </c>
      <c r="V41" s="16">
        <f>IF($AY41="Conflict","",IF(COUNT(P41:Q41)=2,SUM(P41:Q41),""))</f>
        <v/>
      </c>
      <c r="W41" s="13"/>
      <c r="X41" s="13"/>
      <c r="Y41" s="13"/>
      <c r="Z41" s="13"/>
      <c r="AA41" s="13"/>
      <c r="AB41" s="13"/>
      <c r="AC41" s="13"/>
      <c r="AD41" s="13"/>
      <c r="AE41" s="13"/>
      <c r="AF41" s="13"/>
      <c r="AG41" s="13"/>
      <c r="AH41" s="19">
        <f>IF(AND(ISNUMBER(AG41),ISNUMBER(AF41),AF41&gt;0),AG41/AF41,"")</f>
        <v/>
      </c>
      <c r="AI41" s="13"/>
      <c r="AJ41" s="13"/>
      <c r="AK41" s="13"/>
      <c r="AL41" s="13"/>
      <c r="AM41" s="15" t="s">
        <v>34</v>
      </c>
      <c r="AN41" s="12" t="s">
        <v>189</v>
      </c>
      <c r="AO41" s="13"/>
      <c r="AP41" s="12" t="s">
        <v>190</v>
      </c>
      <c r="AQ41" s="13"/>
      <c r="AR41" s="13"/>
      <c r="AS41" s="15" t="s">
        <v>200</v>
      </c>
      <c r="AT41" s="15" t="s">
        <v>201</v>
      </c>
      <c r="AU41" s="13"/>
      <c r="AV41" s="12" t="s">
        <v>193</v>
      </c>
      <c r="AW41" s="15" t="s">
        <v>83</v>
      </c>
      <c r="AX41" s="15" t="s">
        <v>115</v>
      </c>
      <c r="AY41" s="15" t="s">
        <v>194</v>
      </c>
      <c r="AZ41" s="13"/>
    </row>
    <row r="42" spans="1:52" ht="30" customHeight="1">
      <c r="A42" s="12" t="s">
        <v>202</v>
      </c>
      <c r="B42" s="12" t="s">
        <v>154</v>
      </c>
      <c r="C42" s="13"/>
      <c r="D42" s="14">
        <v>1</v>
      </c>
      <c r="E42" s="13"/>
      <c r="F42" s="12" t="s">
        <v>30</v>
      </c>
      <c r="G42" s="14">
        <v>1</v>
      </c>
      <c r="H42" s="14">
        <v>2</v>
      </c>
      <c r="I42" s="14">
        <v>2</v>
      </c>
      <c r="J42" s="14">
        <v>2</v>
      </c>
      <c r="K42" s="14">
        <v>1</v>
      </c>
      <c r="L42" s="14">
        <v>1</v>
      </c>
      <c r="M42" s="14">
        <v>0</v>
      </c>
      <c r="N42" s="14">
        <v>0</v>
      </c>
      <c r="O42" s="14">
        <v>0</v>
      </c>
      <c r="P42" s="14">
        <v>0</v>
      </c>
      <c r="Q42" s="14">
        <v>2</v>
      </c>
      <c r="R42" s="16">
        <f>IF($AY42="Conflict","",IF(COUNT(H42:Q42)=10,SUM(H42:Q42),IF(ISNUMBER($AU42),$AU42,"")))</f>
        <v>10</v>
      </c>
      <c r="S42" s="16">
        <f>IF(ISNUMBER(R42),R42/30*100,"")</f>
        <v>33.33333333333333</v>
      </c>
      <c r="T42" s="16">
        <f>IF($AY42="Conflict","",IF(COUNT(H42:J42,L42)=4,SUM(H42:J42,L42),""))</f>
        <v>7</v>
      </c>
      <c r="U42" s="16">
        <f>IF($AY42="Conflict","",IF(COUNT(K42,M42:O42)=4,SUM(K42,M42:O42),""))</f>
        <v>1</v>
      </c>
      <c r="V42" s="16">
        <f>IF($AY42="Conflict","",IF(COUNT(P42:Q42)=2,SUM(P42:Q42),""))</f>
        <v>2</v>
      </c>
      <c r="W42" s="15" t="s">
        <v>31</v>
      </c>
      <c r="X42" s="15" t="s">
        <v>155</v>
      </c>
      <c r="Y42" s="13"/>
      <c r="Z42" s="13"/>
      <c r="AA42" s="13"/>
      <c r="AB42" s="13"/>
      <c r="AC42" s="14" t="s">
        <v>33</v>
      </c>
      <c r="AD42" s="13"/>
      <c r="AE42" s="13"/>
      <c r="AF42" s="13"/>
      <c r="AG42" s="13"/>
      <c r="AH42" s="19">
        <f>IF(AND(ISNUMBER(AG42),ISNUMBER(AF42),AF42&gt;0),AG42/AF42,"")</f>
        <v/>
      </c>
      <c r="AI42" s="13"/>
      <c r="AJ42" s="13"/>
      <c r="AK42" s="13"/>
      <c r="AL42" s="13"/>
      <c r="AM42" s="15" t="s">
        <v>34</v>
      </c>
      <c r="AN42" s="12" t="s">
        <v>184</v>
      </c>
      <c r="AO42" s="13"/>
      <c r="AP42" s="12" t="s">
        <v>36</v>
      </c>
      <c r="AQ42" s="12" t="s">
        <v>157</v>
      </c>
      <c r="AR42" s="13"/>
      <c r="AS42" s="15" t="s">
        <v>203</v>
      </c>
      <c r="AT42" s="15" t="s">
        <v>204</v>
      </c>
      <c r="AU42" s="14">
        <v>10</v>
      </c>
      <c r="AV42" s="12" t="s">
        <v>39</v>
      </c>
      <c r="AW42" s="15" t="s">
        <v>83</v>
      </c>
      <c r="AX42" s="15" t="s">
        <v>41</v>
      </c>
      <c r="AY42" s="15" t="s">
        <v>42</v>
      </c>
      <c r="AZ42" s="13"/>
    </row>
    <row r="43" spans="1:52" ht="30" customHeight="1">
      <c r="A43" s="12" t="s">
        <v>205</v>
      </c>
      <c r="B43" s="12" t="s">
        <v>154</v>
      </c>
      <c r="C43" s="13"/>
      <c r="D43" s="14">
        <v>1</v>
      </c>
      <c r="E43" s="13"/>
      <c r="F43" s="12" t="s">
        <v>63</v>
      </c>
      <c r="G43" s="14">
        <v>1</v>
      </c>
      <c r="H43" s="14">
        <v>3</v>
      </c>
      <c r="I43" s="14">
        <v>2</v>
      </c>
      <c r="J43" s="14">
        <v>2</v>
      </c>
      <c r="K43" s="14">
        <v>2</v>
      </c>
      <c r="L43" s="14">
        <v>1</v>
      </c>
      <c r="M43" s="14">
        <v>1</v>
      </c>
      <c r="N43" s="14">
        <v>0</v>
      </c>
      <c r="O43" s="14">
        <v>1</v>
      </c>
      <c r="P43" s="14">
        <v>2</v>
      </c>
      <c r="Q43" s="14">
        <v>2</v>
      </c>
      <c r="R43" s="16">
        <f>IF($AY43="Conflict","",IF(COUNT(H43:Q43)=10,SUM(H43:Q43),IF(ISNUMBER($AU43),$AU43,"")))</f>
        <v/>
      </c>
      <c r="S43" s="16">
        <f>IF(ISNUMBER(R43),R43/30*100,"")</f>
        <v/>
      </c>
      <c r="T43" s="16">
        <f>IF($AY43="Conflict","",IF(COUNT(H43:J43,L43)=4,SUM(H43:J43,L43),""))</f>
        <v/>
      </c>
      <c r="U43" s="16">
        <f>IF($AY43="Conflict","",IF(COUNT(K43,M43:O43)=4,SUM(K43,M43:O43),""))</f>
        <v/>
      </c>
      <c r="V43" s="16">
        <f>IF($AY43="Conflict","",IF(COUNT(P43:Q43)=2,SUM(P43:Q43),""))</f>
        <v/>
      </c>
      <c r="W43" s="15" t="s">
        <v>31</v>
      </c>
      <c r="X43" s="15" t="s">
        <v>155</v>
      </c>
      <c r="Y43" s="13"/>
      <c r="Z43" s="13"/>
      <c r="AA43" s="13"/>
      <c r="AB43" s="13"/>
      <c r="AC43" s="14" t="s">
        <v>33</v>
      </c>
      <c r="AD43" s="13"/>
      <c r="AE43" s="18">
        <v>21567.9</v>
      </c>
      <c r="AF43" s="13"/>
      <c r="AG43" s="18">
        <v>169.7</v>
      </c>
      <c r="AH43" s="19">
        <f>IF(AND(ISNUMBER(AG43),ISNUMBER(AF43),AF43&gt;0),AG43/AF43,"")</f>
        <v/>
      </c>
      <c r="AI43" s="13"/>
      <c r="AJ43" s="13"/>
      <c r="AK43" s="13"/>
      <c r="AL43" s="13"/>
      <c r="AM43" s="15" t="s">
        <v>45</v>
      </c>
      <c r="AN43" s="12" t="s">
        <v>206</v>
      </c>
      <c r="AO43" s="15" t="s">
        <v>50</v>
      </c>
      <c r="AP43" s="12" t="s">
        <v>36</v>
      </c>
      <c r="AQ43" s="12" t="s">
        <v>157</v>
      </c>
      <c r="AR43" s="13"/>
      <c r="AS43" s="15" t="s">
        <v>207</v>
      </c>
      <c r="AT43" s="15" t="s">
        <v>208</v>
      </c>
      <c r="AU43" s="13"/>
      <c r="AV43" s="12" t="s">
        <v>160</v>
      </c>
      <c r="AW43" s="15" t="s">
        <v>54</v>
      </c>
      <c r="AX43" s="15" t="s">
        <v>115</v>
      </c>
      <c r="AY43" s="15" t="s">
        <v>161</v>
      </c>
      <c r="AZ43" s="12" t="s">
        <v>209</v>
      </c>
    </row>
    <row r="44" spans="1:52" ht="30" customHeight="1">
      <c r="A44" s="12" t="s">
        <v>210</v>
      </c>
      <c r="B44" s="12" t="s">
        <v>154</v>
      </c>
      <c r="C44" s="13"/>
      <c r="D44" s="14">
        <v>1</v>
      </c>
      <c r="E44" s="13"/>
      <c r="F44" s="12" t="s">
        <v>30</v>
      </c>
      <c r="G44" s="14">
        <v>1</v>
      </c>
      <c r="H44" s="14">
        <v>3</v>
      </c>
      <c r="I44" s="14">
        <v>2</v>
      </c>
      <c r="J44" s="14">
        <v>2</v>
      </c>
      <c r="K44" s="14">
        <v>2</v>
      </c>
      <c r="L44" s="14">
        <v>2</v>
      </c>
      <c r="M44" s="14">
        <v>2</v>
      </c>
      <c r="N44" s="14">
        <v>0</v>
      </c>
      <c r="O44" s="14">
        <v>1</v>
      </c>
      <c r="P44" s="14">
        <v>3</v>
      </c>
      <c r="Q44" s="14">
        <v>2</v>
      </c>
      <c r="R44" s="16">
        <f>IF($AY44="Conflict","",IF(COUNT(H44:Q44)=10,SUM(H44:Q44),IF(ISNUMBER($AU44),$AU44,"")))</f>
        <v/>
      </c>
      <c r="S44" s="16">
        <f>IF(ISNUMBER(R44),R44/30*100,"")</f>
        <v/>
      </c>
      <c r="T44" s="16">
        <f>IF($AY44="Conflict","",IF(COUNT(H44:J44,L44)=4,SUM(H44:J44,L44),""))</f>
        <v/>
      </c>
      <c r="U44" s="16">
        <f>IF($AY44="Conflict","",IF(COUNT(K44,M44:O44)=4,SUM(K44,M44:O44),""))</f>
        <v/>
      </c>
      <c r="V44" s="16">
        <f>IF($AY44="Conflict","",IF(COUNT(P44:Q44)=2,SUM(P44:Q44),""))</f>
        <v/>
      </c>
      <c r="W44" s="15" t="s">
        <v>31</v>
      </c>
      <c r="X44" s="15" t="s">
        <v>155</v>
      </c>
      <c r="Y44" s="13"/>
      <c r="Z44" s="13"/>
      <c r="AA44" s="13"/>
      <c r="AB44" s="13"/>
      <c r="AC44" s="14" t="s">
        <v>33</v>
      </c>
      <c r="AD44" s="13"/>
      <c r="AE44" s="13"/>
      <c r="AF44" s="13"/>
      <c r="AG44" s="13"/>
      <c r="AH44" s="19">
        <f>IF(AND(ISNUMBER(AG44),ISNUMBER(AF44),AF44&gt;0),AG44/AF44,"")</f>
        <v/>
      </c>
      <c r="AI44" s="13"/>
      <c r="AJ44" s="13"/>
      <c r="AK44" s="13"/>
      <c r="AL44" s="13"/>
      <c r="AM44" s="15" t="s">
        <v>45</v>
      </c>
      <c r="AN44" s="12" t="s">
        <v>211</v>
      </c>
      <c r="AO44" s="13"/>
      <c r="AP44" s="12" t="s">
        <v>36</v>
      </c>
      <c r="AQ44" s="12" t="s">
        <v>157</v>
      </c>
      <c r="AR44" s="13"/>
      <c r="AS44" s="15" t="s">
        <v>212</v>
      </c>
      <c r="AT44" s="15" t="s">
        <v>213</v>
      </c>
      <c r="AU44" s="13"/>
      <c r="AV44" s="12" t="s">
        <v>160</v>
      </c>
      <c r="AW44" s="15" t="s">
        <v>83</v>
      </c>
      <c r="AX44" s="15" t="s">
        <v>115</v>
      </c>
      <c r="AY44" s="15" t="s">
        <v>161</v>
      </c>
      <c r="AZ44" s="13"/>
    </row>
    <row r="45" spans="1:52" ht="30" customHeight="1">
      <c r="A45" s="12" t="s">
        <v>214</v>
      </c>
      <c r="B45" s="12" t="s">
        <v>154</v>
      </c>
      <c r="C45" s="13"/>
      <c r="D45" s="14">
        <v>1</v>
      </c>
      <c r="E45" s="13"/>
      <c r="F45" s="13"/>
      <c r="G45" s="14">
        <v>1</v>
      </c>
      <c r="H45" s="14">
        <v>3</v>
      </c>
      <c r="I45" s="14">
        <v>2</v>
      </c>
      <c r="J45" s="14">
        <v>2</v>
      </c>
      <c r="K45" s="14">
        <v>2</v>
      </c>
      <c r="L45" s="14">
        <v>1</v>
      </c>
      <c r="M45" s="14">
        <v>1</v>
      </c>
      <c r="N45" s="14">
        <v>0</v>
      </c>
      <c r="O45" s="14">
        <v>1</v>
      </c>
      <c r="P45" s="14">
        <v>2</v>
      </c>
      <c r="Q45" s="14">
        <v>2</v>
      </c>
      <c r="R45" s="16">
        <f>IF($AY45="Conflict","",IF(COUNT(H45:Q45)=10,SUM(H45:Q45),IF(ISNUMBER($AU45),$AU45,"")))</f>
        <v/>
      </c>
      <c r="S45" s="16">
        <f>IF(ISNUMBER(R45),R45/30*100,"")</f>
        <v/>
      </c>
      <c r="T45" s="16">
        <f>IF($AY45="Conflict","",IF(COUNT(H45:J45,L45)=4,SUM(H45:J45,L45),""))</f>
        <v/>
      </c>
      <c r="U45" s="16">
        <f>IF($AY45="Conflict","",IF(COUNT(K45,M45:O45)=4,SUM(K45,M45:O45),""))</f>
        <v/>
      </c>
      <c r="V45" s="16">
        <f>IF($AY45="Conflict","",IF(COUNT(P45:Q45)=2,SUM(P45:Q45),""))</f>
        <v/>
      </c>
      <c r="W45" s="15" t="s">
        <v>31</v>
      </c>
      <c r="X45" s="15" t="s">
        <v>155</v>
      </c>
      <c r="Y45" s="13"/>
      <c r="Z45" s="13"/>
      <c r="AA45" s="13"/>
      <c r="AB45" s="13"/>
      <c r="AC45" s="14" t="s">
        <v>33</v>
      </c>
      <c r="AD45" s="13"/>
      <c r="AE45" s="13"/>
      <c r="AF45" s="13"/>
      <c r="AG45" s="13"/>
      <c r="AH45" s="19">
        <f>IF(AND(ISNUMBER(AG45),ISNUMBER(AF45),AF45&gt;0),AG45/AF45,"")</f>
        <v/>
      </c>
      <c r="AI45" s="13"/>
      <c r="AJ45" s="13"/>
      <c r="AK45" s="13"/>
      <c r="AL45" s="13"/>
      <c r="AM45" s="13"/>
      <c r="AN45" s="12" t="s">
        <v>206</v>
      </c>
      <c r="AO45" s="13"/>
      <c r="AP45" s="12" t="s">
        <v>36</v>
      </c>
      <c r="AQ45" s="12" t="s">
        <v>157</v>
      </c>
      <c r="AR45" s="13"/>
      <c r="AS45" s="15" t="s">
        <v>215</v>
      </c>
      <c r="AT45" s="15" t="s">
        <v>216</v>
      </c>
      <c r="AU45" s="13"/>
      <c r="AV45" s="12" t="s">
        <v>160</v>
      </c>
      <c r="AW45" s="15" t="s">
        <v>83</v>
      </c>
      <c r="AX45" s="15" t="s">
        <v>115</v>
      </c>
      <c r="AY45" s="15" t="s">
        <v>161</v>
      </c>
      <c r="AZ45" s="13"/>
    </row>
    <row r="46" spans="1:52" ht="30" customHeight="1">
      <c r="A46" s="12" t="s">
        <v>217</v>
      </c>
      <c r="B46" s="12" t="s">
        <v>154</v>
      </c>
      <c r="C46" s="13"/>
      <c r="D46" s="14">
        <v>1</v>
      </c>
      <c r="E46" s="13"/>
      <c r="F46" s="12" t="s">
        <v>30</v>
      </c>
      <c r="G46" s="14">
        <v>1</v>
      </c>
      <c r="H46" s="14">
        <v>1</v>
      </c>
      <c r="I46" s="14">
        <v>1</v>
      </c>
      <c r="J46" s="14">
        <v>1</v>
      </c>
      <c r="K46" s="14">
        <v>1</v>
      </c>
      <c r="L46" s="14">
        <v>1</v>
      </c>
      <c r="M46" s="14">
        <v>0</v>
      </c>
      <c r="N46" s="14">
        <v>0</v>
      </c>
      <c r="O46" s="14">
        <v>0</v>
      </c>
      <c r="P46" s="14">
        <v>0</v>
      </c>
      <c r="Q46" s="14">
        <v>1</v>
      </c>
      <c r="R46" s="16">
        <f>IF($AY46="Conflict","",IF(COUNT(H46:Q46)=10,SUM(H46:Q46),IF(ISNUMBER($AU46),$AU46,"")))</f>
        <v>6</v>
      </c>
      <c r="S46" s="16">
        <f>IF(ISNUMBER(R46),R46/30*100,"")</f>
        <v>20.0</v>
      </c>
      <c r="T46" s="16">
        <f>IF($AY46="Conflict","",IF(COUNT(H46:J46,L46)=4,SUM(H46:J46,L46),""))</f>
        <v>4</v>
      </c>
      <c r="U46" s="16">
        <f>IF($AY46="Conflict","",IF(COUNT(K46,M46:O46)=4,SUM(K46,M46:O46),""))</f>
        <v>1</v>
      </c>
      <c r="V46" s="16">
        <f>IF($AY46="Conflict","",IF(COUNT(P46:Q46)=2,SUM(P46:Q46),""))</f>
        <v>1</v>
      </c>
      <c r="W46" s="15" t="s">
        <v>31</v>
      </c>
      <c r="X46" s="15" t="s">
        <v>155</v>
      </c>
      <c r="Y46" s="13"/>
      <c r="Z46" s="13"/>
      <c r="AA46" s="13"/>
      <c r="AB46" s="13"/>
      <c r="AC46" s="14" t="s">
        <v>33</v>
      </c>
      <c r="AD46" s="13"/>
      <c r="AE46" s="13"/>
      <c r="AF46" s="13"/>
      <c r="AG46" s="13"/>
      <c r="AH46" s="19">
        <f>IF(AND(ISNUMBER(AG46),ISNUMBER(AF46),AF46&gt;0),AG46/AF46,"")</f>
        <v/>
      </c>
      <c r="AI46" s="13"/>
      <c r="AJ46" s="13"/>
      <c r="AK46" s="13"/>
      <c r="AL46" s="13"/>
      <c r="AM46" s="15" t="s">
        <v>34</v>
      </c>
      <c r="AN46" s="12" t="s">
        <v>156</v>
      </c>
      <c r="AO46" s="13"/>
      <c r="AP46" s="12" t="s">
        <v>36</v>
      </c>
      <c r="AQ46" s="12" t="s">
        <v>157</v>
      </c>
      <c r="AR46" s="13"/>
      <c r="AS46" s="15" t="s">
        <v>218</v>
      </c>
      <c r="AT46" s="15" t="s">
        <v>219</v>
      </c>
      <c r="AU46" s="14">
        <v>6</v>
      </c>
      <c r="AV46" s="12" t="s">
        <v>39</v>
      </c>
      <c r="AW46" s="15" t="s">
        <v>83</v>
      </c>
      <c r="AX46" s="15" t="s">
        <v>41</v>
      </c>
      <c r="AY46" s="15" t="s">
        <v>42</v>
      </c>
      <c r="AZ46" s="13"/>
    </row>
    <row r="47" spans="1:52" ht="30" customHeight="1">
      <c r="A47" s="12" t="s">
        <v>220</v>
      </c>
      <c r="B47" s="12" t="s">
        <v>154</v>
      </c>
      <c r="C47" s="13"/>
      <c r="D47" s="14">
        <v>1</v>
      </c>
      <c r="E47" s="13"/>
      <c r="F47" s="12" t="s">
        <v>30</v>
      </c>
      <c r="G47" s="13"/>
      <c r="H47" s="14">
        <v>3</v>
      </c>
      <c r="I47" s="14">
        <v>2</v>
      </c>
      <c r="J47" s="14">
        <v>2</v>
      </c>
      <c r="K47" s="14">
        <v>2</v>
      </c>
      <c r="L47" s="14">
        <v>1</v>
      </c>
      <c r="M47" s="14">
        <v>1</v>
      </c>
      <c r="N47" s="14">
        <v>0</v>
      </c>
      <c r="O47" s="14">
        <v>1</v>
      </c>
      <c r="P47" s="14">
        <v>3</v>
      </c>
      <c r="Q47" s="14">
        <v>2</v>
      </c>
      <c r="R47" s="16">
        <f>IF($AY47="Conflict","",IF(COUNT(H47:Q47)=10,SUM(H47:Q47),IF(ISNUMBER($AU47),$AU47,"")))</f>
        <v/>
      </c>
      <c r="S47" s="16">
        <f>IF(ISNUMBER(R47),R47/30*100,"")</f>
        <v/>
      </c>
      <c r="T47" s="16">
        <f>IF($AY47="Conflict","",IF(COUNT(H47:J47,L47)=4,SUM(H47:J47,L47),""))</f>
        <v/>
      </c>
      <c r="U47" s="16">
        <f>IF($AY47="Conflict","",IF(COUNT(K47,M47:O47)=4,SUM(K47,M47:O47),""))</f>
        <v/>
      </c>
      <c r="V47" s="16">
        <f>IF($AY47="Conflict","",IF(COUNT(P47:Q47)=2,SUM(P47:Q47),""))</f>
        <v/>
      </c>
      <c r="W47" s="15" t="s">
        <v>31</v>
      </c>
      <c r="X47" s="15" t="s">
        <v>155</v>
      </c>
      <c r="Y47" s="13"/>
      <c r="Z47" s="13"/>
      <c r="AA47" s="13"/>
      <c r="AB47" s="13"/>
      <c r="AC47" s="14" t="s">
        <v>33</v>
      </c>
      <c r="AD47" s="13"/>
      <c r="AE47" s="13"/>
      <c r="AF47" s="18">
        <v>22261</v>
      </c>
      <c r="AG47" s="13"/>
      <c r="AH47" s="19">
        <f>IF(AND(ISNUMBER(AG47),ISNUMBER(AF47),AF47&gt;0),AG47/AF47,"")</f>
        <v/>
      </c>
      <c r="AI47" s="18">
        <v>4527</v>
      </c>
      <c r="AJ47" s="13"/>
      <c r="AK47" s="13"/>
      <c r="AL47" s="13"/>
      <c r="AM47" s="15" t="s">
        <v>45</v>
      </c>
      <c r="AN47" s="12" t="s">
        <v>221</v>
      </c>
      <c r="AO47" s="15" t="s">
        <v>31</v>
      </c>
      <c r="AP47" s="12" t="s">
        <v>36</v>
      </c>
      <c r="AQ47" s="12" t="s">
        <v>157</v>
      </c>
      <c r="AR47" s="13"/>
      <c r="AS47" s="15" t="s">
        <v>222</v>
      </c>
      <c r="AT47" s="15" t="s">
        <v>223</v>
      </c>
      <c r="AU47" s="13"/>
      <c r="AV47" s="12" t="s">
        <v>160</v>
      </c>
      <c r="AW47" s="15" t="s">
        <v>40</v>
      </c>
      <c r="AX47" s="15" t="s">
        <v>115</v>
      </c>
      <c r="AY47" s="15" t="s">
        <v>161</v>
      </c>
      <c r="AZ47" s="12" t="s">
        <v>224</v>
      </c>
    </row>
    <row r="48" spans="1:52" ht="30" customHeight="1">
      <c r="A48" s="12" t="s">
        <v>225</v>
      </c>
      <c r="B48" s="12" t="s">
        <v>226</v>
      </c>
      <c r="C48" s="13"/>
      <c r="D48" s="14">
        <v>1</v>
      </c>
      <c r="E48" s="13"/>
      <c r="F48" s="12" t="s">
        <v>30</v>
      </c>
      <c r="G48" s="14">
        <v>1</v>
      </c>
      <c r="H48" s="13"/>
      <c r="I48" s="13"/>
      <c r="J48" s="13"/>
      <c r="K48" s="13"/>
      <c r="L48" s="13"/>
      <c r="M48" s="13"/>
      <c r="N48" s="13"/>
      <c r="O48" s="13"/>
      <c r="P48" s="13"/>
      <c r="Q48" s="13"/>
      <c r="R48" s="16">
        <f>IF($AY48="Conflict","",IF(COUNT(H48:Q48)=10,SUM(H48:Q48),IF(ISNUMBER($AU48),$AU48,"")))</f>
        <v>24</v>
      </c>
      <c r="S48" s="16">
        <f>IF(ISNUMBER(R48),R48/30*100,"")</f>
        <v>80.0</v>
      </c>
      <c r="T48" s="16">
        <f>IF($AY48="Conflict","",IF(COUNT(H48:J48,L48)=4,SUM(H48:J48,L48),""))</f>
        <v/>
      </c>
      <c r="U48" s="16">
        <f>IF($AY48="Conflict","",IF(COUNT(K48,M48:O48)=4,SUM(K48,M48:O48),""))</f>
        <v/>
      </c>
      <c r="V48" s="16">
        <f>IF($AY48="Conflict","",IF(COUNT(P48:Q48)=2,SUM(P48:Q48),""))</f>
        <v/>
      </c>
      <c r="W48" s="13"/>
      <c r="X48" s="13"/>
      <c r="Y48" s="13"/>
      <c r="Z48" s="13"/>
      <c r="AA48" s="14">
        <v>0</v>
      </c>
      <c r="AB48" s="13"/>
      <c r="AC48" s="13"/>
      <c r="AD48" s="13"/>
      <c r="AE48" s="13"/>
      <c r="AF48" s="13"/>
      <c r="AG48" s="13"/>
      <c r="AH48" s="19">
        <f>IF(AND(ISNUMBER(AG48),ISNUMBER(AF48),AF48&gt;0),AG48/AF48,"")</f>
        <v/>
      </c>
      <c r="AI48" s="13"/>
      <c r="AJ48" s="13"/>
      <c r="AK48" s="13"/>
      <c r="AL48" s="13"/>
      <c r="AM48" s="13"/>
      <c r="AN48" s="12" t="s">
        <v>227</v>
      </c>
      <c r="AO48" s="13"/>
      <c r="AP48" s="12" t="s">
        <v>228</v>
      </c>
      <c r="AQ48" s="13"/>
      <c r="AR48" s="13"/>
      <c r="AS48" s="15" t="s">
        <v>229</v>
      </c>
      <c r="AT48" s="15" t="s">
        <v>230</v>
      </c>
      <c r="AU48" s="14">
        <v>24</v>
      </c>
      <c r="AV48" s="12" t="s">
        <v>231</v>
      </c>
      <c r="AW48" s="15" t="s">
        <v>83</v>
      </c>
      <c r="AX48" s="15" t="s">
        <v>115</v>
      </c>
      <c r="AY48" s="15" t="s">
        <v>232</v>
      </c>
      <c r="AZ48" s="13"/>
    </row>
    <row r="49" spans="1:52" ht="30" customHeight="1">
      <c r="A49" s="12" t="s">
        <v>233</v>
      </c>
      <c r="B49" s="12" t="s">
        <v>226</v>
      </c>
      <c r="C49" s="13"/>
      <c r="D49" s="14">
        <v>1</v>
      </c>
      <c r="E49" s="13"/>
      <c r="F49" s="12" t="s">
        <v>30</v>
      </c>
      <c r="G49" s="14">
        <v>1</v>
      </c>
      <c r="H49" s="13"/>
      <c r="I49" s="13"/>
      <c r="J49" s="13"/>
      <c r="K49" s="13"/>
      <c r="L49" s="13"/>
      <c r="M49" s="13"/>
      <c r="N49" s="13"/>
      <c r="O49" s="13"/>
      <c r="P49" s="13"/>
      <c r="Q49" s="13"/>
      <c r="R49" s="16">
        <f>IF($AY49="Conflict","",IF(COUNT(H49:Q49)=10,SUM(H49:Q49),IF(ISNUMBER($AU49),$AU49,"")))</f>
        <v>9</v>
      </c>
      <c r="S49" s="16">
        <f>IF(ISNUMBER(R49),R49/30*100,"")</f>
        <v>30.0</v>
      </c>
      <c r="T49" s="16">
        <f>IF($AY49="Conflict","",IF(COUNT(H49:J49,L49)=4,SUM(H49:J49,L49),""))</f>
        <v/>
      </c>
      <c r="U49" s="16">
        <f>IF($AY49="Conflict","",IF(COUNT(K49,M49:O49)=4,SUM(K49,M49:O49),""))</f>
        <v/>
      </c>
      <c r="V49" s="16">
        <f>IF($AY49="Conflict","",IF(COUNT(P49:Q49)=2,SUM(P49:Q49),""))</f>
        <v/>
      </c>
      <c r="W49" s="13"/>
      <c r="X49" s="13"/>
      <c r="Y49" s="13"/>
      <c r="Z49" s="13"/>
      <c r="AA49" s="14">
        <v>0</v>
      </c>
      <c r="AB49" s="13"/>
      <c r="AC49" s="13"/>
      <c r="AD49" s="13"/>
      <c r="AE49" s="13"/>
      <c r="AF49" s="13"/>
      <c r="AG49" s="13"/>
      <c r="AH49" s="19">
        <f>IF(AND(ISNUMBER(AG49),ISNUMBER(AF49),AF49&gt;0),AG49/AF49,"")</f>
        <v/>
      </c>
      <c r="AI49" s="13"/>
      <c r="AJ49" s="13"/>
      <c r="AK49" s="13"/>
      <c r="AL49" s="13"/>
      <c r="AM49" s="13"/>
      <c r="AN49" s="12" t="s">
        <v>227</v>
      </c>
      <c r="AO49" s="13"/>
      <c r="AP49" s="12" t="s">
        <v>228</v>
      </c>
      <c r="AQ49" s="13"/>
      <c r="AR49" s="13"/>
      <c r="AS49" s="15" t="s">
        <v>234</v>
      </c>
      <c r="AT49" s="15" t="s">
        <v>235</v>
      </c>
      <c r="AU49" s="14">
        <v>9</v>
      </c>
      <c r="AV49" s="12" t="s">
        <v>231</v>
      </c>
      <c r="AW49" s="15" t="s">
        <v>83</v>
      </c>
      <c r="AX49" s="15" t="s">
        <v>115</v>
      </c>
      <c r="AY49" s="15" t="s">
        <v>232</v>
      </c>
      <c r="AZ49" s="13"/>
    </row>
    <row r="50" spans="1:52" ht="30" customHeight="1">
      <c r="A50" s="12" t="s">
        <v>236</v>
      </c>
      <c r="B50" s="12" t="s">
        <v>226</v>
      </c>
      <c r="C50" s="13"/>
      <c r="D50" s="14">
        <v>1</v>
      </c>
      <c r="E50" s="13"/>
      <c r="F50" s="12" t="s">
        <v>30</v>
      </c>
      <c r="G50" s="14">
        <v>1</v>
      </c>
      <c r="H50" s="13"/>
      <c r="I50" s="13"/>
      <c r="J50" s="13"/>
      <c r="K50" s="13"/>
      <c r="L50" s="13"/>
      <c r="M50" s="13"/>
      <c r="N50" s="13"/>
      <c r="O50" s="13"/>
      <c r="P50" s="13"/>
      <c r="Q50" s="13"/>
      <c r="R50" s="16">
        <f>IF($AY50="Conflict","",IF(COUNT(H50:Q50)=10,SUM(H50:Q50),IF(ISNUMBER($AU50),$AU50,"")))</f>
        <v>25</v>
      </c>
      <c r="S50" s="16">
        <f>IF(ISNUMBER(R50),R50/30*100,"")</f>
        <v>83.33333333333334</v>
      </c>
      <c r="T50" s="16">
        <f>IF($AY50="Conflict","",IF(COUNT(H50:J50,L50)=4,SUM(H50:J50,L50),""))</f>
        <v/>
      </c>
      <c r="U50" s="16">
        <f>IF($AY50="Conflict","",IF(COUNT(K50,M50:O50)=4,SUM(K50,M50:O50),""))</f>
        <v/>
      </c>
      <c r="V50" s="16">
        <f>IF($AY50="Conflict","",IF(COUNT(P50:Q50)=2,SUM(P50:Q50),""))</f>
        <v/>
      </c>
      <c r="W50" s="13"/>
      <c r="X50" s="13"/>
      <c r="Y50" s="13"/>
      <c r="Z50" s="13"/>
      <c r="AA50" s="14">
        <v>0</v>
      </c>
      <c r="AB50" s="13"/>
      <c r="AC50" s="13"/>
      <c r="AD50" s="13"/>
      <c r="AE50" s="13"/>
      <c r="AF50" s="13"/>
      <c r="AG50" s="13"/>
      <c r="AH50" s="19">
        <f>IF(AND(ISNUMBER(AG50),ISNUMBER(AF50),AF50&gt;0),AG50/AF50,"")</f>
        <v/>
      </c>
      <c r="AI50" s="13"/>
      <c r="AJ50" s="13"/>
      <c r="AK50" s="13"/>
      <c r="AL50" s="13"/>
      <c r="AM50" s="13"/>
      <c r="AN50" s="12" t="s">
        <v>227</v>
      </c>
      <c r="AO50" s="13"/>
      <c r="AP50" s="12" t="s">
        <v>228</v>
      </c>
      <c r="AQ50" s="13"/>
      <c r="AR50" s="13"/>
      <c r="AS50" s="15" t="s">
        <v>237</v>
      </c>
      <c r="AT50" s="15" t="s">
        <v>238</v>
      </c>
      <c r="AU50" s="14">
        <v>25</v>
      </c>
      <c r="AV50" s="12" t="s">
        <v>231</v>
      </c>
      <c r="AW50" s="15" t="s">
        <v>83</v>
      </c>
      <c r="AX50" s="15" t="s">
        <v>115</v>
      </c>
      <c r="AY50" s="15" t="s">
        <v>232</v>
      </c>
      <c r="AZ50" s="13"/>
    </row>
    <row r="51" spans="1:52" ht="30" customHeight="1">
      <c r="A51" s="12" t="s">
        <v>239</v>
      </c>
      <c r="B51" s="12" t="s">
        <v>226</v>
      </c>
      <c r="C51" s="13"/>
      <c r="D51" s="14">
        <v>1</v>
      </c>
      <c r="E51" s="13"/>
      <c r="F51" s="12" t="s">
        <v>30</v>
      </c>
      <c r="G51" s="14">
        <v>1</v>
      </c>
      <c r="H51" s="13"/>
      <c r="I51" s="13"/>
      <c r="J51" s="13"/>
      <c r="K51" s="13"/>
      <c r="L51" s="13"/>
      <c r="M51" s="13"/>
      <c r="N51" s="13"/>
      <c r="O51" s="13"/>
      <c r="P51" s="13"/>
      <c r="Q51" s="13"/>
      <c r="R51" s="16">
        <f>IF($AY51="Conflict","",IF(COUNT(H51:Q51)=10,SUM(H51:Q51),IF(ISNUMBER($AU51),$AU51,"")))</f>
        <v>15</v>
      </c>
      <c r="S51" s="16">
        <f>IF(ISNUMBER(R51),R51/30*100,"")</f>
        <v>50.0</v>
      </c>
      <c r="T51" s="16">
        <f>IF($AY51="Conflict","",IF(COUNT(H51:J51,L51)=4,SUM(H51:J51,L51),""))</f>
        <v/>
      </c>
      <c r="U51" s="16">
        <f>IF($AY51="Conflict","",IF(COUNT(K51,M51:O51)=4,SUM(K51,M51:O51),""))</f>
        <v/>
      </c>
      <c r="V51" s="16">
        <f>IF($AY51="Conflict","",IF(COUNT(P51:Q51)=2,SUM(P51:Q51),""))</f>
        <v/>
      </c>
      <c r="W51" s="13"/>
      <c r="X51" s="13"/>
      <c r="Y51" s="13"/>
      <c r="Z51" s="13"/>
      <c r="AA51" s="14">
        <v>0</v>
      </c>
      <c r="AB51" s="13"/>
      <c r="AC51" s="13"/>
      <c r="AD51" s="13"/>
      <c r="AE51" s="13"/>
      <c r="AF51" s="13"/>
      <c r="AG51" s="13"/>
      <c r="AH51" s="19">
        <f>IF(AND(ISNUMBER(AG51),ISNUMBER(AF51),AF51&gt;0),AG51/AF51,"")</f>
        <v/>
      </c>
      <c r="AI51" s="13"/>
      <c r="AJ51" s="13"/>
      <c r="AK51" s="13"/>
      <c r="AL51" s="13"/>
      <c r="AM51" s="13"/>
      <c r="AN51" s="12" t="s">
        <v>227</v>
      </c>
      <c r="AO51" s="13"/>
      <c r="AP51" s="12" t="s">
        <v>228</v>
      </c>
      <c r="AQ51" s="13"/>
      <c r="AR51" s="13"/>
      <c r="AS51" s="15" t="s">
        <v>240</v>
      </c>
      <c r="AT51" s="15" t="s">
        <v>241</v>
      </c>
      <c r="AU51" s="14">
        <v>15</v>
      </c>
      <c r="AV51" s="12" t="s">
        <v>231</v>
      </c>
      <c r="AW51" s="15" t="s">
        <v>83</v>
      </c>
      <c r="AX51" s="15" t="s">
        <v>115</v>
      </c>
      <c r="AY51" s="15" t="s">
        <v>232</v>
      </c>
      <c r="AZ51" s="13"/>
    </row>
    <row r="52" spans="1:52" ht="30" customHeight="1">
      <c r="A52" s="12" t="s">
        <v>242</v>
      </c>
      <c r="B52" s="12" t="s">
        <v>226</v>
      </c>
      <c r="C52" s="13"/>
      <c r="D52" s="14">
        <v>1</v>
      </c>
      <c r="E52" s="13"/>
      <c r="F52" s="12" t="s">
        <v>30</v>
      </c>
      <c r="G52" s="14">
        <v>1</v>
      </c>
      <c r="H52" s="13"/>
      <c r="I52" s="13"/>
      <c r="J52" s="13"/>
      <c r="K52" s="13"/>
      <c r="L52" s="13"/>
      <c r="M52" s="13"/>
      <c r="N52" s="13"/>
      <c r="O52" s="13"/>
      <c r="P52" s="13"/>
      <c r="Q52" s="13"/>
      <c r="R52" s="16">
        <f>IF($AY52="Conflict","",IF(COUNT(H52:Q52)=10,SUM(H52:Q52),IF(ISNUMBER($AU52),$AU52,"")))</f>
        <v>10</v>
      </c>
      <c r="S52" s="16">
        <f>IF(ISNUMBER(R52),R52/30*100,"")</f>
        <v>33.33333333333333</v>
      </c>
      <c r="T52" s="16">
        <f>IF($AY52="Conflict","",IF(COUNT(H52:J52,L52)=4,SUM(H52:J52,L52),""))</f>
        <v/>
      </c>
      <c r="U52" s="16">
        <f>IF($AY52="Conflict","",IF(COUNT(K52,M52:O52)=4,SUM(K52,M52:O52),""))</f>
        <v/>
      </c>
      <c r="V52" s="16">
        <f>IF($AY52="Conflict","",IF(COUNT(P52:Q52)=2,SUM(P52:Q52),""))</f>
        <v/>
      </c>
      <c r="W52" s="13"/>
      <c r="X52" s="13"/>
      <c r="Y52" s="13"/>
      <c r="Z52" s="13"/>
      <c r="AA52" s="14">
        <v>0</v>
      </c>
      <c r="AB52" s="13"/>
      <c r="AC52" s="13"/>
      <c r="AD52" s="13"/>
      <c r="AE52" s="13"/>
      <c r="AF52" s="13"/>
      <c r="AG52" s="13"/>
      <c r="AH52" s="19">
        <f>IF(AND(ISNUMBER(AG52),ISNUMBER(AF52),AF52&gt;0),AG52/AF52,"")</f>
        <v/>
      </c>
      <c r="AI52" s="13"/>
      <c r="AJ52" s="13"/>
      <c r="AK52" s="13"/>
      <c r="AL52" s="13"/>
      <c r="AM52" s="13"/>
      <c r="AN52" s="12" t="s">
        <v>227</v>
      </c>
      <c r="AO52" s="13"/>
      <c r="AP52" s="12" t="s">
        <v>228</v>
      </c>
      <c r="AQ52" s="13"/>
      <c r="AR52" s="13"/>
      <c r="AS52" s="15" t="s">
        <v>243</v>
      </c>
      <c r="AT52" s="15" t="s">
        <v>244</v>
      </c>
      <c r="AU52" s="14">
        <v>10</v>
      </c>
      <c r="AV52" s="12" t="s">
        <v>231</v>
      </c>
      <c r="AW52" s="15" t="s">
        <v>83</v>
      </c>
      <c r="AX52" s="15" t="s">
        <v>115</v>
      </c>
      <c r="AY52" s="15" t="s">
        <v>232</v>
      </c>
      <c r="AZ52" s="13"/>
    </row>
    <row r="53" spans="1:52" ht="30" customHeight="1">
      <c r="A53" s="12" t="s">
        <v>245</v>
      </c>
      <c r="B53" s="12" t="s">
        <v>226</v>
      </c>
      <c r="C53" s="13"/>
      <c r="D53" s="14">
        <v>1</v>
      </c>
      <c r="E53" s="13"/>
      <c r="F53" s="12" t="s">
        <v>30</v>
      </c>
      <c r="G53" s="14">
        <v>1</v>
      </c>
      <c r="H53" s="13"/>
      <c r="I53" s="13"/>
      <c r="J53" s="13"/>
      <c r="K53" s="13"/>
      <c r="L53" s="13"/>
      <c r="M53" s="13"/>
      <c r="N53" s="13"/>
      <c r="O53" s="13"/>
      <c r="P53" s="13"/>
      <c r="Q53" s="13"/>
      <c r="R53" s="16">
        <f>IF($AY53="Conflict","",IF(COUNT(H53:Q53)=10,SUM(H53:Q53),IF(ISNUMBER($AU53),$AU53,"")))</f>
        <v>6</v>
      </c>
      <c r="S53" s="16">
        <f>IF(ISNUMBER(R53),R53/30*100,"")</f>
        <v>20.0</v>
      </c>
      <c r="T53" s="16">
        <f>IF($AY53="Conflict","",IF(COUNT(H53:J53,L53)=4,SUM(H53:J53,L53),""))</f>
        <v/>
      </c>
      <c r="U53" s="16">
        <f>IF($AY53="Conflict","",IF(COUNT(K53,M53:O53)=4,SUM(K53,M53:O53),""))</f>
        <v/>
      </c>
      <c r="V53" s="16">
        <f>IF($AY53="Conflict","",IF(COUNT(P53:Q53)=2,SUM(P53:Q53),""))</f>
        <v/>
      </c>
      <c r="W53" s="13"/>
      <c r="X53" s="13"/>
      <c r="Y53" s="13"/>
      <c r="Z53" s="13"/>
      <c r="AA53" s="14">
        <v>0</v>
      </c>
      <c r="AB53" s="13"/>
      <c r="AC53" s="13"/>
      <c r="AD53" s="13"/>
      <c r="AE53" s="13"/>
      <c r="AF53" s="13"/>
      <c r="AG53" s="13"/>
      <c r="AH53" s="19">
        <f>IF(AND(ISNUMBER(AG53),ISNUMBER(AF53),AF53&gt;0),AG53/AF53,"")</f>
        <v/>
      </c>
      <c r="AI53" s="13"/>
      <c r="AJ53" s="13"/>
      <c r="AK53" s="13"/>
      <c r="AL53" s="13"/>
      <c r="AM53" s="13"/>
      <c r="AN53" s="12" t="s">
        <v>227</v>
      </c>
      <c r="AO53" s="13"/>
      <c r="AP53" s="12" t="s">
        <v>228</v>
      </c>
      <c r="AQ53" s="13"/>
      <c r="AR53" s="13"/>
      <c r="AS53" s="15" t="s">
        <v>246</v>
      </c>
      <c r="AT53" s="15" t="s">
        <v>247</v>
      </c>
      <c r="AU53" s="14">
        <v>6</v>
      </c>
      <c r="AV53" s="12" t="s">
        <v>231</v>
      </c>
      <c r="AW53" s="15" t="s">
        <v>83</v>
      </c>
      <c r="AX53" s="15" t="s">
        <v>115</v>
      </c>
      <c r="AY53" s="15" t="s">
        <v>232</v>
      </c>
      <c r="AZ53" s="13"/>
    </row>
    <row r="54" spans="1:52" ht="30" customHeight="1">
      <c r="A54" s="12" t="s">
        <v>248</v>
      </c>
      <c r="B54" s="12" t="s">
        <v>226</v>
      </c>
      <c r="C54" s="13"/>
      <c r="D54" s="14">
        <v>1</v>
      </c>
      <c r="E54" s="13"/>
      <c r="F54" s="12" t="s">
        <v>30</v>
      </c>
      <c r="G54" s="14">
        <v>1</v>
      </c>
      <c r="H54" s="13"/>
      <c r="I54" s="13"/>
      <c r="J54" s="13"/>
      <c r="K54" s="13"/>
      <c r="L54" s="13"/>
      <c r="M54" s="13"/>
      <c r="N54" s="13"/>
      <c r="O54" s="13"/>
      <c r="P54" s="13"/>
      <c r="Q54" s="13"/>
      <c r="R54" s="16">
        <f>IF($AY54="Conflict","",IF(COUNT(H54:Q54)=10,SUM(H54:Q54),IF(ISNUMBER($AU54),$AU54,"")))</f>
        <v>10</v>
      </c>
      <c r="S54" s="16">
        <f>IF(ISNUMBER(R54),R54/30*100,"")</f>
        <v>33.33333333333333</v>
      </c>
      <c r="T54" s="16">
        <f>IF($AY54="Conflict","",IF(COUNT(H54:J54,L54)=4,SUM(H54:J54,L54),""))</f>
        <v/>
      </c>
      <c r="U54" s="16">
        <f>IF($AY54="Conflict","",IF(COUNT(K54,M54:O54)=4,SUM(K54,M54:O54),""))</f>
        <v/>
      </c>
      <c r="V54" s="16">
        <f>IF($AY54="Conflict","",IF(COUNT(P54:Q54)=2,SUM(P54:Q54),""))</f>
        <v/>
      </c>
      <c r="W54" s="13"/>
      <c r="X54" s="13"/>
      <c r="Y54" s="13"/>
      <c r="Z54" s="13"/>
      <c r="AA54" s="14">
        <v>0</v>
      </c>
      <c r="AB54" s="13"/>
      <c r="AC54" s="13"/>
      <c r="AD54" s="13"/>
      <c r="AE54" s="13"/>
      <c r="AF54" s="13"/>
      <c r="AG54" s="13"/>
      <c r="AH54" s="19">
        <f>IF(AND(ISNUMBER(AG54),ISNUMBER(AF54),AF54&gt;0),AG54/AF54,"")</f>
        <v/>
      </c>
      <c r="AI54" s="13"/>
      <c r="AJ54" s="13"/>
      <c r="AK54" s="13"/>
      <c r="AL54" s="13"/>
      <c r="AM54" s="13"/>
      <c r="AN54" s="12" t="s">
        <v>227</v>
      </c>
      <c r="AO54" s="13"/>
      <c r="AP54" s="12" t="s">
        <v>228</v>
      </c>
      <c r="AQ54" s="13"/>
      <c r="AR54" s="13"/>
      <c r="AS54" s="15" t="s">
        <v>249</v>
      </c>
      <c r="AT54" s="15" t="s">
        <v>250</v>
      </c>
      <c r="AU54" s="14">
        <v>10</v>
      </c>
      <c r="AV54" s="12" t="s">
        <v>231</v>
      </c>
      <c r="AW54" s="15" t="s">
        <v>83</v>
      </c>
      <c r="AX54" s="15" t="s">
        <v>115</v>
      </c>
      <c r="AY54" s="15" t="s">
        <v>232</v>
      </c>
      <c r="AZ54" s="13"/>
    </row>
    <row r="55" spans="1:52" ht="30" customHeight="1">
      <c r="A55" s="12" t="s">
        <v>251</v>
      </c>
      <c r="B55" s="12" t="s">
        <v>226</v>
      </c>
      <c r="C55" s="13"/>
      <c r="D55" s="14">
        <v>1</v>
      </c>
      <c r="E55" s="13"/>
      <c r="F55" s="12" t="s">
        <v>30</v>
      </c>
      <c r="G55" s="14">
        <v>1</v>
      </c>
      <c r="H55" s="13"/>
      <c r="I55" s="13"/>
      <c r="J55" s="13"/>
      <c r="K55" s="13"/>
      <c r="L55" s="13"/>
      <c r="M55" s="13"/>
      <c r="N55" s="13"/>
      <c r="O55" s="13"/>
      <c r="P55" s="13"/>
      <c r="Q55" s="13"/>
      <c r="R55" s="16">
        <f>IF($AY55="Conflict","",IF(COUNT(H55:Q55)=10,SUM(H55:Q55),IF(ISNUMBER($AU55),$AU55,"")))</f>
        <v>12</v>
      </c>
      <c r="S55" s="16">
        <f>IF(ISNUMBER(R55),R55/30*100,"")</f>
        <v>40.0</v>
      </c>
      <c r="T55" s="16">
        <f>IF($AY55="Conflict","",IF(COUNT(H55:J55,L55)=4,SUM(H55:J55,L55),""))</f>
        <v/>
      </c>
      <c r="U55" s="16">
        <f>IF($AY55="Conflict","",IF(COUNT(K55,M55:O55)=4,SUM(K55,M55:O55),""))</f>
        <v/>
      </c>
      <c r="V55" s="16">
        <f>IF($AY55="Conflict","",IF(COUNT(P55:Q55)=2,SUM(P55:Q55),""))</f>
        <v/>
      </c>
      <c r="W55" s="13"/>
      <c r="X55" s="13"/>
      <c r="Y55" s="13"/>
      <c r="Z55" s="13"/>
      <c r="AA55" s="14">
        <v>0</v>
      </c>
      <c r="AB55" s="13"/>
      <c r="AC55" s="13"/>
      <c r="AD55" s="13"/>
      <c r="AE55" s="13"/>
      <c r="AF55" s="13"/>
      <c r="AG55" s="13"/>
      <c r="AH55" s="19">
        <f>IF(AND(ISNUMBER(AG55),ISNUMBER(AF55),AF55&gt;0),AG55/AF55,"")</f>
        <v/>
      </c>
      <c r="AI55" s="13"/>
      <c r="AJ55" s="13"/>
      <c r="AK55" s="13"/>
      <c r="AL55" s="13"/>
      <c r="AM55" s="13"/>
      <c r="AN55" s="12" t="s">
        <v>227</v>
      </c>
      <c r="AO55" s="13"/>
      <c r="AP55" s="12" t="s">
        <v>228</v>
      </c>
      <c r="AQ55" s="13"/>
      <c r="AR55" s="13"/>
      <c r="AS55" s="15" t="s">
        <v>252</v>
      </c>
      <c r="AT55" s="15" t="s">
        <v>253</v>
      </c>
      <c r="AU55" s="14">
        <v>12</v>
      </c>
      <c r="AV55" s="12" t="s">
        <v>231</v>
      </c>
      <c r="AW55" s="15" t="s">
        <v>83</v>
      </c>
      <c r="AX55" s="15" t="s">
        <v>115</v>
      </c>
      <c r="AY55" s="15" t="s">
        <v>232</v>
      </c>
      <c r="AZ55" s="13"/>
    </row>
    <row r="56" spans="1:52" ht="30" customHeight="1">
      <c r="A56" s="12" t="s">
        <v>254</v>
      </c>
      <c r="B56" s="12" t="s">
        <v>226</v>
      </c>
      <c r="C56" s="13"/>
      <c r="D56" s="14">
        <v>1</v>
      </c>
      <c r="E56" s="13"/>
      <c r="F56" s="12" t="s">
        <v>30</v>
      </c>
      <c r="G56" s="14">
        <v>1</v>
      </c>
      <c r="H56" s="13"/>
      <c r="I56" s="13"/>
      <c r="J56" s="13"/>
      <c r="K56" s="13"/>
      <c r="L56" s="13"/>
      <c r="M56" s="13"/>
      <c r="N56" s="13"/>
      <c r="O56" s="13"/>
      <c r="P56" s="13"/>
      <c r="Q56" s="13"/>
      <c r="R56" s="16">
        <f>IF($AY56="Conflict","",IF(COUNT(H56:Q56)=10,SUM(H56:Q56),IF(ISNUMBER($AU56),$AU56,"")))</f>
        <v>12</v>
      </c>
      <c r="S56" s="16">
        <f>IF(ISNUMBER(R56),R56/30*100,"")</f>
        <v>40.0</v>
      </c>
      <c r="T56" s="16">
        <f>IF($AY56="Conflict","",IF(COUNT(H56:J56,L56)=4,SUM(H56:J56,L56),""))</f>
        <v/>
      </c>
      <c r="U56" s="16">
        <f>IF($AY56="Conflict","",IF(COUNT(K56,M56:O56)=4,SUM(K56,M56:O56),""))</f>
        <v/>
      </c>
      <c r="V56" s="16">
        <f>IF($AY56="Conflict","",IF(COUNT(P56:Q56)=2,SUM(P56:Q56),""))</f>
        <v/>
      </c>
      <c r="W56" s="13"/>
      <c r="X56" s="13"/>
      <c r="Y56" s="13"/>
      <c r="Z56" s="13"/>
      <c r="AA56" s="14">
        <v>0</v>
      </c>
      <c r="AB56" s="13"/>
      <c r="AC56" s="13"/>
      <c r="AD56" s="13"/>
      <c r="AE56" s="13"/>
      <c r="AF56" s="13"/>
      <c r="AG56" s="13"/>
      <c r="AH56" s="19">
        <f>IF(AND(ISNUMBER(AG56),ISNUMBER(AF56),AF56&gt;0),AG56/AF56,"")</f>
        <v/>
      </c>
      <c r="AI56" s="13"/>
      <c r="AJ56" s="13"/>
      <c r="AK56" s="13"/>
      <c r="AL56" s="13"/>
      <c r="AM56" s="13"/>
      <c r="AN56" s="12" t="s">
        <v>227</v>
      </c>
      <c r="AO56" s="13"/>
      <c r="AP56" s="12" t="s">
        <v>228</v>
      </c>
      <c r="AQ56" s="13"/>
      <c r="AR56" s="13"/>
      <c r="AS56" s="15" t="s">
        <v>255</v>
      </c>
      <c r="AT56" s="15" t="s">
        <v>256</v>
      </c>
      <c r="AU56" s="14">
        <v>12</v>
      </c>
      <c r="AV56" s="12" t="s">
        <v>231</v>
      </c>
      <c r="AW56" s="15" t="s">
        <v>83</v>
      </c>
      <c r="AX56" s="15" t="s">
        <v>115</v>
      </c>
      <c r="AY56" s="15" t="s">
        <v>232</v>
      </c>
      <c r="AZ56" s="13"/>
    </row>
    <row r="57" spans="1:52" ht="30" customHeight="1">
      <c r="A57" s="12" t="s">
        <v>257</v>
      </c>
      <c r="B57" s="12" t="s">
        <v>226</v>
      </c>
      <c r="C57" s="13"/>
      <c r="D57" s="14">
        <v>1</v>
      </c>
      <c r="E57" s="13"/>
      <c r="F57" s="12" t="s">
        <v>30</v>
      </c>
      <c r="G57" s="14">
        <v>1</v>
      </c>
      <c r="H57" s="13"/>
      <c r="I57" s="13"/>
      <c r="J57" s="13"/>
      <c r="K57" s="13"/>
      <c r="L57" s="13"/>
      <c r="M57" s="13"/>
      <c r="N57" s="13"/>
      <c r="O57" s="13"/>
      <c r="P57" s="13"/>
      <c r="Q57" s="13"/>
      <c r="R57" s="16">
        <f>IF($AY57="Conflict","",IF(COUNT(H57:Q57)=10,SUM(H57:Q57),IF(ISNUMBER($AU57),$AU57,"")))</f>
        <v>3</v>
      </c>
      <c r="S57" s="16">
        <f>IF(ISNUMBER(R57),R57/30*100,"")</f>
        <v>10.0</v>
      </c>
      <c r="T57" s="16">
        <f>IF($AY57="Conflict","",IF(COUNT(H57:J57,L57)=4,SUM(H57:J57,L57),""))</f>
        <v/>
      </c>
      <c r="U57" s="16">
        <f>IF($AY57="Conflict","",IF(COUNT(K57,M57:O57)=4,SUM(K57,M57:O57),""))</f>
        <v/>
      </c>
      <c r="V57" s="16">
        <f>IF($AY57="Conflict","",IF(COUNT(P57:Q57)=2,SUM(P57:Q57),""))</f>
        <v/>
      </c>
      <c r="W57" s="13"/>
      <c r="X57" s="13"/>
      <c r="Y57" s="13"/>
      <c r="Z57" s="13"/>
      <c r="AA57" s="14">
        <v>0</v>
      </c>
      <c r="AB57" s="13"/>
      <c r="AC57" s="13"/>
      <c r="AD57" s="13"/>
      <c r="AE57" s="13"/>
      <c r="AF57" s="13"/>
      <c r="AG57" s="13"/>
      <c r="AH57" s="19">
        <f>IF(AND(ISNUMBER(AG57),ISNUMBER(AF57),AF57&gt;0),AG57/AF57,"")</f>
        <v/>
      </c>
      <c r="AI57" s="13"/>
      <c r="AJ57" s="13"/>
      <c r="AK57" s="13"/>
      <c r="AL57" s="13"/>
      <c r="AM57" s="13"/>
      <c r="AN57" s="12" t="s">
        <v>227</v>
      </c>
      <c r="AO57" s="13"/>
      <c r="AP57" s="12" t="s">
        <v>228</v>
      </c>
      <c r="AQ57" s="13"/>
      <c r="AR57" s="13"/>
      <c r="AS57" s="15" t="s">
        <v>258</v>
      </c>
      <c r="AT57" s="15" t="s">
        <v>259</v>
      </c>
      <c r="AU57" s="14">
        <v>3</v>
      </c>
      <c r="AV57" s="12" t="s">
        <v>231</v>
      </c>
      <c r="AW57" s="15" t="s">
        <v>83</v>
      </c>
      <c r="AX57" s="15" t="s">
        <v>115</v>
      </c>
      <c r="AY57" s="15" t="s">
        <v>232</v>
      </c>
      <c r="AZ57" s="13"/>
    </row>
    <row r="58" spans="1:52" ht="30" customHeight="1">
      <c r="A58" s="12" t="s">
        <v>260</v>
      </c>
      <c r="B58" s="12" t="s">
        <v>226</v>
      </c>
      <c r="C58" s="13"/>
      <c r="D58" s="14">
        <v>1</v>
      </c>
      <c r="E58" s="13"/>
      <c r="F58" s="12" t="s">
        <v>30</v>
      </c>
      <c r="G58" s="14">
        <v>1</v>
      </c>
      <c r="H58" s="13"/>
      <c r="I58" s="13"/>
      <c r="J58" s="13"/>
      <c r="K58" s="13"/>
      <c r="L58" s="13"/>
      <c r="M58" s="13"/>
      <c r="N58" s="13"/>
      <c r="O58" s="13"/>
      <c r="P58" s="13"/>
      <c r="Q58" s="13"/>
      <c r="R58" s="16">
        <f>IF($AY58="Conflict","",IF(COUNT(H58:Q58)=10,SUM(H58:Q58),IF(ISNUMBER($AU58),$AU58,"")))</f>
        <v>17</v>
      </c>
      <c r="S58" s="16">
        <f>IF(ISNUMBER(R58),R58/30*100,"")</f>
        <v>56.666666666666664</v>
      </c>
      <c r="T58" s="16">
        <f>IF($AY58="Conflict","",IF(COUNT(H58:J58,L58)=4,SUM(H58:J58,L58),""))</f>
        <v/>
      </c>
      <c r="U58" s="16">
        <f>IF($AY58="Conflict","",IF(COUNT(K58,M58:O58)=4,SUM(K58,M58:O58),""))</f>
        <v/>
      </c>
      <c r="V58" s="16">
        <f>IF($AY58="Conflict","",IF(COUNT(P58:Q58)=2,SUM(P58:Q58),""))</f>
        <v/>
      </c>
      <c r="W58" s="13"/>
      <c r="X58" s="13"/>
      <c r="Y58" s="13"/>
      <c r="Z58" s="13"/>
      <c r="AA58" s="14">
        <v>0</v>
      </c>
      <c r="AB58" s="13"/>
      <c r="AC58" s="13"/>
      <c r="AD58" s="13"/>
      <c r="AE58" s="13"/>
      <c r="AF58" s="13"/>
      <c r="AG58" s="13"/>
      <c r="AH58" s="19">
        <f>IF(AND(ISNUMBER(AG58),ISNUMBER(AF58),AF58&gt;0),AG58/AF58,"")</f>
        <v/>
      </c>
      <c r="AI58" s="13"/>
      <c r="AJ58" s="13"/>
      <c r="AK58" s="13"/>
      <c r="AL58" s="13"/>
      <c r="AM58" s="13"/>
      <c r="AN58" s="12" t="s">
        <v>227</v>
      </c>
      <c r="AO58" s="13"/>
      <c r="AP58" s="12" t="s">
        <v>228</v>
      </c>
      <c r="AQ58" s="13"/>
      <c r="AR58" s="13"/>
      <c r="AS58" s="15" t="s">
        <v>261</v>
      </c>
      <c r="AT58" s="15" t="s">
        <v>262</v>
      </c>
      <c r="AU58" s="14">
        <v>17</v>
      </c>
      <c r="AV58" s="12" t="s">
        <v>231</v>
      </c>
      <c r="AW58" s="15" t="s">
        <v>83</v>
      </c>
      <c r="AX58" s="15" t="s">
        <v>115</v>
      </c>
      <c r="AY58" s="15" t="s">
        <v>232</v>
      </c>
      <c r="AZ58" s="13"/>
    </row>
    <row r="59" spans="1:52" ht="30" customHeight="1">
      <c r="A59" s="12" t="s">
        <v>263</v>
      </c>
      <c r="B59" s="12" t="s">
        <v>226</v>
      </c>
      <c r="C59" s="13"/>
      <c r="D59" s="14">
        <v>1</v>
      </c>
      <c r="E59" s="13"/>
      <c r="F59" s="12" t="s">
        <v>30</v>
      </c>
      <c r="G59" s="14">
        <v>1</v>
      </c>
      <c r="H59" s="13"/>
      <c r="I59" s="13"/>
      <c r="J59" s="13"/>
      <c r="K59" s="13"/>
      <c r="L59" s="13"/>
      <c r="M59" s="13"/>
      <c r="N59" s="13"/>
      <c r="O59" s="13"/>
      <c r="P59" s="13"/>
      <c r="Q59" s="13"/>
      <c r="R59" s="16">
        <f>IF($AY59="Conflict","",IF(COUNT(H59:Q59)=10,SUM(H59:Q59),IF(ISNUMBER($AU59),$AU59,"")))</f>
        <v>12</v>
      </c>
      <c r="S59" s="16">
        <f>IF(ISNUMBER(R59),R59/30*100,"")</f>
        <v>40.0</v>
      </c>
      <c r="T59" s="16">
        <f>IF($AY59="Conflict","",IF(COUNT(H59:J59,L59)=4,SUM(H59:J59,L59),""))</f>
        <v/>
      </c>
      <c r="U59" s="16">
        <f>IF($AY59="Conflict","",IF(COUNT(K59,M59:O59)=4,SUM(K59,M59:O59),""))</f>
        <v/>
      </c>
      <c r="V59" s="16">
        <f>IF($AY59="Conflict","",IF(COUNT(P59:Q59)=2,SUM(P59:Q59),""))</f>
        <v/>
      </c>
      <c r="W59" s="13"/>
      <c r="X59" s="13"/>
      <c r="Y59" s="13"/>
      <c r="Z59" s="13"/>
      <c r="AA59" s="14">
        <v>0</v>
      </c>
      <c r="AB59" s="13"/>
      <c r="AC59" s="13"/>
      <c r="AD59" s="13"/>
      <c r="AE59" s="13"/>
      <c r="AF59" s="13"/>
      <c r="AG59" s="13"/>
      <c r="AH59" s="19">
        <f>IF(AND(ISNUMBER(AG59),ISNUMBER(AF59),AF59&gt;0),AG59/AF59,"")</f>
        <v/>
      </c>
      <c r="AI59" s="13"/>
      <c r="AJ59" s="13"/>
      <c r="AK59" s="13"/>
      <c r="AL59" s="13"/>
      <c r="AM59" s="13"/>
      <c r="AN59" s="12" t="s">
        <v>227</v>
      </c>
      <c r="AO59" s="13"/>
      <c r="AP59" s="12" t="s">
        <v>228</v>
      </c>
      <c r="AQ59" s="13"/>
      <c r="AR59" s="13"/>
      <c r="AS59" s="15" t="s">
        <v>264</v>
      </c>
      <c r="AT59" s="15" t="s">
        <v>265</v>
      </c>
      <c r="AU59" s="14">
        <v>12</v>
      </c>
      <c r="AV59" s="12" t="s">
        <v>231</v>
      </c>
      <c r="AW59" s="15" t="s">
        <v>83</v>
      </c>
      <c r="AX59" s="15" t="s">
        <v>115</v>
      </c>
      <c r="AY59" s="15" t="s">
        <v>232</v>
      </c>
      <c r="AZ59" s="13"/>
    </row>
    <row r="60" spans="1:52" ht="30" customHeight="1">
      <c r="A60" s="12" t="s">
        <v>266</v>
      </c>
      <c r="B60" s="12" t="s">
        <v>226</v>
      </c>
      <c r="C60" s="13"/>
      <c r="D60" s="14">
        <v>1</v>
      </c>
      <c r="E60" s="13"/>
      <c r="F60" s="12" t="s">
        <v>30</v>
      </c>
      <c r="G60" s="14">
        <v>1</v>
      </c>
      <c r="H60" s="13"/>
      <c r="I60" s="13"/>
      <c r="J60" s="13"/>
      <c r="K60" s="13"/>
      <c r="L60" s="13"/>
      <c r="M60" s="13"/>
      <c r="N60" s="13"/>
      <c r="O60" s="13"/>
      <c r="P60" s="13"/>
      <c r="Q60" s="13"/>
      <c r="R60" s="16">
        <f>IF($AY60="Conflict","",IF(COUNT(H60:Q60)=10,SUM(H60:Q60),IF(ISNUMBER($AU60),$AU60,"")))</f>
        <v>18</v>
      </c>
      <c r="S60" s="16">
        <f>IF(ISNUMBER(R60),R60/30*100,"")</f>
        <v>60.0</v>
      </c>
      <c r="T60" s="16">
        <f>IF($AY60="Conflict","",IF(COUNT(H60:J60,L60)=4,SUM(H60:J60,L60),""))</f>
        <v/>
      </c>
      <c r="U60" s="16">
        <f>IF($AY60="Conflict","",IF(COUNT(K60,M60:O60)=4,SUM(K60,M60:O60),""))</f>
        <v/>
      </c>
      <c r="V60" s="16">
        <f>IF($AY60="Conflict","",IF(COUNT(P60:Q60)=2,SUM(P60:Q60),""))</f>
        <v/>
      </c>
      <c r="W60" s="13"/>
      <c r="X60" s="13"/>
      <c r="Y60" s="13"/>
      <c r="Z60" s="13"/>
      <c r="AA60" s="14">
        <v>0</v>
      </c>
      <c r="AB60" s="13"/>
      <c r="AC60" s="13"/>
      <c r="AD60" s="13"/>
      <c r="AE60" s="13"/>
      <c r="AF60" s="13"/>
      <c r="AG60" s="13"/>
      <c r="AH60" s="19">
        <f>IF(AND(ISNUMBER(AG60),ISNUMBER(AF60),AF60&gt;0),AG60/AF60,"")</f>
        <v/>
      </c>
      <c r="AI60" s="13"/>
      <c r="AJ60" s="13"/>
      <c r="AK60" s="13"/>
      <c r="AL60" s="13"/>
      <c r="AM60" s="13"/>
      <c r="AN60" s="12" t="s">
        <v>227</v>
      </c>
      <c r="AO60" s="13"/>
      <c r="AP60" s="12" t="s">
        <v>228</v>
      </c>
      <c r="AQ60" s="13"/>
      <c r="AR60" s="13"/>
      <c r="AS60" s="15" t="s">
        <v>267</v>
      </c>
      <c r="AT60" s="15" t="s">
        <v>268</v>
      </c>
      <c r="AU60" s="14">
        <v>18</v>
      </c>
      <c r="AV60" s="12" t="s">
        <v>231</v>
      </c>
      <c r="AW60" s="15" t="s">
        <v>83</v>
      </c>
      <c r="AX60" s="15" t="s">
        <v>115</v>
      </c>
      <c r="AY60" s="15" t="s">
        <v>232</v>
      </c>
      <c r="AZ60" s="13"/>
    </row>
    <row r="61" spans="1:52" ht="30" customHeight="1">
      <c r="A61" s="12" t="s">
        <v>269</v>
      </c>
      <c r="B61" s="12" t="s">
        <v>270</v>
      </c>
      <c r="C61" s="13"/>
      <c r="D61" s="14">
        <v>1</v>
      </c>
      <c r="E61" s="13"/>
      <c r="F61" s="12" t="s">
        <v>30</v>
      </c>
      <c r="G61" s="14">
        <v>1</v>
      </c>
      <c r="H61" s="14">
        <v>1</v>
      </c>
      <c r="I61" s="14">
        <v>1</v>
      </c>
      <c r="J61" s="14">
        <v>0</v>
      </c>
      <c r="K61" s="14">
        <v>1</v>
      </c>
      <c r="L61" s="14">
        <v>2</v>
      </c>
      <c r="M61" s="14">
        <v>0</v>
      </c>
      <c r="N61" s="14">
        <v>0</v>
      </c>
      <c r="O61" s="14">
        <v>0</v>
      </c>
      <c r="P61" s="14">
        <v>1</v>
      </c>
      <c r="Q61" s="14">
        <v>2</v>
      </c>
      <c r="R61" s="16">
        <f>IF($AY61="Conflict","",IF(COUNT(H61:Q61)=10,SUM(H61:Q61),IF(ISNUMBER($AU61),$AU61,"")))</f>
        <v>8</v>
      </c>
      <c r="S61" s="16">
        <f>IF(ISNUMBER(R61),R61/30*100,"")</f>
        <v>26.666666666666668</v>
      </c>
      <c r="T61" s="16">
        <f>IF($AY61="Conflict","",IF(COUNT(H61:J61,L61)=4,SUM(H61:J61,L61),""))</f>
        <v>4</v>
      </c>
      <c r="U61" s="16">
        <f>IF($AY61="Conflict","",IF(COUNT(K61,M61:O61)=4,SUM(K61,M61:O61),""))</f>
        <v>1</v>
      </c>
      <c r="V61" s="16">
        <f>IF($AY61="Conflict","",IF(COUNT(P61:Q61)=2,SUM(P61:Q61),""))</f>
        <v>3</v>
      </c>
      <c r="W61" s="15" t="s">
        <v>31</v>
      </c>
      <c r="X61" s="15" t="s">
        <v>271</v>
      </c>
      <c r="Y61" s="14">
        <v>8</v>
      </c>
      <c r="Z61" s="16">
        <f>IF(ISNUMBER(R61),R61,"")</f>
        <v>8</v>
      </c>
      <c r="AA61" s="14">
        <v>0</v>
      </c>
      <c r="AB61" s="17">
        <v>0</v>
      </c>
      <c r="AC61" s="14">
        <v>0</v>
      </c>
      <c r="AD61" s="13"/>
      <c r="AE61" s="18">
        <v>4098.62</v>
      </c>
      <c r="AF61" s="18">
        <v>3705.95</v>
      </c>
      <c r="AG61" s="18">
        <v>202.08</v>
      </c>
      <c r="AH61" s="19">
        <f>IF(AND(ISNUMBER(AG61),ISNUMBER(AF61),AF61&gt;0),AG61/AF61,"")</f>
        <v>0.0545285284474966</v>
      </c>
      <c r="AI61" s="18">
        <v>14</v>
      </c>
      <c r="AJ61" s="13"/>
      <c r="AK61" s="17">
        <v>1.8385</v>
      </c>
      <c r="AL61" s="13"/>
      <c r="AM61" s="15" t="s">
        <v>45</v>
      </c>
      <c r="AN61" s="12" t="s">
        <v>272</v>
      </c>
      <c r="AO61" s="15" t="s">
        <v>31</v>
      </c>
      <c r="AP61" s="12" t="s">
        <v>273</v>
      </c>
      <c r="AQ61" s="13"/>
      <c r="AR61" s="13"/>
      <c r="AS61" s="15" t="s">
        <v>274</v>
      </c>
      <c r="AT61" s="15" t="s">
        <v>275</v>
      </c>
      <c r="AU61" s="14">
        <v>8</v>
      </c>
      <c r="AV61" s="12" t="s">
        <v>39</v>
      </c>
      <c r="AW61" s="15" t="s">
        <v>40</v>
      </c>
      <c r="AX61" s="15" t="s">
        <v>41</v>
      </c>
      <c r="AY61" s="15" t="s">
        <v>42</v>
      </c>
      <c r="AZ61" s="12" t="s">
        <v>276</v>
      </c>
    </row>
    <row r="62" spans="1:52" ht="30" customHeight="1">
      <c r="A62" s="12" t="s">
        <v>277</v>
      </c>
      <c r="B62" s="12" t="s">
        <v>270</v>
      </c>
      <c r="C62" s="13"/>
      <c r="D62" s="14">
        <v>1</v>
      </c>
      <c r="E62" s="13"/>
      <c r="F62" s="12" t="s">
        <v>30</v>
      </c>
      <c r="G62" s="14">
        <v>1</v>
      </c>
      <c r="H62" s="14">
        <v>3</v>
      </c>
      <c r="I62" s="14">
        <v>1</v>
      </c>
      <c r="J62" s="14">
        <v>2</v>
      </c>
      <c r="K62" s="14">
        <v>2</v>
      </c>
      <c r="L62" s="14">
        <v>2</v>
      </c>
      <c r="M62" s="14">
        <v>1</v>
      </c>
      <c r="N62" s="14">
        <v>0</v>
      </c>
      <c r="O62" s="14">
        <v>1</v>
      </c>
      <c r="P62" s="14">
        <v>3</v>
      </c>
      <c r="Q62" s="14">
        <v>2</v>
      </c>
      <c r="R62" s="16">
        <f>IF($AY62="Conflict","",IF(COUNT(H62:Q62)=10,SUM(H62:Q62),IF(ISNUMBER($AU62),$AU62,"")))</f>
        <v>17</v>
      </c>
      <c r="S62" s="16">
        <f>IF(ISNUMBER(R62),R62/30*100,"")</f>
        <v>56.666666666666664</v>
      </c>
      <c r="T62" s="16">
        <f>IF($AY62="Conflict","",IF(COUNT(H62:J62,L62)=4,SUM(H62:J62,L62),""))</f>
        <v>8</v>
      </c>
      <c r="U62" s="16">
        <f>IF($AY62="Conflict","",IF(COUNT(K62,M62:O62)=4,SUM(K62,M62:O62),""))</f>
        <v>4</v>
      </c>
      <c r="V62" s="16">
        <f>IF($AY62="Conflict","",IF(COUNT(P62:Q62)=2,SUM(P62:Q62),""))</f>
        <v>5</v>
      </c>
      <c r="W62" s="15" t="s">
        <v>50</v>
      </c>
      <c r="X62" s="15" t="s">
        <v>271</v>
      </c>
      <c r="Y62" s="14">
        <v>16</v>
      </c>
      <c r="Z62" s="16">
        <f>IF(ISNUMBER(R62),R62,"")</f>
        <v>17</v>
      </c>
      <c r="AA62" s="14">
        <v>0</v>
      </c>
      <c r="AB62" s="17">
        <v>0.08070212830740188</v>
      </c>
      <c r="AC62" s="14" t="s">
        <v>33</v>
      </c>
      <c r="AD62" s="13"/>
      <c r="AE62" s="18">
        <v>6568.6</v>
      </c>
      <c r="AF62" s="18">
        <v>5811.9</v>
      </c>
      <c r="AG62" s="18">
        <v>534.7</v>
      </c>
      <c r="AH62" s="19">
        <f>IF(AND(ISNUMBER(AG62),ISNUMBER(AF62),AF62&gt;0),AG62/AF62,"")</f>
        <v>0.0920008947160137</v>
      </c>
      <c r="AI62" s="18">
        <v>153.1</v>
      </c>
      <c r="AJ62" s="13"/>
      <c r="AK62" s="17">
        <v>0.4337</v>
      </c>
      <c r="AL62" s="13"/>
      <c r="AM62" s="15" t="s">
        <v>45</v>
      </c>
      <c r="AN62" s="12" t="s">
        <v>272</v>
      </c>
      <c r="AO62" s="15" t="s">
        <v>50</v>
      </c>
      <c r="AP62" s="12" t="s">
        <v>273</v>
      </c>
      <c r="AQ62" s="13"/>
      <c r="AR62" s="13"/>
      <c r="AS62" s="15" t="s">
        <v>278</v>
      </c>
      <c r="AT62" s="15" t="s">
        <v>279</v>
      </c>
      <c r="AU62" s="14">
        <v>17</v>
      </c>
      <c r="AV62" s="12" t="s">
        <v>39</v>
      </c>
      <c r="AW62" s="15" t="s">
        <v>40</v>
      </c>
      <c r="AX62" s="15" t="s">
        <v>41</v>
      </c>
      <c r="AY62" s="15" t="s">
        <v>42</v>
      </c>
      <c r="AZ62" s="12" t="s">
        <v>276</v>
      </c>
    </row>
    <row r="63" spans="1:52" ht="30" customHeight="1">
      <c r="A63" s="12" t="s">
        <v>280</v>
      </c>
      <c r="B63" s="12" t="s">
        <v>270</v>
      </c>
      <c r="C63" s="13"/>
      <c r="D63" s="14">
        <v>1</v>
      </c>
      <c r="E63" s="13"/>
      <c r="F63" s="12" t="s">
        <v>30</v>
      </c>
      <c r="G63" s="14">
        <v>1</v>
      </c>
      <c r="H63" s="14">
        <v>3</v>
      </c>
      <c r="I63" s="14">
        <v>1</v>
      </c>
      <c r="J63" s="14">
        <v>2</v>
      </c>
      <c r="K63" s="14">
        <v>2</v>
      </c>
      <c r="L63" s="14">
        <v>2</v>
      </c>
      <c r="M63" s="14">
        <v>1</v>
      </c>
      <c r="N63" s="14">
        <v>0</v>
      </c>
      <c r="O63" s="14">
        <v>2</v>
      </c>
      <c r="P63" s="14">
        <v>3</v>
      </c>
      <c r="Q63" s="14">
        <v>2</v>
      </c>
      <c r="R63" s="16">
        <f>IF($AY63="Conflict","",IF(COUNT(H63:Q63)=10,SUM(H63:Q63),IF(ISNUMBER($AU63),$AU63,"")))</f>
        <v>18</v>
      </c>
      <c r="S63" s="16">
        <f>IF(ISNUMBER(R63),R63/30*100,"")</f>
        <v>60.0</v>
      </c>
      <c r="T63" s="16">
        <f>IF($AY63="Conflict","",IF(COUNT(H63:J63,L63)=4,SUM(H63:J63,L63),""))</f>
        <v>8</v>
      </c>
      <c r="U63" s="16">
        <f>IF($AY63="Conflict","",IF(COUNT(K63,M63:O63)=4,SUM(K63,M63:O63),""))</f>
        <v>5</v>
      </c>
      <c r="V63" s="16">
        <f>IF($AY63="Conflict","",IF(COUNT(P63:Q63)=2,SUM(P63:Q63),""))</f>
        <v>5</v>
      </c>
      <c r="W63" s="15" t="s">
        <v>50</v>
      </c>
      <c r="X63" s="15" t="s">
        <v>281</v>
      </c>
      <c r="Y63" s="14">
        <v>18</v>
      </c>
      <c r="Z63" s="16">
        <f>IF(ISNUMBER(R63),R63,"")</f>
        <v>18</v>
      </c>
      <c r="AA63" s="14">
        <v>0</v>
      </c>
      <c r="AB63" s="17">
        <v>0</v>
      </c>
      <c r="AC63" s="14">
        <v>0</v>
      </c>
      <c r="AD63" s="13"/>
      <c r="AE63" s="18">
        <v>8194.02</v>
      </c>
      <c r="AF63" s="18">
        <v>74874.77</v>
      </c>
      <c r="AG63" s="18">
        <v>4414.68</v>
      </c>
      <c r="AH63" s="19">
        <f>IF(AND(ISNUMBER(AG63),ISNUMBER(AF63),AF63&gt;0),AG63/AF63,"")</f>
        <v>0.05896084889476121</v>
      </c>
      <c r="AI63" s="18">
        <v>44.95</v>
      </c>
      <c r="AJ63" s="13"/>
      <c r="AK63" s="17">
        <v>0.1021</v>
      </c>
      <c r="AL63" s="13"/>
      <c r="AM63" s="15" t="s">
        <v>45</v>
      </c>
      <c r="AN63" s="12" t="s">
        <v>272</v>
      </c>
      <c r="AO63" s="15" t="s">
        <v>50</v>
      </c>
      <c r="AP63" s="12" t="s">
        <v>273</v>
      </c>
      <c r="AQ63" s="12" t="s">
        <v>282</v>
      </c>
      <c r="AR63" s="13"/>
      <c r="AS63" s="15" t="s">
        <v>283</v>
      </c>
      <c r="AT63" s="15" t="s">
        <v>284</v>
      </c>
      <c r="AU63" s="14">
        <v>18</v>
      </c>
      <c r="AV63" s="12" t="s">
        <v>39</v>
      </c>
      <c r="AW63" s="15" t="s">
        <v>40</v>
      </c>
      <c r="AX63" s="15" t="s">
        <v>41</v>
      </c>
      <c r="AY63" s="15" t="s">
        <v>42</v>
      </c>
      <c r="AZ63" s="12" t="s">
        <v>285</v>
      </c>
    </row>
    <row r="64" spans="1:52" ht="30" customHeight="1">
      <c r="A64" s="12" t="s">
        <v>286</v>
      </c>
      <c r="B64" s="12" t="s">
        <v>270</v>
      </c>
      <c r="C64" s="13"/>
      <c r="D64" s="14">
        <v>1</v>
      </c>
      <c r="E64" s="13"/>
      <c r="F64" s="12" t="s">
        <v>30</v>
      </c>
      <c r="G64" s="14">
        <v>1</v>
      </c>
      <c r="H64" s="14">
        <v>3</v>
      </c>
      <c r="I64" s="14">
        <v>3</v>
      </c>
      <c r="J64" s="14">
        <v>3</v>
      </c>
      <c r="K64" s="14">
        <v>2</v>
      </c>
      <c r="L64" s="14">
        <v>2</v>
      </c>
      <c r="M64" s="14">
        <v>1</v>
      </c>
      <c r="N64" s="14">
        <v>0</v>
      </c>
      <c r="O64" s="14">
        <v>1</v>
      </c>
      <c r="P64" s="14">
        <v>3</v>
      </c>
      <c r="Q64" s="14">
        <v>3</v>
      </c>
      <c r="R64" s="16">
        <f>IF($AY64="Conflict","",IF(COUNT(H64:Q64)=10,SUM(H64:Q64),IF(ISNUMBER($AU64),$AU64,"")))</f>
        <v>21</v>
      </c>
      <c r="S64" s="16">
        <f>IF(ISNUMBER(R64),R64/30*100,"")</f>
        <v>70.0</v>
      </c>
      <c r="T64" s="16">
        <f>IF($AY64="Conflict","",IF(COUNT(H64:J64,L64)=4,SUM(H64:J64,L64),""))</f>
        <v>11</v>
      </c>
      <c r="U64" s="16">
        <f>IF($AY64="Conflict","",IF(COUNT(K64,M64:O64)=4,SUM(K64,M64:O64),""))</f>
        <v>4</v>
      </c>
      <c r="V64" s="16">
        <f>IF($AY64="Conflict","",IF(COUNT(P64:Q64)=2,SUM(P64:Q64),""))</f>
        <v>6</v>
      </c>
      <c r="W64" s="15" t="s">
        <v>50</v>
      </c>
      <c r="X64" s="15" t="s">
        <v>281</v>
      </c>
      <c r="Y64" s="14">
        <v>21</v>
      </c>
      <c r="Z64" s="16">
        <f>IF(ISNUMBER(R64),R64,"")</f>
        <v>21</v>
      </c>
      <c r="AA64" s="14">
        <v>0</v>
      </c>
      <c r="AB64" s="17">
        <v>0</v>
      </c>
      <c r="AC64" s="14">
        <v>0</v>
      </c>
      <c r="AD64" s="13"/>
      <c r="AE64" s="18">
        <v>5131.43</v>
      </c>
      <c r="AF64" s="18">
        <v>81894.42999999999</v>
      </c>
      <c r="AG64" s="18">
        <v>1840.66</v>
      </c>
      <c r="AH64" s="19">
        <f>IF(AND(ISNUMBER(AG64),ISNUMBER(AF64),AF64&gt;0),AG64/AF64,"")</f>
        <v>0.02247600966268402</v>
      </c>
      <c r="AI64" s="18">
        <v>15614.87</v>
      </c>
      <c r="AJ64" s="13"/>
      <c r="AK64" s="17">
        <v>0.0968</v>
      </c>
      <c r="AL64" s="13"/>
      <c r="AM64" s="15" t="s">
        <v>45</v>
      </c>
      <c r="AN64" s="12" t="s">
        <v>272</v>
      </c>
      <c r="AO64" s="15" t="s">
        <v>50</v>
      </c>
      <c r="AP64" s="12" t="s">
        <v>273</v>
      </c>
      <c r="AQ64" s="12" t="s">
        <v>287</v>
      </c>
      <c r="AR64" s="13"/>
      <c r="AS64" s="15" t="s">
        <v>288</v>
      </c>
      <c r="AT64" s="15" t="s">
        <v>289</v>
      </c>
      <c r="AU64" s="14">
        <v>21</v>
      </c>
      <c r="AV64" s="12" t="s">
        <v>39</v>
      </c>
      <c r="AW64" s="15" t="s">
        <v>40</v>
      </c>
      <c r="AX64" s="15" t="s">
        <v>41</v>
      </c>
      <c r="AY64" s="15" t="s">
        <v>42</v>
      </c>
      <c r="AZ64" s="12" t="s">
        <v>276</v>
      </c>
    </row>
    <row r="65" spans="1:52" ht="30" customHeight="1">
      <c r="A65" s="12" t="s">
        <v>290</v>
      </c>
      <c r="B65" s="12" t="s">
        <v>270</v>
      </c>
      <c r="C65" s="13"/>
      <c r="D65" s="14">
        <v>1</v>
      </c>
      <c r="E65" s="13"/>
      <c r="F65" s="12" t="s">
        <v>30</v>
      </c>
      <c r="G65" s="14">
        <v>1</v>
      </c>
      <c r="H65" s="14">
        <v>3</v>
      </c>
      <c r="I65" s="14">
        <v>0</v>
      </c>
      <c r="J65" s="14">
        <v>1</v>
      </c>
      <c r="K65" s="14">
        <v>2</v>
      </c>
      <c r="L65" s="14">
        <v>1</v>
      </c>
      <c r="M65" s="14">
        <v>0</v>
      </c>
      <c r="N65" s="14">
        <v>0</v>
      </c>
      <c r="O65" s="14">
        <v>0</v>
      </c>
      <c r="P65" s="14">
        <v>1</v>
      </c>
      <c r="Q65" s="14">
        <v>2</v>
      </c>
      <c r="R65" s="16">
        <f>IF($AY65="Conflict","",IF(COUNT(H65:Q65)=10,SUM(H65:Q65),IF(ISNUMBER($AU65),$AU65,"")))</f>
        <v>10</v>
      </c>
      <c r="S65" s="16">
        <f>IF(ISNUMBER(R65),R65/30*100,"")</f>
        <v>33.33333333333333</v>
      </c>
      <c r="T65" s="16">
        <f>IF($AY65="Conflict","",IF(COUNT(H65:J65,L65)=4,SUM(H65:J65,L65),""))</f>
        <v>5</v>
      </c>
      <c r="U65" s="16">
        <f>IF($AY65="Conflict","",IF(COUNT(K65,M65:O65)=4,SUM(K65,M65:O65),""))</f>
        <v>2</v>
      </c>
      <c r="V65" s="16">
        <f>IF($AY65="Conflict","",IF(COUNT(P65:Q65)=2,SUM(P65:Q65),""))</f>
        <v>3</v>
      </c>
      <c r="W65" s="15" t="s">
        <v>31</v>
      </c>
      <c r="X65" s="15" t="s">
        <v>271</v>
      </c>
      <c r="Y65" s="14">
        <v>9</v>
      </c>
      <c r="Z65" s="16">
        <f>IF(ISNUMBER(R65),R65,"")</f>
        <v>10</v>
      </c>
      <c r="AA65" s="14">
        <v>0</v>
      </c>
      <c r="AB65" s="17">
        <v>0.01182074920119869</v>
      </c>
      <c r="AC65" s="14" t="s">
        <v>33</v>
      </c>
      <c r="AD65" s="14">
        <v>0</v>
      </c>
      <c r="AE65" s="18">
        <v>4635.07</v>
      </c>
      <c r="AF65" s="18">
        <v>3756.2</v>
      </c>
      <c r="AG65" s="18">
        <v>300.02</v>
      </c>
      <c r="AH65" s="19">
        <f>IF(AND(ISNUMBER(AG65),ISNUMBER(AF65),AF65&gt;0),AG65/AF65,"")</f>
        <v>0.07987327618337682</v>
      </c>
      <c r="AI65" s="18">
        <v>175.94</v>
      </c>
      <c r="AJ65" s="13"/>
      <c r="AK65" s="17">
        <v>0.1156</v>
      </c>
      <c r="AL65" s="13"/>
      <c r="AM65" s="15" t="s">
        <v>45</v>
      </c>
      <c r="AN65" s="12" t="s">
        <v>272</v>
      </c>
      <c r="AO65" s="15" t="s">
        <v>31</v>
      </c>
      <c r="AP65" s="12" t="s">
        <v>273</v>
      </c>
      <c r="AQ65" s="13"/>
      <c r="AR65" s="13"/>
      <c r="AS65" s="15" t="s">
        <v>291</v>
      </c>
      <c r="AT65" s="15" t="s">
        <v>292</v>
      </c>
      <c r="AU65" s="14">
        <v>10</v>
      </c>
      <c r="AV65" s="12" t="s">
        <v>39</v>
      </c>
      <c r="AW65" s="15" t="s">
        <v>40</v>
      </c>
      <c r="AX65" s="15" t="s">
        <v>41</v>
      </c>
      <c r="AY65" s="15" t="s">
        <v>42</v>
      </c>
      <c r="AZ65" s="12" t="s">
        <v>276</v>
      </c>
    </row>
    <row r="66" spans="1:52" ht="30" customHeight="1">
      <c r="A66" s="12" t="s">
        <v>293</v>
      </c>
      <c r="B66" s="12" t="s">
        <v>270</v>
      </c>
      <c r="C66" s="13"/>
      <c r="D66" s="14">
        <v>1</v>
      </c>
      <c r="E66" s="13"/>
      <c r="F66" s="12" t="s">
        <v>30</v>
      </c>
      <c r="G66" s="14">
        <v>1</v>
      </c>
      <c r="H66" s="14">
        <v>3</v>
      </c>
      <c r="I66" s="14">
        <v>3</v>
      </c>
      <c r="J66" s="14">
        <v>3</v>
      </c>
      <c r="K66" s="14">
        <v>3</v>
      </c>
      <c r="L66" s="14">
        <v>2</v>
      </c>
      <c r="M66" s="14">
        <v>2</v>
      </c>
      <c r="N66" s="14">
        <v>1</v>
      </c>
      <c r="O66" s="14">
        <v>2</v>
      </c>
      <c r="P66" s="14">
        <v>3</v>
      </c>
      <c r="Q66" s="14">
        <v>2</v>
      </c>
      <c r="R66" s="16">
        <f>IF($AY66="Conflict","",IF(COUNT(H66:Q66)=10,SUM(H66:Q66),IF(ISNUMBER($AU66),$AU66,"")))</f>
        <v>24</v>
      </c>
      <c r="S66" s="16">
        <f>IF(ISNUMBER(R66),R66/30*100,"")</f>
        <v>80.0</v>
      </c>
      <c r="T66" s="16">
        <f>IF($AY66="Conflict","",IF(COUNT(H66:J66,L66)=4,SUM(H66:J66,L66),""))</f>
        <v>11</v>
      </c>
      <c r="U66" s="16">
        <f>IF($AY66="Conflict","",IF(COUNT(K66,M66:O66)=4,SUM(K66,M66:O66),""))</f>
        <v>8</v>
      </c>
      <c r="V66" s="16">
        <f>IF($AY66="Conflict","",IF(COUNT(P66:Q66)=2,SUM(P66:Q66),""))</f>
        <v>5</v>
      </c>
      <c r="W66" s="15" t="s">
        <v>50</v>
      </c>
      <c r="X66" s="15" t="s">
        <v>281</v>
      </c>
      <c r="Y66" s="14">
        <v>22</v>
      </c>
      <c r="Z66" s="16">
        <f>IF(ISNUMBER(R66),R66,"")</f>
        <v>24</v>
      </c>
      <c r="AA66" s="14">
        <v>1</v>
      </c>
      <c r="AB66" s="17">
        <v>0.5377824370118397</v>
      </c>
      <c r="AC66" s="14" t="s">
        <v>33</v>
      </c>
      <c r="AD66" s="13"/>
      <c r="AE66" s="18">
        <v>285874.36</v>
      </c>
      <c r="AF66" s="18">
        <v>452549.88</v>
      </c>
      <c r="AG66" s="18">
        <v>18953.88</v>
      </c>
      <c r="AH66" s="19">
        <f>IF(AND(ISNUMBER(AG66),ISNUMBER(AF66),AF66&gt;0),AG66/AF66,"")</f>
        <v>0.04188241084054646</v>
      </c>
      <c r="AI66" s="18">
        <v>121683.02</v>
      </c>
      <c r="AJ66" s="13"/>
      <c r="AK66" s="17">
        <v>0.07630000000000001</v>
      </c>
      <c r="AL66" s="13"/>
      <c r="AM66" s="15" t="s">
        <v>45</v>
      </c>
      <c r="AN66" s="12" t="s">
        <v>272</v>
      </c>
      <c r="AO66" s="15" t="s">
        <v>50</v>
      </c>
      <c r="AP66" s="12" t="s">
        <v>273</v>
      </c>
      <c r="AQ66" s="12" t="s">
        <v>294</v>
      </c>
      <c r="AR66" s="13"/>
      <c r="AS66" s="15" t="s">
        <v>295</v>
      </c>
      <c r="AT66" s="15" t="s">
        <v>296</v>
      </c>
      <c r="AU66" s="14">
        <v>24</v>
      </c>
      <c r="AV66" s="12" t="s">
        <v>39</v>
      </c>
      <c r="AW66" s="15" t="s">
        <v>40</v>
      </c>
      <c r="AX66" s="15" t="s">
        <v>41</v>
      </c>
      <c r="AY66" s="15" t="s">
        <v>42</v>
      </c>
      <c r="AZ66" s="12" t="s">
        <v>276</v>
      </c>
    </row>
    <row r="67" spans="1:52" ht="30" customHeight="1">
      <c r="A67" s="12" t="s">
        <v>297</v>
      </c>
      <c r="B67" s="12" t="s">
        <v>270</v>
      </c>
      <c r="C67" s="13"/>
      <c r="D67" s="14">
        <v>1</v>
      </c>
      <c r="E67" s="13"/>
      <c r="F67" s="12" t="s">
        <v>30</v>
      </c>
      <c r="G67" s="14">
        <v>1</v>
      </c>
      <c r="H67" s="14">
        <v>3</v>
      </c>
      <c r="I67" s="14">
        <v>3</v>
      </c>
      <c r="J67" s="14">
        <v>3</v>
      </c>
      <c r="K67" s="14">
        <v>2</v>
      </c>
      <c r="L67" s="14">
        <v>2</v>
      </c>
      <c r="M67" s="14">
        <v>1</v>
      </c>
      <c r="N67" s="14">
        <v>0</v>
      </c>
      <c r="O67" s="14">
        <v>1</v>
      </c>
      <c r="P67" s="14">
        <v>3</v>
      </c>
      <c r="Q67" s="14">
        <v>2</v>
      </c>
      <c r="R67" s="16">
        <f>IF($AY67="Conflict","",IF(COUNT(H67:Q67)=10,SUM(H67:Q67),IF(ISNUMBER($AU67),$AU67,"")))</f>
        <v>20</v>
      </c>
      <c r="S67" s="16">
        <f>IF(ISNUMBER(R67),R67/30*100,"")</f>
        <v>66.66666666666666</v>
      </c>
      <c r="T67" s="16">
        <f>IF($AY67="Conflict","",IF(COUNT(H67:J67,L67)=4,SUM(H67:J67,L67),""))</f>
        <v>11</v>
      </c>
      <c r="U67" s="16">
        <f>IF($AY67="Conflict","",IF(COUNT(K67,M67:O67)=4,SUM(K67,M67:O67),""))</f>
        <v>4</v>
      </c>
      <c r="V67" s="16">
        <f>IF($AY67="Conflict","",IF(COUNT(P67:Q67)=2,SUM(P67:Q67),""))</f>
        <v>5</v>
      </c>
      <c r="W67" s="15" t="s">
        <v>50</v>
      </c>
      <c r="X67" s="15" t="s">
        <v>281</v>
      </c>
      <c r="Y67" s="14">
        <v>20</v>
      </c>
      <c r="Z67" s="16">
        <f>IF(ISNUMBER(R67),R67,"")</f>
        <v>20</v>
      </c>
      <c r="AA67" s="14">
        <v>0</v>
      </c>
      <c r="AB67" s="17">
        <v>0</v>
      </c>
      <c r="AC67" s="14">
        <v>0</v>
      </c>
      <c r="AD67" s="13"/>
      <c r="AE67" s="18">
        <v>16676.2</v>
      </c>
      <c r="AF67" s="18">
        <v>58936.6</v>
      </c>
      <c r="AG67" s="18">
        <v>3430.7</v>
      </c>
      <c r="AH67" s="19">
        <f>IF(AND(ISNUMBER(AG67),ISNUMBER(AF67),AF67&gt;0),AG67/AF67,"")</f>
        <v>0.05821000872123604</v>
      </c>
      <c r="AI67" s="18">
        <v>9883.9</v>
      </c>
      <c r="AJ67" s="13"/>
      <c r="AK67" s="17">
        <v>0.093</v>
      </c>
      <c r="AL67" s="13"/>
      <c r="AM67" s="15" t="s">
        <v>45</v>
      </c>
      <c r="AN67" s="12" t="s">
        <v>272</v>
      </c>
      <c r="AO67" s="15" t="s">
        <v>50</v>
      </c>
      <c r="AP67" s="12" t="s">
        <v>273</v>
      </c>
      <c r="AQ67" s="12" t="s">
        <v>298</v>
      </c>
      <c r="AR67" s="13"/>
      <c r="AS67" s="15" t="s">
        <v>299</v>
      </c>
      <c r="AT67" s="15" t="s">
        <v>300</v>
      </c>
      <c r="AU67" s="14">
        <v>20</v>
      </c>
      <c r="AV67" s="12" t="s">
        <v>39</v>
      </c>
      <c r="AW67" s="15" t="s">
        <v>40</v>
      </c>
      <c r="AX67" s="15" t="s">
        <v>41</v>
      </c>
      <c r="AY67" s="15" t="s">
        <v>42</v>
      </c>
      <c r="AZ67" s="12" t="s">
        <v>276</v>
      </c>
    </row>
    <row r="68" spans="1:52" ht="30" customHeight="1">
      <c r="A68" s="12" t="s">
        <v>301</v>
      </c>
      <c r="B68" s="12" t="s">
        <v>270</v>
      </c>
      <c r="C68" s="13"/>
      <c r="D68" s="14">
        <v>1</v>
      </c>
      <c r="E68" s="13"/>
      <c r="F68" s="12" t="s">
        <v>30</v>
      </c>
      <c r="G68" s="14">
        <v>1</v>
      </c>
      <c r="H68" s="14">
        <v>3</v>
      </c>
      <c r="I68" s="14">
        <v>3</v>
      </c>
      <c r="J68" s="14">
        <v>3</v>
      </c>
      <c r="K68" s="14">
        <v>3</v>
      </c>
      <c r="L68" s="14">
        <v>2</v>
      </c>
      <c r="M68" s="14">
        <v>1</v>
      </c>
      <c r="N68" s="14">
        <v>0</v>
      </c>
      <c r="O68" s="14">
        <v>2</v>
      </c>
      <c r="P68" s="14">
        <v>3</v>
      </c>
      <c r="Q68" s="14">
        <v>3</v>
      </c>
      <c r="R68" s="16">
        <f>IF($AY68="Conflict","",IF(COUNT(H68:Q68)=10,SUM(H68:Q68),IF(ISNUMBER($AU68),$AU68,"")))</f>
        <v>23</v>
      </c>
      <c r="S68" s="16">
        <f>IF(ISNUMBER(R68),R68/30*100,"")</f>
        <v>76.66666666666667</v>
      </c>
      <c r="T68" s="16">
        <f>IF($AY68="Conflict","",IF(COUNT(H68:J68,L68)=4,SUM(H68:J68,L68),""))</f>
        <v>11</v>
      </c>
      <c r="U68" s="16">
        <f>IF($AY68="Conflict","",IF(COUNT(K68,M68:O68)=4,SUM(K68,M68:O68),""))</f>
        <v>6</v>
      </c>
      <c r="V68" s="16">
        <f>IF($AY68="Conflict","",IF(COUNT(P68:Q68)=2,SUM(P68:Q68),""))</f>
        <v>6</v>
      </c>
      <c r="W68" s="15" t="s">
        <v>50</v>
      </c>
      <c r="X68" s="15" t="s">
        <v>271</v>
      </c>
      <c r="Y68" s="14">
        <v>24</v>
      </c>
      <c r="Z68" s="16">
        <f>IF(ISNUMBER(R68),R68,"")</f>
        <v>23</v>
      </c>
      <c r="AA68" s="14">
        <v>0</v>
      </c>
      <c r="AB68" s="17">
        <v>0</v>
      </c>
      <c r="AC68" s="14">
        <v>0</v>
      </c>
      <c r="AD68" s="14">
        <v>0</v>
      </c>
      <c r="AE68" s="18">
        <v>1178.31</v>
      </c>
      <c r="AF68" s="18">
        <v>8294.83</v>
      </c>
      <c r="AG68" s="18">
        <v>298.17</v>
      </c>
      <c r="AH68" s="19">
        <f>IF(AND(ISNUMBER(AG68),ISNUMBER(AF68),AF68&gt;0),AG68/AF68,"")</f>
        <v>0.03594648714922428</v>
      </c>
      <c r="AI68" s="18">
        <v>645.25</v>
      </c>
      <c r="AJ68" s="13"/>
      <c r="AK68" s="17">
        <v>0.0677</v>
      </c>
      <c r="AL68" s="13"/>
      <c r="AM68" s="15" t="s">
        <v>45</v>
      </c>
      <c r="AN68" s="12" t="s">
        <v>272</v>
      </c>
      <c r="AO68" s="15" t="s">
        <v>50</v>
      </c>
      <c r="AP68" s="12" t="s">
        <v>273</v>
      </c>
      <c r="AQ68" s="13"/>
      <c r="AR68" s="13"/>
      <c r="AS68" s="15" t="s">
        <v>302</v>
      </c>
      <c r="AT68" s="15" t="s">
        <v>303</v>
      </c>
      <c r="AU68" s="14">
        <v>23</v>
      </c>
      <c r="AV68" s="12" t="s">
        <v>39</v>
      </c>
      <c r="AW68" s="15" t="s">
        <v>40</v>
      </c>
      <c r="AX68" s="15" t="s">
        <v>41</v>
      </c>
      <c r="AY68" s="15" t="s">
        <v>42</v>
      </c>
      <c r="AZ68" s="12" t="s">
        <v>276</v>
      </c>
    </row>
    <row r="69" spans="1:52" ht="30" customHeight="1">
      <c r="A69" s="12" t="s">
        <v>304</v>
      </c>
      <c r="B69" s="12" t="s">
        <v>270</v>
      </c>
      <c r="C69" s="13"/>
      <c r="D69" s="14">
        <v>1</v>
      </c>
      <c r="E69" s="13"/>
      <c r="F69" s="12" t="s">
        <v>63</v>
      </c>
      <c r="G69" s="14">
        <v>1</v>
      </c>
      <c r="H69" s="14">
        <v>3</v>
      </c>
      <c r="I69" s="14">
        <v>0</v>
      </c>
      <c r="J69" s="14">
        <v>1</v>
      </c>
      <c r="K69" s="14">
        <v>2</v>
      </c>
      <c r="L69" s="14">
        <v>2</v>
      </c>
      <c r="M69" s="14">
        <v>1</v>
      </c>
      <c r="N69" s="14">
        <v>0</v>
      </c>
      <c r="O69" s="14">
        <v>1</v>
      </c>
      <c r="P69" s="14">
        <v>1</v>
      </c>
      <c r="Q69" s="14">
        <v>2</v>
      </c>
      <c r="R69" s="16">
        <f>IF($AY69="Conflict","",IF(COUNT(H69:Q69)=10,SUM(H69:Q69),IF(ISNUMBER($AU69),$AU69,"")))</f>
        <v>13</v>
      </c>
      <c r="S69" s="16">
        <f>IF(ISNUMBER(R69),R69/30*100,"")</f>
        <v>43.333333333333336</v>
      </c>
      <c r="T69" s="16">
        <f>IF($AY69="Conflict","",IF(COUNT(H69:J69,L69)=4,SUM(H69:J69,L69),""))</f>
        <v>6</v>
      </c>
      <c r="U69" s="16">
        <f>IF($AY69="Conflict","",IF(COUNT(K69,M69:O69)=4,SUM(K69,M69:O69),""))</f>
        <v>4</v>
      </c>
      <c r="V69" s="16">
        <f>IF($AY69="Conflict","",IF(COUNT(P69:Q69)=2,SUM(P69:Q69),""))</f>
        <v>3</v>
      </c>
      <c r="W69" s="15" t="s">
        <v>31</v>
      </c>
      <c r="X69" s="15" t="s">
        <v>271</v>
      </c>
      <c r="Y69" s="14">
        <v>14</v>
      </c>
      <c r="Z69" s="16">
        <f>IF(ISNUMBER(R69),R69,"")</f>
        <v>13</v>
      </c>
      <c r="AA69" s="13"/>
      <c r="AB69" s="17">
        <v>0.0459</v>
      </c>
      <c r="AC69" s="14" t="s">
        <v>33</v>
      </c>
      <c r="AD69" s="14">
        <v>0</v>
      </c>
      <c r="AE69" s="13"/>
      <c r="AF69" s="13"/>
      <c r="AG69" s="13"/>
      <c r="AH69" s="19">
        <f>IF(AND(ISNUMBER(AG69),ISNUMBER(AF69),AF69&gt;0),AG69/AF69,"")</f>
        <v/>
      </c>
      <c r="AI69" s="13"/>
      <c r="AJ69" s="13"/>
      <c r="AK69" s="13"/>
      <c r="AL69" s="13"/>
      <c r="AM69" s="13"/>
      <c r="AN69" s="12" t="s">
        <v>305</v>
      </c>
      <c r="AO69" s="13"/>
      <c r="AP69" s="12" t="s">
        <v>36</v>
      </c>
      <c r="AQ69" s="13"/>
      <c r="AR69" s="13"/>
      <c r="AS69" s="15" t="s">
        <v>306</v>
      </c>
      <c r="AT69" s="15" t="s">
        <v>307</v>
      </c>
      <c r="AU69" s="14">
        <v>13</v>
      </c>
      <c r="AV69" s="12" t="s">
        <v>39</v>
      </c>
      <c r="AW69" s="15" t="s">
        <v>83</v>
      </c>
      <c r="AX69" s="15" t="s">
        <v>41</v>
      </c>
      <c r="AY69" s="15" t="s">
        <v>42</v>
      </c>
      <c r="AZ69" s="13"/>
    </row>
    <row r="70" spans="1:52" ht="30" customHeight="1">
      <c r="A70" s="12" t="s">
        <v>308</v>
      </c>
      <c r="B70" s="12" t="s">
        <v>270</v>
      </c>
      <c r="C70" s="13"/>
      <c r="D70" s="14">
        <v>1</v>
      </c>
      <c r="E70" s="13"/>
      <c r="F70" s="12" t="s">
        <v>30</v>
      </c>
      <c r="G70" s="14">
        <v>1</v>
      </c>
      <c r="H70" s="14">
        <v>3</v>
      </c>
      <c r="I70" s="14">
        <v>3</v>
      </c>
      <c r="J70" s="14">
        <v>1</v>
      </c>
      <c r="K70" s="14">
        <v>2</v>
      </c>
      <c r="L70" s="14">
        <v>2</v>
      </c>
      <c r="M70" s="14">
        <v>1</v>
      </c>
      <c r="N70" s="14">
        <v>0</v>
      </c>
      <c r="O70" s="14">
        <v>1</v>
      </c>
      <c r="P70" s="14">
        <v>3</v>
      </c>
      <c r="Q70" s="14">
        <v>2</v>
      </c>
      <c r="R70" s="16">
        <f>IF($AY70="Conflict","",IF(COUNT(H70:Q70)=10,SUM(H70:Q70),IF(ISNUMBER($AU70),$AU70,"")))</f>
        <v>18</v>
      </c>
      <c r="S70" s="16">
        <f>IF(ISNUMBER(R70),R70/30*100,"")</f>
        <v>60.0</v>
      </c>
      <c r="T70" s="16">
        <f>IF($AY70="Conflict","",IF(COUNT(H70:J70,L70)=4,SUM(H70:J70,L70),""))</f>
        <v>9</v>
      </c>
      <c r="U70" s="16">
        <f>IF($AY70="Conflict","",IF(COUNT(K70,M70:O70)=4,SUM(K70,M70:O70),""))</f>
        <v>4</v>
      </c>
      <c r="V70" s="16">
        <f>IF($AY70="Conflict","",IF(COUNT(P70:Q70)=2,SUM(P70:Q70),""))</f>
        <v>5</v>
      </c>
      <c r="W70" s="15" t="s">
        <v>50</v>
      </c>
      <c r="X70" s="15" t="s">
        <v>281</v>
      </c>
      <c r="Y70" s="14">
        <v>18</v>
      </c>
      <c r="Z70" s="16">
        <f>IF(ISNUMBER(R70),R70,"")</f>
        <v>18</v>
      </c>
      <c r="AA70" s="14">
        <v>0</v>
      </c>
      <c r="AB70" s="17">
        <v>0.0006574460932622581</v>
      </c>
      <c r="AC70" s="14" t="s">
        <v>33</v>
      </c>
      <c r="AD70" s="13"/>
      <c r="AE70" s="18">
        <v>20823</v>
      </c>
      <c r="AF70" s="18">
        <v>26006.07</v>
      </c>
      <c r="AG70" s="18">
        <v>723.96</v>
      </c>
      <c r="AH70" s="19">
        <f>IF(AND(ISNUMBER(AG70),ISNUMBER(AF70),AF70&gt;0),AG70/AF70,"")</f>
        <v>0.027838116255166585</v>
      </c>
      <c r="AI70" s="18">
        <v>3457</v>
      </c>
      <c r="AJ70" s="13"/>
      <c r="AK70" s="17">
        <v>0.2951</v>
      </c>
      <c r="AL70" s="13"/>
      <c r="AM70" s="15" t="s">
        <v>45</v>
      </c>
      <c r="AN70" s="12" t="s">
        <v>272</v>
      </c>
      <c r="AO70" s="15" t="s">
        <v>50</v>
      </c>
      <c r="AP70" s="12" t="s">
        <v>273</v>
      </c>
      <c r="AQ70" s="12" t="s">
        <v>309</v>
      </c>
      <c r="AR70" s="13"/>
      <c r="AS70" s="15" t="s">
        <v>310</v>
      </c>
      <c r="AT70" s="15" t="s">
        <v>311</v>
      </c>
      <c r="AU70" s="14">
        <v>18</v>
      </c>
      <c r="AV70" s="12" t="s">
        <v>39</v>
      </c>
      <c r="AW70" s="15" t="s">
        <v>40</v>
      </c>
      <c r="AX70" s="15" t="s">
        <v>41</v>
      </c>
      <c r="AY70" s="15" t="s">
        <v>42</v>
      </c>
      <c r="AZ70" s="12" t="s">
        <v>276</v>
      </c>
    </row>
    <row r="71" spans="1:52" ht="30" customHeight="1">
      <c r="A71" s="12" t="s">
        <v>312</v>
      </c>
      <c r="B71" s="12" t="s">
        <v>313</v>
      </c>
      <c r="C71" s="13"/>
      <c r="D71" s="13"/>
      <c r="E71" s="13"/>
      <c r="F71" s="13"/>
      <c r="G71" s="13"/>
      <c r="H71" s="13"/>
      <c r="I71" s="13"/>
      <c r="J71" s="13"/>
      <c r="K71" s="13"/>
      <c r="L71" s="13"/>
      <c r="M71" s="13"/>
      <c r="N71" s="13"/>
      <c r="O71" s="13"/>
      <c r="P71" s="13"/>
      <c r="Q71" s="13"/>
      <c r="R71" s="16">
        <f>IF($AY71="Conflict","",IF(COUNT(H71:Q71)=10,SUM(H71:Q71),IF(ISNUMBER($AU71),$AU71,"")))</f>
        <v>24</v>
      </c>
      <c r="S71" s="16">
        <f>IF(ISNUMBER(R71),R71/30*100,"")</f>
        <v>80.0</v>
      </c>
      <c r="T71" s="16">
        <f>IF($AY71="Conflict","",IF(COUNT(H71:J71,L71)=4,SUM(H71:J71,L71),""))</f>
        <v/>
      </c>
      <c r="U71" s="16">
        <f>IF($AY71="Conflict","",IF(COUNT(K71,M71:O71)=4,SUM(K71,M71:O71),""))</f>
        <v/>
      </c>
      <c r="V71" s="16">
        <f>IF($AY71="Conflict","",IF(COUNT(P71:Q71)=2,SUM(P71:Q71),""))</f>
        <v/>
      </c>
      <c r="W71" s="15" t="s">
        <v>31</v>
      </c>
      <c r="X71" s="13"/>
      <c r="Y71" s="13"/>
      <c r="Z71" s="13"/>
      <c r="AA71" s="14">
        <v>0</v>
      </c>
      <c r="AB71" s="13"/>
      <c r="AC71" s="13"/>
      <c r="AD71" s="13"/>
      <c r="AE71" s="13"/>
      <c r="AF71" s="13"/>
      <c r="AG71" s="13"/>
      <c r="AH71" s="19">
        <f>IF(AND(ISNUMBER(AG71),ISNUMBER(AF71),AF71&gt;0),AG71/AF71,"")</f>
        <v/>
      </c>
      <c r="AI71" s="13"/>
      <c r="AJ71" s="13"/>
      <c r="AK71" s="17">
        <v>0.06809999999999999</v>
      </c>
      <c r="AL71" s="13"/>
      <c r="AM71" s="13"/>
      <c r="AN71" s="12" t="s">
        <v>314</v>
      </c>
      <c r="AO71" s="15" t="s">
        <v>31</v>
      </c>
      <c r="AP71" s="12" t="s">
        <v>315</v>
      </c>
      <c r="AQ71" s="13"/>
      <c r="AR71" s="13"/>
      <c r="AS71" s="15" t="s">
        <v>316</v>
      </c>
      <c r="AT71" s="15" t="s">
        <v>317</v>
      </c>
      <c r="AU71" s="14">
        <v>24</v>
      </c>
      <c r="AV71" s="12" t="s">
        <v>231</v>
      </c>
      <c r="AW71" s="15" t="s">
        <v>40</v>
      </c>
      <c r="AX71" s="15" t="s">
        <v>115</v>
      </c>
      <c r="AY71" s="15" t="s">
        <v>232</v>
      </c>
      <c r="AZ71" s="12" t="s">
        <v>318</v>
      </c>
    </row>
    <row r="72" spans="1:52" ht="30" customHeight="1">
      <c r="A72" s="12" t="s">
        <v>319</v>
      </c>
      <c r="B72" s="12" t="s">
        <v>313</v>
      </c>
      <c r="C72" s="13"/>
      <c r="D72" s="13"/>
      <c r="E72" s="13"/>
      <c r="F72" s="13"/>
      <c r="G72" s="13"/>
      <c r="H72" s="13"/>
      <c r="I72" s="13"/>
      <c r="J72" s="13"/>
      <c r="K72" s="13"/>
      <c r="L72" s="13"/>
      <c r="M72" s="13"/>
      <c r="N72" s="13"/>
      <c r="O72" s="13"/>
      <c r="P72" s="13"/>
      <c r="Q72" s="13"/>
      <c r="R72" s="16">
        <f>IF($AY72="Conflict","",IF(COUNT(H72:Q72)=10,SUM(H72:Q72),IF(ISNUMBER($AU72),$AU72,"")))</f>
        <v>17</v>
      </c>
      <c r="S72" s="16">
        <f>IF(ISNUMBER(R72),R72/30*100,"")</f>
        <v>56.666666666666664</v>
      </c>
      <c r="T72" s="16">
        <f>IF($AY72="Conflict","",IF(COUNT(H72:J72,L72)=4,SUM(H72:J72,L72),""))</f>
        <v/>
      </c>
      <c r="U72" s="16">
        <f>IF($AY72="Conflict","",IF(COUNT(K72,M72:O72)=4,SUM(K72,M72:O72),""))</f>
        <v/>
      </c>
      <c r="V72" s="16">
        <f>IF($AY72="Conflict","",IF(COUNT(P72:Q72)=2,SUM(P72:Q72),""))</f>
        <v/>
      </c>
      <c r="W72" s="15" t="s">
        <v>31</v>
      </c>
      <c r="X72" s="13"/>
      <c r="Y72" s="13"/>
      <c r="Z72" s="13"/>
      <c r="AA72" s="14">
        <v>0</v>
      </c>
      <c r="AB72" s="13"/>
      <c r="AC72" s="13"/>
      <c r="AD72" s="13"/>
      <c r="AE72" s="13"/>
      <c r="AF72" s="13"/>
      <c r="AG72" s="13"/>
      <c r="AH72" s="19">
        <f>IF(AND(ISNUMBER(AG72),ISNUMBER(AF72),AF72&gt;0),AG72/AF72,"")</f>
        <v/>
      </c>
      <c r="AI72" s="13"/>
      <c r="AJ72" s="13"/>
      <c r="AK72" s="17">
        <v>0.1649</v>
      </c>
      <c r="AL72" s="13"/>
      <c r="AM72" s="13"/>
      <c r="AN72" s="12" t="s">
        <v>314</v>
      </c>
      <c r="AO72" s="15" t="s">
        <v>31</v>
      </c>
      <c r="AP72" s="12" t="s">
        <v>315</v>
      </c>
      <c r="AQ72" s="13"/>
      <c r="AR72" s="13"/>
      <c r="AS72" s="15" t="s">
        <v>320</v>
      </c>
      <c r="AT72" s="15" t="s">
        <v>321</v>
      </c>
      <c r="AU72" s="14">
        <v>17</v>
      </c>
      <c r="AV72" s="12" t="s">
        <v>231</v>
      </c>
      <c r="AW72" s="15" t="s">
        <v>40</v>
      </c>
      <c r="AX72" s="15" t="s">
        <v>115</v>
      </c>
      <c r="AY72" s="15" t="s">
        <v>232</v>
      </c>
      <c r="AZ72" s="12" t="s">
        <v>318</v>
      </c>
    </row>
    <row r="73" spans="1:52" ht="30" customHeight="1">
      <c r="A73" s="12" t="s">
        <v>322</v>
      </c>
      <c r="B73" s="12" t="s">
        <v>313</v>
      </c>
      <c r="C73" s="13"/>
      <c r="D73" s="13"/>
      <c r="E73" s="13"/>
      <c r="F73" s="13"/>
      <c r="G73" s="13"/>
      <c r="H73" s="13"/>
      <c r="I73" s="13"/>
      <c r="J73" s="13"/>
      <c r="K73" s="13"/>
      <c r="L73" s="13"/>
      <c r="M73" s="13"/>
      <c r="N73" s="13"/>
      <c r="O73" s="13"/>
      <c r="P73" s="13"/>
      <c r="Q73" s="13"/>
      <c r="R73" s="16">
        <f>IF($AY73="Conflict","",IF(COUNT(H73:Q73)=10,SUM(H73:Q73),IF(ISNUMBER($AU73),$AU73,"")))</f>
        <v>17</v>
      </c>
      <c r="S73" s="16">
        <f>IF(ISNUMBER(R73),R73/30*100,"")</f>
        <v>56.666666666666664</v>
      </c>
      <c r="T73" s="16">
        <f>IF($AY73="Conflict","",IF(COUNT(H73:J73,L73)=4,SUM(H73:J73,L73),""))</f>
        <v/>
      </c>
      <c r="U73" s="16">
        <f>IF($AY73="Conflict","",IF(COUNT(K73,M73:O73)=4,SUM(K73,M73:O73),""))</f>
        <v/>
      </c>
      <c r="V73" s="16">
        <f>IF($AY73="Conflict","",IF(COUNT(P73:Q73)=2,SUM(P73:Q73),""))</f>
        <v/>
      </c>
      <c r="W73" s="15" t="s">
        <v>31</v>
      </c>
      <c r="X73" s="13"/>
      <c r="Y73" s="13"/>
      <c r="Z73" s="13"/>
      <c r="AA73" s="14">
        <v>0</v>
      </c>
      <c r="AB73" s="13"/>
      <c r="AC73" s="13"/>
      <c r="AD73" s="13"/>
      <c r="AE73" s="13"/>
      <c r="AF73" s="13"/>
      <c r="AG73" s="13"/>
      <c r="AH73" s="19">
        <f>IF(AND(ISNUMBER(AG73),ISNUMBER(AF73),AF73&gt;0),AG73/AF73,"")</f>
        <v/>
      </c>
      <c r="AI73" s="13"/>
      <c r="AJ73" s="13"/>
      <c r="AK73" s="13"/>
      <c r="AL73" s="13"/>
      <c r="AM73" s="13"/>
      <c r="AN73" s="12" t="s">
        <v>314</v>
      </c>
      <c r="AO73" s="15" t="s">
        <v>31</v>
      </c>
      <c r="AP73" s="12" t="s">
        <v>315</v>
      </c>
      <c r="AQ73" s="13"/>
      <c r="AR73" s="13"/>
      <c r="AS73" s="15" t="s">
        <v>323</v>
      </c>
      <c r="AT73" s="15" t="s">
        <v>324</v>
      </c>
      <c r="AU73" s="14">
        <v>17</v>
      </c>
      <c r="AV73" s="12" t="s">
        <v>231</v>
      </c>
      <c r="AW73" s="15" t="s">
        <v>83</v>
      </c>
      <c r="AX73" s="15" t="s">
        <v>115</v>
      </c>
      <c r="AY73" s="15" t="s">
        <v>232</v>
      </c>
      <c r="AZ73" s="13"/>
    </row>
    <row r="74" spans="1:52" ht="30" customHeight="1">
      <c r="A74" s="12" t="s">
        <v>325</v>
      </c>
      <c r="B74" s="12" t="s">
        <v>313</v>
      </c>
      <c r="C74" s="13"/>
      <c r="D74" s="13"/>
      <c r="E74" s="13"/>
      <c r="F74" s="13"/>
      <c r="G74" s="13"/>
      <c r="H74" s="13"/>
      <c r="I74" s="13"/>
      <c r="J74" s="13"/>
      <c r="K74" s="13"/>
      <c r="L74" s="13"/>
      <c r="M74" s="13"/>
      <c r="N74" s="13"/>
      <c r="O74" s="13"/>
      <c r="P74" s="13"/>
      <c r="Q74" s="13"/>
      <c r="R74" s="16">
        <f>IF($AY74="Conflict","",IF(COUNT(H74:Q74)=10,SUM(H74:Q74),IF(ISNUMBER($AU74),$AU74,"")))</f>
        <v>16</v>
      </c>
      <c r="S74" s="16">
        <f>IF(ISNUMBER(R74),R74/30*100,"")</f>
        <v>53.333333333333336</v>
      </c>
      <c r="T74" s="16">
        <f>IF($AY74="Conflict","",IF(COUNT(H74:J74,L74)=4,SUM(H74:J74,L74),""))</f>
        <v/>
      </c>
      <c r="U74" s="16">
        <f>IF($AY74="Conflict","",IF(COUNT(K74,M74:O74)=4,SUM(K74,M74:O74),""))</f>
        <v/>
      </c>
      <c r="V74" s="16">
        <f>IF($AY74="Conflict","",IF(COUNT(P74:Q74)=2,SUM(P74:Q74),""))</f>
        <v/>
      </c>
      <c r="W74" s="15" t="s">
        <v>31</v>
      </c>
      <c r="X74" s="13"/>
      <c r="Y74" s="13"/>
      <c r="Z74" s="13"/>
      <c r="AA74" s="14">
        <v>0</v>
      </c>
      <c r="AB74" s="13"/>
      <c r="AC74" s="13"/>
      <c r="AD74" s="13"/>
      <c r="AE74" s="13"/>
      <c r="AF74" s="13"/>
      <c r="AG74" s="13"/>
      <c r="AH74" s="19">
        <f>IF(AND(ISNUMBER(AG74),ISNUMBER(AF74),AF74&gt;0),AG74/AF74,"")</f>
        <v/>
      </c>
      <c r="AI74" s="13"/>
      <c r="AJ74" s="13"/>
      <c r="AK74" s="13"/>
      <c r="AL74" s="13"/>
      <c r="AM74" s="13"/>
      <c r="AN74" s="12" t="s">
        <v>314</v>
      </c>
      <c r="AO74" s="15" t="s">
        <v>31</v>
      </c>
      <c r="AP74" s="12" t="s">
        <v>315</v>
      </c>
      <c r="AQ74" s="13"/>
      <c r="AR74" s="13"/>
      <c r="AS74" s="15" t="s">
        <v>326</v>
      </c>
      <c r="AT74" s="15" t="s">
        <v>327</v>
      </c>
      <c r="AU74" s="14">
        <v>16</v>
      </c>
      <c r="AV74" s="12" t="s">
        <v>231</v>
      </c>
      <c r="AW74" s="15" t="s">
        <v>83</v>
      </c>
      <c r="AX74" s="15" t="s">
        <v>115</v>
      </c>
      <c r="AY74" s="15" t="s">
        <v>232</v>
      </c>
      <c r="AZ74" s="13"/>
    </row>
    <row r="75" spans="1:52" ht="30" customHeight="1">
      <c r="A75" s="12" t="s">
        <v>328</v>
      </c>
      <c r="B75" s="12" t="s">
        <v>313</v>
      </c>
      <c r="C75" s="13"/>
      <c r="D75" s="13"/>
      <c r="E75" s="13"/>
      <c r="F75" s="13"/>
      <c r="G75" s="13"/>
      <c r="H75" s="13"/>
      <c r="I75" s="13"/>
      <c r="J75" s="13"/>
      <c r="K75" s="13"/>
      <c r="L75" s="13"/>
      <c r="M75" s="13"/>
      <c r="N75" s="13"/>
      <c r="O75" s="13"/>
      <c r="P75" s="13"/>
      <c r="Q75" s="13"/>
      <c r="R75" s="16">
        <f>IF($AY75="Conflict","",IF(COUNT(H75:Q75)=10,SUM(H75:Q75),IF(ISNUMBER($AU75),$AU75,"")))</f>
        <v>17</v>
      </c>
      <c r="S75" s="16">
        <f>IF(ISNUMBER(R75),R75/30*100,"")</f>
        <v>56.666666666666664</v>
      </c>
      <c r="T75" s="16">
        <f>IF($AY75="Conflict","",IF(COUNT(H75:J75,L75)=4,SUM(H75:J75,L75),""))</f>
        <v/>
      </c>
      <c r="U75" s="16">
        <f>IF($AY75="Conflict","",IF(COUNT(K75,M75:O75)=4,SUM(K75,M75:O75),""))</f>
        <v/>
      </c>
      <c r="V75" s="16">
        <f>IF($AY75="Conflict","",IF(COUNT(P75:Q75)=2,SUM(P75:Q75),""))</f>
        <v/>
      </c>
      <c r="W75" s="15" t="s">
        <v>31</v>
      </c>
      <c r="X75" s="13"/>
      <c r="Y75" s="13"/>
      <c r="Z75" s="13"/>
      <c r="AA75" s="14">
        <v>0</v>
      </c>
      <c r="AB75" s="13"/>
      <c r="AC75" s="13"/>
      <c r="AD75" s="13"/>
      <c r="AE75" s="13"/>
      <c r="AF75" s="13"/>
      <c r="AG75" s="13"/>
      <c r="AH75" s="19">
        <f>IF(AND(ISNUMBER(AG75),ISNUMBER(AF75),AF75&gt;0),AG75/AF75,"")</f>
        <v/>
      </c>
      <c r="AI75" s="13"/>
      <c r="AJ75" s="13"/>
      <c r="AK75" s="17">
        <v>1.5222</v>
      </c>
      <c r="AL75" s="13"/>
      <c r="AM75" s="13"/>
      <c r="AN75" s="12" t="s">
        <v>314</v>
      </c>
      <c r="AO75" s="15" t="s">
        <v>31</v>
      </c>
      <c r="AP75" s="12" t="s">
        <v>315</v>
      </c>
      <c r="AQ75" s="13"/>
      <c r="AR75" s="13"/>
      <c r="AS75" s="15" t="s">
        <v>329</v>
      </c>
      <c r="AT75" s="15" t="s">
        <v>330</v>
      </c>
      <c r="AU75" s="14">
        <v>17</v>
      </c>
      <c r="AV75" s="12" t="s">
        <v>231</v>
      </c>
      <c r="AW75" s="15" t="s">
        <v>40</v>
      </c>
      <c r="AX75" s="15" t="s">
        <v>115</v>
      </c>
      <c r="AY75" s="15" t="s">
        <v>232</v>
      </c>
      <c r="AZ75" s="12" t="s">
        <v>318</v>
      </c>
    </row>
    <row r="76" spans="1:52" ht="30" customHeight="1">
      <c r="A76" s="12" t="s">
        <v>331</v>
      </c>
      <c r="B76" s="12" t="s">
        <v>313</v>
      </c>
      <c r="C76" s="13"/>
      <c r="D76" s="13"/>
      <c r="E76" s="13"/>
      <c r="F76" s="13"/>
      <c r="G76" s="13"/>
      <c r="H76" s="13"/>
      <c r="I76" s="13"/>
      <c r="J76" s="13"/>
      <c r="K76" s="13"/>
      <c r="L76" s="13"/>
      <c r="M76" s="13"/>
      <c r="N76" s="13"/>
      <c r="O76" s="13"/>
      <c r="P76" s="13"/>
      <c r="Q76" s="13"/>
      <c r="R76" s="16">
        <f>IF($AY76="Conflict","",IF(COUNT(H76:Q76)=10,SUM(H76:Q76),IF(ISNUMBER($AU76),$AU76,"")))</f>
        <v>10</v>
      </c>
      <c r="S76" s="16">
        <f>IF(ISNUMBER(R76),R76/30*100,"")</f>
        <v>33.33333333333333</v>
      </c>
      <c r="T76" s="16">
        <f>IF($AY76="Conflict","",IF(COUNT(H76:J76,L76)=4,SUM(H76:J76,L76),""))</f>
        <v/>
      </c>
      <c r="U76" s="16">
        <f>IF($AY76="Conflict","",IF(COUNT(K76,M76:O76)=4,SUM(K76,M76:O76),""))</f>
        <v/>
      </c>
      <c r="V76" s="16">
        <f>IF($AY76="Conflict","",IF(COUNT(P76:Q76)=2,SUM(P76:Q76),""))</f>
        <v/>
      </c>
      <c r="W76" s="15" t="s">
        <v>31</v>
      </c>
      <c r="X76" s="13"/>
      <c r="Y76" s="13"/>
      <c r="Z76" s="13"/>
      <c r="AA76" s="14">
        <v>0</v>
      </c>
      <c r="AB76" s="13"/>
      <c r="AC76" s="13"/>
      <c r="AD76" s="13"/>
      <c r="AE76" s="13"/>
      <c r="AF76" s="13"/>
      <c r="AG76" s="13"/>
      <c r="AH76" s="19">
        <f>IF(AND(ISNUMBER(AG76),ISNUMBER(AF76),AF76&gt;0),AG76/AF76,"")</f>
        <v/>
      </c>
      <c r="AI76" s="13"/>
      <c r="AJ76" s="13"/>
      <c r="AK76" s="17">
        <v>0.1116</v>
      </c>
      <c r="AL76" s="13"/>
      <c r="AM76" s="13"/>
      <c r="AN76" s="12" t="s">
        <v>314</v>
      </c>
      <c r="AO76" s="15" t="s">
        <v>31</v>
      </c>
      <c r="AP76" s="12" t="s">
        <v>315</v>
      </c>
      <c r="AQ76" s="13"/>
      <c r="AR76" s="13"/>
      <c r="AS76" s="15" t="s">
        <v>332</v>
      </c>
      <c r="AT76" s="15" t="s">
        <v>333</v>
      </c>
      <c r="AU76" s="14">
        <v>10</v>
      </c>
      <c r="AV76" s="12" t="s">
        <v>231</v>
      </c>
      <c r="AW76" s="15" t="s">
        <v>40</v>
      </c>
      <c r="AX76" s="15" t="s">
        <v>115</v>
      </c>
      <c r="AY76" s="15" t="s">
        <v>232</v>
      </c>
      <c r="AZ76" s="12" t="s">
        <v>318</v>
      </c>
    </row>
    <row r="77" spans="1:52" ht="30" customHeight="1">
      <c r="A77" s="12" t="s">
        <v>334</v>
      </c>
      <c r="B77" s="12" t="s">
        <v>313</v>
      </c>
      <c r="C77" s="13"/>
      <c r="D77" s="13"/>
      <c r="E77" s="13"/>
      <c r="F77" s="13"/>
      <c r="G77" s="13"/>
      <c r="H77" s="13"/>
      <c r="I77" s="13"/>
      <c r="J77" s="13"/>
      <c r="K77" s="13"/>
      <c r="L77" s="13"/>
      <c r="M77" s="13"/>
      <c r="N77" s="13"/>
      <c r="O77" s="13"/>
      <c r="P77" s="13"/>
      <c r="Q77" s="13"/>
      <c r="R77" s="16">
        <f>IF($AY77="Conflict","",IF(COUNT(H77:Q77)=10,SUM(H77:Q77),IF(ISNUMBER($AU77),$AU77,"")))</f>
        <v>17</v>
      </c>
      <c r="S77" s="16">
        <f>IF(ISNUMBER(R77),R77/30*100,"")</f>
        <v>56.666666666666664</v>
      </c>
      <c r="T77" s="16">
        <f>IF($AY77="Conflict","",IF(COUNT(H77:J77,L77)=4,SUM(H77:J77,L77),""))</f>
        <v/>
      </c>
      <c r="U77" s="16">
        <f>IF($AY77="Conflict","",IF(COUNT(K77,M77:O77)=4,SUM(K77,M77:O77),""))</f>
        <v/>
      </c>
      <c r="V77" s="16">
        <f>IF($AY77="Conflict","",IF(COUNT(P77:Q77)=2,SUM(P77:Q77),""))</f>
        <v/>
      </c>
      <c r="W77" s="15" t="s">
        <v>31</v>
      </c>
      <c r="X77" s="13"/>
      <c r="Y77" s="13"/>
      <c r="Z77" s="13"/>
      <c r="AA77" s="14">
        <v>0</v>
      </c>
      <c r="AB77" s="13"/>
      <c r="AC77" s="13"/>
      <c r="AD77" s="13"/>
      <c r="AE77" s="13"/>
      <c r="AF77" s="13"/>
      <c r="AG77" s="13"/>
      <c r="AH77" s="19">
        <f>IF(AND(ISNUMBER(AG77),ISNUMBER(AF77),AF77&gt;0),AG77/AF77,"")</f>
        <v/>
      </c>
      <c r="AI77" s="13"/>
      <c r="AJ77" s="13"/>
      <c r="AK77" s="13"/>
      <c r="AL77" s="13"/>
      <c r="AM77" s="13"/>
      <c r="AN77" s="12" t="s">
        <v>314</v>
      </c>
      <c r="AO77" s="15" t="s">
        <v>31</v>
      </c>
      <c r="AP77" s="12" t="s">
        <v>315</v>
      </c>
      <c r="AQ77" s="13"/>
      <c r="AR77" s="13"/>
      <c r="AS77" s="15" t="s">
        <v>335</v>
      </c>
      <c r="AT77" s="15" t="s">
        <v>336</v>
      </c>
      <c r="AU77" s="14">
        <v>17</v>
      </c>
      <c r="AV77" s="12" t="s">
        <v>231</v>
      </c>
      <c r="AW77" s="15" t="s">
        <v>83</v>
      </c>
      <c r="AX77" s="15" t="s">
        <v>115</v>
      </c>
      <c r="AY77" s="15" t="s">
        <v>232</v>
      </c>
      <c r="AZ77" s="13"/>
    </row>
    <row r="78" spans="1:52" ht="30" customHeight="1">
      <c r="A78" s="12" t="s">
        <v>337</v>
      </c>
      <c r="B78" s="12" t="s">
        <v>313</v>
      </c>
      <c r="C78" s="13"/>
      <c r="D78" s="13"/>
      <c r="E78" s="13"/>
      <c r="F78" s="13"/>
      <c r="G78" s="13"/>
      <c r="H78" s="13"/>
      <c r="I78" s="13"/>
      <c r="J78" s="13"/>
      <c r="K78" s="13"/>
      <c r="L78" s="13"/>
      <c r="M78" s="13"/>
      <c r="N78" s="13"/>
      <c r="O78" s="13"/>
      <c r="P78" s="13"/>
      <c r="Q78" s="13"/>
      <c r="R78" s="16">
        <f>IF($AY78="Conflict","",IF(COUNT(H78:Q78)=10,SUM(H78:Q78),IF(ISNUMBER($AU78),$AU78,"")))</f>
        <v>21</v>
      </c>
      <c r="S78" s="16">
        <f>IF(ISNUMBER(R78),R78/30*100,"")</f>
        <v>70.0</v>
      </c>
      <c r="T78" s="16">
        <f>IF($AY78="Conflict","",IF(COUNT(H78:J78,L78)=4,SUM(H78:J78,L78),""))</f>
        <v/>
      </c>
      <c r="U78" s="16">
        <f>IF($AY78="Conflict","",IF(COUNT(K78,M78:O78)=4,SUM(K78,M78:O78),""))</f>
        <v/>
      </c>
      <c r="V78" s="16">
        <f>IF($AY78="Conflict","",IF(COUNT(P78:Q78)=2,SUM(P78:Q78),""))</f>
        <v/>
      </c>
      <c r="W78" s="15" t="s">
        <v>31</v>
      </c>
      <c r="X78" s="13"/>
      <c r="Y78" s="13"/>
      <c r="Z78" s="13"/>
      <c r="AA78" s="14">
        <v>0</v>
      </c>
      <c r="AB78" s="13"/>
      <c r="AC78" s="13"/>
      <c r="AD78" s="13"/>
      <c r="AE78" s="13"/>
      <c r="AF78" s="13"/>
      <c r="AG78" s="13"/>
      <c r="AH78" s="19">
        <f>IF(AND(ISNUMBER(AG78),ISNUMBER(AF78),AF78&gt;0),AG78/AF78,"")</f>
        <v/>
      </c>
      <c r="AI78" s="13"/>
      <c r="AJ78" s="13"/>
      <c r="AK78" s="17">
        <v>0.0621</v>
      </c>
      <c r="AL78" s="13"/>
      <c r="AM78" s="13"/>
      <c r="AN78" s="12" t="s">
        <v>314</v>
      </c>
      <c r="AO78" s="15" t="s">
        <v>31</v>
      </c>
      <c r="AP78" s="12" t="s">
        <v>315</v>
      </c>
      <c r="AQ78" s="13"/>
      <c r="AR78" s="13"/>
      <c r="AS78" s="15" t="s">
        <v>338</v>
      </c>
      <c r="AT78" s="15" t="s">
        <v>339</v>
      </c>
      <c r="AU78" s="14">
        <v>21</v>
      </c>
      <c r="AV78" s="12" t="s">
        <v>231</v>
      </c>
      <c r="AW78" s="15" t="s">
        <v>40</v>
      </c>
      <c r="AX78" s="15" t="s">
        <v>115</v>
      </c>
      <c r="AY78" s="15" t="s">
        <v>232</v>
      </c>
      <c r="AZ78" s="12" t="s">
        <v>318</v>
      </c>
    </row>
    <row r="79" spans="1:52" ht="30" customHeight="1">
      <c r="A79" s="12" t="s">
        <v>340</v>
      </c>
      <c r="B79" s="12" t="s">
        <v>313</v>
      </c>
      <c r="C79" s="13"/>
      <c r="D79" s="13"/>
      <c r="E79" s="13"/>
      <c r="F79" s="13"/>
      <c r="G79" s="13"/>
      <c r="H79" s="13"/>
      <c r="I79" s="13"/>
      <c r="J79" s="13"/>
      <c r="K79" s="13"/>
      <c r="L79" s="13"/>
      <c r="M79" s="13"/>
      <c r="N79" s="13"/>
      <c r="O79" s="13"/>
      <c r="P79" s="13"/>
      <c r="Q79" s="13"/>
      <c r="R79" s="16">
        <f>IF($AY79="Conflict","",IF(COUNT(H79:Q79)=10,SUM(H79:Q79),IF(ISNUMBER($AU79),$AU79,"")))</f>
        <v>14</v>
      </c>
      <c r="S79" s="16">
        <f>IF(ISNUMBER(R79),R79/30*100,"")</f>
        <v>46.666666666666664</v>
      </c>
      <c r="T79" s="16">
        <f>IF($AY79="Conflict","",IF(COUNT(H79:J79,L79)=4,SUM(H79:J79,L79),""))</f>
        <v/>
      </c>
      <c r="U79" s="16">
        <f>IF($AY79="Conflict","",IF(COUNT(K79,M79:O79)=4,SUM(K79,M79:O79),""))</f>
        <v/>
      </c>
      <c r="V79" s="16">
        <f>IF($AY79="Conflict","",IF(COUNT(P79:Q79)=2,SUM(P79:Q79),""))</f>
        <v/>
      </c>
      <c r="W79" s="15" t="s">
        <v>31</v>
      </c>
      <c r="X79" s="13"/>
      <c r="Y79" s="13"/>
      <c r="Z79" s="13"/>
      <c r="AA79" s="14">
        <v>0</v>
      </c>
      <c r="AB79" s="13"/>
      <c r="AC79" s="13"/>
      <c r="AD79" s="13"/>
      <c r="AE79" s="13"/>
      <c r="AF79" s="13"/>
      <c r="AG79" s="13"/>
      <c r="AH79" s="19">
        <f>IF(AND(ISNUMBER(AG79),ISNUMBER(AF79),AF79&gt;0),AG79/AF79,"")</f>
        <v/>
      </c>
      <c r="AI79" s="13"/>
      <c r="AJ79" s="13"/>
      <c r="AK79" s="17">
        <v>0.4595</v>
      </c>
      <c r="AL79" s="13"/>
      <c r="AM79" s="13"/>
      <c r="AN79" s="12" t="s">
        <v>314</v>
      </c>
      <c r="AO79" s="15" t="s">
        <v>31</v>
      </c>
      <c r="AP79" s="12" t="s">
        <v>315</v>
      </c>
      <c r="AQ79" s="13"/>
      <c r="AR79" s="13"/>
      <c r="AS79" s="15" t="s">
        <v>341</v>
      </c>
      <c r="AT79" s="15" t="s">
        <v>342</v>
      </c>
      <c r="AU79" s="14">
        <v>14</v>
      </c>
      <c r="AV79" s="12" t="s">
        <v>231</v>
      </c>
      <c r="AW79" s="15" t="s">
        <v>40</v>
      </c>
      <c r="AX79" s="15" t="s">
        <v>115</v>
      </c>
      <c r="AY79" s="15" t="s">
        <v>232</v>
      </c>
      <c r="AZ79" s="12" t="s">
        <v>318</v>
      </c>
    </row>
    <row r="80" spans="1:52" ht="30" customHeight="1">
      <c r="A80" s="12" t="s">
        <v>343</v>
      </c>
      <c r="B80" s="12" t="s">
        <v>313</v>
      </c>
      <c r="C80" s="13"/>
      <c r="D80" s="13"/>
      <c r="E80" s="13"/>
      <c r="F80" s="13"/>
      <c r="G80" s="13"/>
      <c r="H80" s="13"/>
      <c r="I80" s="13"/>
      <c r="J80" s="13"/>
      <c r="K80" s="13"/>
      <c r="L80" s="13"/>
      <c r="M80" s="13"/>
      <c r="N80" s="13"/>
      <c r="O80" s="13"/>
      <c r="P80" s="13"/>
      <c r="Q80" s="13"/>
      <c r="R80" s="16">
        <f>IF($AY80="Conflict","",IF(COUNT(H80:Q80)=10,SUM(H80:Q80),IF(ISNUMBER($AU80),$AU80,"")))</f>
        <v>10</v>
      </c>
      <c r="S80" s="16">
        <f>IF(ISNUMBER(R80),R80/30*100,"")</f>
        <v>33.33333333333333</v>
      </c>
      <c r="T80" s="16">
        <f>IF($AY80="Conflict","",IF(COUNT(H80:J80,L80)=4,SUM(H80:J80,L80),""))</f>
        <v/>
      </c>
      <c r="U80" s="16">
        <f>IF($AY80="Conflict","",IF(COUNT(K80,M80:O80)=4,SUM(K80,M80:O80),""))</f>
        <v/>
      </c>
      <c r="V80" s="16">
        <f>IF($AY80="Conflict","",IF(COUNT(P80:Q80)=2,SUM(P80:Q80),""))</f>
        <v/>
      </c>
      <c r="W80" s="15" t="s">
        <v>31</v>
      </c>
      <c r="X80" s="13"/>
      <c r="Y80" s="13"/>
      <c r="Z80" s="13"/>
      <c r="AA80" s="14">
        <v>0</v>
      </c>
      <c r="AB80" s="13"/>
      <c r="AC80" s="13"/>
      <c r="AD80" s="13"/>
      <c r="AE80" s="13"/>
      <c r="AF80" s="13"/>
      <c r="AG80" s="13"/>
      <c r="AH80" s="19">
        <f>IF(AND(ISNUMBER(AG80),ISNUMBER(AF80),AF80&gt;0),AG80/AF80,"")</f>
        <v/>
      </c>
      <c r="AI80" s="13"/>
      <c r="AJ80" s="13"/>
      <c r="AK80" s="17">
        <v>0.2611</v>
      </c>
      <c r="AL80" s="13"/>
      <c r="AM80" s="13"/>
      <c r="AN80" s="12" t="s">
        <v>314</v>
      </c>
      <c r="AO80" s="15" t="s">
        <v>31</v>
      </c>
      <c r="AP80" s="12" t="s">
        <v>315</v>
      </c>
      <c r="AQ80" s="13"/>
      <c r="AR80" s="13"/>
      <c r="AS80" s="15" t="s">
        <v>344</v>
      </c>
      <c r="AT80" s="15" t="s">
        <v>345</v>
      </c>
      <c r="AU80" s="14">
        <v>10</v>
      </c>
      <c r="AV80" s="12" t="s">
        <v>231</v>
      </c>
      <c r="AW80" s="15" t="s">
        <v>40</v>
      </c>
      <c r="AX80" s="15" t="s">
        <v>115</v>
      </c>
      <c r="AY80" s="15" t="s">
        <v>232</v>
      </c>
      <c r="AZ80" s="12" t="s">
        <v>318</v>
      </c>
    </row>
    <row r="81" spans="1:52" ht="30" customHeight="1">
      <c r="A81" s="12" t="s">
        <v>346</v>
      </c>
      <c r="B81" s="12" t="s">
        <v>347</v>
      </c>
      <c r="C81" s="13"/>
      <c r="D81" s="13"/>
      <c r="E81" s="13"/>
      <c r="F81" s="12" t="s">
        <v>348</v>
      </c>
      <c r="G81" s="13"/>
      <c r="H81" s="14">
        <v>3</v>
      </c>
      <c r="I81" s="14">
        <v>3</v>
      </c>
      <c r="J81" s="14">
        <v>3</v>
      </c>
      <c r="K81" s="14">
        <v>3</v>
      </c>
      <c r="L81" s="14">
        <v>3</v>
      </c>
      <c r="M81" s="14">
        <v>3</v>
      </c>
      <c r="N81" s="14">
        <v>3</v>
      </c>
      <c r="O81" s="14">
        <v>3</v>
      </c>
      <c r="P81" s="14">
        <v>3</v>
      </c>
      <c r="Q81" s="14">
        <v>3</v>
      </c>
      <c r="R81" s="16">
        <f>IF($AY81="Conflict","",IF(COUNT(H81:Q81)=10,SUM(H81:Q81),IF(ISNUMBER($AU81),$AU81,"")))</f>
        <v>30</v>
      </c>
      <c r="S81" s="16">
        <f>IF(ISNUMBER(R81),R81/30*100,"")</f>
        <v>100.0</v>
      </c>
      <c r="T81" s="16">
        <f>IF($AY81="Conflict","",IF(COUNT(H81:J81,L81)=4,SUM(H81:J81,L81),""))</f>
        <v>12</v>
      </c>
      <c r="U81" s="16">
        <f>IF($AY81="Conflict","",IF(COUNT(K81,M81:O81)=4,SUM(K81,M81:O81),""))</f>
        <v>12</v>
      </c>
      <c r="V81" s="16">
        <f>IF($AY81="Conflict","",IF(COUNT(P81:Q81)=2,SUM(P81:Q81),""))</f>
        <v>6</v>
      </c>
      <c r="W81" s="13"/>
      <c r="X81" s="13"/>
      <c r="Y81" s="13"/>
      <c r="Z81" s="13"/>
      <c r="AA81" s="14">
        <v>0</v>
      </c>
      <c r="AB81" s="13"/>
      <c r="AC81" s="13"/>
      <c r="AD81" s="13"/>
      <c r="AE81" s="13"/>
      <c r="AF81" s="13"/>
      <c r="AG81" s="13"/>
      <c r="AH81" s="19">
        <f>IF(AND(ISNUMBER(AG81),ISNUMBER(AF81),AF81&gt;0),AG81/AF81,"")</f>
        <v/>
      </c>
      <c r="AI81" s="13"/>
      <c r="AJ81" s="13"/>
      <c r="AK81" s="13"/>
      <c r="AL81" s="13"/>
      <c r="AM81" s="13"/>
      <c r="AN81" s="12" t="s">
        <v>349</v>
      </c>
      <c r="AO81" s="13"/>
      <c r="AP81" s="12" t="s">
        <v>350</v>
      </c>
      <c r="AQ81" s="13"/>
      <c r="AR81" s="13"/>
      <c r="AS81" s="15" t="s">
        <v>351</v>
      </c>
      <c r="AT81" s="15" t="s">
        <v>352</v>
      </c>
      <c r="AU81" s="14">
        <v>30</v>
      </c>
      <c r="AV81" s="12" t="s">
        <v>114</v>
      </c>
      <c r="AW81" s="15" t="s">
        <v>83</v>
      </c>
      <c r="AX81" s="15" t="s">
        <v>115</v>
      </c>
      <c r="AY81" s="15" t="s">
        <v>116</v>
      </c>
      <c r="AZ81" s="13"/>
    </row>
    <row r="82" spans="1:52" ht="30" customHeight="1">
      <c r="A82" s="12" t="s">
        <v>353</v>
      </c>
      <c r="B82" s="12" t="s">
        <v>347</v>
      </c>
      <c r="C82" s="13"/>
      <c r="D82" s="13"/>
      <c r="E82" s="13"/>
      <c r="F82" s="12" t="s">
        <v>348</v>
      </c>
      <c r="G82" s="13"/>
      <c r="H82" s="14">
        <v>3</v>
      </c>
      <c r="I82" s="14">
        <v>3</v>
      </c>
      <c r="J82" s="14">
        <v>3</v>
      </c>
      <c r="K82" s="14">
        <v>3</v>
      </c>
      <c r="L82" s="14">
        <v>3</v>
      </c>
      <c r="M82" s="14">
        <v>3</v>
      </c>
      <c r="N82" s="14">
        <v>3</v>
      </c>
      <c r="O82" s="14">
        <v>3</v>
      </c>
      <c r="P82" s="14">
        <v>3</v>
      </c>
      <c r="Q82" s="14">
        <v>3</v>
      </c>
      <c r="R82" s="16">
        <f>IF($AY82="Conflict","",IF(COUNT(H82:Q82)=10,SUM(H82:Q82),IF(ISNUMBER($AU82),$AU82,"")))</f>
        <v>30</v>
      </c>
      <c r="S82" s="16">
        <f>IF(ISNUMBER(R82),R82/30*100,"")</f>
        <v>100.0</v>
      </c>
      <c r="T82" s="16">
        <f>IF($AY82="Conflict","",IF(COUNT(H82:J82,L82)=4,SUM(H82:J82,L82),""))</f>
        <v>12</v>
      </c>
      <c r="U82" s="16">
        <f>IF($AY82="Conflict","",IF(COUNT(K82,M82:O82)=4,SUM(K82,M82:O82),""))</f>
        <v>12</v>
      </c>
      <c r="V82" s="16">
        <f>IF($AY82="Conflict","",IF(COUNT(P82:Q82)=2,SUM(P82:Q82),""))</f>
        <v>6</v>
      </c>
      <c r="W82" s="13"/>
      <c r="X82" s="13"/>
      <c r="Y82" s="13"/>
      <c r="Z82" s="13"/>
      <c r="AA82" s="14">
        <v>0</v>
      </c>
      <c r="AB82" s="13"/>
      <c r="AC82" s="13"/>
      <c r="AD82" s="13"/>
      <c r="AE82" s="13"/>
      <c r="AF82" s="13"/>
      <c r="AG82" s="13"/>
      <c r="AH82" s="19">
        <f>IF(AND(ISNUMBER(AG82),ISNUMBER(AF82),AF82&gt;0),AG82/AF82,"")</f>
        <v/>
      </c>
      <c r="AI82" s="13"/>
      <c r="AJ82" s="13"/>
      <c r="AK82" s="13"/>
      <c r="AL82" s="13"/>
      <c r="AM82" s="13"/>
      <c r="AN82" s="12" t="s">
        <v>354</v>
      </c>
      <c r="AO82" s="13"/>
      <c r="AP82" s="12" t="s">
        <v>350</v>
      </c>
      <c r="AQ82" s="12" t="s">
        <v>355</v>
      </c>
      <c r="AR82" s="13"/>
      <c r="AS82" s="15" t="s">
        <v>356</v>
      </c>
      <c r="AT82" s="15" t="s">
        <v>357</v>
      </c>
      <c r="AU82" s="14">
        <v>30</v>
      </c>
      <c r="AV82" s="12" t="s">
        <v>114</v>
      </c>
      <c r="AW82" s="15" t="s">
        <v>83</v>
      </c>
      <c r="AX82" s="15" t="s">
        <v>115</v>
      </c>
      <c r="AY82" s="15" t="s">
        <v>116</v>
      </c>
      <c r="AZ82" s="13"/>
    </row>
    <row r="83" spans="1:52" ht="30" customHeight="1">
      <c r="A83" s="12" t="s">
        <v>358</v>
      </c>
      <c r="B83" s="12" t="s">
        <v>347</v>
      </c>
      <c r="C83" s="13"/>
      <c r="D83" s="13"/>
      <c r="E83" s="13"/>
      <c r="F83" s="12" t="s">
        <v>348</v>
      </c>
      <c r="G83" s="13"/>
      <c r="H83" s="14">
        <v>3</v>
      </c>
      <c r="I83" s="14">
        <v>3</v>
      </c>
      <c r="J83" s="14">
        <v>3</v>
      </c>
      <c r="K83" s="14">
        <v>3</v>
      </c>
      <c r="L83" s="14">
        <v>3</v>
      </c>
      <c r="M83" s="14">
        <v>3</v>
      </c>
      <c r="N83" s="14">
        <v>3</v>
      </c>
      <c r="O83" s="14">
        <v>3</v>
      </c>
      <c r="P83" s="14">
        <v>3</v>
      </c>
      <c r="Q83" s="14">
        <v>3</v>
      </c>
      <c r="R83" s="16">
        <f>IF($AY83="Conflict","",IF(COUNT(H83:Q83)=10,SUM(H83:Q83),IF(ISNUMBER($AU83),$AU83,"")))</f>
        <v>30</v>
      </c>
      <c r="S83" s="16">
        <f>IF(ISNUMBER(R83),R83/30*100,"")</f>
        <v>100.0</v>
      </c>
      <c r="T83" s="16">
        <f>IF($AY83="Conflict","",IF(COUNT(H83:J83,L83)=4,SUM(H83:J83,L83),""))</f>
        <v>12</v>
      </c>
      <c r="U83" s="16">
        <f>IF($AY83="Conflict","",IF(COUNT(K83,M83:O83)=4,SUM(K83,M83:O83),""))</f>
        <v>12</v>
      </c>
      <c r="V83" s="16">
        <f>IF($AY83="Conflict","",IF(COUNT(P83:Q83)=2,SUM(P83:Q83),""))</f>
        <v>6</v>
      </c>
      <c r="W83" s="13"/>
      <c r="X83" s="13"/>
      <c r="Y83" s="13"/>
      <c r="Z83" s="13"/>
      <c r="AA83" s="14">
        <v>0</v>
      </c>
      <c r="AB83" s="13"/>
      <c r="AC83" s="13"/>
      <c r="AD83" s="13"/>
      <c r="AE83" s="13"/>
      <c r="AF83" s="13"/>
      <c r="AG83" s="13"/>
      <c r="AH83" s="19">
        <f>IF(AND(ISNUMBER(AG83),ISNUMBER(AF83),AF83&gt;0),AG83/AF83,"")</f>
        <v/>
      </c>
      <c r="AI83" s="13"/>
      <c r="AJ83" s="13"/>
      <c r="AK83" s="13"/>
      <c r="AL83" s="13"/>
      <c r="AM83" s="13"/>
      <c r="AN83" s="12" t="s">
        <v>359</v>
      </c>
      <c r="AO83" s="13"/>
      <c r="AP83" s="12" t="s">
        <v>350</v>
      </c>
      <c r="AQ83" s="12" t="s">
        <v>360</v>
      </c>
      <c r="AR83" s="13"/>
      <c r="AS83" s="15" t="s">
        <v>361</v>
      </c>
      <c r="AT83" s="15" t="s">
        <v>362</v>
      </c>
      <c r="AU83" s="14">
        <v>30</v>
      </c>
      <c r="AV83" s="12" t="s">
        <v>114</v>
      </c>
      <c r="AW83" s="15" t="s">
        <v>83</v>
      </c>
      <c r="AX83" s="15" t="s">
        <v>115</v>
      </c>
      <c r="AY83" s="15" t="s">
        <v>116</v>
      </c>
      <c r="AZ83" s="13"/>
    </row>
    <row r="84" spans="1:52" ht="30" customHeight="1">
      <c r="A84" s="12" t="s">
        <v>363</v>
      </c>
      <c r="B84" s="12" t="s">
        <v>347</v>
      </c>
      <c r="C84" s="13"/>
      <c r="D84" s="13"/>
      <c r="E84" s="13"/>
      <c r="F84" s="13"/>
      <c r="G84" s="13"/>
      <c r="H84" s="14">
        <v>3</v>
      </c>
      <c r="I84" s="14">
        <v>3</v>
      </c>
      <c r="J84" s="14">
        <v>3</v>
      </c>
      <c r="K84" s="14">
        <v>3</v>
      </c>
      <c r="L84" s="14">
        <v>3</v>
      </c>
      <c r="M84" s="14">
        <v>3</v>
      </c>
      <c r="N84" s="14">
        <v>0</v>
      </c>
      <c r="O84" s="14">
        <v>3</v>
      </c>
      <c r="P84" s="14">
        <v>3</v>
      </c>
      <c r="Q84" s="14">
        <v>3</v>
      </c>
      <c r="R84" s="16">
        <f>IF($AY84="Conflict","",IF(COUNT(H84:Q84)=10,SUM(H84:Q84),IF(ISNUMBER($AU84),$AU84,"")))</f>
        <v>27</v>
      </c>
      <c r="S84" s="16">
        <f>IF(ISNUMBER(R84),R84/30*100,"")</f>
        <v>90.0</v>
      </c>
      <c r="T84" s="16">
        <f>IF($AY84="Conflict","",IF(COUNT(H84:J84,L84)=4,SUM(H84:J84,L84),""))</f>
        <v>12</v>
      </c>
      <c r="U84" s="16">
        <f>IF($AY84="Conflict","",IF(COUNT(K84,M84:O84)=4,SUM(K84,M84:O84),""))</f>
        <v>9</v>
      </c>
      <c r="V84" s="16">
        <f>IF($AY84="Conflict","",IF(COUNT(P84:Q84)=2,SUM(P84:Q84),""))</f>
        <v>6</v>
      </c>
      <c r="W84" s="15" t="s">
        <v>50</v>
      </c>
      <c r="X84" s="13"/>
      <c r="Y84" s="13"/>
      <c r="Z84" s="13"/>
      <c r="AA84" s="14">
        <v>0</v>
      </c>
      <c r="AB84" s="13"/>
      <c r="AC84" s="13"/>
      <c r="AD84" s="13"/>
      <c r="AE84" s="13"/>
      <c r="AF84" s="13"/>
      <c r="AG84" s="13"/>
      <c r="AH84" s="19">
        <f>IF(AND(ISNUMBER(AG84),ISNUMBER(AF84),AF84&gt;0),AG84/AF84,"")</f>
        <v/>
      </c>
      <c r="AI84" s="13"/>
      <c r="AJ84" s="13"/>
      <c r="AK84" s="13"/>
      <c r="AL84" s="13"/>
      <c r="AM84" s="13"/>
      <c r="AN84" s="12" t="s">
        <v>364</v>
      </c>
      <c r="AO84" s="13"/>
      <c r="AP84" s="12" t="s">
        <v>350</v>
      </c>
      <c r="AQ84" s="12" t="s">
        <v>365</v>
      </c>
      <c r="AR84" s="13"/>
      <c r="AS84" s="15" t="s">
        <v>366</v>
      </c>
      <c r="AT84" s="15" t="s">
        <v>367</v>
      </c>
      <c r="AU84" s="14">
        <v>27</v>
      </c>
      <c r="AV84" s="12" t="s">
        <v>114</v>
      </c>
      <c r="AW84" s="15" t="s">
        <v>83</v>
      </c>
      <c r="AX84" s="15" t="s">
        <v>115</v>
      </c>
      <c r="AY84" s="15" t="s">
        <v>116</v>
      </c>
      <c r="AZ84" s="13"/>
    </row>
    <row r="85" spans="1:52" ht="30" customHeight="1">
      <c r="A85" s="12" t="s">
        <v>368</v>
      </c>
      <c r="B85" s="12" t="s">
        <v>347</v>
      </c>
      <c r="C85" s="13"/>
      <c r="D85" s="13"/>
      <c r="E85" s="13"/>
      <c r="F85" s="13"/>
      <c r="G85" s="13"/>
      <c r="H85" s="14">
        <v>3</v>
      </c>
      <c r="I85" s="14">
        <v>3</v>
      </c>
      <c r="J85" s="14">
        <v>3</v>
      </c>
      <c r="K85" s="14">
        <v>3</v>
      </c>
      <c r="L85" s="14">
        <v>3</v>
      </c>
      <c r="M85" s="14">
        <v>3</v>
      </c>
      <c r="N85" s="14">
        <v>2</v>
      </c>
      <c r="O85" s="14">
        <v>3</v>
      </c>
      <c r="P85" s="14">
        <v>3</v>
      </c>
      <c r="Q85" s="14">
        <v>3</v>
      </c>
      <c r="R85" s="16">
        <f>IF($AY85="Conflict","",IF(COUNT(H85:Q85)=10,SUM(H85:Q85),IF(ISNUMBER($AU85),$AU85,"")))</f>
        <v>29</v>
      </c>
      <c r="S85" s="16">
        <f>IF(ISNUMBER(R85),R85/30*100,"")</f>
        <v>96.66666666666667</v>
      </c>
      <c r="T85" s="16">
        <f>IF($AY85="Conflict","",IF(COUNT(H85:J85,L85)=4,SUM(H85:J85,L85),""))</f>
        <v>12</v>
      </c>
      <c r="U85" s="16">
        <f>IF($AY85="Conflict","",IF(COUNT(K85,M85:O85)=4,SUM(K85,M85:O85),""))</f>
        <v>11</v>
      </c>
      <c r="V85" s="16">
        <f>IF($AY85="Conflict","",IF(COUNT(P85:Q85)=2,SUM(P85:Q85),""))</f>
        <v>6</v>
      </c>
      <c r="W85" s="13"/>
      <c r="X85" s="13"/>
      <c r="Y85" s="13"/>
      <c r="Z85" s="13"/>
      <c r="AA85" s="14">
        <v>0</v>
      </c>
      <c r="AB85" s="13"/>
      <c r="AC85" s="13"/>
      <c r="AD85" s="13"/>
      <c r="AE85" s="13"/>
      <c r="AF85" s="13"/>
      <c r="AG85" s="13"/>
      <c r="AH85" s="19">
        <f>IF(AND(ISNUMBER(AG85),ISNUMBER(AF85),AF85&gt;0),AG85/AF85,"")</f>
        <v/>
      </c>
      <c r="AI85" s="13"/>
      <c r="AJ85" s="13"/>
      <c r="AK85" s="13"/>
      <c r="AL85" s="13"/>
      <c r="AM85" s="13"/>
      <c r="AN85" s="12" t="s">
        <v>369</v>
      </c>
      <c r="AO85" s="13"/>
      <c r="AP85" s="12" t="s">
        <v>350</v>
      </c>
      <c r="AQ85" s="12" t="s">
        <v>370</v>
      </c>
      <c r="AR85" s="13"/>
      <c r="AS85" s="15" t="s">
        <v>371</v>
      </c>
      <c r="AT85" s="15" t="s">
        <v>372</v>
      </c>
      <c r="AU85" s="14">
        <v>29</v>
      </c>
      <c r="AV85" s="12" t="s">
        <v>114</v>
      </c>
      <c r="AW85" s="15" t="s">
        <v>83</v>
      </c>
      <c r="AX85" s="15" t="s">
        <v>115</v>
      </c>
      <c r="AY85" s="15" t="s">
        <v>116</v>
      </c>
      <c r="AZ85" s="13"/>
    </row>
    <row r="86" spans="1:52" ht="30" customHeight="1">
      <c r="A86" s="12" t="s">
        <v>373</v>
      </c>
      <c r="B86" s="12" t="s">
        <v>347</v>
      </c>
      <c r="C86" s="13"/>
      <c r="D86" s="13"/>
      <c r="E86" s="13"/>
      <c r="F86" s="13"/>
      <c r="G86" s="13"/>
      <c r="H86" s="14">
        <v>3</v>
      </c>
      <c r="I86" s="14">
        <v>3</v>
      </c>
      <c r="J86" s="14">
        <v>3</v>
      </c>
      <c r="K86" s="14">
        <v>3</v>
      </c>
      <c r="L86" s="14">
        <v>3</v>
      </c>
      <c r="M86" s="14">
        <v>3</v>
      </c>
      <c r="N86" s="14">
        <v>1</v>
      </c>
      <c r="O86" s="14">
        <v>3</v>
      </c>
      <c r="P86" s="14">
        <v>3</v>
      </c>
      <c r="Q86" s="14">
        <v>3</v>
      </c>
      <c r="R86" s="16">
        <f>IF($AY86="Conflict","",IF(COUNT(H86:Q86)=10,SUM(H86:Q86),IF(ISNUMBER($AU86),$AU86,"")))</f>
        <v>28</v>
      </c>
      <c r="S86" s="16">
        <f>IF(ISNUMBER(R86),R86/30*100,"")</f>
        <v>93.33333333333333</v>
      </c>
      <c r="T86" s="16">
        <f>IF($AY86="Conflict","",IF(COUNT(H86:J86,L86)=4,SUM(H86:J86,L86),""))</f>
        <v>12</v>
      </c>
      <c r="U86" s="16">
        <f>IF($AY86="Conflict","",IF(COUNT(K86,M86:O86)=4,SUM(K86,M86:O86),""))</f>
        <v>10</v>
      </c>
      <c r="V86" s="16">
        <f>IF($AY86="Conflict","",IF(COUNT(P86:Q86)=2,SUM(P86:Q86),""))</f>
        <v>6</v>
      </c>
      <c r="W86" s="13"/>
      <c r="X86" s="13"/>
      <c r="Y86" s="13"/>
      <c r="Z86" s="13"/>
      <c r="AA86" s="14">
        <v>0</v>
      </c>
      <c r="AB86" s="13"/>
      <c r="AC86" s="13"/>
      <c r="AD86" s="13"/>
      <c r="AE86" s="13"/>
      <c r="AF86" s="13"/>
      <c r="AG86" s="13"/>
      <c r="AH86" s="19">
        <f>IF(AND(ISNUMBER(AG86),ISNUMBER(AF86),AF86&gt;0),AG86/AF86,"")</f>
        <v/>
      </c>
      <c r="AI86" s="13"/>
      <c r="AJ86" s="13"/>
      <c r="AK86" s="13"/>
      <c r="AL86" s="13"/>
      <c r="AM86" s="13"/>
      <c r="AN86" s="12" t="s">
        <v>349</v>
      </c>
      <c r="AO86" s="13"/>
      <c r="AP86" s="12" t="s">
        <v>350</v>
      </c>
      <c r="AQ86" s="13"/>
      <c r="AR86" s="13"/>
      <c r="AS86" s="15" t="s">
        <v>374</v>
      </c>
      <c r="AT86" s="15" t="s">
        <v>375</v>
      </c>
      <c r="AU86" s="14">
        <v>28</v>
      </c>
      <c r="AV86" s="12" t="s">
        <v>114</v>
      </c>
      <c r="AW86" s="15" t="s">
        <v>83</v>
      </c>
      <c r="AX86" s="15" t="s">
        <v>115</v>
      </c>
      <c r="AY86" s="15" t="s">
        <v>116</v>
      </c>
      <c r="AZ86" s="13"/>
    </row>
    <row r="87" spans="1:52" ht="30" customHeight="1">
      <c r="A87" s="12" t="s">
        <v>210</v>
      </c>
      <c r="B87" s="12" t="s">
        <v>347</v>
      </c>
      <c r="C87" s="13"/>
      <c r="D87" s="13"/>
      <c r="E87" s="13"/>
      <c r="F87" s="13"/>
      <c r="G87" s="13"/>
      <c r="H87" s="14">
        <v>3</v>
      </c>
      <c r="I87" s="14">
        <v>0</v>
      </c>
      <c r="J87" s="14">
        <v>3</v>
      </c>
      <c r="K87" s="14">
        <v>3</v>
      </c>
      <c r="L87" s="14">
        <v>3</v>
      </c>
      <c r="M87" s="14">
        <v>0</v>
      </c>
      <c r="N87" s="14">
        <v>0</v>
      </c>
      <c r="O87" s="14">
        <v>3</v>
      </c>
      <c r="P87" s="14">
        <v>1</v>
      </c>
      <c r="Q87" s="14">
        <v>3</v>
      </c>
      <c r="R87" s="16">
        <f>IF($AY87="Conflict","",IF(COUNT(H87:Q87)=10,SUM(H87:Q87),IF(ISNUMBER($AU87),$AU87,"")))</f>
        <v>19</v>
      </c>
      <c r="S87" s="16">
        <f>IF(ISNUMBER(R87),R87/30*100,"")</f>
        <v>63.33333333333333</v>
      </c>
      <c r="T87" s="16">
        <f>IF($AY87="Conflict","",IF(COUNT(H87:J87,L87)=4,SUM(H87:J87,L87),""))</f>
        <v>9</v>
      </c>
      <c r="U87" s="16">
        <f>IF($AY87="Conflict","",IF(COUNT(K87,M87:O87)=4,SUM(K87,M87:O87),""))</f>
        <v>6</v>
      </c>
      <c r="V87" s="16">
        <f>IF($AY87="Conflict","",IF(COUNT(P87:Q87)=2,SUM(P87:Q87),""))</f>
        <v>4</v>
      </c>
      <c r="W87" s="13"/>
      <c r="X87" s="13"/>
      <c r="Y87" s="13"/>
      <c r="Z87" s="13"/>
      <c r="AA87" s="13"/>
      <c r="AB87" s="13"/>
      <c r="AC87" s="13"/>
      <c r="AD87" s="13"/>
      <c r="AE87" s="13"/>
      <c r="AF87" s="13"/>
      <c r="AG87" s="13"/>
      <c r="AH87" s="19">
        <f>IF(AND(ISNUMBER(AG87),ISNUMBER(AF87),AF87&gt;0),AG87/AF87,"")</f>
        <v/>
      </c>
      <c r="AI87" s="13"/>
      <c r="AJ87" s="13"/>
      <c r="AK87" s="13"/>
      <c r="AL87" s="13"/>
      <c r="AM87" s="13"/>
      <c r="AN87" s="12" t="s">
        <v>376</v>
      </c>
      <c r="AO87" s="13"/>
      <c r="AP87" s="12" t="s">
        <v>377</v>
      </c>
      <c r="AQ87" s="13"/>
      <c r="AR87" s="13"/>
      <c r="AS87" s="15" t="s">
        <v>212</v>
      </c>
      <c r="AT87" s="15" t="s">
        <v>378</v>
      </c>
      <c r="AU87" s="14">
        <v>19</v>
      </c>
      <c r="AV87" s="12" t="s">
        <v>114</v>
      </c>
      <c r="AW87" s="15" t="s">
        <v>83</v>
      </c>
      <c r="AX87" s="15" t="s">
        <v>115</v>
      </c>
      <c r="AY87" s="15" t="s">
        <v>116</v>
      </c>
      <c r="AZ87" s="13"/>
    </row>
    <row r="88" spans="1:52" ht="30" customHeight="1">
      <c r="A88" s="12" t="s">
        <v>379</v>
      </c>
      <c r="B88" s="12" t="s">
        <v>347</v>
      </c>
      <c r="C88" s="13"/>
      <c r="D88" s="13"/>
      <c r="E88" s="13"/>
      <c r="F88" s="13"/>
      <c r="G88" s="13"/>
      <c r="H88" s="14">
        <v>3</v>
      </c>
      <c r="I88" s="14">
        <v>0</v>
      </c>
      <c r="J88" s="14">
        <v>3</v>
      </c>
      <c r="K88" s="14">
        <v>3</v>
      </c>
      <c r="L88" s="14">
        <v>3</v>
      </c>
      <c r="M88" s="14">
        <v>3</v>
      </c>
      <c r="N88" s="14">
        <v>3</v>
      </c>
      <c r="O88" s="14">
        <v>3</v>
      </c>
      <c r="P88" s="14">
        <v>3</v>
      </c>
      <c r="Q88" s="14">
        <v>3</v>
      </c>
      <c r="R88" s="16">
        <f>IF($AY88="Conflict","",IF(COUNT(H88:Q88)=10,SUM(H88:Q88),IF(ISNUMBER($AU88),$AU88,"")))</f>
        <v>27</v>
      </c>
      <c r="S88" s="16">
        <f>IF(ISNUMBER(R88),R88/30*100,"")</f>
        <v>90.0</v>
      </c>
      <c r="T88" s="16">
        <f>IF($AY88="Conflict","",IF(COUNT(H88:J88,L88)=4,SUM(H88:J88,L88),""))</f>
        <v>9</v>
      </c>
      <c r="U88" s="16">
        <f>IF($AY88="Conflict","",IF(COUNT(K88,M88:O88)=4,SUM(K88,M88:O88),""))</f>
        <v>12</v>
      </c>
      <c r="V88" s="16">
        <f>IF($AY88="Conflict","",IF(COUNT(P88:Q88)=2,SUM(P88:Q88),""))</f>
        <v>6</v>
      </c>
      <c r="W88" s="13"/>
      <c r="X88" s="13"/>
      <c r="Y88" s="13"/>
      <c r="Z88" s="13"/>
      <c r="AA88" s="14">
        <v>0</v>
      </c>
      <c r="AB88" s="13"/>
      <c r="AC88" s="13"/>
      <c r="AD88" s="13"/>
      <c r="AE88" s="13"/>
      <c r="AF88" s="13"/>
      <c r="AG88" s="13"/>
      <c r="AH88" s="19">
        <f>IF(AND(ISNUMBER(AG88),ISNUMBER(AF88),AF88&gt;0),AG88/AF88,"")</f>
        <v/>
      </c>
      <c r="AI88" s="13"/>
      <c r="AJ88" s="13"/>
      <c r="AK88" s="13"/>
      <c r="AL88" s="13"/>
      <c r="AM88" s="13"/>
      <c r="AN88" s="12" t="s">
        <v>380</v>
      </c>
      <c r="AO88" s="13"/>
      <c r="AP88" s="12" t="s">
        <v>350</v>
      </c>
      <c r="AQ88" s="12" t="s">
        <v>381</v>
      </c>
      <c r="AR88" s="13"/>
      <c r="AS88" s="15" t="s">
        <v>382</v>
      </c>
      <c r="AT88" s="15" t="s">
        <v>383</v>
      </c>
      <c r="AU88" s="14">
        <v>27</v>
      </c>
      <c r="AV88" s="12" t="s">
        <v>114</v>
      </c>
      <c r="AW88" s="15" t="s">
        <v>83</v>
      </c>
      <c r="AX88" s="15" t="s">
        <v>115</v>
      </c>
      <c r="AY88" s="15" t="s">
        <v>116</v>
      </c>
      <c r="AZ88" s="13"/>
    </row>
  </sheetData>
  <mergeCells count="8">
    <mergeCell ref="A1:I2"/>
    <mergeCell ref="A3:K3"/>
    <mergeCell ref="A4:G4"/>
    <mergeCell ref="H4:Z4"/>
    <mergeCell ref="AA4:AD4"/>
    <mergeCell ref="AE4:AM4"/>
    <mergeCell ref="AN4:AR4"/>
    <mergeCell ref="AS4:AZ4"/>
  </mergeCells>
  <conditionalFormatting sqref="AK7:AK88">
    <cfRule type="cellIs" dxfId="1" priority="3" operator="greaterThan">
      <formula>1</formula>
    </cfRule>
  </conditionalFormatting>
  <conditionalFormatting sqref="AW7:AW88">
    <cfRule type="containsText" dxfId="1" priority="2" operator="containsText" text="Different FY">
      <formula>NOT(ISERROR(SEARCH("Different FY",AW7)))</formula>
    </cfRule>
  </conditionalFormatting>
  <conditionalFormatting sqref="AY7:AY88">
    <cfRule type="containsText" dxfId="0" priority="1" operator="containsText" text="Conflict">
      <formula>NOT(ISERROR(SEARCH("Conflict",AY7)))</formula>
    </cfRule>
  </conditionalFormatting>
  <conditionalFormatting sqref="H7:Q88">
    <cfRule type="colorScale" priority="4">
      <colorScale>
        <cfvo type="num" val="0"/>
        <cfvo type="num" val="1.5"/>
        <cfvo type="num" val="3"/>
        <color rgb="FFFBE9E7"/>
        <color rgb="FFFFF6DD"/>
        <color rgb="FFDCEDE3"/>
      </colorScale>
    </cfRule>
  </conditionalFormatting>
  <conditionalFormatting sqref="R7:R88">
    <cfRule type="dataBar" priority="5">
      <dataBar>
        <cfvo type="num" val="0"/>
        <cfvo type="num" val="30"/>
        <color rgb="FF78A9AD"/>
      </dataBar>
    </cfRule>
  </conditionalFormatting>
  <dataValidations count="8">
    <dataValidation type="whole" allowBlank="1" showInputMessage="1" showErrorMessage="1" errorTitle="Indicator must be 0–3" error="Leave genuinely missing indicators blank." sqref="H7:Q88">
      <formula1>0</formula1>
      <formula2>3</formula2>
    </dataValidation>
    <dataValidation type="whole" allowBlank="1" showInputMessage="1" showErrorMessage="1" sqref="C7:C88">
      <formula1>0</formula1>
      <formula2>1</formula2>
    </dataValidation>
    <dataValidation type="whole" allowBlank="1" showInputMessage="1" showErrorMessage="1" sqref="D7:D88">
      <formula1>0</formula1>
      <formula2>1</formula2>
    </dataValidation>
    <dataValidation type="whole" allowBlank="1" showInputMessage="1" showErrorMessage="1" sqref="G7:G88">
      <formula1>0</formula1>
      <formula2>1</formula2>
    </dataValidation>
    <dataValidation type="whole" allowBlank="1" showInputMessage="1" showErrorMessage="1" sqref="AA7:AA88">
      <formula1>0</formula1>
      <formula2>1</formula2>
    </dataValidation>
    <dataValidation type="whole" allowBlank="1" showInputMessage="1" showErrorMessage="1" sqref="AD7:AD88">
      <formula1>0</formula1>
      <formula2>1</formula2>
    </dataValidation>
    <dataValidation type="decimal" allowBlank="1" showInputMessage="1" showErrorMessage="1" sqref="AB7:AB88">
      <formula1>0</formula1>
      <formula2>1</formula2>
    </dataValidation>
    <dataValidation type="list" allowBlank="1" showInputMessage="1" showErrorMessage="1" sqref="AX7:AX88">
      <formula1>"Yes,No"</formula1>
    </dataValidation>
  </dataValidations>
  <pageMargins left="0.3" right="0.3" top="0.4" bottom="0.4" header="0.3" footer="0.3"/>
  <pageSetup paperSize="9" fitToHeight="0" orientation="landscape"/>
  <legacyDrawing r:id="rId1"/>
  <tableParts count="1">
    <tablePart r:id="rId2"/>
  </tableParts>
</worksheet>
</file>

<file path=xl/worksheets/sheet3.xml><?xml version="1.0" encoding="utf-8"?>
<worksheet xmlns="http://schemas.openxmlformats.org/spreadsheetml/2006/main" xmlns:r="http://schemas.openxmlformats.org/officeDocument/2006/relationships">
  <sheetPr>
    <tabColor rgb="FF167C80"/>
    <pageSetUpPr fitToPage="1"/>
  </sheetPr>
  <dimension ref="A1:V62"/>
  <sheetViews>
    <sheetView showGridLines="0" workbookViewId="0">
      <pane xSplit="2" ySplit="6" topLeftCell="C7" activePane="bottomRight" state="frozen"/>
      <selection pane="topRight" activeCell="C1" sqref="C1"/>
      <selection pane="bottomLeft" activeCell="A7" sqref="A7"/>
      <selection pane="bottomRight"/>
    </sheetView>
  </sheetViews>
  <sheetFormatPr defaultRowHeight="15"/>
  <cols>
    <col min="1" max="1" width="12.7109375" customWidth="1"/>
    <col min="2" max="2" width="40.7109375" customWidth="1"/>
    <col min="3" max="3" width="27.7109375" customWidth="1"/>
    <col min="4" max="4" width="17.7109375" customWidth="1"/>
    <col min="5" max="17" width="18.7109375" customWidth="1"/>
    <col min="18" max="18" width="65.7109375" customWidth="1"/>
    <col min="19" max="19" width="90.7109375" customWidth="1"/>
    <col min="20" max="20" width="60.7109375" customWidth="1"/>
    <col min="21" max="21" width="50.7109375" customWidth="1"/>
    <col min="22" max="22" width="35.7109375" customWidth="1"/>
  </cols>
  <sheetData>
    <row r="1" spans="1:22" ht="22" customHeight="1">
      <c r="A1" s="1" t="s">
        <v>436</v>
      </c>
      <c r="B1" s="1"/>
      <c r="C1" s="1"/>
      <c r="D1" s="1"/>
      <c r="E1" s="1"/>
      <c r="F1" s="1"/>
      <c r="G1" s="1"/>
      <c r="H1" s="1"/>
      <c r="I1" s="1"/>
    </row>
    <row r="2" spans="1:22" ht="18" customHeight="1">
      <c r="A2" s="1"/>
      <c r="B2" s="1"/>
      <c r="C2" s="1"/>
      <c r="D2" s="1"/>
      <c r="E2" s="1"/>
      <c r="F2" s="1"/>
      <c r="G2" s="1"/>
      <c r="H2" s="1"/>
      <c r="I2" s="1"/>
    </row>
    <row r="3" spans="1:22" ht="34" customHeight="1">
      <c r="A3" s="2" t="s">
        <v>437</v>
      </c>
      <c r="B3" s="2"/>
      <c r="C3" s="2"/>
      <c r="D3" s="2"/>
      <c r="E3" s="2"/>
      <c r="F3" s="2"/>
      <c r="G3" s="2"/>
      <c r="H3" s="2"/>
      <c r="I3" s="2"/>
      <c r="J3" s="2"/>
      <c r="K3" s="2"/>
    </row>
    <row r="4" spans="1:22">
      <c r="A4" s="20" t="s">
        <v>438</v>
      </c>
      <c r="B4" s="20"/>
      <c r="C4" s="20"/>
      <c r="D4" s="20"/>
      <c r="E4" s="20" t="s">
        <v>439</v>
      </c>
      <c r="F4" s="20"/>
      <c r="G4" s="20"/>
      <c r="H4" s="20"/>
      <c r="I4" s="20"/>
      <c r="J4" s="20"/>
      <c r="K4" s="20"/>
      <c r="L4" s="20"/>
      <c r="M4" s="20"/>
      <c r="N4" s="20"/>
      <c r="O4" s="20"/>
      <c r="P4" s="20"/>
      <c r="Q4" s="20"/>
      <c r="R4" s="20" t="s">
        <v>440</v>
      </c>
      <c r="S4" s="20"/>
      <c r="T4" s="20"/>
      <c r="U4" s="20"/>
      <c r="V4" s="20"/>
    </row>
    <row r="6" spans="1:22" ht="40" customHeight="1">
      <c r="A6" s="11" t="s">
        <v>428</v>
      </c>
      <c r="B6" s="11" t="s">
        <v>384</v>
      </c>
      <c r="C6" s="11" t="s">
        <v>385</v>
      </c>
      <c r="D6" s="11" t="s">
        <v>521</v>
      </c>
      <c r="E6" s="11" t="s">
        <v>414</v>
      </c>
      <c r="F6" s="11" t="s">
        <v>415</v>
      </c>
      <c r="G6" s="11" t="s">
        <v>416</v>
      </c>
      <c r="H6" s="11" t="s">
        <v>417</v>
      </c>
      <c r="I6" s="11" t="s">
        <v>418</v>
      </c>
      <c r="J6" s="11" t="s">
        <v>419</v>
      </c>
      <c r="K6" s="11" t="s">
        <v>420</v>
      </c>
      <c r="L6" s="11" t="s">
        <v>522</v>
      </c>
      <c r="M6" s="11" t="s">
        <v>411</v>
      </c>
      <c r="N6" s="11" t="s">
        <v>523</v>
      </c>
      <c r="O6" s="11" t="s">
        <v>524</v>
      </c>
      <c r="P6" s="11" t="s">
        <v>525</v>
      </c>
      <c r="Q6" s="11" t="s">
        <v>526</v>
      </c>
      <c r="R6" s="11" t="s">
        <v>527</v>
      </c>
      <c r="S6" s="11" t="s">
        <v>528</v>
      </c>
      <c r="T6" s="11" t="s">
        <v>529</v>
      </c>
      <c r="U6" s="11" t="s">
        <v>530</v>
      </c>
      <c r="V6" s="11" t="s">
        <v>434</v>
      </c>
    </row>
    <row r="7" spans="1:22" ht="30" customHeight="1">
      <c r="A7" s="15" t="s">
        <v>112</v>
      </c>
      <c r="B7" s="12" t="s">
        <v>108</v>
      </c>
      <c r="C7" s="12" t="s">
        <v>109</v>
      </c>
      <c r="D7" s="15" t="s">
        <v>31</v>
      </c>
      <c r="E7" s="18">
        <v>188.52</v>
      </c>
      <c r="F7" s="18">
        <v>149.23</v>
      </c>
      <c r="G7" s="18">
        <v>18.09</v>
      </c>
      <c r="H7" s="19">
        <f>IF(AND(ISNUMBER(G7),ISNUMBER(F7),F7&gt;0),G7/F7,"")</f>
        <v>0.12122227434162032</v>
      </c>
      <c r="I7" s="13"/>
      <c r="J7" s="13"/>
      <c r="K7" s="17">
        <v>0.1264</v>
      </c>
      <c r="L7" s="13"/>
      <c r="M7" s="13"/>
      <c r="N7" s="13"/>
      <c r="O7" s="13"/>
      <c r="P7" s="13"/>
      <c r="Q7" s="13"/>
      <c r="R7" s="12" t="s">
        <v>117</v>
      </c>
      <c r="S7" s="12" t="s">
        <v>441</v>
      </c>
      <c r="T7" s="12" t="s">
        <v>110</v>
      </c>
      <c r="U7" s="12" t="s">
        <v>111</v>
      </c>
      <c r="V7" s="15" t="s">
        <v>442</v>
      </c>
    </row>
    <row r="8" spans="1:22" ht="30" customHeight="1">
      <c r="A8" s="15" t="s">
        <v>125</v>
      </c>
      <c r="B8" s="12" t="s">
        <v>124</v>
      </c>
      <c r="C8" s="12" t="s">
        <v>109</v>
      </c>
      <c r="D8" s="15" t="s">
        <v>50</v>
      </c>
      <c r="E8" s="18">
        <v>479.3</v>
      </c>
      <c r="F8" s="13"/>
      <c r="G8" s="18">
        <v>10.97</v>
      </c>
      <c r="H8" s="19">
        <f>IF(AND(ISNUMBER(G8),ISNUMBER(F8),F8&gt;0),G8/F8,"")</f>
        <v/>
      </c>
      <c r="I8" s="13"/>
      <c r="J8" s="13"/>
      <c r="K8" s="13"/>
      <c r="L8" s="13"/>
      <c r="M8" s="13"/>
      <c r="N8" s="13"/>
      <c r="O8" s="13"/>
      <c r="P8" s="13"/>
      <c r="Q8" s="13"/>
      <c r="R8" s="12" t="s">
        <v>117</v>
      </c>
      <c r="S8" s="12" t="s">
        <v>441</v>
      </c>
      <c r="T8" s="12" t="s">
        <v>110</v>
      </c>
      <c r="U8" s="12" t="s">
        <v>111</v>
      </c>
      <c r="V8" s="15" t="s">
        <v>442</v>
      </c>
    </row>
    <row r="9" spans="1:22" ht="30" customHeight="1">
      <c r="A9" s="15" t="s">
        <v>132</v>
      </c>
      <c r="B9" s="12" t="s">
        <v>130</v>
      </c>
      <c r="C9" s="12" t="s">
        <v>109</v>
      </c>
      <c r="D9" s="15" t="s">
        <v>31</v>
      </c>
      <c r="E9" s="18">
        <v>238496</v>
      </c>
      <c r="F9" s="18">
        <v>265991</v>
      </c>
      <c r="G9" s="18">
        <v>16002</v>
      </c>
      <c r="H9" s="19">
        <f>IF(AND(ISNUMBER(G9),ISNUMBER(F9),F9&gt;0),G9/F9,"")</f>
        <v>0.06015993022320304</v>
      </c>
      <c r="I9" s="13"/>
      <c r="J9" s="13"/>
      <c r="K9" s="17">
        <v>0.0587</v>
      </c>
      <c r="L9" s="13"/>
      <c r="M9" s="13"/>
      <c r="N9" s="13"/>
      <c r="O9" s="13"/>
      <c r="P9" s="13"/>
      <c r="Q9" s="13"/>
      <c r="R9" s="12" t="s">
        <v>117</v>
      </c>
      <c r="S9" s="12" t="s">
        <v>441</v>
      </c>
      <c r="T9" s="12" t="s">
        <v>131</v>
      </c>
      <c r="U9" s="12" t="s">
        <v>111</v>
      </c>
      <c r="V9" s="15" t="s">
        <v>442</v>
      </c>
    </row>
    <row r="10" spans="1:22" ht="30" customHeight="1">
      <c r="A10" s="15" t="s">
        <v>135</v>
      </c>
      <c r="B10" s="12" t="s">
        <v>134</v>
      </c>
      <c r="C10" s="12" t="s">
        <v>109</v>
      </c>
      <c r="D10" s="15" t="s">
        <v>31</v>
      </c>
      <c r="E10" s="18">
        <v>810.17</v>
      </c>
      <c r="F10" s="18">
        <v>299.63</v>
      </c>
      <c r="G10" s="18">
        <v>15.51</v>
      </c>
      <c r="H10" s="19">
        <f>IF(AND(ISNUMBER(G10),ISNUMBER(F10),F10&gt;0),G10/F10,"")</f>
        <v>0.051763842071888666</v>
      </c>
      <c r="I10" s="13"/>
      <c r="J10" s="13"/>
      <c r="K10" s="17">
        <v>0.0536</v>
      </c>
      <c r="L10" s="13"/>
      <c r="M10" s="13"/>
      <c r="N10" s="13"/>
      <c r="O10" s="13"/>
      <c r="P10" s="13"/>
      <c r="Q10" s="13"/>
      <c r="R10" s="12" t="s">
        <v>117</v>
      </c>
      <c r="S10" s="12" t="s">
        <v>441</v>
      </c>
      <c r="T10" s="12" t="s">
        <v>110</v>
      </c>
      <c r="U10" s="12" t="s">
        <v>111</v>
      </c>
      <c r="V10" s="15" t="s">
        <v>442</v>
      </c>
    </row>
    <row r="11" spans="1:22" ht="30" customHeight="1">
      <c r="A11" s="15" t="s">
        <v>138</v>
      </c>
      <c r="B11" s="12" t="s">
        <v>137</v>
      </c>
      <c r="C11" s="12" t="s">
        <v>109</v>
      </c>
      <c r="D11" s="15" t="s">
        <v>31</v>
      </c>
      <c r="E11" s="18">
        <v>509.15</v>
      </c>
      <c r="F11" s="18">
        <v>504.26</v>
      </c>
      <c r="G11" s="18">
        <v>6.05</v>
      </c>
      <c r="H11" s="19">
        <f>IF(AND(ISNUMBER(G11),ISNUMBER(F11),F11&gt;0),G11/F11,"")</f>
        <v>0.011997778923571173</v>
      </c>
      <c r="I11" s="13"/>
      <c r="J11" s="13"/>
      <c r="K11" s="17">
        <v>0.1339</v>
      </c>
      <c r="L11" s="13"/>
      <c r="M11" s="13"/>
      <c r="N11" s="13"/>
      <c r="O11" s="13"/>
      <c r="P11" s="13"/>
      <c r="Q11" s="13"/>
      <c r="R11" s="12" t="s">
        <v>117</v>
      </c>
      <c r="S11" s="12" t="s">
        <v>441</v>
      </c>
      <c r="T11" s="12" t="s">
        <v>110</v>
      </c>
      <c r="U11" s="12" t="s">
        <v>111</v>
      </c>
      <c r="V11" s="15" t="s">
        <v>442</v>
      </c>
    </row>
    <row r="12" spans="1:22" ht="30" customHeight="1">
      <c r="A12" s="15" t="s">
        <v>142</v>
      </c>
      <c r="B12" s="12" t="s">
        <v>140</v>
      </c>
      <c r="C12" s="12" t="s">
        <v>109</v>
      </c>
      <c r="D12" s="15" t="s">
        <v>31</v>
      </c>
      <c r="E12" s="18">
        <v>16662.21</v>
      </c>
      <c r="F12" s="18">
        <v>22882</v>
      </c>
      <c r="G12" s="18">
        <v>5324.67</v>
      </c>
      <c r="H12" s="19">
        <f>IF(AND(ISNUMBER(G12),ISNUMBER(F12),F12&gt;0),G12/F12,"")</f>
        <v>0.2327012498907438</v>
      </c>
      <c r="I12" s="13"/>
      <c r="J12" s="13"/>
      <c r="K12" s="13"/>
      <c r="L12" s="13"/>
      <c r="M12" s="13"/>
      <c r="N12" s="13"/>
      <c r="O12" s="13"/>
      <c r="P12" s="13"/>
      <c r="Q12" s="13"/>
      <c r="R12" s="12" t="s">
        <v>117</v>
      </c>
      <c r="S12" s="12" t="s">
        <v>441</v>
      </c>
      <c r="T12" s="12" t="s">
        <v>141</v>
      </c>
      <c r="U12" s="12" t="s">
        <v>111</v>
      </c>
      <c r="V12" s="15" t="s">
        <v>442</v>
      </c>
    </row>
    <row r="13" spans="1:22" ht="30" customHeight="1">
      <c r="A13" s="15" t="s">
        <v>146</v>
      </c>
      <c r="B13" s="12" t="s">
        <v>144</v>
      </c>
      <c r="C13" s="12" t="s">
        <v>109</v>
      </c>
      <c r="D13" s="15" t="s">
        <v>31</v>
      </c>
      <c r="E13" s="18">
        <v>491.4</v>
      </c>
      <c r="F13" s="18">
        <v>423.81</v>
      </c>
      <c r="G13" s="18">
        <v>31.66</v>
      </c>
      <c r="H13" s="19">
        <f>IF(AND(ISNUMBER(G13),ISNUMBER(F13),F13&gt;0),G13/F13,"")</f>
        <v>0.0747032868502395</v>
      </c>
      <c r="I13" s="13"/>
      <c r="J13" s="13"/>
      <c r="K13" s="13"/>
      <c r="L13" s="13"/>
      <c r="M13" s="13"/>
      <c r="N13" s="13"/>
      <c r="O13" s="13"/>
      <c r="P13" s="13"/>
      <c r="Q13" s="13"/>
      <c r="R13" s="12" t="s">
        <v>117</v>
      </c>
      <c r="S13" s="12" t="s">
        <v>441</v>
      </c>
      <c r="T13" s="12" t="s">
        <v>145</v>
      </c>
      <c r="U13" s="12" t="s">
        <v>111</v>
      </c>
      <c r="V13" s="15" t="s">
        <v>442</v>
      </c>
    </row>
    <row r="14" spans="1:22" ht="30" customHeight="1">
      <c r="A14" s="15" t="s">
        <v>274</v>
      </c>
      <c r="B14" s="12" t="s">
        <v>269</v>
      </c>
      <c r="C14" s="12" t="s">
        <v>270</v>
      </c>
      <c r="D14" s="15" t="s">
        <v>443</v>
      </c>
      <c r="E14" s="18">
        <v>3855.3</v>
      </c>
      <c r="F14" s="18">
        <v>3194.6</v>
      </c>
      <c r="G14" s="18">
        <v>374.83</v>
      </c>
      <c r="H14" s="19">
        <f>IF(AND(ISNUMBER(G14),ISNUMBER(F14),F14&gt;0),G14/F14,"")</f>
        <v>0.11733237338007887</v>
      </c>
      <c r="I14" s="18">
        <v>44.97</v>
      </c>
      <c r="J14" s="13"/>
      <c r="K14" s="17">
        <v>2.0198</v>
      </c>
      <c r="L14" s="13"/>
      <c r="M14" s="17">
        <v>0.000316447487873836</v>
      </c>
      <c r="N14" s="18">
        <v>4.312459764367636</v>
      </c>
      <c r="O14" s="17">
        <v>0.048</v>
      </c>
      <c r="P14" s="15" t="s">
        <v>444</v>
      </c>
      <c r="Q14" s="17">
        <v>0.08699999999999999</v>
      </c>
      <c r="R14" s="12" t="s">
        <v>276</v>
      </c>
      <c r="S14" s="12" t="s">
        <v>445</v>
      </c>
      <c r="T14" s="12" t="s">
        <v>446</v>
      </c>
      <c r="U14" s="12" t="s">
        <v>447</v>
      </c>
      <c r="V14" s="15" t="s">
        <v>448</v>
      </c>
    </row>
    <row r="15" spans="1:22" ht="30" customHeight="1">
      <c r="A15" s="15" t="s">
        <v>274</v>
      </c>
      <c r="B15" s="12" t="s">
        <v>269</v>
      </c>
      <c r="C15" s="12" t="s">
        <v>270</v>
      </c>
      <c r="D15" s="15" t="s">
        <v>31</v>
      </c>
      <c r="E15" s="18">
        <v>4098.62</v>
      </c>
      <c r="F15" s="18">
        <v>3705.95</v>
      </c>
      <c r="G15" s="18">
        <v>202.08</v>
      </c>
      <c r="H15" s="19">
        <f>IF(AND(ISNUMBER(G15),ISNUMBER(F15),F15&gt;0),G15/F15,"")</f>
        <v>0.0545285284474966</v>
      </c>
      <c r="I15" s="18">
        <v>14</v>
      </c>
      <c r="J15" s="13"/>
      <c r="K15" s="17">
        <v>1.8385</v>
      </c>
      <c r="L15" s="13"/>
      <c r="M15" s="17">
        <v>0</v>
      </c>
      <c r="N15" s="18">
        <v>3.490077566793627</v>
      </c>
      <c r="O15" s="17">
        <v>0.055</v>
      </c>
      <c r="P15" s="15" t="s">
        <v>444</v>
      </c>
      <c r="Q15" s="17">
        <v>0.08749999999999999</v>
      </c>
      <c r="R15" s="12" t="s">
        <v>276</v>
      </c>
      <c r="S15" s="12" t="s">
        <v>445</v>
      </c>
      <c r="T15" s="12" t="s">
        <v>446</v>
      </c>
      <c r="U15" s="12" t="s">
        <v>449</v>
      </c>
      <c r="V15" s="15" t="s">
        <v>448</v>
      </c>
    </row>
    <row r="16" spans="1:22" ht="30" customHeight="1">
      <c r="A16" s="15" t="s">
        <v>274</v>
      </c>
      <c r="B16" s="12" t="s">
        <v>269</v>
      </c>
      <c r="C16" s="12" t="s">
        <v>270</v>
      </c>
      <c r="D16" s="15" t="s">
        <v>50</v>
      </c>
      <c r="E16" s="18">
        <v>4565.2</v>
      </c>
      <c r="F16" s="18">
        <v>4264.86</v>
      </c>
      <c r="G16" s="18">
        <v>265.86</v>
      </c>
      <c r="H16" s="19">
        <f>IF(AND(ISNUMBER(G16),ISNUMBER(F16),F16&gt;0),G16/F16,"")</f>
        <v>0.06233733346463894</v>
      </c>
      <c r="I16" s="18">
        <v>3.81</v>
      </c>
      <c r="J16" s="13"/>
      <c r="K16" s="17">
        <v>1.4888</v>
      </c>
      <c r="L16" s="13"/>
      <c r="M16" s="17">
        <v>0</v>
      </c>
      <c r="N16" s="18">
        <v>3.422745155179951</v>
      </c>
      <c r="O16" s="17">
        <v>0.062</v>
      </c>
      <c r="P16" s="15" t="s">
        <v>450</v>
      </c>
      <c r="Q16" s="17">
        <v>0.08749999999999999</v>
      </c>
      <c r="R16" s="12" t="s">
        <v>276</v>
      </c>
      <c r="S16" s="12" t="s">
        <v>445</v>
      </c>
      <c r="T16" s="12" t="s">
        <v>446</v>
      </c>
      <c r="U16" s="12" t="s">
        <v>451</v>
      </c>
      <c r="V16" s="15" t="s">
        <v>448</v>
      </c>
    </row>
    <row r="17" spans="1:22" ht="30" customHeight="1">
      <c r="A17" s="15" t="s">
        <v>278</v>
      </c>
      <c r="B17" s="12" t="s">
        <v>277</v>
      </c>
      <c r="C17" s="12" t="s">
        <v>270</v>
      </c>
      <c r="D17" s="15" t="s">
        <v>443</v>
      </c>
      <c r="E17" s="18">
        <v>5641.4</v>
      </c>
      <c r="F17" s="18">
        <v>4497.9</v>
      </c>
      <c r="G17" s="18">
        <v>545.6</v>
      </c>
      <c r="H17" s="19">
        <f>IF(AND(ISNUMBER(G17),ISNUMBER(F17),F17&gt;0),G17/F17,"")</f>
        <v>0.12130105160185865</v>
      </c>
      <c r="I17" s="18">
        <v>96.40000000000001</v>
      </c>
      <c r="J17" s="13"/>
      <c r="K17" s="17">
        <v>0.317</v>
      </c>
      <c r="L17" s="13"/>
      <c r="M17" s="17">
        <v>0.07944836388130606</v>
      </c>
      <c r="N17" s="18">
        <v>16.02639437050635</v>
      </c>
      <c r="O17" s="17">
        <v>0.082</v>
      </c>
      <c r="P17" s="15" t="s">
        <v>452</v>
      </c>
      <c r="Q17" s="17">
        <v>0.078</v>
      </c>
      <c r="R17" s="12" t="s">
        <v>276</v>
      </c>
      <c r="S17" s="12" t="s">
        <v>453</v>
      </c>
      <c r="T17" s="12" t="s">
        <v>446</v>
      </c>
      <c r="U17" s="12" t="s">
        <v>454</v>
      </c>
      <c r="V17" s="15" t="s">
        <v>448</v>
      </c>
    </row>
    <row r="18" spans="1:22" ht="30" customHeight="1">
      <c r="A18" s="15" t="s">
        <v>278</v>
      </c>
      <c r="B18" s="12" t="s">
        <v>277</v>
      </c>
      <c r="C18" s="12" t="s">
        <v>270</v>
      </c>
      <c r="D18" s="15" t="s">
        <v>31</v>
      </c>
      <c r="E18" s="18">
        <v>5832.4</v>
      </c>
      <c r="F18" s="18">
        <v>5056</v>
      </c>
      <c r="G18" s="18">
        <v>518.9</v>
      </c>
      <c r="H18" s="19">
        <f>IF(AND(ISNUMBER(G18),ISNUMBER(F18),F18&gt;0),G18/F18,"")</f>
        <v>0.10263053797468354</v>
      </c>
      <c r="I18" s="18">
        <v>143.9</v>
      </c>
      <c r="J18" s="13"/>
      <c r="K18" s="17">
        <v>0.3437</v>
      </c>
      <c r="L18" s="13"/>
      <c r="M18" s="17">
        <v>0.07564638913654756</v>
      </c>
      <c r="N18" s="18">
        <v>14.8768651664094</v>
      </c>
      <c r="O18" s="17">
        <v>0.091</v>
      </c>
      <c r="P18" s="15" t="s">
        <v>452</v>
      </c>
      <c r="Q18" s="17">
        <v>0.079</v>
      </c>
      <c r="R18" s="12" t="s">
        <v>276</v>
      </c>
      <c r="S18" s="12" t="s">
        <v>453</v>
      </c>
      <c r="T18" s="12" t="s">
        <v>446</v>
      </c>
      <c r="U18" s="12" t="s">
        <v>455</v>
      </c>
      <c r="V18" s="15" t="s">
        <v>448</v>
      </c>
    </row>
    <row r="19" spans="1:22" ht="30" customHeight="1">
      <c r="A19" s="15" t="s">
        <v>278</v>
      </c>
      <c r="B19" s="12" t="s">
        <v>277</v>
      </c>
      <c r="C19" s="12" t="s">
        <v>270</v>
      </c>
      <c r="D19" s="15" t="s">
        <v>50</v>
      </c>
      <c r="E19" s="18">
        <v>6568.6</v>
      </c>
      <c r="F19" s="18">
        <v>5811.9</v>
      </c>
      <c r="G19" s="18">
        <v>534.7</v>
      </c>
      <c r="H19" s="19">
        <f>IF(AND(ISNUMBER(G19),ISNUMBER(F19),F19&gt;0),G19/F19,"")</f>
        <v>0.0920008947160137</v>
      </c>
      <c r="I19" s="18">
        <v>153.1</v>
      </c>
      <c r="J19" s="13"/>
      <c r="K19" s="17">
        <v>0.4337</v>
      </c>
      <c r="L19" s="13"/>
      <c r="M19" s="17">
        <v>0.08070212830740188</v>
      </c>
      <c r="N19" s="18">
        <v>12.51260011335913</v>
      </c>
      <c r="O19" s="17">
        <v>0.105</v>
      </c>
      <c r="P19" s="15" t="s">
        <v>452</v>
      </c>
      <c r="Q19" s="17">
        <v>0.0775</v>
      </c>
      <c r="R19" s="12" t="s">
        <v>276</v>
      </c>
      <c r="S19" s="12" t="s">
        <v>453</v>
      </c>
      <c r="T19" s="12" t="s">
        <v>446</v>
      </c>
      <c r="U19" s="12" t="s">
        <v>456</v>
      </c>
      <c r="V19" s="15" t="s">
        <v>448</v>
      </c>
    </row>
    <row r="20" spans="1:22" ht="30" customHeight="1">
      <c r="A20" s="15" t="s">
        <v>283</v>
      </c>
      <c r="B20" s="12" t="s">
        <v>280</v>
      </c>
      <c r="C20" s="12" t="s">
        <v>270</v>
      </c>
      <c r="D20" s="15" t="s">
        <v>443</v>
      </c>
      <c r="E20" s="18">
        <v>6427</v>
      </c>
      <c r="F20" s="18">
        <v>60262.4</v>
      </c>
      <c r="G20" s="18">
        <v>2723.54</v>
      </c>
      <c r="H20" s="19">
        <f>IF(AND(ISNUMBER(G20),ISNUMBER(F20),F20&gt;0),G20/F20,"")</f>
        <v>0.04519468192438403</v>
      </c>
      <c r="I20" s="18">
        <v>4598.71</v>
      </c>
      <c r="J20" s="13"/>
      <c r="K20" s="17">
        <v>0.0926</v>
      </c>
      <c r="L20" s="13"/>
      <c r="M20" s="17">
        <v>0</v>
      </c>
      <c r="N20" s="18">
        <v>4.510461489378484</v>
      </c>
      <c r="O20" s="17">
        <v>0.052</v>
      </c>
      <c r="P20" s="15" t="s">
        <v>457</v>
      </c>
      <c r="Q20" s="17">
        <v>0.0828</v>
      </c>
      <c r="R20" s="12" t="s">
        <v>285</v>
      </c>
      <c r="S20" s="12" t="s">
        <v>453</v>
      </c>
      <c r="T20" s="12" t="s">
        <v>446</v>
      </c>
      <c r="U20" s="12" t="s">
        <v>458</v>
      </c>
      <c r="V20" s="15" t="s">
        <v>459</v>
      </c>
    </row>
    <row r="21" spans="1:22" ht="30" customHeight="1">
      <c r="A21" s="15" t="s">
        <v>283</v>
      </c>
      <c r="B21" s="12" t="s">
        <v>280</v>
      </c>
      <c r="C21" s="12" t="s">
        <v>270</v>
      </c>
      <c r="D21" s="15" t="s">
        <v>31</v>
      </c>
      <c r="E21" s="18">
        <v>7993.66</v>
      </c>
      <c r="F21" s="18">
        <v>69475.37</v>
      </c>
      <c r="G21" s="18">
        <v>4366.82</v>
      </c>
      <c r="H21" s="19">
        <f>IF(AND(ISNUMBER(G21),ISNUMBER(F21),F21&gt;0),G21/F21,"")</f>
        <v>0.06285421725713732</v>
      </c>
      <c r="I21" s="18">
        <v>3854.03</v>
      </c>
      <c r="J21" s="13"/>
      <c r="K21" s="17">
        <v>0.094</v>
      </c>
      <c r="L21" s="13"/>
      <c r="M21" s="17">
        <v>0</v>
      </c>
      <c r="N21" s="18">
        <v>4.849957062501674</v>
      </c>
      <c r="O21" s="17">
        <v>0.06</v>
      </c>
      <c r="P21" s="15" t="s">
        <v>460</v>
      </c>
      <c r="Q21" s="17">
        <v>0.0818</v>
      </c>
      <c r="R21" s="12" t="s">
        <v>285</v>
      </c>
      <c r="S21" s="12" t="s">
        <v>453</v>
      </c>
      <c r="T21" s="12" t="s">
        <v>446</v>
      </c>
      <c r="U21" s="12" t="s">
        <v>461</v>
      </c>
      <c r="V21" s="15" t="s">
        <v>459</v>
      </c>
    </row>
    <row r="22" spans="1:22" ht="30" customHeight="1">
      <c r="A22" s="15" t="s">
        <v>283</v>
      </c>
      <c r="B22" s="12" t="s">
        <v>280</v>
      </c>
      <c r="C22" s="12" t="s">
        <v>270</v>
      </c>
      <c r="D22" s="15" t="s">
        <v>50</v>
      </c>
      <c r="E22" s="18">
        <v>8194.02</v>
      </c>
      <c r="F22" s="18">
        <v>74874.77</v>
      </c>
      <c r="G22" s="18">
        <v>4414.68</v>
      </c>
      <c r="H22" s="19">
        <f>IF(AND(ISNUMBER(G22),ISNUMBER(F22),F22&gt;0),G22/F22,"")</f>
        <v>0.05896084889476121</v>
      </c>
      <c r="I22" s="18">
        <v>44.95</v>
      </c>
      <c r="J22" s="13"/>
      <c r="K22" s="17">
        <v>0.1021</v>
      </c>
      <c r="L22" s="13"/>
      <c r="M22" s="17">
        <v>0</v>
      </c>
      <c r="N22" s="18">
        <v>4.399925714764487</v>
      </c>
      <c r="O22" s="17">
        <v>0.068</v>
      </c>
      <c r="P22" s="15" t="s">
        <v>462</v>
      </c>
      <c r="Q22" s="13"/>
      <c r="R22" s="12" t="s">
        <v>285</v>
      </c>
      <c r="S22" s="12" t="s">
        <v>453</v>
      </c>
      <c r="T22" s="12" t="s">
        <v>446</v>
      </c>
      <c r="U22" s="12" t="s">
        <v>463</v>
      </c>
      <c r="V22" s="15" t="s">
        <v>459</v>
      </c>
    </row>
    <row r="23" spans="1:22" ht="30" customHeight="1">
      <c r="A23" s="15" t="s">
        <v>288</v>
      </c>
      <c r="B23" s="12" t="s">
        <v>286</v>
      </c>
      <c r="C23" s="12" t="s">
        <v>270</v>
      </c>
      <c r="D23" s="15" t="s">
        <v>443</v>
      </c>
      <c r="E23" s="18">
        <v>3035.62</v>
      </c>
      <c r="F23" s="18">
        <v>35734.86</v>
      </c>
      <c r="G23" s="18">
        <v>747.0599999999999</v>
      </c>
      <c r="H23" s="19">
        <f>IF(AND(ISNUMBER(G23),ISNUMBER(F23),F23&gt;0),G23/F23,"")</f>
        <v>0.020905636680820912</v>
      </c>
      <c r="I23" s="18">
        <v>10656.46</v>
      </c>
      <c r="J23" s="13"/>
      <c r="K23" s="17">
        <v>0.1082</v>
      </c>
      <c r="L23" s="13"/>
      <c r="M23" s="17">
        <v>0</v>
      </c>
      <c r="N23" s="18">
        <v>3.616733194582505</v>
      </c>
      <c r="O23" s="17">
        <v>0.05</v>
      </c>
      <c r="P23" s="15" t="s">
        <v>460</v>
      </c>
      <c r="Q23" s="17">
        <v>0.07820000000000001</v>
      </c>
      <c r="R23" s="12" t="s">
        <v>276</v>
      </c>
      <c r="S23" s="12" t="s">
        <v>453</v>
      </c>
      <c r="T23" s="12" t="s">
        <v>446</v>
      </c>
      <c r="U23" s="12" t="s">
        <v>464</v>
      </c>
      <c r="V23" s="15" t="s">
        <v>459</v>
      </c>
    </row>
    <row r="24" spans="1:22" ht="30" customHeight="1">
      <c r="A24" s="15" t="s">
        <v>288</v>
      </c>
      <c r="B24" s="12" t="s">
        <v>286</v>
      </c>
      <c r="C24" s="12" t="s">
        <v>270</v>
      </c>
      <c r="D24" s="15" t="s">
        <v>31</v>
      </c>
      <c r="E24" s="18">
        <v>4922.84</v>
      </c>
      <c r="F24" s="18">
        <v>55465.52</v>
      </c>
      <c r="G24" s="18">
        <v>1389.23</v>
      </c>
      <c r="H24" s="19">
        <f>IF(AND(ISNUMBER(G24),ISNUMBER(F24),F24&gt;0),G24/F24,"")</f>
        <v>0.02504673173531953</v>
      </c>
      <c r="I24" s="18">
        <v>12561.16</v>
      </c>
      <c r="J24" s="13"/>
      <c r="K24" s="17">
        <v>0.0898</v>
      </c>
      <c r="L24" s="13"/>
      <c r="M24" s="17">
        <v>0</v>
      </c>
      <c r="N24" s="18">
        <v>3.6847470628034</v>
      </c>
      <c r="O24" s="17">
        <v>0.058</v>
      </c>
      <c r="P24" s="15" t="s">
        <v>465</v>
      </c>
      <c r="Q24" s="17">
        <v>0.079</v>
      </c>
      <c r="R24" s="12" t="s">
        <v>276</v>
      </c>
      <c r="S24" s="12" t="s">
        <v>453</v>
      </c>
      <c r="T24" s="12" t="s">
        <v>446</v>
      </c>
      <c r="U24" s="12" t="s">
        <v>466</v>
      </c>
      <c r="V24" s="15" t="s">
        <v>459</v>
      </c>
    </row>
    <row r="25" spans="1:22" ht="30" customHeight="1">
      <c r="A25" s="15" t="s">
        <v>288</v>
      </c>
      <c r="B25" s="12" t="s">
        <v>286</v>
      </c>
      <c r="C25" s="12" t="s">
        <v>270</v>
      </c>
      <c r="D25" s="15" t="s">
        <v>50</v>
      </c>
      <c r="E25" s="18">
        <v>5131.43</v>
      </c>
      <c r="F25" s="18">
        <v>81894.42999999999</v>
      </c>
      <c r="G25" s="18">
        <v>1840.66</v>
      </c>
      <c r="H25" s="19">
        <f>IF(AND(ISNUMBER(G25),ISNUMBER(F25),F25&gt;0),G25/F25,"")</f>
        <v>0.02247600966268402</v>
      </c>
      <c r="I25" s="18">
        <v>15614.87</v>
      </c>
      <c r="J25" s="13"/>
      <c r="K25" s="17">
        <v>0.0968</v>
      </c>
      <c r="L25" s="13"/>
      <c r="M25" s="17">
        <v>0</v>
      </c>
      <c r="N25" s="18">
        <v>3.423718760478618</v>
      </c>
      <c r="O25" s="17">
        <v>0.065</v>
      </c>
      <c r="P25" s="15" t="s">
        <v>465</v>
      </c>
      <c r="Q25" s="17">
        <v>0.07099999999999999</v>
      </c>
      <c r="R25" s="12" t="s">
        <v>276</v>
      </c>
      <c r="S25" s="12" t="s">
        <v>453</v>
      </c>
      <c r="T25" s="12" t="s">
        <v>446</v>
      </c>
      <c r="U25" s="12" t="s">
        <v>467</v>
      </c>
      <c r="V25" s="15" t="s">
        <v>459</v>
      </c>
    </row>
    <row r="26" spans="1:22" ht="30" customHeight="1">
      <c r="A26" s="15" t="s">
        <v>291</v>
      </c>
      <c r="B26" s="12" t="s">
        <v>290</v>
      </c>
      <c r="C26" s="12" t="s">
        <v>270</v>
      </c>
      <c r="D26" s="15" t="s">
        <v>443</v>
      </c>
      <c r="E26" s="18">
        <v>4578.42</v>
      </c>
      <c r="F26" s="18">
        <v>3542.91</v>
      </c>
      <c r="G26" s="18">
        <v>432.16</v>
      </c>
      <c r="H26" s="19">
        <f>IF(AND(ISNUMBER(G26),ISNUMBER(F26),F26&gt;0),G26/F26,"")</f>
        <v>0.12197882531591264</v>
      </c>
      <c r="I26" s="18">
        <v>170.59</v>
      </c>
      <c r="J26" s="13"/>
      <c r="K26" s="17">
        <v>0.1049</v>
      </c>
      <c r="L26" s="13"/>
      <c r="M26" s="17">
        <v>0.01740775201925555</v>
      </c>
      <c r="N26" s="18">
        <v>6.845055893796181</v>
      </c>
      <c r="O26" s="17">
        <v>0.045</v>
      </c>
      <c r="P26" s="15" t="s">
        <v>468</v>
      </c>
      <c r="Q26" s="17">
        <v>0.08450000000000001</v>
      </c>
      <c r="R26" s="12" t="s">
        <v>276</v>
      </c>
      <c r="S26" s="12" t="s">
        <v>453</v>
      </c>
      <c r="T26" s="12" t="s">
        <v>446</v>
      </c>
      <c r="U26" s="12" t="s">
        <v>469</v>
      </c>
      <c r="V26" s="15" t="s">
        <v>459</v>
      </c>
    </row>
    <row r="27" spans="1:22" ht="30" customHeight="1">
      <c r="A27" s="15" t="s">
        <v>291</v>
      </c>
      <c r="B27" s="12" t="s">
        <v>290</v>
      </c>
      <c r="C27" s="12" t="s">
        <v>270</v>
      </c>
      <c r="D27" s="15" t="s">
        <v>31</v>
      </c>
      <c r="E27" s="18">
        <v>4635.07</v>
      </c>
      <c r="F27" s="18">
        <v>3756.2</v>
      </c>
      <c r="G27" s="18">
        <v>300.02</v>
      </c>
      <c r="H27" s="19">
        <f>IF(AND(ISNUMBER(G27),ISNUMBER(F27),F27&gt;0),G27/F27,"")</f>
        <v>0.07987327618337682</v>
      </c>
      <c r="I27" s="18">
        <v>175.94</v>
      </c>
      <c r="J27" s="13"/>
      <c r="K27" s="17">
        <v>0.1156</v>
      </c>
      <c r="L27" s="13"/>
      <c r="M27" s="17">
        <v>0.01182074920119869</v>
      </c>
      <c r="N27" s="18">
        <v>6.886462711158718</v>
      </c>
      <c r="O27" s="17">
        <v>0.052</v>
      </c>
      <c r="P27" s="15" t="s">
        <v>468</v>
      </c>
      <c r="Q27" s="17">
        <v>0.08599999999999999</v>
      </c>
      <c r="R27" s="12" t="s">
        <v>276</v>
      </c>
      <c r="S27" s="12" t="s">
        <v>453</v>
      </c>
      <c r="T27" s="12" t="s">
        <v>446</v>
      </c>
      <c r="U27" s="12" t="s">
        <v>470</v>
      </c>
      <c r="V27" s="15" t="s">
        <v>459</v>
      </c>
    </row>
    <row r="28" spans="1:22" ht="30" customHeight="1">
      <c r="A28" s="15" t="s">
        <v>291</v>
      </c>
      <c r="B28" s="12" t="s">
        <v>290</v>
      </c>
      <c r="C28" s="12" t="s">
        <v>270</v>
      </c>
      <c r="D28" s="15" t="s">
        <v>50</v>
      </c>
      <c r="E28" s="18">
        <v>4830.36</v>
      </c>
      <c r="F28" s="18">
        <v>3362.25</v>
      </c>
      <c r="G28" s="18">
        <v>487</v>
      </c>
      <c r="H28" s="19">
        <f>IF(AND(ISNUMBER(G28),ISNUMBER(F28),F28&gt;0),G28/F28,"")</f>
        <v>0.1448434827868243</v>
      </c>
      <c r="I28" s="18">
        <v>180.36</v>
      </c>
      <c r="J28" s="13"/>
      <c r="K28" s="17">
        <v>0.1255</v>
      </c>
      <c r="L28" s="13"/>
      <c r="M28" s="17">
        <v>0.01300110136718588</v>
      </c>
      <c r="N28" s="18">
        <v>6.208185326211955</v>
      </c>
      <c r="O28" s="17">
        <v>0.06</v>
      </c>
      <c r="P28" s="15" t="s">
        <v>468</v>
      </c>
      <c r="Q28" s="17">
        <v>0.08500000000000001</v>
      </c>
      <c r="R28" s="12" t="s">
        <v>276</v>
      </c>
      <c r="S28" s="12" t="s">
        <v>453</v>
      </c>
      <c r="T28" s="12" t="s">
        <v>446</v>
      </c>
      <c r="U28" s="12" t="s">
        <v>471</v>
      </c>
      <c r="V28" s="15" t="s">
        <v>459</v>
      </c>
    </row>
    <row r="29" spans="1:22" ht="30" customHeight="1">
      <c r="A29" s="15" t="s">
        <v>295</v>
      </c>
      <c r="B29" s="12" t="s">
        <v>293</v>
      </c>
      <c r="C29" s="12" t="s">
        <v>270</v>
      </c>
      <c r="D29" s="15" t="s">
        <v>443</v>
      </c>
      <c r="E29" s="18">
        <v>221112.91</v>
      </c>
      <c r="F29" s="18">
        <v>340135.97</v>
      </c>
      <c r="G29" s="18">
        <v>15547.1</v>
      </c>
      <c r="H29" s="19">
        <f>IF(AND(ISNUMBER(G29),ISNUMBER(F29),F29&gt;0),G29/F29,"")</f>
        <v>0.04570848534484607</v>
      </c>
      <c r="I29" s="18">
        <v>114039.77</v>
      </c>
      <c r="J29" s="13"/>
      <c r="K29" s="17">
        <v>0.0805</v>
      </c>
      <c r="L29" s="13"/>
      <c r="M29" s="17">
        <v>0.4300330993789553</v>
      </c>
      <c r="N29" s="18">
        <v>4.683231909301308</v>
      </c>
      <c r="O29" s="17">
        <v>0.105</v>
      </c>
      <c r="P29" s="15" t="s">
        <v>472</v>
      </c>
      <c r="Q29" s="17">
        <v>0.07290000000000001</v>
      </c>
      <c r="R29" s="12" t="s">
        <v>276</v>
      </c>
      <c r="S29" s="12" t="s">
        <v>453</v>
      </c>
      <c r="T29" s="12" t="s">
        <v>446</v>
      </c>
      <c r="U29" s="12" t="s">
        <v>473</v>
      </c>
      <c r="V29" s="15" t="s">
        <v>459</v>
      </c>
    </row>
    <row r="30" spans="1:22" ht="30" customHeight="1">
      <c r="A30" s="15" t="s">
        <v>295</v>
      </c>
      <c r="B30" s="12" t="s">
        <v>293</v>
      </c>
      <c r="C30" s="12" t="s">
        <v>270</v>
      </c>
      <c r="D30" s="15" t="s">
        <v>31</v>
      </c>
      <c r="E30" s="18">
        <v>255734.45</v>
      </c>
      <c r="F30" s="18">
        <v>379524.1</v>
      </c>
      <c r="G30" s="18">
        <v>17673.33</v>
      </c>
      <c r="H30" s="19">
        <f>IF(AND(ISNUMBER(G30),ISNUMBER(F30),F30&gt;0),G30/F30,"")</f>
        <v>0.046567082301229364</v>
      </c>
      <c r="I30" s="18">
        <v>129559.34</v>
      </c>
      <c r="J30" s="13"/>
      <c r="K30" s="17">
        <v>0.0775</v>
      </c>
      <c r="L30" s="13"/>
      <c r="M30" s="17">
        <v>0.4988216096814488</v>
      </c>
      <c r="N30" s="18">
        <v>3.952708093884008</v>
      </c>
      <c r="O30" s="17">
        <v>0.12</v>
      </c>
      <c r="P30" s="15" t="s">
        <v>472</v>
      </c>
      <c r="Q30" s="17">
        <v>0.0759</v>
      </c>
      <c r="R30" s="12" t="s">
        <v>276</v>
      </c>
      <c r="S30" s="12" t="s">
        <v>453</v>
      </c>
      <c r="T30" s="12" t="s">
        <v>446</v>
      </c>
      <c r="U30" s="12" t="s">
        <v>474</v>
      </c>
      <c r="V30" s="15" t="s">
        <v>459</v>
      </c>
    </row>
    <row r="31" spans="1:22" ht="30" customHeight="1">
      <c r="A31" s="15" t="s">
        <v>295</v>
      </c>
      <c r="B31" s="12" t="s">
        <v>293</v>
      </c>
      <c r="C31" s="12" t="s">
        <v>270</v>
      </c>
      <c r="D31" s="15" t="s">
        <v>50</v>
      </c>
      <c r="E31" s="18">
        <v>285874.36</v>
      </c>
      <c r="F31" s="18">
        <v>452549.88</v>
      </c>
      <c r="G31" s="18">
        <v>18953.88</v>
      </c>
      <c r="H31" s="19">
        <f>IF(AND(ISNUMBER(G31),ISNUMBER(F31),F31&gt;0),G31/F31,"")</f>
        <v>0.04188241084054646</v>
      </c>
      <c r="I31" s="18">
        <v>121683.02</v>
      </c>
      <c r="J31" s="13"/>
      <c r="K31" s="17">
        <v>0.07630000000000001</v>
      </c>
      <c r="L31" s="13"/>
      <c r="M31" s="17">
        <v>0.5377824370118397</v>
      </c>
      <c r="N31" s="18">
        <v>3.696228038085291</v>
      </c>
      <c r="O31" s="17">
        <v>0.138</v>
      </c>
      <c r="P31" s="15" t="s">
        <v>472</v>
      </c>
      <c r="Q31" s="17">
        <v>0.07439999999999999</v>
      </c>
      <c r="R31" s="12" t="s">
        <v>276</v>
      </c>
      <c r="S31" s="12" t="s">
        <v>453</v>
      </c>
      <c r="T31" s="12" t="s">
        <v>446</v>
      </c>
      <c r="U31" s="12" t="s">
        <v>475</v>
      </c>
      <c r="V31" s="15" t="s">
        <v>459</v>
      </c>
    </row>
    <row r="32" spans="1:22" ht="30" customHeight="1">
      <c r="A32" s="15" t="s">
        <v>299</v>
      </c>
      <c r="B32" s="12" t="s">
        <v>297</v>
      </c>
      <c r="C32" s="12" t="s">
        <v>270</v>
      </c>
      <c r="D32" s="15" t="s">
        <v>443</v>
      </c>
      <c r="E32" s="18">
        <v>10316.1</v>
      </c>
      <c r="F32" s="18">
        <v>47225.2</v>
      </c>
      <c r="G32" s="18">
        <v>1554.2</v>
      </c>
      <c r="H32" s="19">
        <f>IF(AND(ISNUMBER(G32),ISNUMBER(F32),F32&gt;0),G32/F32,"")</f>
        <v>0.032910395297425954</v>
      </c>
      <c r="I32" s="18">
        <v>7679.9</v>
      </c>
      <c r="J32" s="13"/>
      <c r="K32" s="17">
        <v>0.1272</v>
      </c>
      <c r="L32" s="13"/>
      <c r="M32" s="17">
        <v>0</v>
      </c>
      <c r="N32" s="18">
        <v>6.125314816927113</v>
      </c>
      <c r="O32" s="17">
        <v>0.065</v>
      </c>
      <c r="P32" s="15" t="s">
        <v>476</v>
      </c>
      <c r="Q32" s="17">
        <v>0.08649999999999999</v>
      </c>
      <c r="R32" s="12" t="s">
        <v>276</v>
      </c>
      <c r="S32" s="12" t="s">
        <v>453</v>
      </c>
      <c r="T32" s="12" t="s">
        <v>446</v>
      </c>
      <c r="U32" s="12" t="s">
        <v>477</v>
      </c>
      <c r="V32" s="15" t="s">
        <v>459</v>
      </c>
    </row>
    <row r="33" spans="1:22" ht="30" customHeight="1">
      <c r="A33" s="15" t="s">
        <v>299</v>
      </c>
      <c r="B33" s="12" t="s">
        <v>297</v>
      </c>
      <c r="C33" s="12" t="s">
        <v>270</v>
      </c>
      <c r="D33" s="15" t="s">
        <v>31</v>
      </c>
      <c r="E33" s="18">
        <v>13779.5</v>
      </c>
      <c r="F33" s="18">
        <v>49840.6</v>
      </c>
      <c r="G33" s="18">
        <v>2766.6</v>
      </c>
      <c r="H33" s="19">
        <f>IF(AND(ISNUMBER(G33),ISNUMBER(F33),F33&gt;0),G33/F33,"")</f>
        <v>0.05550896257268171</v>
      </c>
      <c r="I33" s="18">
        <v>7080.4</v>
      </c>
      <c r="J33" s="13"/>
      <c r="K33" s="17">
        <v>0.0958</v>
      </c>
      <c r="L33" s="13"/>
      <c r="M33" s="17">
        <v>0</v>
      </c>
      <c r="N33" s="18">
        <v>5.814487176954082</v>
      </c>
      <c r="O33" s="17">
        <v>0.075</v>
      </c>
      <c r="P33" s="15" t="s">
        <v>478</v>
      </c>
      <c r="Q33" s="17">
        <v>0.0848</v>
      </c>
      <c r="R33" s="12" t="s">
        <v>276</v>
      </c>
      <c r="S33" s="12" t="s">
        <v>453</v>
      </c>
      <c r="T33" s="12" t="s">
        <v>446</v>
      </c>
      <c r="U33" s="12" t="s">
        <v>479</v>
      </c>
      <c r="V33" s="15" t="s">
        <v>459</v>
      </c>
    </row>
    <row r="34" spans="1:22" ht="30" customHeight="1">
      <c r="A34" s="15" t="s">
        <v>299</v>
      </c>
      <c r="B34" s="12" t="s">
        <v>297</v>
      </c>
      <c r="C34" s="12" t="s">
        <v>270</v>
      </c>
      <c r="D34" s="15" t="s">
        <v>50</v>
      </c>
      <c r="E34" s="18">
        <v>16676.2</v>
      </c>
      <c r="F34" s="18">
        <v>58936.6</v>
      </c>
      <c r="G34" s="18">
        <v>3430.7</v>
      </c>
      <c r="H34" s="19">
        <f>IF(AND(ISNUMBER(G34),ISNUMBER(F34),F34&gt;0),G34/F34,"")</f>
        <v>0.05821000872123604</v>
      </c>
      <c r="I34" s="18">
        <v>9883.9</v>
      </c>
      <c r="J34" s="13"/>
      <c r="K34" s="17">
        <v>0.093</v>
      </c>
      <c r="L34" s="13"/>
      <c r="M34" s="17">
        <v>0</v>
      </c>
      <c r="N34" s="18">
        <v>5.436023423761801</v>
      </c>
      <c r="O34" s="17">
        <v>0.082</v>
      </c>
      <c r="P34" s="15" t="s">
        <v>480</v>
      </c>
      <c r="Q34" s="17">
        <v>0.079</v>
      </c>
      <c r="R34" s="12" t="s">
        <v>276</v>
      </c>
      <c r="S34" s="12" t="s">
        <v>453</v>
      </c>
      <c r="T34" s="12" t="s">
        <v>446</v>
      </c>
      <c r="U34" s="12" t="s">
        <v>481</v>
      </c>
      <c r="V34" s="15" t="s">
        <v>459</v>
      </c>
    </row>
    <row r="35" spans="1:22" ht="30" customHeight="1">
      <c r="A35" s="15" t="s">
        <v>302</v>
      </c>
      <c r="B35" s="12" t="s">
        <v>301</v>
      </c>
      <c r="C35" s="12" t="s">
        <v>270</v>
      </c>
      <c r="D35" s="15" t="s">
        <v>443</v>
      </c>
      <c r="E35" s="18">
        <v>212.09</v>
      </c>
      <c r="F35" s="18">
        <v>4949.26</v>
      </c>
      <c r="G35" s="18">
        <v>98.3</v>
      </c>
      <c r="H35" s="19">
        <f>IF(AND(ISNUMBER(G35),ISNUMBER(F35),F35&gt;0),G35/F35,"")</f>
        <v>0.019861555060756556</v>
      </c>
      <c r="I35" s="18">
        <v>872.77</v>
      </c>
      <c r="J35" s="13"/>
      <c r="K35" s="17">
        <v>0.1267</v>
      </c>
      <c r="L35" s="13"/>
      <c r="M35" s="17">
        <v>0</v>
      </c>
      <c r="N35" s="18">
        <v>4.899433526073284</v>
      </c>
      <c r="O35" s="17">
        <v>0.08500000000000001</v>
      </c>
      <c r="P35" s="15" t="s">
        <v>482</v>
      </c>
      <c r="Q35" s="17">
        <v>0.08799999999999999</v>
      </c>
      <c r="R35" s="12" t="s">
        <v>276</v>
      </c>
      <c r="S35" s="12" t="s">
        <v>453</v>
      </c>
      <c r="T35" s="12" t="s">
        <v>446</v>
      </c>
      <c r="U35" s="12" t="s">
        <v>483</v>
      </c>
      <c r="V35" s="15" t="s">
        <v>459</v>
      </c>
    </row>
    <row r="36" spans="1:22" ht="30" customHeight="1">
      <c r="A36" s="15" t="s">
        <v>302</v>
      </c>
      <c r="B36" s="12" t="s">
        <v>301</v>
      </c>
      <c r="C36" s="12" t="s">
        <v>270</v>
      </c>
      <c r="D36" s="15" t="s">
        <v>31</v>
      </c>
      <c r="E36" s="18">
        <v>372.27</v>
      </c>
      <c r="F36" s="18">
        <v>6420.77</v>
      </c>
      <c r="G36" s="18">
        <v>61.35</v>
      </c>
      <c r="H36" s="19">
        <f>IF(AND(ISNUMBER(G36),ISNUMBER(F36),F36&gt;0),G36/F36,"")</f>
        <v>0.009554928770225377</v>
      </c>
      <c r="I36" s="18">
        <v>1431.74</v>
      </c>
      <c r="J36" s="13"/>
      <c r="K36" s="17">
        <v>0.0927</v>
      </c>
      <c r="L36" s="13"/>
      <c r="M36" s="17">
        <v>0</v>
      </c>
      <c r="N36" s="18">
        <v>4.350976649018078</v>
      </c>
      <c r="O36" s="17">
        <v>0.092</v>
      </c>
      <c r="P36" s="15" t="s">
        <v>482</v>
      </c>
      <c r="Q36" s="17">
        <v>0.0915</v>
      </c>
      <c r="R36" s="12" t="s">
        <v>276</v>
      </c>
      <c r="S36" s="12" t="s">
        <v>453</v>
      </c>
      <c r="T36" s="12" t="s">
        <v>446</v>
      </c>
      <c r="U36" s="12" t="s">
        <v>484</v>
      </c>
      <c r="V36" s="15" t="s">
        <v>459</v>
      </c>
    </row>
    <row r="37" spans="1:22" ht="30" customHeight="1">
      <c r="A37" s="15" t="s">
        <v>302</v>
      </c>
      <c r="B37" s="12" t="s">
        <v>301</v>
      </c>
      <c r="C37" s="12" t="s">
        <v>270</v>
      </c>
      <c r="D37" s="15" t="s">
        <v>50</v>
      </c>
      <c r="E37" s="18">
        <v>1178.31</v>
      </c>
      <c r="F37" s="18">
        <v>8294.83</v>
      </c>
      <c r="G37" s="18">
        <v>298.17</v>
      </c>
      <c r="H37" s="19">
        <f>IF(AND(ISNUMBER(G37),ISNUMBER(F37),F37&gt;0),G37/F37,"")</f>
        <v>0.03594648714922428</v>
      </c>
      <c r="I37" s="18">
        <v>645.25</v>
      </c>
      <c r="J37" s="13"/>
      <c r="K37" s="17">
        <v>0.0677</v>
      </c>
      <c r="L37" s="13"/>
      <c r="M37" s="17">
        <v>0</v>
      </c>
      <c r="N37" s="18">
        <v>2.705766229755885</v>
      </c>
      <c r="O37" s="17">
        <v>0.11</v>
      </c>
      <c r="P37" s="15" t="s">
        <v>482</v>
      </c>
      <c r="Q37" s="17">
        <v>0.08500000000000001</v>
      </c>
      <c r="R37" s="12" t="s">
        <v>276</v>
      </c>
      <c r="S37" s="12" t="s">
        <v>453</v>
      </c>
      <c r="T37" s="12" t="s">
        <v>446</v>
      </c>
      <c r="U37" s="12" t="s">
        <v>485</v>
      </c>
      <c r="V37" s="15" t="s">
        <v>459</v>
      </c>
    </row>
    <row r="38" spans="1:22" ht="30" customHeight="1">
      <c r="A38" s="15" t="s">
        <v>310</v>
      </c>
      <c r="B38" s="12" t="s">
        <v>308</v>
      </c>
      <c r="C38" s="12" t="s">
        <v>270</v>
      </c>
      <c r="D38" s="15" t="s">
        <v>443</v>
      </c>
      <c r="E38" s="18">
        <v>20844.96</v>
      </c>
      <c r="F38" s="18">
        <v>18097.38</v>
      </c>
      <c r="G38" s="18">
        <v>740.41</v>
      </c>
      <c r="H38" s="19">
        <f>IF(AND(ISNUMBER(G38),ISNUMBER(F38),F38&gt;0),G38/F38,"")</f>
        <v>0.04091255198266268</v>
      </c>
      <c r="I38" s="18">
        <v>980.02</v>
      </c>
      <c r="J38" s="13"/>
      <c r="K38" s="17">
        <v>0.6088</v>
      </c>
      <c r="L38" s="13"/>
      <c r="M38" s="17">
        <v>0.002157835755021837</v>
      </c>
      <c r="N38" s="18">
        <v>2.304233192598812</v>
      </c>
      <c r="O38" s="17">
        <v>0.062</v>
      </c>
      <c r="P38" s="15" t="s">
        <v>486</v>
      </c>
      <c r="Q38" s="17">
        <v>0.08840000000000001</v>
      </c>
      <c r="R38" s="12" t="s">
        <v>276</v>
      </c>
      <c r="S38" s="12" t="s">
        <v>445</v>
      </c>
      <c r="T38" s="12" t="s">
        <v>446</v>
      </c>
      <c r="U38" s="12" t="s">
        <v>487</v>
      </c>
      <c r="V38" s="15" t="s">
        <v>448</v>
      </c>
    </row>
    <row r="39" spans="1:22" ht="30" customHeight="1">
      <c r="A39" s="15" t="s">
        <v>310</v>
      </c>
      <c r="B39" s="12" t="s">
        <v>308</v>
      </c>
      <c r="C39" s="12" t="s">
        <v>270</v>
      </c>
      <c r="D39" s="15" t="s">
        <v>31</v>
      </c>
      <c r="E39" s="18">
        <v>22199.36</v>
      </c>
      <c r="F39" s="18">
        <v>21006.38</v>
      </c>
      <c r="G39" s="18">
        <v>868.25</v>
      </c>
      <c r="H39" s="19">
        <f>IF(AND(ISNUMBER(G39),ISNUMBER(F39),F39&gt;0),G39/F39,"")</f>
        <v>0.0413326808331564</v>
      </c>
      <c r="I39" s="18">
        <v>1593.58</v>
      </c>
      <c r="J39" s="13"/>
      <c r="K39" s="17">
        <v>0.5285</v>
      </c>
      <c r="L39" s="13"/>
      <c r="M39" s="17">
        <v>0.001660408227984951</v>
      </c>
      <c r="N39" s="18">
        <v>2.050298302952106</v>
      </c>
      <c r="O39" s="17">
        <v>0.07099999999999999</v>
      </c>
      <c r="P39" s="15" t="s">
        <v>482</v>
      </c>
      <c r="Q39" s="17">
        <v>0.0878</v>
      </c>
      <c r="R39" s="12" t="s">
        <v>276</v>
      </c>
      <c r="S39" s="12" t="s">
        <v>445</v>
      </c>
      <c r="T39" s="12" t="s">
        <v>446</v>
      </c>
      <c r="U39" s="12" t="s">
        <v>488</v>
      </c>
      <c r="V39" s="15" t="s">
        <v>448</v>
      </c>
    </row>
    <row r="40" spans="1:22" ht="30" customHeight="1">
      <c r="A40" s="15" t="s">
        <v>310</v>
      </c>
      <c r="B40" s="12" t="s">
        <v>308</v>
      </c>
      <c r="C40" s="12" t="s">
        <v>270</v>
      </c>
      <c r="D40" s="15" t="s">
        <v>50</v>
      </c>
      <c r="E40" s="18">
        <v>20823</v>
      </c>
      <c r="F40" s="18">
        <v>26006.07</v>
      </c>
      <c r="G40" s="18">
        <v>723.96</v>
      </c>
      <c r="H40" s="19">
        <f>IF(AND(ISNUMBER(G40),ISNUMBER(F40),F40&gt;0),G40/F40,"")</f>
        <v>0.027838116255166585</v>
      </c>
      <c r="I40" s="18">
        <v>3457</v>
      </c>
      <c r="J40" s="13"/>
      <c r="K40" s="17">
        <v>0.2951</v>
      </c>
      <c r="L40" s="13"/>
      <c r="M40" s="17">
        <v>0.0006574460932622581</v>
      </c>
      <c r="N40" s="18">
        <v>1.876708780040652</v>
      </c>
      <c r="O40" s="17">
        <v>0.08500000000000001</v>
      </c>
      <c r="P40" s="15" t="s">
        <v>489</v>
      </c>
      <c r="Q40" s="17">
        <v>0.08169999999999999</v>
      </c>
      <c r="R40" s="12" t="s">
        <v>276</v>
      </c>
      <c r="S40" s="12" t="s">
        <v>445</v>
      </c>
      <c r="T40" s="12" t="s">
        <v>446</v>
      </c>
      <c r="U40" s="12" t="s">
        <v>490</v>
      </c>
      <c r="V40" s="15" t="s">
        <v>448</v>
      </c>
    </row>
    <row r="41" spans="1:22" ht="30" customHeight="1">
      <c r="A41" s="15" t="s">
        <v>168</v>
      </c>
      <c r="B41" s="12" t="s">
        <v>166</v>
      </c>
      <c r="C41" s="12" t="s">
        <v>154</v>
      </c>
      <c r="D41" s="15" t="s">
        <v>50</v>
      </c>
      <c r="E41" s="18">
        <v>13538</v>
      </c>
      <c r="F41" s="13"/>
      <c r="G41" s="13"/>
      <c r="H41" s="19">
        <f>IF(AND(ISNUMBER(G41),ISNUMBER(F41),F41&gt;0),G41/F41,"")</f>
        <v/>
      </c>
      <c r="I41" s="13"/>
      <c r="J41" s="13"/>
      <c r="K41" s="13"/>
      <c r="L41" s="13"/>
      <c r="M41" s="13"/>
      <c r="N41" s="13"/>
      <c r="O41" s="13"/>
      <c r="P41" s="13"/>
      <c r="Q41" s="13"/>
      <c r="R41" s="12" t="s">
        <v>170</v>
      </c>
      <c r="S41" s="12" t="s">
        <v>491</v>
      </c>
      <c r="T41" s="12" t="s">
        <v>492</v>
      </c>
      <c r="U41" s="12" t="s">
        <v>493</v>
      </c>
      <c r="V41" s="15" t="s">
        <v>442</v>
      </c>
    </row>
    <row r="42" spans="1:22" ht="30" customHeight="1">
      <c r="A42" s="15" t="s">
        <v>185</v>
      </c>
      <c r="B42" s="12" t="s">
        <v>183</v>
      </c>
      <c r="C42" s="12" t="s">
        <v>154</v>
      </c>
      <c r="D42" s="15" t="s">
        <v>50</v>
      </c>
      <c r="E42" s="18">
        <v>1001.6</v>
      </c>
      <c r="F42" s="13"/>
      <c r="G42" s="18">
        <v>68.8</v>
      </c>
      <c r="H42" s="19">
        <f>IF(AND(ISNUMBER(G42),ISNUMBER(F42),F42&gt;0),G42/F42,"")</f>
        <v/>
      </c>
      <c r="I42" s="13"/>
      <c r="J42" s="13"/>
      <c r="K42" s="13"/>
      <c r="L42" s="13"/>
      <c r="M42" s="13"/>
      <c r="N42" s="13"/>
      <c r="O42" s="13"/>
      <c r="P42" s="13"/>
      <c r="Q42" s="13"/>
      <c r="R42" s="12" t="s">
        <v>187</v>
      </c>
      <c r="S42" s="12" t="s">
        <v>491</v>
      </c>
      <c r="T42" s="12" t="s">
        <v>492</v>
      </c>
      <c r="U42" s="12" t="s">
        <v>494</v>
      </c>
      <c r="V42" s="15" t="s">
        <v>442</v>
      </c>
    </row>
    <row r="43" spans="1:22" ht="30" customHeight="1">
      <c r="A43" s="15" t="s">
        <v>191</v>
      </c>
      <c r="B43" s="12" t="s">
        <v>188</v>
      </c>
      <c r="C43" s="12" t="s">
        <v>154</v>
      </c>
      <c r="D43" s="15" t="s">
        <v>50</v>
      </c>
      <c r="E43" s="18">
        <v>2418</v>
      </c>
      <c r="F43" s="13"/>
      <c r="G43" s="18">
        <v>180.1</v>
      </c>
      <c r="H43" s="19">
        <f>IF(AND(ISNUMBER(G43),ISNUMBER(F43),F43&gt;0),G43/F43,"")</f>
        <v/>
      </c>
      <c r="I43" s="13"/>
      <c r="J43" s="13"/>
      <c r="K43" s="13"/>
      <c r="L43" s="13"/>
      <c r="M43" s="13"/>
      <c r="N43" s="13"/>
      <c r="O43" s="13"/>
      <c r="P43" s="15" t="s">
        <v>495</v>
      </c>
      <c r="Q43" s="13"/>
      <c r="R43" s="12" t="s">
        <v>195</v>
      </c>
      <c r="S43" s="12" t="s">
        <v>491</v>
      </c>
      <c r="T43" s="12" t="s">
        <v>492</v>
      </c>
      <c r="U43" s="12" t="s">
        <v>496</v>
      </c>
      <c r="V43" s="15" t="s">
        <v>442</v>
      </c>
    </row>
    <row r="44" spans="1:22" ht="30" customHeight="1">
      <c r="A44" s="15" t="s">
        <v>197</v>
      </c>
      <c r="B44" s="12" t="s">
        <v>196</v>
      </c>
      <c r="C44" s="12" t="s">
        <v>154</v>
      </c>
      <c r="D44" s="15" t="s">
        <v>50</v>
      </c>
      <c r="E44" s="18">
        <v>1867</v>
      </c>
      <c r="F44" s="13"/>
      <c r="G44" s="18">
        <v>150.2</v>
      </c>
      <c r="H44" s="19">
        <f>IF(AND(ISNUMBER(G44),ISNUMBER(F44),F44&gt;0),G44/F44,"")</f>
        <v/>
      </c>
      <c r="I44" s="13"/>
      <c r="J44" s="13"/>
      <c r="K44" s="13"/>
      <c r="L44" s="13"/>
      <c r="M44" s="13"/>
      <c r="N44" s="13"/>
      <c r="O44" s="13"/>
      <c r="P44" s="13"/>
      <c r="Q44" s="13"/>
      <c r="R44" s="12" t="s">
        <v>187</v>
      </c>
      <c r="S44" s="12" t="s">
        <v>491</v>
      </c>
      <c r="T44" s="12" t="s">
        <v>492</v>
      </c>
      <c r="U44" s="12" t="s">
        <v>497</v>
      </c>
      <c r="V44" s="15" t="s">
        <v>442</v>
      </c>
    </row>
    <row r="45" spans="1:22" ht="30" customHeight="1">
      <c r="A45" s="15" t="s">
        <v>207</v>
      </c>
      <c r="B45" s="12" t="s">
        <v>205</v>
      </c>
      <c r="C45" s="12" t="s">
        <v>154</v>
      </c>
      <c r="D45" s="15" t="s">
        <v>50</v>
      </c>
      <c r="E45" s="18">
        <v>21567.9</v>
      </c>
      <c r="F45" s="13"/>
      <c r="G45" s="18">
        <v>169.7</v>
      </c>
      <c r="H45" s="19">
        <f>IF(AND(ISNUMBER(G45),ISNUMBER(F45),F45&gt;0),G45/F45,"")</f>
        <v/>
      </c>
      <c r="I45" s="13"/>
      <c r="J45" s="13"/>
      <c r="K45" s="13"/>
      <c r="L45" s="13"/>
      <c r="M45" s="13"/>
      <c r="N45" s="13"/>
      <c r="O45" s="13"/>
      <c r="P45" s="13"/>
      <c r="Q45" s="13"/>
      <c r="R45" s="12" t="s">
        <v>209</v>
      </c>
      <c r="S45" s="12" t="s">
        <v>491</v>
      </c>
      <c r="T45" s="12" t="s">
        <v>492</v>
      </c>
      <c r="U45" s="12" t="s">
        <v>498</v>
      </c>
      <c r="V45" s="15" t="s">
        <v>499</v>
      </c>
    </row>
    <row r="46" spans="1:22" ht="30" customHeight="1">
      <c r="A46" s="15" t="s">
        <v>222</v>
      </c>
      <c r="B46" s="12" t="s">
        <v>220</v>
      </c>
      <c r="C46" s="12" t="s">
        <v>154</v>
      </c>
      <c r="D46" s="15" t="s">
        <v>31</v>
      </c>
      <c r="E46" s="13"/>
      <c r="F46" s="18">
        <v>22261</v>
      </c>
      <c r="G46" s="13"/>
      <c r="H46" s="19">
        <f>IF(AND(ISNUMBER(G46),ISNUMBER(F46),F46&gt;0),G46/F46,"")</f>
        <v/>
      </c>
      <c r="I46" s="18">
        <v>4527</v>
      </c>
      <c r="J46" s="13"/>
      <c r="K46" s="13"/>
      <c r="L46" s="13"/>
      <c r="M46" s="13"/>
      <c r="N46" s="18">
        <v>6.76</v>
      </c>
      <c r="O46" s="13"/>
      <c r="P46" s="13"/>
      <c r="Q46" s="13"/>
      <c r="R46" s="12" t="s">
        <v>224</v>
      </c>
      <c r="S46" s="12" t="s">
        <v>491</v>
      </c>
      <c r="T46" s="12" t="s">
        <v>492</v>
      </c>
      <c r="U46" s="12" t="s">
        <v>500</v>
      </c>
      <c r="V46" s="15" t="s">
        <v>442</v>
      </c>
    </row>
    <row r="47" spans="1:22" ht="30" customHeight="1">
      <c r="A47" s="15" t="s">
        <v>37</v>
      </c>
      <c r="B47" s="12" t="s">
        <v>27</v>
      </c>
      <c r="C47" s="12" t="s">
        <v>28</v>
      </c>
      <c r="D47" s="15" t="s">
        <v>31</v>
      </c>
      <c r="E47" s="18">
        <v>5375.73</v>
      </c>
      <c r="F47" s="18">
        <v>6157</v>
      </c>
      <c r="G47" s="18">
        <v>813</v>
      </c>
      <c r="H47" s="19">
        <f>IF(AND(ISNUMBER(G47),ISNUMBER(F47),F47&gt;0),G47/F47,"")</f>
        <v>0.1320448270261491</v>
      </c>
      <c r="I47" s="18">
        <v>309</v>
      </c>
      <c r="J47" s="18">
        <v>55.39</v>
      </c>
      <c r="K47" s="13"/>
      <c r="L47" s="13"/>
      <c r="M47" s="17">
        <v>0.0132986589728279</v>
      </c>
      <c r="N47" s="13"/>
      <c r="O47" s="13"/>
      <c r="P47" s="13"/>
      <c r="Q47" s="13"/>
      <c r="R47" s="12" t="s">
        <v>43</v>
      </c>
      <c r="S47" s="12" t="s">
        <v>501</v>
      </c>
      <c r="T47" s="12" t="s">
        <v>502</v>
      </c>
      <c r="U47" s="12" t="s">
        <v>503</v>
      </c>
      <c r="V47" s="15" t="s">
        <v>442</v>
      </c>
    </row>
    <row r="48" spans="1:22" ht="30" customHeight="1">
      <c r="A48" s="15" t="s">
        <v>47</v>
      </c>
      <c r="B48" s="12" t="s">
        <v>44</v>
      </c>
      <c r="C48" s="12" t="s">
        <v>28</v>
      </c>
      <c r="D48" s="15" t="s">
        <v>31</v>
      </c>
      <c r="E48" s="18">
        <v>39312</v>
      </c>
      <c r="F48" s="18">
        <v>35917</v>
      </c>
      <c r="G48" s="18">
        <v>2500</v>
      </c>
      <c r="H48" s="19">
        <f>IF(AND(ISNUMBER(G48),ISNUMBER(F48),F48&gt;0),G48/F48,"")</f>
        <v>0.06960492246011638</v>
      </c>
      <c r="I48" s="18">
        <v>6402</v>
      </c>
      <c r="J48" s="18">
        <v>612</v>
      </c>
      <c r="K48" s="13"/>
      <c r="L48" s="13"/>
      <c r="M48" s="17">
        <v>0.147224511599512</v>
      </c>
      <c r="N48" s="13"/>
      <c r="O48" s="13"/>
      <c r="P48" s="13"/>
      <c r="Q48" s="13"/>
      <c r="R48" s="12" t="s">
        <v>43</v>
      </c>
      <c r="S48" s="12" t="s">
        <v>504</v>
      </c>
      <c r="T48" s="12" t="s">
        <v>502</v>
      </c>
      <c r="U48" s="12" t="s">
        <v>505</v>
      </c>
      <c r="V48" s="15" t="s">
        <v>442</v>
      </c>
    </row>
    <row r="49" spans="1:22" ht="30" customHeight="1">
      <c r="A49" s="15" t="s">
        <v>52</v>
      </c>
      <c r="B49" s="12" t="s">
        <v>49</v>
      </c>
      <c r="C49" s="12" t="s">
        <v>28</v>
      </c>
      <c r="D49" s="15" t="s">
        <v>31</v>
      </c>
      <c r="E49" s="18">
        <v>50129</v>
      </c>
      <c r="F49" s="18">
        <v>85766</v>
      </c>
      <c r="G49" s="18">
        <v>2846</v>
      </c>
      <c r="H49" s="19">
        <f>IF(AND(ISNUMBER(G49),ISNUMBER(F49),F49&gt;0),G49/F49,"")</f>
        <v>0.0331833127346501</v>
      </c>
      <c r="I49" s="18">
        <v>18406</v>
      </c>
      <c r="J49" s="18">
        <v>1312</v>
      </c>
      <c r="K49" s="13"/>
      <c r="L49" s="13"/>
      <c r="M49" s="17">
        <v>0.0524516746793273</v>
      </c>
      <c r="N49" s="13"/>
      <c r="O49" s="17">
        <v>0.0321</v>
      </c>
      <c r="P49" s="13"/>
      <c r="Q49" s="13"/>
      <c r="R49" s="12" t="s">
        <v>43</v>
      </c>
      <c r="S49" s="12" t="s">
        <v>501</v>
      </c>
      <c r="T49" s="12" t="s">
        <v>502</v>
      </c>
      <c r="U49" s="12" t="s">
        <v>506</v>
      </c>
      <c r="V49" s="15" t="s">
        <v>442</v>
      </c>
    </row>
    <row r="50" spans="1:22" ht="30" customHeight="1">
      <c r="A50" s="15" t="s">
        <v>56</v>
      </c>
      <c r="B50" s="12" t="s">
        <v>55</v>
      </c>
      <c r="C50" s="12" t="s">
        <v>28</v>
      </c>
      <c r="D50" s="15" t="s">
        <v>31</v>
      </c>
      <c r="E50" s="18">
        <v>168824</v>
      </c>
      <c r="F50" s="18">
        <v>240445</v>
      </c>
      <c r="G50" s="18">
        <v>3491</v>
      </c>
      <c r="H50" s="19">
        <f>IF(AND(ISNUMBER(G50),ISNUMBER(F50),F50&gt;0),G50/F50,"")</f>
        <v>0.014518912849092309</v>
      </c>
      <c r="I50" s="18">
        <v>98752</v>
      </c>
      <c r="J50" s="18">
        <v>8412</v>
      </c>
      <c r="K50" s="13"/>
      <c r="L50" s="13"/>
      <c r="M50" s="17">
        <v>0.047558404018386</v>
      </c>
      <c r="N50" s="13"/>
      <c r="O50" s="17">
        <v>0.0202</v>
      </c>
      <c r="P50" s="13"/>
      <c r="Q50" s="13"/>
      <c r="R50" s="12" t="s">
        <v>43</v>
      </c>
      <c r="S50" s="12" t="s">
        <v>501</v>
      </c>
      <c r="T50" s="12" t="s">
        <v>502</v>
      </c>
      <c r="U50" s="12" t="s">
        <v>507</v>
      </c>
      <c r="V50" s="15" t="s">
        <v>442</v>
      </c>
    </row>
    <row r="51" spans="1:22" ht="30" customHeight="1">
      <c r="A51" s="15" t="s">
        <v>59</v>
      </c>
      <c r="B51" s="12" t="s">
        <v>58</v>
      </c>
      <c r="C51" s="12" t="s">
        <v>28</v>
      </c>
      <c r="D51" s="15" t="s">
        <v>31</v>
      </c>
      <c r="E51" s="18">
        <v>1982</v>
      </c>
      <c r="F51" s="18">
        <v>2732</v>
      </c>
      <c r="G51" s="18">
        <v>256</v>
      </c>
      <c r="H51" s="19">
        <f>IF(AND(ISNUMBER(G51),ISNUMBER(F51),F51&gt;0),G51/F51,"")</f>
        <v>0.09370424597364568</v>
      </c>
      <c r="I51" s="18">
        <v>438</v>
      </c>
      <c r="J51" s="18">
        <v>19</v>
      </c>
      <c r="K51" s="13"/>
      <c r="L51" s="13"/>
      <c r="M51" s="17">
        <v>0.00704793138244198</v>
      </c>
      <c r="N51" s="13"/>
      <c r="O51" s="13"/>
      <c r="P51" s="13"/>
      <c r="Q51" s="13"/>
      <c r="R51" s="12" t="s">
        <v>61</v>
      </c>
      <c r="S51" s="12" t="s">
        <v>501</v>
      </c>
      <c r="T51" s="12" t="s">
        <v>502</v>
      </c>
      <c r="U51" s="12" t="s">
        <v>508</v>
      </c>
      <c r="V51" s="15" t="s">
        <v>509</v>
      </c>
    </row>
    <row r="52" spans="1:22" ht="30" customHeight="1">
      <c r="A52" s="15" t="s">
        <v>65</v>
      </c>
      <c r="B52" s="12" t="s">
        <v>62</v>
      </c>
      <c r="C52" s="12" t="s">
        <v>28</v>
      </c>
      <c r="D52" s="15" t="s">
        <v>31</v>
      </c>
      <c r="E52" s="18">
        <v>8503</v>
      </c>
      <c r="F52" s="18">
        <v>28470</v>
      </c>
      <c r="G52" s="18">
        <v>-2374</v>
      </c>
      <c r="H52" s="19">
        <f>IF(AND(ISNUMBER(G52),ISNUMBER(F52),F52&gt;0),G52/F52,"")</f>
        <v>-0.08338602037232175</v>
      </c>
      <c r="I52" s="18">
        <v>5909</v>
      </c>
      <c r="J52" s="18">
        <v>652</v>
      </c>
      <c r="K52" s="13"/>
      <c r="L52" s="13"/>
      <c r="M52" s="17">
        <v>0</v>
      </c>
      <c r="N52" s="13"/>
      <c r="O52" s="13"/>
      <c r="P52" s="13"/>
      <c r="Q52" s="13"/>
      <c r="R52" s="12" t="s">
        <v>43</v>
      </c>
      <c r="S52" s="12" t="s">
        <v>510</v>
      </c>
      <c r="T52" s="12" t="s">
        <v>502</v>
      </c>
      <c r="U52" s="12" t="s">
        <v>511</v>
      </c>
      <c r="V52" s="15" t="s">
        <v>442</v>
      </c>
    </row>
    <row r="53" spans="1:22" ht="30" customHeight="1">
      <c r="A53" s="15" t="s">
        <v>70</v>
      </c>
      <c r="B53" s="12" t="s">
        <v>68</v>
      </c>
      <c r="C53" s="12" t="s">
        <v>28</v>
      </c>
      <c r="D53" s="15" t="s">
        <v>31</v>
      </c>
      <c r="E53" s="18">
        <v>15138</v>
      </c>
      <c r="F53" s="18">
        <v>16320</v>
      </c>
      <c r="G53" s="18">
        <v>909</v>
      </c>
      <c r="H53" s="19">
        <f>IF(AND(ISNUMBER(G53),ISNUMBER(F53),F53&gt;0),G53/F53,"")</f>
        <v>0.05569852941176471</v>
      </c>
      <c r="I53" s="18">
        <v>789</v>
      </c>
      <c r="J53" s="18">
        <v>144</v>
      </c>
      <c r="K53" s="13"/>
      <c r="L53" s="13"/>
      <c r="M53" s="17">
        <v>0.00548685427401242</v>
      </c>
      <c r="N53" s="13"/>
      <c r="O53" s="13"/>
      <c r="P53" s="13"/>
      <c r="Q53" s="13"/>
      <c r="R53" s="12" t="s">
        <v>43</v>
      </c>
      <c r="S53" s="12" t="s">
        <v>501</v>
      </c>
      <c r="T53" s="12" t="s">
        <v>502</v>
      </c>
      <c r="U53" s="12" t="s">
        <v>512</v>
      </c>
      <c r="V53" s="15" t="s">
        <v>442</v>
      </c>
    </row>
    <row r="54" spans="1:22" ht="30" customHeight="1">
      <c r="A54" s="15" t="s">
        <v>73</v>
      </c>
      <c r="B54" s="12" t="s">
        <v>72</v>
      </c>
      <c r="C54" s="12" t="s">
        <v>28</v>
      </c>
      <c r="D54" s="15" t="s">
        <v>31</v>
      </c>
      <c r="E54" s="18">
        <v>102479</v>
      </c>
      <c r="F54" s="18">
        <v>136718</v>
      </c>
      <c r="G54" s="18">
        <v>2372</v>
      </c>
      <c r="H54" s="19">
        <f>IF(AND(ISNUMBER(G54),ISNUMBER(F54),F54&gt;0),G54/F54,"")</f>
        <v>0.01734958088912945</v>
      </c>
      <c r="I54" s="18">
        <v>36934</v>
      </c>
      <c r="J54" s="18">
        <v>2793</v>
      </c>
      <c r="K54" s="13"/>
      <c r="L54" s="13"/>
      <c r="M54" s="17">
        <v>0.00480127635905893</v>
      </c>
      <c r="N54" s="13"/>
      <c r="O54" s="13"/>
      <c r="P54" s="13"/>
      <c r="Q54" s="13"/>
      <c r="R54" s="12" t="s">
        <v>43</v>
      </c>
      <c r="S54" s="12" t="s">
        <v>501</v>
      </c>
      <c r="T54" s="12" t="s">
        <v>502</v>
      </c>
      <c r="U54" s="12" t="s">
        <v>513</v>
      </c>
      <c r="V54" s="15" t="s">
        <v>442</v>
      </c>
    </row>
    <row r="55" spans="1:22" ht="30" customHeight="1">
      <c r="A55" s="15" t="s">
        <v>76</v>
      </c>
      <c r="B55" s="12" t="s">
        <v>75</v>
      </c>
      <c r="C55" s="12" t="s">
        <v>28</v>
      </c>
      <c r="D55" s="15" t="s">
        <v>31</v>
      </c>
      <c r="E55" s="18">
        <v>218543</v>
      </c>
      <c r="F55" s="18">
        <v>275459</v>
      </c>
      <c r="G55" s="18">
        <v>3174</v>
      </c>
      <c r="H55" s="19">
        <f>IF(AND(ISNUMBER(G55),ISNUMBER(F55),F55&gt;0),G55/F55,"")</f>
        <v>0.011522585938379215</v>
      </c>
      <c r="I55" s="18">
        <v>94801</v>
      </c>
      <c r="J55" s="18">
        <v>7341</v>
      </c>
      <c r="K55" s="13"/>
      <c r="L55" s="13"/>
      <c r="M55" s="17">
        <v>0.0332507103865143</v>
      </c>
      <c r="N55" s="13"/>
      <c r="O55" s="13"/>
      <c r="P55" s="13"/>
      <c r="Q55" s="13"/>
      <c r="R55" s="12" t="s">
        <v>43</v>
      </c>
      <c r="S55" s="12" t="s">
        <v>504</v>
      </c>
      <c r="T55" s="12" t="s">
        <v>502</v>
      </c>
      <c r="U55" s="12" t="s">
        <v>514</v>
      </c>
      <c r="V55" s="15" t="s">
        <v>442</v>
      </c>
    </row>
    <row r="56" spans="1:22" ht="30" customHeight="1">
      <c r="A56" s="15" t="s">
        <v>316</v>
      </c>
      <c r="B56" s="12" t="s">
        <v>312</v>
      </c>
      <c r="C56" s="12" t="s">
        <v>313</v>
      </c>
      <c r="D56" s="15" t="s">
        <v>31</v>
      </c>
      <c r="E56" s="13"/>
      <c r="F56" s="13"/>
      <c r="G56" s="13"/>
      <c r="H56" s="19">
        <f>IF(AND(ISNUMBER(G56),ISNUMBER(F56),F56&gt;0),G56/F56,"")</f>
        <v/>
      </c>
      <c r="I56" s="13"/>
      <c r="J56" s="13"/>
      <c r="K56" s="17">
        <v>0.06809999999999999</v>
      </c>
      <c r="L56" s="13"/>
      <c r="M56" s="13"/>
      <c r="N56" s="13"/>
      <c r="O56" s="13"/>
      <c r="P56" s="13"/>
      <c r="Q56" s="13"/>
      <c r="R56" s="12" t="s">
        <v>318</v>
      </c>
      <c r="S56" s="12" t="s">
        <v>515</v>
      </c>
      <c r="T56" s="12" t="s">
        <v>516</v>
      </c>
      <c r="U56" s="12" t="s">
        <v>517</v>
      </c>
      <c r="V56" s="15" t="s">
        <v>518</v>
      </c>
    </row>
    <row r="57" spans="1:22" ht="30" customHeight="1">
      <c r="A57" s="15" t="s">
        <v>320</v>
      </c>
      <c r="B57" s="12" t="s">
        <v>319</v>
      </c>
      <c r="C57" s="12" t="s">
        <v>313</v>
      </c>
      <c r="D57" s="15" t="s">
        <v>31</v>
      </c>
      <c r="E57" s="13"/>
      <c r="F57" s="13"/>
      <c r="G57" s="13"/>
      <c r="H57" s="19">
        <f>IF(AND(ISNUMBER(G57),ISNUMBER(F57),F57&gt;0),G57/F57,"")</f>
        <v/>
      </c>
      <c r="I57" s="13"/>
      <c r="J57" s="13"/>
      <c r="K57" s="17">
        <v>0.1649</v>
      </c>
      <c r="L57" s="13"/>
      <c r="M57" s="13"/>
      <c r="N57" s="13"/>
      <c r="O57" s="13"/>
      <c r="P57" s="13"/>
      <c r="Q57" s="13"/>
      <c r="R57" s="12" t="s">
        <v>318</v>
      </c>
      <c r="S57" s="12" t="s">
        <v>515</v>
      </c>
      <c r="T57" s="12" t="s">
        <v>516</v>
      </c>
      <c r="U57" s="12" t="s">
        <v>517</v>
      </c>
      <c r="V57" s="15" t="s">
        <v>518</v>
      </c>
    </row>
    <row r="58" spans="1:22" ht="30" customHeight="1">
      <c r="A58" s="15" t="s">
        <v>329</v>
      </c>
      <c r="B58" s="12" t="s">
        <v>328</v>
      </c>
      <c r="C58" s="12" t="s">
        <v>313</v>
      </c>
      <c r="D58" s="15" t="s">
        <v>31</v>
      </c>
      <c r="E58" s="13"/>
      <c r="F58" s="13"/>
      <c r="G58" s="13"/>
      <c r="H58" s="19">
        <f>IF(AND(ISNUMBER(G58),ISNUMBER(F58),F58&gt;0),G58/F58,"")</f>
        <v/>
      </c>
      <c r="I58" s="13"/>
      <c r="J58" s="13"/>
      <c r="K58" s="17">
        <v>1.5222</v>
      </c>
      <c r="L58" s="13"/>
      <c r="M58" s="13"/>
      <c r="N58" s="13"/>
      <c r="O58" s="13"/>
      <c r="P58" s="13"/>
      <c r="Q58" s="13"/>
      <c r="R58" s="12" t="s">
        <v>318</v>
      </c>
      <c r="S58" s="12" t="s">
        <v>519</v>
      </c>
      <c r="T58" s="12" t="s">
        <v>516</v>
      </c>
      <c r="U58" s="12" t="s">
        <v>517</v>
      </c>
      <c r="V58" s="15" t="s">
        <v>520</v>
      </c>
    </row>
    <row r="59" spans="1:22" ht="30" customHeight="1">
      <c r="A59" s="15" t="s">
        <v>332</v>
      </c>
      <c r="B59" s="12" t="s">
        <v>331</v>
      </c>
      <c r="C59" s="12" t="s">
        <v>313</v>
      </c>
      <c r="D59" s="15" t="s">
        <v>31</v>
      </c>
      <c r="E59" s="13"/>
      <c r="F59" s="13"/>
      <c r="G59" s="13"/>
      <c r="H59" s="19">
        <f>IF(AND(ISNUMBER(G59),ISNUMBER(F59),F59&gt;0),G59/F59,"")</f>
        <v/>
      </c>
      <c r="I59" s="13"/>
      <c r="J59" s="13"/>
      <c r="K59" s="17">
        <v>0.1116</v>
      </c>
      <c r="L59" s="13"/>
      <c r="M59" s="13"/>
      <c r="N59" s="13"/>
      <c r="O59" s="13"/>
      <c r="P59" s="13"/>
      <c r="Q59" s="13"/>
      <c r="R59" s="12" t="s">
        <v>318</v>
      </c>
      <c r="S59" s="12" t="s">
        <v>515</v>
      </c>
      <c r="T59" s="12" t="s">
        <v>516</v>
      </c>
      <c r="U59" s="12" t="s">
        <v>517</v>
      </c>
      <c r="V59" s="15" t="s">
        <v>518</v>
      </c>
    </row>
    <row r="60" spans="1:22" ht="30" customHeight="1">
      <c r="A60" s="15" t="s">
        <v>338</v>
      </c>
      <c r="B60" s="12" t="s">
        <v>337</v>
      </c>
      <c r="C60" s="12" t="s">
        <v>313</v>
      </c>
      <c r="D60" s="15" t="s">
        <v>31</v>
      </c>
      <c r="E60" s="13"/>
      <c r="F60" s="13"/>
      <c r="G60" s="13"/>
      <c r="H60" s="19">
        <f>IF(AND(ISNUMBER(G60),ISNUMBER(F60),F60&gt;0),G60/F60,"")</f>
        <v/>
      </c>
      <c r="I60" s="13"/>
      <c r="J60" s="13"/>
      <c r="K60" s="17">
        <v>0.0621</v>
      </c>
      <c r="L60" s="13"/>
      <c r="M60" s="13"/>
      <c r="N60" s="13"/>
      <c r="O60" s="13"/>
      <c r="P60" s="13"/>
      <c r="Q60" s="13"/>
      <c r="R60" s="12" t="s">
        <v>318</v>
      </c>
      <c r="S60" s="12" t="s">
        <v>515</v>
      </c>
      <c r="T60" s="12" t="s">
        <v>516</v>
      </c>
      <c r="U60" s="12" t="s">
        <v>517</v>
      </c>
      <c r="V60" s="15" t="s">
        <v>518</v>
      </c>
    </row>
    <row r="61" spans="1:22" ht="30" customHeight="1">
      <c r="A61" s="15" t="s">
        <v>341</v>
      </c>
      <c r="B61" s="12" t="s">
        <v>340</v>
      </c>
      <c r="C61" s="12" t="s">
        <v>313</v>
      </c>
      <c r="D61" s="15" t="s">
        <v>31</v>
      </c>
      <c r="E61" s="13"/>
      <c r="F61" s="13"/>
      <c r="G61" s="13"/>
      <c r="H61" s="19">
        <f>IF(AND(ISNUMBER(G61),ISNUMBER(F61),F61&gt;0),G61/F61,"")</f>
        <v/>
      </c>
      <c r="I61" s="13"/>
      <c r="J61" s="13"/>
      <c r="K61" s="17">
        <v>0.4595</v>
      </c>
      <c r="L61" s="13"/>
      <c r="M61" s="13"/>
      <c r="N61" s="13"/>
      <c r="O61" s="13"/>
      <c r="P61" s="13"/>
      <c r="Q61" s="13"/>
      <c r="R61" s="12" t="s">
        <v>318</v>
      </c>
      <c r="S61" s="12" t="s">
        <v>515</v>
      </c>
      <c r="T61" s="12" t="s">
        <v>516</v>
      </c>
      <c r="U61" s="12" t="s">
        <v>517</v>
      </c>
      <c r="V61" s="15" t="s">
        <v>518</v>
      </c>
    </row>
    <row r="62" spans="1:22" ht="30" customHeight="1">
      <c r="A62" s="15" t="s">
        <v>344</v>
      </c>
      <c r="B62" s="12" t="s">
        <v>343</v>
      </c>
      <c r="C62" s="12" t="s">
        <v>313</v>
      </c>
      <c r="D62" s="15" t="s">
        <v>31</v>
      </c>
      <c r="E62" s="13"/>
      <c r="F62" s="13"/>
      <c r="G62" s="13"/>
      <c r="H62" s="19">
        <f>IF(AND(ISNUMBER(G62),ISNUMBER(F62),F62&gt;0),G62/F62,"")</f>
        <v/>
      </c>
      <c r="I62" s="13"/>
      <c r="J62" s="13"/>
      <c r="K62" s="17">
        <v>0.2611</v>
      </c>
      <c r="L62" s="13"/>
      <c r="M62" s="13"/>
      <c r="N62" s="13"/>
      <c r="O62" s="13"/>
      <c r="P62" s="13"/>
      <c r="Q62" s="13"/>
      <c r="R62" s="12" t="s">
        <v>318</v>
      </c>
      <c r="S62" s="12" t="s">
        <v>515</v>
      </c>
      <c r="T62" s="12" t="s">
        <v>516</v>
      </c>
      <c r="U62" s="12" t="s">
        <v>517</v>
      </c>
      <c r="V62" s="15" t="s">
        <v>518</v>
      </c>
    </row>
  </sheetData>
  <mergeCells count="5">
    <mergeCell ref="A1:I2"/>
    <mergeCell ref="A3:K3"/>
    <mergeCell ref="A4:D4"/>
    <mergeCell ref="E4:Q4"/>
    <mergeCell ref="R4:V4"/>
  </mergeCells>
  <conditionalFormatting sqref="K7:K62">
    <cfRule type="cellIs" dxfId="1" priority="1" operator="greaterThan">
      <formula>1</formula>
    </cfRule>
  </conditionalFormatting>
  <pageMargins left="0.3" right="0.3" top="0.4" bottom="0.4" header="0.3" footer="0.3"/>
  <pageSetup paperSize="9" fitToHeight="0" orientation="landscape"/>
  <tableParts count="1">
    <tablePart r:id="rId1"/>
  </tableParts>
</worksheet>
</file>

<file path=xl/worksheets/sheet4.xml><?xml version="1.0" encoding="utf-8"?>
<worksheet xmlns="http://schemas.openxmlformats.org/spreadsheetml/2006/main" xmlns:r="http://schemas.openxmlformats.org/officeDocument/2006/relationships">
  <sheetPr>
    <tabColor rgb="FF167C80"/>
    <pageSetUpPr fitToPage="1"/>
  </sheetPr>
  <dimension ref="A1:K1171"/>
  <sheetViews>
    <sheetView showGridLines="0" workbookViewId="0">
      <pane xSplit="2" ySplit="6" topLeftCell="C7" activePane="bottomRight" state="frozen"/>
      <selection pane="topRight" activeCell="C1" sqref="C1"/>
      <selection pane="bottomLeft" activeCell="A7" sqref="A7"/>
      <selection pane="bottomRight"/>
    </sheetView>
  </sheetViews>
  <sheetFormatPr defaultRowHeight="15"/>
  <cols>
    <col min="1" max="1" width="12.7109375" customWidth="1"/>
    <col min="2" max="2" width="40.7109375" customWidth="1"/>
    <col min="3" max="3" width="27.7109375" customWidth="1"/>
    <col min="4" max="4" width="35.7109375" customWidth="1"/>
    <col min="5" max="5" width="28.7109375" customWidth="1"/>
    <col min="6" max="6" width="18.7109375" customWidth="1"/>
    <col min="7" max="7" width="60.7109375" customWidth="1"/>
    <col min="8" max="8" width="55.7109375" customWidth="1"/>
    <col min="9" max="9" width="50.7109375" customWidth="1"/>
    <col min="10" max="11" width="110.7109375" customWidth="1"/>
  </cols>
  <sheetData>
    <row r="1" spans="1:11" ht="22" customHeight="1">
      <c r="A1" s="1" t="s">
        <v>531</v>
      </c>
      <c r="B1" s="1"/>
      <c r="C1" s="1"/>
      <c r="D1" s="1"/>
      <c r="E1" s="1"/>
      <c r="F1" s="1"/>
      <c r="G1" s="1"/>
      <c r="H1" s="1"/>
      <c r="I1" s="1"/>
    </row>
    <row r="2" spans="1:11" ht="18" customHeight="1">
      <c r="A2" s="1"/>
      <c r="B2" s="1"/>
      <c r="C2" s="1"/>
      <c r="D2" s="1"/>
      <c r="E2" s="1"/>
      <c r="F2" s="1"/>
      <c r="G2" s="1"/>
      <c r="H2" s="1"/>
      <c r="I2" s="1"/>
    </row>
    <row r="3" spans="1:11" ht="34" customHeight="1">
      <c r="A3" s="2" t="s">
        <v>532</v>
      </c>
      <c r="B3" s="2"/>
      <c r="C3" s="2"/>
      <c r="D3" s="2"/>
      <c r="E3" s="2"/>
      <c r="F3" s="2"/>
      <c r="G3" s="2"/>
      <c r="H3" s="2"/>
      <c r="I3" s="2"/>
      <c r="J3" s="2"/>
      <c r="K3" s="2"/>
    </row>
    <row r="6" spans="1:11" ht="40" customHeight="1">
      <c r="A6" s="11" t="s">
        <v>428</v>
      </c>
      <c r="B6" s="11" t="s">
        <v>384</v>
      </c>
      <c r="C6" s="11" t="s">
        <v>385</v>
      </c>
      <c r="D6" s="11" t="s">
        <v>1366</v>
      </c>
      <c r="E6" s="11" t="s">
        <v>1367</v>
      </c>
      <c r="F6" s="11" t="s">
        <v>1368</v>
      </c>
      <c r="G6" s="11" t="s">
        <v>423</v>
      </c>
      <c r="H6" s="11" t="s">
        <v>425</v>
      </c>
      <c r="I6" s="11" t="s">
        <v>426</v>
      </c>
      <c r="J6" s="11" t="s">
        <v>1369</v>
      </c>
      <c r="K6" s="11" t="s">
        <v>1370</v>
      </c>
    </row>
    <row r="7" spans="1:11" ht="30" customHeight="1">
      <c r="A7" s="12" t="s">
        <v>76</v>
      </c>
      <c r="B7" s="12" t="s">
        <v>75</v>
      </c>
      <c r="C7" s="12" t="s">
        <v>28</v>
      </c>
      <c r="D7" s="12" t="s">
        <v>391</v>
      </c>
      <c r="E7" s="18">
        <v>3</v>
      </c>
      <c r="F7" s="13"/>
      <c r="G7" s="12" t="s">
        <v>35</v>
      </c>
      <c r="H7" s="12" t="s">
        <v>533</v>
      </c>
      <c r="I7" s="13"/>
      <c r="J7" s="12" t="s">
        <v>534</v>
      </c>
      <c r="K7" s="12" t="s">
        <v>535</v>
      </c>
    </row>
    <row r="8" spans="1:11" ht="30" customHeight="1">
      <c r="A8" s="12" t="s">
        <v>76</v>
      </c>
      <c r="B8" s="12" t="s">
        <v>75</v>
      </c>
      <c r="C8" s="12" t="s">
        <v>28</v>
      </c>
      <c r="D8" s="12" t="s">
        <v>392</v>
      </c>
      <c r="E8" s="18">
        <v>2</v>
      </c>
      <c r="F8" s="13"/>
      <c r="G8" s="12" t="s">
        <v>35</v>
      </c>
      <c r="H8" s="12" t="s">
        <v>536</v>
      </c>
      <c r="I8" s="13"/>
      <c r="J8" s="12" t="s">
        <v>537</v>
      </c>
      <c r="K8" s="12" t="s">
        <v>535</v>
      </c>
    </row>
    <row r="9" spans="1:11" ht="30" customHeight="1">
      <c r="A9" s="12" t="s">
        <v>76</v>
      </c>
      <c r="B9" s="12" t="s">
        <v>75</v>
      </c>
      <c r="C9" s="12" t="s">
        <v>28</v>
      </c>
      <c r="D9" s="12" t="s">
        <v>393</v>
      </c>
      <c r="E9" s="18">
        <v>1</v>
      </c>
      <c r="F9" s="13"/>
      <c r="G9" s="12" t="s">
        <v>35</v>
      </c>
      <c r="H9" s="12" t="s">
        <v>538</v>
      </c>
      <c r="I9" s="13"/>
      <c r="J9" s="12" t="s">
        <v>539</v>
      </c>
      <c r="K9" s="12" t="s">
        <v>535</v>
      </c>
    </row>
    <row r="10" spans="1:11" ht="30" customHeight="1">
      <c r="A10" s="12" t="s">
        <v>76</v>
      </c>
      <c r="B10" s="12" t="s">
        <v>75</v>
      </c>
      <c r="C10" s="12" t="s">
        <v>28</v>
      </c>
      <c r="D10" s="12" t="s">
        <v>394</v>
      </c>
      <c r="E10" s="18">
        <v>2</v>
      </c>
      <c r="F10" s="13"/>
      <c r="G10" s="12" t="s">
        <v>35</v>
      </c>
      <c r="H10" s="12" t="s">
        <v>540</v>
      </c>
      <c r="I10" s="13"/>
      <c r="J10" s="12" t="s">
        <v>541</v>
      </c>
      <c r="K10" s="12" t="s">
        <v>535</v>
      </c>
    </row>
    <row r="11" spans="1:11" ht="30" customHeight="1">
      <c r="A11" s="12" t="s">
        <v>76</v>
      </c>
      <c r="B11" s="12" t="s">
        <v>75</v>
      </c>
      <c r="C11" s="12" t="s">
        <v>28</v>
      </c>
      <c r="D11" s="12" t="s">
        <v>395</v>
      </c>
      <c r="E11" s="18">
        <v>2</v>
      </c>
      <c r="F11" s="13"/>
      <c r="G11" s="12" t="s">
        <v>35</v>
      </c>
      <c r="H11" s="12" t="s">
        <v>542</v>
      </c>
      <c r="I11" s="13"/>
      <c r="J11" s="12" t="s">
        <v>543</v>
      </c>
      <c r="K11" s="12" t="s">
        <v>535</v>
      </c>
    </row>
    <row r="12" spans="1:11" ht="30" customHeight="1">
      <c r="A12" s="12" t="s">
        <v>76</v>
      </c>
      <c r="B12" s="12" t="s">
        <v>75</v>
      </c>
      <c r="C12" s="12" t="s">
        <v>28</v>
      </c>
      <c r="D12" s="12" t="s">
        <v>396</v>
      </c>
      <c r="E12" s="18">
        <v>1</v>
      </c>
      <c r="F12" s="13"/>
      <c r="G12" s="12" t="s">
        <v>35</v>
      </c>
      <c r="H12" s="12" t="s">
        <v>544</v>
      </c>
      <c r="I12" s="13"/>
      <c r="J12" s="12" t="s">
        <v>545</v>
      </c>
      <c r="K12" s="12" t="s">
        <v>535</v>
      </c>
    </row>
    <row r="13" spans="1:11" ht="30" customHeight="1">
      <c r="A13" s="12" t="s">
        <v>76</v>
      </c>
      <c r="B13" s="12" t="s">
        <v>75</v>
      </c>
      <c r="C13" s="12" t="s">
        <v>28</v>
      </c>
      <c r="D13" s="12" t="s">
        <v>397</v>
      </c>
      <c r="E13" s="18">
        <v>0</v>
      </c>
      <c r="F13" s="13"/>
      <c r="G13" s="12" t="s">
        <v>35</v>
      </c>
      <c r="H13" s="12" t="s">
        <v>546</v>
      </c>
      <c r="I13" s="13"/>
      <c r="J13" s="12" t="s">
        <v>547</v>
      </c>
      <c r="K13" s="12" t="s">
        <v>535</v>
      </c>
    </row>
    <row r="14" spans="1:11" ht="30" customHeight="1">
      <c r="A14" s="12" t="s">
        <v>76</v>
      </c>
      <c r="B14" s="12" t="s">
        <v>75</v>
      </c>
      <c r="C14" s="12" t="s">
        <v>28</v>
      </c>
      <c r="D14" s="12" t="s">
        <v>398</v>
      </c>
      <c r="E14" s="18">
        <v>1</v>
      </c>
      <c r="F14" s="13"/>
      <c r="G14" s="12" t="s">
        <v>35</v>
      </c>
      <c r="H14" s="12" t="s">
        <v>548</v>
      </c>
      <c r="I14" s="13"/>
      <c r="J14" s="12" t="s">
        <v>549</v>
      </c>
      <c r="K14" s="12" t="s">
        <v>535</v>
      </c>
    </row>
    <row r="15" spans="1:11" ht="30" customHeight="1">
      <c r="A15" s="12" t="s">
        <v>76</v>
      </c>
      <c r="B15" s="12" t="s">
        <v>75</v>
      </c>
      <c r="C15" s="12" t="s">
        <v>28</v>
      </c>
      <c r="D15" s="12" t="s">
        <v>399</v>
      </c>
      <c r="E15" s="18">
        <v>3</v>
      </c>
      <c r="F15" s="13"/>
      <c r="G15" s="12" t="s">
        <v>35</v>
      </c>
      <c r="H15" s="12" t="s">
        <v>550</v>
      </c>
      <c r="I15" s="13"/>
      <c r="J15" s="12" t="s">
        <v>551</v>
      </c>
      <c r="K15" s="12" t="s">
        <v>535</v>
      </c>
    </row>
    <row r="16" spans="1:11" ht="30" customHeight="1">
      <c r="A16" s="12" t="s">
        <v>76</v>
      </c>
      <c r="B16" s="12" t="s">
        <v>75</v>
      </c>
      <c r="C16" s="12" t="s">
        <v>28</v>
      </c>
      <c r="D16" s="12" t="s">
        <v>400</v>
      </c>
      <c r="E16" s="18">
        <v>3</v>
      </c>
      <c r="F16" s="13"/>
      <c r="G16" s="12" t="s">
        <v>35</v>
      </c>
      <c r="H16" s="12" t="s">
        <v>552</v>
      </c>
      <c r="I16" s="13"/>
      <c r="J16" s="12" t="s">
        <v>553</v>
      </c>
      <c r="K16" s="12" t="s">
        <v>535</v>
      </c>
    </row>
    <row r="17" spans="1:11" ht="30" customHeight="1">
      <c r="A17" s="12" t="s">
        <v>56</v>
      </c>
      <c r="B17" s="12" t="s">
        <v>55</v>
      </c>
      <c r="C17" s="12" t="s">
        <v>28</v>
      </c>
      <c r="D17" s="12" t="s">
        <v>391</v>
      </c>
      <c r="E17" s="18">
        <v>2</v>
      </c>
      <c r="F17" s="13"/>
      <c r="G17" s="12" t="s">
        <v>46</v>
      </c>
      <c r="H17" s="12" t="s">
        <v>554</v>
      </c>
      <c r="I17" s="13"/>
      <c r="J17" s="12" t="s">
        <v>555</v>
      </c>
      <c r="K17" s="12" t="s">
        <v>535</v>
      </c>
    </row>
    <row r="18" spans="1:11" ht="30" customHeight="1">
      <c r="A18" s="12" t="s">
        <v>56</v>
      </c>
      <c r="B18" s="12" t="s">
        <v>55</v>
      </c>
      <c r="C18" s="12" t="s">
        <v>28</v>
      </c>
      <c r="D18" s="12" t="s">
        <v>392</v>
      </c>
      <c r="E18" s="18">
        <v>2</v>
      </c>
      <c r="F18" s="13"/>
      <c r="G18" s="12" t="s">
        <v>46</v>
      </c>
      <c r="H18" s="12" t="s">
        <v>556</v>
      </c>
      <c r="I18" s="13"/>
      <c r="J18" s="12" t="s">
        <v>557</v>
      </c>
      <c r="K18" s="12" t="s">
        <v>535</v>
      </c>
    </row>
    <row r="19" spans="1:11" ht="30" customHeight="1">
      <c r="A19" s="12" t="s">
        <v>56</v>
      </c>
      <c r="B19" s="12" t="s">
        <v>55</v>
      </c>
      <c r="C19" s="12" t="s">
        <v>28</v>
      </c>
      <c r="D19" s="12" t="s">
        <v>393</v>
      </c>
      <c r="E19" s="18">
        <v>3</v>
      </c>
      <c r="F19" s="13"/>
      <c r="G19" s="12" t="s">
        <v>46</v>
      </c>
      <c r="H19" s="12" t="s">
        <v>558</v>
      </c>
      <c r="I19" s="13"/>
      <c r="J19" s="12" t="s">
        <v>559</v>
      </c>
      <c r="K19" s="12" t="s">
        <v>535</v>
      </c>
    </row>
    <row r="20" spans="1:11" ht="30" customHeight="1">
      <c r="A20" s="12" t="s">
        <v>56</v>
      </c>
      <c r="B20" s="12" t="s">
        <v>55</v>
      </c>
      <c r="C20" s="12" t="s">
        <v>28</v>
      </c>
      <c r="D20" s="12" t="s">
        <v>394</v>
      </c>
      <c r="E20" s="18">
        <v>2</v>
      </c>
      <c r="F20" s="13"/>
      <c r="G20" s="12" t="s">
        <v>46</v>
      </c>
      <c r="H20" s="12" t="s">
        <v>560</v>
      </c>
      <c r="I20" s="13"/>
      <c r="J20" s="12" t="s">
        <v>561</v>
      </c>
      <c r="K20" s="12" t="s">
        <v>535</v>
      </c>
    </row>
    <row r="21" spans="1:11" ht="30" customHeight="1">
      <c r="A21" s="12" t="s">
        <v>56</v>
      </c>
      <c r="B21" s="12" t="s">
        <v>55</v>
      </c>
      <c r="C21" s="12" t="s">
        <v>28</v>
      </c>
      <c r="D21" s="12" t="s">
        <v>395</v>
      </c>
      <c r="E21" s="18">
        <v>1</v>
      </c>
      <c r="F21" s="13"/>
      <c r="G21" s="12" t="s">
        <v>46</v>
      </c>
      <c r="H21" s="12" t="s">
        <v>562</v>
      </c>
      <c r="I21" s="13"/>
      <c r="J21" s="12" t="s">
        <v>563</v>
      </c>
      <c r="K21" s="12" t="s">
        <v>535</v>
      </c>
    </row>
    <row r="22" spans="1:11" ht="30" customHeight="1">
      <c r="A22" s="12" t="s">
        <v>56</v>
      </c>
      <c r="B22" s="12" t="s">
        <v>55</v>
      </c>
      <c r="C22" s="12" t="s">
        <v>28</v>
      </c>
      <c r="D22" s="12" t="s">
        <v>396</v>
      </c>
      <c r="E22" s="18">
        <v>1</v>
      </c>
      <c r="F22" s="13"/>
      <c r="G22" s="12" t="s">
        <v>46</v>
      </c>
      <c r="H22" s="12" t="s">
        <v>564</v>
      </c>
      <c r="I22" s="13"/>
      <c r="J22" s="12" t="s">
        <v>565</v>
      </c>
      <c r="K22" s="12" t="s">
        <v>535</v>
      </c>
    </row>
    <row r="23" spans="1:11" ht="30" customHeight="1">
      <c r="A23" s="12" t="s">
        <v>56</v>
      </c>
      <c r="B23" s="12" t="s">
        <v>55</v>
      </c>
      <c r="C23" s="12" t="s">
        <v>28</v>
      </c>
      <c r="D23" s="12" t="s">
        <v>397</v>
      </c>
      <c r="E23" s="18">
        <v>0</v>
      </c>
      <c r="F23" s="13"/>
      <c r="G23" s="12" t="s">
        <v>46</v>
      </c>
      <c r="H23" s="12" t="s">
        <v>566</v>
      </c>
      <c r="I23" s="13"/>
      <c r="J23" s="12" t="s">
        <v>567</v>
      </c>
      <c r="K23" s="12" t="s">
        <v>535</v>
      </c>
    </row>
    <row r="24" spans="1:11" ht="30" customHeight="1">
      <c r="A24" s="12" t="s">
        <v>56</v>
      </c>
      <c r="B24" s="12" t="s">
        <v>55</v>
      </c>
      <c r="C24" s="12" t="s">
        <v>28</v>
      </c>
      <c r="D24" s="12" t="s">
        <v>398</v>
      </c>
      <c r="E24" s="18">
        <v>1</v>
      </c>
      <c r="F24" s="13"/>
      <c r="G24" s="12" t="s">
        <v>46</v>
      </c>
      <c r="H24" s="12" t="s">
        <v>568</v>
      </c>
      <c r="I24" s="13"/>
      <c r="J24" s="12" t="s">
        <v>569</v>
      </c>
      <c r="K24" s="12" t="s">
        <v>535</v>
      </c>
    </row>
    <row r="25" spans="1:11" ht="30" customHeight="1">
      <c r="A25" s="12" t="s">
        <v>56</v>
      </c>
      <c r="B25" s="12" t="s">
        <v>55</v>
      </c>
      <c r="C25" s="12" t="s">
        <v>28</v>
      </c>
      <c r="D25" s="12" t="s">
        <v>399</v>
      </c>
      <c r="E25" s="18">
        <v>3</v>
      </c>
      <c r="F25" s="13"/>
      <c r="G25" s="12" t="s">
        <v>46</v>
      </c>
      <c r="H25" s="12" t="s">
        <v>570</v>
      </c>
      <c r="I25" s="13"/>
      <c r="J25" s="12" t="s">
        <v>571</v>
      </c>
      <c r="K25" s="12" t="s">
        <v>535</v>
      </c>
    </row>
    <row r="26" spans="1:11" ht="30" customHeight="1">
      <c r="A26" s="12" t="s">
        <v>56</v>
      </c>
      <c r="B26" s="12" t="s">
        <v>55</v>
      </c>
      <c r="C26" s="12" t="s">
        <v>28</v>
      </c>
      <c r="D26" s="12" t="s">
        <v>400</v>
      </c>
      <c r="E26" s="18">
        <v>1</v>
      </c>
      <c r="F26" s="13"/>
      <c r="G26" s="12" t="s">
        <v>46</v>
      </c>
      <c r="H26" s="12" t="s">
        <v>572</v>
      </c>
      <c r="I26" s="13"/>
      <c r="J26" s="12" t="s">
        <v>573</v>
      </c>
      <c r="K26" s="12" t="s">
        <v>535</v>
      </c>
    </row>
    <row r="27" spans="1:11" ht="30" customHeight="1">
      <c r="A27" s="12" t="s">
        <v>73</v>
      </c>
      <c r="B27" s="12" t="s">
        <v>72</v>
      </c>
      <c r="C27" s="12" t="s">
        <v>28</v>
      </c>
      <c r="D27" s="12" t="s">
        <v>391</v>
      </c>
      <c r="E27" s="18">
        <v>2</v>
      </c>
      <c r="F27" s="13"/>
      <c r="G27" s="12" t="s">
        <v>46</v>
      </c>
      <c r="H27" s="12" t="s">
        <v>574</v>
      </c>
      <c r="I27" s="13"/>
      <c r="J27" s="12" t="s">
        <v>575</v>
      </c>
      <c r="K27" s="12" t="s">
        <v>535</v>
      </c>
    </row>
    <row r="28" spans="1:11" ht="30" customHeight="1">
      <c r="A28" s="12" t="s">
        <v>73</v>
      </c>
      <c r="B28" s="12" t="s">
        <v>72</v>
      </c>
      <c r="C28" s="12" t="s">
        <v>28</v>
      </c>
      <c r="D28" s="12" t="s">
        <v>392</v>
      </c>
      <c r="E28" s="18">
        <v>2</v>
      </c>
      <c r="F28" s="13"/>
      <c r="G28" s="12" t="s">
        <v>46</v>
      </c>
      <c r="H28" s="12" t="s">
        <v>576</v>
      </c>
      <c r="I28" s="13"/>
      <c r="J28" s="12" t="s">
        <v>577</v>
      </c>
      <c r="K28" s="12" t="s">
        <v>535</v>
      </c>
    </row>
    <row r="29" spans="1:11" ht="30" customHeight="1">
      <c r="A29" s="12" t="s">
        <v>73</v>
      </c>
      <c r="B29" s="12" t="s">
        <v>72</v>
      </c>
      <c r="C29" s="12" t="s">
        <v>28</v>
      </c>
      <c r="D29" s="12" t="s">
        <v>393</v>
      </c>
      <c r="E29" s="18">
        <v>2</v>
      </c>
      <c r="F29" s="13"/>
      <c r="G29" s="12" t="s">
        <v>46</v>
      </c>
      <c r="H29" s="12" t="s">
        <v>578</v>
      </c>
      <c r="I29" s="13"/>
      <c r="J29" s="12" t="s">
        <v>579</v>
      </c>
      <c r="K29" s="12" t="s">
        <v>535</v>
      </c>
    </row>
    <row r="30" spans="1:11" ht="30" customHeight="1">
      <c r="A30" s="12" t="s">
        <v>73</v>
      </c>
      <c r="B30" s="12" t="s">
        <v>72</v>
      </c>
      <c r="C30" s="12" t="s">
        <v>28</v>
      </c>
      <c r="D30" s="12" t="s">
        <v>394</v>
      </c>
      <c r="E30" s="18">
        <v>2</v>
      </c>
      <c r="F30" s="13"/>
      <c r="G30" s="12" t="s">
        <v>46</v>
      </c>
      <c r="H30" s="12" t="s">
        <v>580</v>
      </c>
      <c r="I30" s="13"/>
      <c r="J30" s="12" t="s">
        <v>581</v>
      </c>
      <c r="K30" s="12" t="s">
        <v>535</v>
      </c>
    </row>
    <row r="31" spans="1:11" ht="30" customHeight="1">
      <c r="A31" s="12" t="s">
        <v>73</v>
      </c>
      <c r="B31" s="12" t="s">
        <v>72</v>
      </c>
      <c r="C31" s="12" t="s">
        <v>28</v>
      </c>
      <c r="D31" s="12" t="s">
        <v>395</v>
      </c>
      <c r="E31" s="18">
        <v>1</v>
      </c>
      <c r="F31" s="13"/>
      <c r="G31" s="12" t="s">
        <v>46</v>
      </c>
      <c r="H31" s="12" t="s">
        <v>582</v>
      </c>
      <c r="I31" s="13"/>
      <c r="J31" s="12" t="s">
        <v>583</v>
      </c>
      <c r="K31" s="12" t="s">
        <v>535</v>
      </c>
    </row>
    <row r="32" spans="1:11" ht="30" customHeight="1">
      <c r="A32" s="12" t="s">
        <v>73</v>
      </c>
      <c r="B32" s="12" t="s">
        <v>72</v>
      </c>
      <c r="C32" s="12" t="s">
        <v>28</v>
      </c>
      <c r="D32" s="12" t="s">
        <v>396</v>
      </c>
      <c r="E32" s="18">
        <v>0</v>
      </c>
      <c r="F32" s="13"/>
      <c r="G32" s="12" t="s">
        <v>46</v>
      </c>
      <c r="H32" s="12" t="s">
        <v>546</v>
      </c>
      <c r="I32" s="13"/>
      <c r="J32" s="12" t="s">
        <v>584</v>
      </c>
      <c r="K32" s="12" t="s">
        <v>535</v>
      </c>
    </row>
    <row r="33" spans="1:11" ht="30" customHeight="1">
      <c r="A33" s="12" t="s">
        <v>73</v>
      </c>
      <c r="B33" s="12" t="s">
        <v>72</v>
      </c>
      <c r="C33" s="12" t="s">
        <v>28</v>
      </c>
      <c r="D33" s="12" t="s">
        <v>397</v>
      </c>
      <c r="E33" s="18">
        <v>0</v>
      </c>
      <c r="F33" s="13"/>
      <c r="G33" s="12" t="s">
        <v>46</v>
      </c>
      <c r="H33" s="12" t="s">
        <v>546</v>
      </c>
      <c r="I33" s="13"/>
      <c r="J33" s="12" t="s">
        <v>585</v>
      </c>
      <c r="K33" s="12" t="s">
        <v>535</v>
      </c>
    </row>
    <row r="34" spans="1:11" ht="30" customHeight="1">
      <c r="A34" s="12" t="s">
        <v>73</v>
      </c>
      <c r="B34" s="12" t="s">
        <v>72</v>
      </c>
      <c r="C34" s="12" t="s">
        <v>28</v>
      </c>
      <c r="D34" s="12" t="s">
        <v>398</v>
      </c>
      <c r="E34" s="18">
        <v>1</v>
      </c>
      <c r="F34" s="13"/>
      <c r="G34" s="12" t="s">
        <v>46</v>
      </c>
      <c r="H34" s="12" t="s">
        <v>586</v>
      </c>
      <c r="I34" s="13"/>
      <c r="J34" s="12" t="s">
        <v>587</v>
      </c>
      <c r="K34" s="12" t="s">
        <v>535</v>
      </c>
    </row>
    <row r="35" spans="1:11" ht="30" customHeight="1">
      <c r="A35" s="12" t="s">
        <v>73</v>
      </c>
      <c r="B35" s="12" t="s">
        <v>72</v>
      </c>
      <c r="C35" s="12" t="s">
        <v>28</v>
      </c>
      <c r="D35" s="12" t="s">
        <v>399</v>
      </c>
      <c r="E35" s="18">
        <v>3</v>
      </c>
      <c r="F35" s="13"/>
      <c r="G35" s="12" t="s">
        <v>46</v>
      </c>
      <c r="H35" s="12" t="s">
        <v>588</v>
      </c>
      <c r="I35" s="13"/>
      <c r="J35" s="12" t="s">
        <v>589</v>
      </c>
      <c r="K35" s="12" t="s">
        <v>535</v>
      </c>
    </row>
    <row r="36" spans="1:11" ht="30" customHeight="1">
      <c r="A36" s="12" t="s">
        <v>73</v>
      </c>
      <c r="B36" s="12" t="s">
        <v>72</v>
      </c>
      <c r="C36" s="12" t="s">
        <v>28</v>
      </c>
      <c r="D36" s="12" t="s">
        <v>400</v>
      </c>
      <c r="E36" s="18">
        <v>3</v>
      </c>
      <c r="F36" s="13"/>
      <c r="G36" s="12" t="s">
        <v>46</v>
      </c>
      <c r="H36" s="12" t="s">
        <v>590</v>
      </c>
      <c r="I36" s="13"/>
      <c r="J36" s="12" t="s">
        <v>591</v>
      </c>
      <c r="K36" s="12" t="s">
        <v>535</v>
      </c>
    </row>
    <row r="37" spans="1:11" ht="30" customHeight="1">
      <c r="A37" s="12" t="s">
        <v>52</v>
      </c>
      <c r="B37" s="12" t="s">
        <v>49</v>
      </c>
      <c r="C37" s="12" t="s">
        <v>28</v>
      </c>
      <c r="D37" s="12" t="s">
        <v>391</v>
      </c>
      <c r="E37" s="18">
        <v>2</v>
      </c>
      <c r="F37" s="13"/>
      <c r="G37" s="12" t="s">
        <v>51</v>
      </c>
      <c r="H37" s="12" t="s">
        <v>592</v>
      </c>
      <c r="I37" s="13"/>
      <c r="J37" s="12" t="s">
        <v>593</v>
      </c>
      <c r="K37" s="12" t="s">
        <v>535</v>
      </c>
    </row>
    <row r="38" spans="1:11" ht="30" customHeight="1">
      <c r="A38" s="12" t="s">
        <v>52</v>
      </c>
      <c r="B38" s="12" t="s">
        <v>49</v>
      </c>
      <c r="C38" s="12" t="s">
        <v>28</v>
      </c>
      <c r="D38" s="12" t="s">
        <v>392</v>
      </c>
      <c r="E38" s="18">
        <v>2</v>
      </c>
      <c r="F38" s="13"/>
      <c r="G38" s="12" t="s">
        <v>51</v>
      </c>
      <c r="H38" s="12" t="s">
        <v>594</v>
      </c>
      <c r="I38" s="13"/>
      <c r="J38" s="12" t="s">
        <v>595</v>
      </c>
      <c r="K38" s="12" t="s">
        <v>535</v>
      </c>
    </row>
    <row r="39" spans="1:11" ht="30" customHeight="1">
      <c r="A39" s="12" t="s">
        <v>52</v>
      </c>
      <c r="B39" s="12" t="s">
        <v>49</v>
      </c>
      <c r="C39" s="12" t="s">
        <v>28</v>
      </c>
      <c r="D39" s="12" t="s">
        <v>393</v>
      </c>
      <c r="E39" s="18">
        <v>3</v>
      </c>
      <c r="F39" s="13"/>
      <c r="G39" s="12" t="s">
        <v>51</v>
      </c>
      <c r="H39" s="12" t="s">
        <v>596</v>
      </c>
      <c r="I39" s="13"/>
      <c r="J39" s="12" t="s">
        <v>597</v>
      </c>
      <c r="K39" s="12" t="s">
        <v>535</v>
      </c>
    </row>
    <row r="40" spans="1:11" ht="30" customHeight="1">
      <c r="A40" s="12" t="s">
        <v>52</v>
      </c>
      <c r="B40" s="12" t="s">
        <v>49</v>
      </c>
      <c r="C40" s="12" t="s">
        <v>28</v>
      </c>
      <c r="D40" s="12" t="s">
        <v>394</v>
      </c>
      <c r="E40" s="18">
        <v>3</v>
      </c>
      <c r="F40" s="13"/>
      <c r="G40" s="12" t="s">
        <v>51</v>
      </c>
      <c r="H40" s="12" t="s">
        <v>598</v>
      </c>
      <c r="I40" s="13"/>
      <c r="J40" s="12" t="s">
        <v>599</v>
      </c>
      <c r="K40" s="12" t="s">
        <v>535</v>
      </c>
    </row>
    <row r="41" spans="1:11" ht="30" customHeight="1">
      <c r="A41" s="12" t="s">
        <v>52</v>
      </c>
      <c r="B41" s="12" t="s">
        <v>49</v>
      </c>
      <c r="C41" s="12" t="s">
        <v>28</v>
      </c>
      <c r="D41" s="12" t="s">
        <v>395</v>
      </c>
      <c r="E41" s="18">
        <v>1</v>
      </c>
      <c r="F41" s="13"/>
      <c r="G41" s="12" t="s">
        <v>51</v>
      </c>
      <c r="H41" s="12" t="s">
        <v>600</v>
      </c>
      <c r="I41" s="13"/>
      <c r="J41" s="12" t="s">
        <v>601</v>
      </c>
      <c r="K41" s="12" t="s">
        <v>535</v>
      </c>
    </row>
    <row r="42" spans="1:11" ht="30" customHeight="1">
      <c r="A42" s="12" t="s">
        <v>52</v>
      </c>
      <c r="B42" s="12" t="s">
        <v>49</v>
      </c>
      <c r="C42" s="12" t="s">
        <v>28</v>
      </c>
      <c r="D42" s="12" t="s">
        <v>396</v>
      </c>
      <c r="E42" s="18">
        <v>2</v>
      </c>
      <c r="F42" s="13"/>
      <c r="G42" s="12" t="s">
        <v>51</v>
      </c>
      <c r="H42" s="12" t="s">
        <v>602</v>
      </c>
      <c r="I42" s="13"/>
      <c r="J42" s="12" t="s">
        <v>603</v>
      </c>
      <c r="K42" s="12" t="s">
        <v>535</v>
      </c>
    </row>
    <row r="43" spans="1:11" ht="30" customHeight="1">
      <c r="A43" s="12" t="s">
        <v>52</v>
      </c>
      <c r="B43" s="12" t="s">
        <v>49</v>
      </c>
      <c r="C43" s="12" t="s">
        <v>28</v>
      </c>
      <c r="D43" s="12" t="s">
        <v>397</v>
      </c>
      <c r="E43" s="18">
        <v>0</v>
      </c>
      <c r="F43" s="13"/>
      <c r="G43" s="12" t="s">
        <v>51</v>
      </c>
      <c r="H43" s="12" t="s">
        <v>566</v>
      </c>
      <c r="I43" s="13"/>
      <c r="J43" s="12" t="s">
        <v>604</v>
      </c>
      <c r="K43" s="12" t="s">
        <v>535</v>
      </c>
    </row>
    <row r="44" spans="1:11" ht="30" customHeight="1">
      <c r="A44" s="12" t="s">
        <v>52</v>
      </c>
      <c r="B44" s="12" t="s">
        <v>49</v>
      </c>
      <c r="C44" s="12" t="s">
        <v>28</v>
      </c>
      <c r="D44" s="12" t="s">
        <v>398</v>
      </c>
      <c r="E44" s="18">
        <v>2</v>
      </c>
      <c r="F44" s="13"/>
      <c r="G44" s="12" t="s">
        <v>51</v>
      </c>
      <c r="H44" s="12" t="s">
        <v>605</v>
      </c>
      <c r="I44" s="13"/>
      <c r="J44" s="12" t="s">
        <v>606</v>
      </c>
      <c r="K44" s="12" t="s">
        <v>535</v>
      </c>
    </row>
    <row r="45" spans="1:11" ht="30" customHeight="1">
      <c r="A45" s="12" t="s">
        <v>52</v>
      </c>
      <c r="B45" s="12" t="s">
        <v>49</v>
      </c>
      <c r="C45" s="12" t="s">
        <v>28</v>
      </c>
      <c r="D45" s="12" t="s">
        <v>399</v>
      </c>
      <c r="E45" s="18">
        <v>3</v>
      </c>
      <c r="F45" s="13"/>
      <c r="G45" s="12" t="s">
        <v>51</v>
      </c>
      <c r="H45" s="12" t="s">
        <v>607</v>
      </c>
      <c r="I45" s="13"/>
      <c r="J45" s="12" t="s">
        <v>608</v>
      </c>
      <c r="K45" s="12" t="s">
        <v>535</v>
      </c>
    </row>
    <row r="46" spans="1:11" ht="30" customHeight="1">
      <c r="A46" s="12" t="s">
        <v>52</v>
      </c>
      <c r="B46" s="12" t="s">
        <v>49</v>
      </c>
      <c r="C46" s="12" t="s">
        <v>28</v>
      </c>
      <c r="D46" s="12" t="s">
        <v>400</v>
      </c>
      <c r="E46" s="18">
        <v>1</v>
      </c>
      <c r="F46" s="13"/>
      <c r="G46" s="12" t="s">
        <v>51</v>
      </c>
      <c r="H46" s="12" t="s">
        <v>609</v>
      </c>
      <c r="I46" s="13"/>
      <c r="J46" s="12" t="s">
        <v>610</v>
      </c>
      <c r="K46" s="12" t="s">
        <v>535</v>
      </c>
    </row>
    <row r="47" spans="1:11" ht="30" customHeight="1">
      <c r="A47" s="12" t="s">
        <v>47</v>
      </c>
      <c r="B47" s="12" t="s">
        <v>44</v>
      </c>
      <c r="C47" s="12" t="s">
        <v>28</v>
      </c>
      <c r="D47" s="12" t="s">
        <v>391</v>
      </c>
      <c r="E47" s="18">
        <v>3</v>
      </c>
      <c r="F47" s="13"/>
      <c r="G47" s="12" t="s">
        <v>46</v>
      </c>
      <c r="H47" s="12" t="s">
        <v>611</v>
      </c>
      <c r="I47" s="13"/>
      <c r="J47" s="12" t="s">
        <v>612</v>
      </c>
      <c r="K47" s="12" t="s">
        <v>535</v>
      </c>
    </row>
    <row r="48" spans="1:11" ht="30" customHeight="1">
      <c r="A48" s="12" t="s">
        <v>47</v>
      </c>
      <c r="B48" s="12" t="s">
        <v>44</v>
      </c>
      <c r="C48" s="12" t="s">
        <v>28</v>
      </c>
      <c r="D48" s="12" t="s">
        <v>392</v>
      </c>
      <c r="E48" s="18">
        <v>2</v>
      </c>
      <c r="F48" s="13"/>
      <c r="G48" s="12" t="s">
        <v>46</v>
      </c>
      <c r="H48" s="12" t="s">
        <v>613</v>
      </c>
      <c r="I48" s="13"/>
      <c r="J48" s="12" t="s">
        <v>614</v>
      </c>
      <c r="K48" s="12" t="s">
        <v>535</v>
      </c>
    </row>
    <row r="49" spans="1:11" ht="30" customHeight="1">
      <c r="A49" s="12" t="s">
        <v>47</v>
      </c>
      <c r="B49" s="12" t="s">
        <v>44</v>
      </c>
      <c r="C49" s="12" t="s">
        <v>28</v>
      </c>
      <c r="D49" s="12" t="s">
        <v>393</v>
      </c>
      <c r="E49" s="18">
        <v>2</v>
      </c>
      <c r="F49" s="13"/>
      <c r="G49" s="12" t="s">
        <v>46</v>
      </c>
      <c r="H49" s="12" t="s">
        <v>615</v>
      </c>
      <c r="I49" s="13"/>
      <c r="J49" s="12" t="s">
        <v>616</v>
      </c>
      <c r="K49" s="12" t="s">
        <v>535</v>
      </c>
    </row>
    <row r="50" spans="1:11" ht="30" customHeight="1">
      <c r="A50" s="12" t="s">
        <v>47</v>
      </c>
      <c r="B50" s="12" t="s">
        <v>44</v>
      </c>
      <c r="C50" s="12" t="s">
        <v>28</v>
      </c>
      <c r="D50" s="12" t="s">
        <v>394</v>
      </c>
      <c r="E50" s="18">
        <v>2</v>
      </c>
      <c r="F50" s="13"/>
      <c r="G50" s="12" t="s">
        <v>46</v>
      </c>
      <c r="H50" s="12" t="s">
        <v>617</v>
      </c>
      <c r="I50" s="13"/>
      <c r="J50" s="12" t="s">
        <v>618</v>
      </c>
      <c r="K50" s="12" t="s">
        <v>535</v>
      </c>
    </row>
    <row r="51" spans="1:11" ht="30" customHeight="1">
      <c r="A51" s="12" t="s">
        <v>47</v>
      </c>
      <c r="B51" s="12" t="s">
        <v>44</v>
      </c>
      <c r="C51" s="12" t="s">
        <v>28</v>
      </c>
      <c r="D51" s="12" t="s">
        <v>395</v>
      </c>
      <c r="E51" s="18">
        <v>2</v>
      </c>
      <c r="F51" s="13"/>
      <c r="G51" s="12" t="s">
        <v>46</v>
      </c>
      <c r="H51" s="12" t="s">
        <v>619</v>
      </c>
      <c r="I51" s="13"/>
      <c r="J51" s="12" t="s">
        <v>620</v>
      </c>
      <c r="K51" s="12" t="s">
        <v>535</v>
      </c>
    </row>
    <row r="52" spans="1:11" ht="30" customHeight="1">
      <c r="A52" s="12" t="s">
        <v>47</v>
      </c>
      <c r="B52" s="12" t="s">
        <v>44</v>
      </c>
      <c r="C52" s="12" t="s">
        <v>28</v>
      </c>
      <c r="D52" s="12" t="s">
        <v>396</v>
      </c>
      <c r="E52" s="18">
        <v>0</v>
      </c>
      <c r="F52" s="13"/>
      <c r="G52" s="12" t="s">
        <v>46</v>
      </c>
      <c r="H52" s="12" t="s">
        <v>546</v>
      </c>
      <c r="I52" s="13"/>
      <c r="J52" s="12" t="s">
        <v>621</v>
      </c>
      <c r="K52" s="12" t="s">
        <v>535</v>
      </c>
    </row>
    <row r="53" spans="1:11" ht="30" customHeight="1">
      <c r="A53" s="12" t="s">
        <v>47</v>
      </c>
      <c r="B53" s="12" t="s">
        <v>44</v>
      </c>
      <c r="C53" s="12" t="s">
        <v>28</v>
      </c>
      <c r="D53" s="12" t="s">
        <v>397</v>
      </c>
      <c r="E53" s="18">
        <v>0</v>
      </c>
      <c r="F53" s="13"/>
      <c r="G53" s="12" t="s">
        <v>46</v>
      </c>
      <c r="H53" s="12" t="s">
        <v>546</v>
      </c>
      <c r="I53" s="13"/>
      <c r="J53" s="12" t="s">
        <v>622</v>
      </c>
      <c r="K53" s="12" t="s">
        <v>535</v>
      </c>
    </row>
    <row r="54" spans="1:11" ht="30" customHeight="1">
      <c r="A54" s="12" t="s">
        <v>47</v>
      </c>
      <c r="B54" s="12" t="s">
        <v>44</v>
      </c>
      <c r="C54" s="12" t="s">
        <v>28</v>
      </c>
      <c r="D54" s="12" t="s">
        <v>398</v>
      </c>
      <c r="E54" s="18">
        <v>1</v>
      </c>
      <c r="F54" s="13"/>
      <c r="G54" s="12" t="s">
        <v>46</v>
      </c>
      <c r="H54" s="12" t="s">
        <v>623</v>
      </c>
      <c r="I54" s="13"/>
      <c r="J54" s="12" t="s">
        <v>624</v>
      </c>
      <c r="K54" s="12" t="s">
        <v>535</v>
      </c>
    </row>
    <row r="55" spans="1:11" ht="30" customHeight="1">
      <c r="A55" s="12" t="s">
        <v>47</v>
      </c>
      <c r="B55" s="12" t="s">
        <v>44</v>
      </c>
      <c r="C55" s="12" t="s">
        <v>28</v>
      </c>
      <c r="D55" s="12" t="s">
        <v>399</v>
      </c>
      <c r="E55" s="18">
        <v>3</v>
      </c>
      <c r="F55" s="13"/>
      <c r="G55" s="12" t="s">
        <v>46</v>
      </c>
      <c r="H55" s="12" t="s">
        <v>625</v>
      </c>
      <c r="I55" s="13"/>
      <c r="J55" s="12" t="s">
        <v>626</v>
      </c>
      <c r="K55" s="12" t="s">
        <v>535</v>
      </c>
    </row>
    <row r="56" spans="1:11" ht="30" customHeight="1">
      <c r="A56" s="12" t="s">
        <v>47</v>
      </c>
      <c r="B56" s="12" t="s">
        <v>44</v>
      </c>
      <c r="C56" s="12" t="s">
        <v>28</v>
      </c>
      <c r="D56" s="12" t="s">
        <v>400</v>
      </c>
      <c r="E56" s="18">
        <v>2</v>
      </c>
      <c r="F56" s="13"/>
      <c r="G56" s="12" t="s">
        <v>46</v>
      </c>
      <c r="H56" s="12" t="s">
        <v>627</v>
      </c>
      <c r="I56" s="13"/>
      <c r="J56" s="12" t="s">
        <v>628</v>
      </c>
      <c r="K56" s="12" t="s">
        <v>535</v>
      </c>
    </row>
    <row r="57" spans="1:11" ht="30" customHeight="1">
      <c r="A57" s="12" t="s">
        <v>65</v>
      </c>
      <c r="B57" s="12" t="s">
        <v>62</v>
      </c>
      <c r="C57" s="12" t="s">
        <v>28</v>
      </c>
      <c r="D57" s="12" t="s">
        <v>391</v>
      </c>
      <c r="E57" s="18">
        <v>3</v>
      </c>
      <c r="F57" s="13"/>
      <c r="G57" s="12" t="s">
        <v>629</v>
      </c>
      <c r="H57" s="12" t="s">
        <v>630</v>
      </c>
      <c r="I57" s="13"/>
      <c r="J57" s="12" t="s">
        <v>631</v>
      </c>
      <c r="K57" s="12" t="s">
        <v>535</v>
      </c>
    </row>
    <row r="58" spans="1:11" ht="30" customHeight="1">
      <c r="A58" s="12" t="s">
        <v>65</v>
      </c>
      <c r="B58" s="12" t="s">
        <v>62</v>
      </c>
      <c r="C58" s="12" t="s">
        <v>28</v>
      </c>
      <c r="D58" s="12" t="s">
        <v>392</v>
      </c>
      <c r="E58" s="18">
        <v>2</v>
      </c>
      <c r="F58" s="13"/>
      <c r="G58" s="12" t="s">
        <v>64</v>
      </c>
      <c r="H58" s="12" t="s">
        <v>632</v>
      </c>
      <c r="I58" s="13"/>
      <c r="J58" s="12" t="s">
        <v>633</v>
      </c>
      <c r="K58" s="12" t="s">
        <v>535</v>
      </c>
    </row>
    <row r="59" spans="1:11" ht="30" customHeight="1">
      <c r="A59" s="12" t="s">
        <v>65</v>
      </c>
      <c r="B59" s="12" t="s">
        <v>62</v>
      </c>
      <c r="C59" s="12" t="s">
        <v>28</v>
      </c>
      <c r="D59" s="12" t="s">
        <v>393</v>
      </c>
      <c r="E59" s="18">
        <v>1</v>
      </c>
      <c r="F59" s="13"/>
      <c r="G59" s="12" t="s">
        <v>629</v>
      </c>
      <c r="H59" s="12" t="s">
        <v>634</v>
      </c>
      <c r="I59" s="13"/>
      <c r="J59" s="12" t="s">
        <v>635</v>
      </c>
      <c r="K59" s="12" t="s">
        <v>535</v>
      </c>
    </row>
    <row r="60" spans="1:11" ht="30" customHeight="1">
      <c r="A60" s="12" t="s">
        <v>65</v>
      </c>
      <c r="B60" s="12" t="s">
        <v>62</v>
      </c>
      <c r="C60" s="12" t="s">
        <v>28</v>
      </c>
      <c r="D60" s="12" t="s">
        <v>394</v>
      </c>
      <c r="E60" s="18">
        <v>1</v>
      </c>
      <c r="F60" s="13"/>
      <c r="G60" s="12" t="s">
        <v>64</v>
      </c>
      <c r="H60" s="12" t="s">
        <v>636</v>
      </c>
      <c r="I60" s="13"/>
      <c r="J60" s="12" t="s">
        <v>637</v>
      </c>
      <c r="K60" s="12" t="s">
        <v>535</v>
      </c>
    </row>
    <row r="61" spans="1:11" ht="30" customHeight="1">
      <c r="A61" s="12" t="s">
        <v>65</v>
      </c>
      <c r="B61" s="12" t="s">
        <v>62</v>
      </c>
      <c r="C61" s="12" t="s">
        <v>28</v>
      </c>
      <c r="D61" s="12" t="s">
        <v>395</v>
      </c>
      <c r="E61" s="18">
        <v>1</v>
      </c>
      <c r="F61" s="13"/>
      <c r="G61" s="12" t="s">
        <v>629</v>
      </c>
      <c r="H61" s="12" t="s">
        <v>638</v>
      </c>
      <c r="I61" s="13"/>
      <c r="J61" s="12" t="s">
        <v>639</v>
      </c>
      <c r="K61" s="12" t="s">
        <v>535</v>
      </c>
    </row>
    <row r="62" spans="1:11" ht="30" customHeight="1">
      <c r="A62" s="12" t="s">
        <v>65</v>
      </c>
      <c r="B62" s="12" t="s">
        <v>62</v>
      </c>
      <c r="C62" s="12" t="s">
        <v>28</v>
      </c>
      <c r="D62" s="12" t="s">
        <v>396</v>
      </c>
      <c r="E62" s="18">
        <v>1</v>
      </c>
      <c r="F62" s="13"/>
      <c r="G62" s="12" t="s">
        <v>629</v>
      </c>
      <c r="H62" s="12" t="s">
        <v>640</v>
      </c>
      <c r="I62" s="13"/>
      <c r="J62" s="12" t="s">
        <v>641</v>
      </c>
      <c r="K62" s="12" t="s">
        <v>535</v>
      </c>
    </row>
    <row r="63" spans="1:11" ht="30" customHeight="1">
      <c r="A63" s="12" t="s">
        <v>65</v>
      </c>
      <c r="B63" s="12" t="s">
        <v>62</v>
      </c>
      <c r="C63" s="12" t="s">
        <v>28</v>
      </c>
      <c r="D63" s="12" t="s">
        <v>397</v>
      </c>
      <c r="E63" s="18">
        <v>0</v>
      </c>
      <c r="F63" s="13"/>
      <c r="G63" s="12" t="s">
        <v>629</v>
      </c>
      <c r="H63" s="12" t="s">
        <v>566</v>
      </c>
      <c r="I63" s="13"/>
      <c r="J63" s="12" t="s">
        <v>642</v>
      </c>
      <c r="K63" s="12" t="s">
        <v>535</v>
      </c>
    </row>
    <row r="64" spans="1:11" ht="30" customHeight="1">
      <c r="A64" s="12" t="s">
        <v>65</v>
      </c>
      <c r="B64" s="12" t="s">
        <v>62</v>
      </c>
      <c r="C64" s="12" t="s">
        <v>28</v>
      </c>
      <c r="D64" s="12" t="s">
        <v>398</v>
      </c>
      <c r="E64" s="18">
        <v>1</v>
      </c>
      <c r="F64" s="13"/>
      <c r="G64" s="12" t="s">
        <v>629</v>
      </c>
      <c r="H64" s="12" t="s">
        <v>640</v>
      </c>
      <c r="I64" s="13"/>
      <c r="J64" s="12" t="s">
        <v>643</v>
      </c>
      <c r="K64" s="12" t="s">
        <v>535</v>
      </c>
    </row>
    <row r="65" spans="1:11" ht="30" customHeight="1">
      <c r="A65" s="12" t="s">
        <v>65</v>
      </c>
      <c r="B65" s="12" t="s">
        <v>62</v>
      </c>
      <c r="C65" s="12" t="s">
        <v>28</v>
      </c>
      <c r="D65" s="12" t="s">
        <v>399</v>
      </c>
      <c r="E65" s="18">
        <v>3</v>
      </c>
      <c r="F65" s="13"/>
      <c r="G65" s="12" t="s">
        <v>629</v>
      </c>
      <c r="H65" s="12" t="s">
        <v>644</v>
      </c>
      <c r="I65" s="13"/>
      <c r="J65" s="12" t="s">
        <v>645</v>
      </c>
      <c r="K65" s="12" t="s">
        <v>535</v>
      </c>
    </row>
    <row r="66" spans="1:11" ht="30" customHeight="1">
      <c r="A66" s="12" t="s">
        <v>65</v>
      </c>
      <c r="B66" s="12" t="s">
        <v>62</v>
      </c>
      <c r="C66" s="12" t="s">
        <v>28</v>
      </c>
      <c r="D66" s="12" t="s">
        <v>400</v>
      </c>
      <c r="E66" s="18">
        <v>1</v>
      </c>
      <c r="F66" s="13"/>
      <c r="G66" s="12" t="s">
        <v>629</v>
      </c>
      <c r="H66" s="12" t="s">
        <v>646</v>
      </c>
      <c r="I66" s="13"/>
      <c r="J66" s="12" t="s">
        <v>647</v>
      </c>
      <c r="K66" s="12" t="s">
        <v>535</v>
      </c>
    </row>
    <row r="67" spans="1:11" ht="30" customHeight="1">
      <c r="A67" s="12" t="s">
        <v>70</v>
      </c>
      <c r="B67" s="12" t="s">
        <v>68</v>
      </c>
      <c r="C67" s="12" t="s">
        <v>28</v>
      </c>
      <c r="D67" s="12" t="s">
        <v>391</v>
      </c>
      <c r="E67" s="18">
        <v>2</v>
      </c>
      <c r="F67" s="13"/>
      <c r="G67" s="12" t="s">
        <v>69</v>
      </c>
      <c r="H67" s="12" t="s">
        <v>648</v>
      </c>
      <c r="I67" s="13"/>
      <c r="J67" s="12" t="s">
        <v>649</v>
      </c>
      <c r="K67" s="12" t="s">
        <v>535</v>
      </c>
    </row>
    <row r="68" spans="1:11" ht="30" customHeight="1">
      <c r="A68" s="12" t="s">
        <v>70</v>
      </c>
      <c r="B68" s="12" t="s">
        <v>68</v>
      </c>
      <c r="C68" s="12" t="s">
        <v>28</v>
      </c>
      <c r="D68" s="12" t="s">
        <v>392</v>
      </c>
      <c r="E68" s="18">
        <v>1</v>
      </c>
      <c r="F68" s="13"/>
      <c r="G68" s="12" t="s">
        <v>69</v>
      </c>
      <c r="H68" s="12" t="s">
        <v>650</v>
      </c>
      <c r="I68" s="13"/>
      <c r="J68" s="12" t="s">
        <v>651</v>
      </c>
      <c r="K68" s="12" t="s">
        <v>535</v>
      </c>
    </row>
    <row r="69" spans="1:11" ht="30" customHeight="1">
      <c r="A69" s="12" t="s">
        <v>70</v>
      </c>
      <c r="B69" s="12" t="s">
        <v>68</v>
      </c>
      <c r="C69" s="12" t="s">
        <v>28</v>
      </c>
      <c r="D69" s="12" t="s">
        <v>393</v>
      </c>
      <c r="E69" s="18">
        <v>0</v>
      </c>
      <c r="F69" s="13"/>
      <c r="G69" s="12" t="s">
        <v>69</v>
      </c>
      <c r="H69" s="12" t="s">
        <v>566</v>
      </c>
      <c r="I69" s="13"/>
      <c r="J69" s="12" t="s">
        <v>652</v>
      </c>
      <c r="K69" s="12" t="s">
        <v>535</v>
      </c>
    </row>
    <row r="70" spans="1:11" ht="30" customHeight="1">
      <c r="A70" s="12" t="s">
        <v>70</v>
      </c>
      <c r="B70" s="12" t="s">
        <v>68</v>
      </c>
      <c r="C70" s="12" t="s">
        <v>28</v>
      </c>
      <c r="D70" s="12" t="s">
        <v>394</v>
      </c>
      <c r="E70" s="18">
        <v>0</v>
      </c>
      <c r="F70" s="13"/>
      <c r="G70" s="12" t="s">
        <v>69</v>
      </c>
      <c r="H70" s="12" t="s">
        <v>653</v>
      </c>
      <c r="I70" s="13"/>
      <c r="J70" s="12" t="s">
        <v>654</v>
      </c>
      <c r="K70" s="12" t="s">
        <v>535</v>
      </c>
    </row>
    <row r="71" spans="1:11" ht="30" customHeight="1">
      <c r="A71" s="12" t="s">
        <v>70</v>
      </c>
      <c r="B71" s="12" t="s">
        <v>68</v>
      </c>
      <c r="C71" s="12" t="s">
        <v>28</v>
      </c>
      <c r="D71" s="12" t="s">
        <v>395</v>
      </c>
      <c r="E71" s="18">
        <v>0</v>
      </c>
      <c r="F71" s="13"/>
      <c r="G71" s="12" t="s">
        <v>69</v>
      </c>
      <c r="H71" s="12" t="s">
        <v>655</v>
      </c>
      <c r="I71" s="13"/>
      <c r="J71" s="12" t="s">
        <v>656</v>
      </c>
      <c r="K71" s="12" t="s">
        <v>535</v>
      </c>
    </row>
    <row r="72" spans="1:11" ht="30" customHeight="1">
      <c r="A72" s="12" t="s">
        <v>70</v>
      </c>
      <c r="B72" s="12" t="s">
        <v>68</v>
      </c>
      <c r="C72" s="12" t="s">
        <v>28</v>
      </c>
      <c r="D72" s="12" t="s">
        <v>396</v>
      </c>
      <c r="E72" s="18">
        <v>1</v>
      </c>
      <c r="F72" s="13"/>
      <c r="G72" s="12" t="s">
        <v>69</v>
      </c>
      <c r="H72" s="12" t="s">
        <v>657</v>
      </c>
      <c r="I72" s="13"/>
      <c r="J72" s="12" t="s">
        <v>658</v>
      </c>
      <c r="K72" s="12" t="s">
        <v>535</v>
      </c>
    </row>
    <row r="73" spans="1:11" ht="30" customHeight="1">
      <c r="A73" s="12" t="s">
        <v>70</v>
      </c>
      <c r="B73" s="12" t="s">
        <v>68</v>
      </c>
      <c r="C73" s="12" t="s">
        <v>28</v>
      </c>
      <c r="D73" s="12" t="s">
        <v>397</v>
      </c>
      <c r="E73" s="18">
        <v>0</v>
      </c>
      <c r="F73" s="13"/>
      <c r="G73" s="12" t="s">
        <v>69</v>
      </c>
      <c r="H73" s="12" t="s">
        <v>566</v>
      </c>
      <c r="I73" s="13"/>
      <c r="J73" s="12" t="s">
        <v>642</v>
      </c>
      <c r="K73" s="12" t="s">
        <v>535</v>
      </c>
    </row>
    <row r="74" spans="1:11" ht="30" customHeight="1">
      <c r="A74" s="12" t="s">
        <v>70</v>
      </c>
      <c r="B74" s="12" t="s">
        <v>68</v>
      </c>
      <c r="C74" s="12" t="s">
        <v>28</v>
      </c>
      <c r="D74" s="12" t="s">
        <v>398</v>
      </c>
      <c r="E74" s="18">
        <v>1</v>
      </c>
      <c r="F74" s="13"/>
      <c r="G74" s="12" t="s">
        <v>69</v>
      </c>
      <c r="H74" s="12" t="s">
        <v>657</v>
      </c>
      <c r="I74" s="13"/>
      <c r="J74" s="12" t="s">
        <v>659</v>
      </c>
      <c r="K74" s="12" t="s">
        <v>535</v>
      </c>
    </row>
    <row r="75" spans="1:11" ht="30" customHeight="1">
      <c r="A75" s="12" t="s">
        <v>70</v>
      </c>
      <c r="B75" s="12" t="s">
        <v>68</v>
      </c>
      <c r="C75" s="12" t="s">
        <v>28</v>
      </c>
      <c r="D75" s="12" t="s">
        <v>399</v>
      </c>
      <c r="E75" s="18">
        <v>0</v>
      </c>
      <c r="F75" s="13"/>
      <c r="G75" s="12" t="s">
        <v>69</v>
      </c>
      <c r="H75" s="12" t="s">
        <v>660</v>
      </c>
      <c r="I75" s="13"/>
      <c r="J75" s="12" t="s">
        <v>661</v>
      </c>
      <c r="K75" s="12" t="s">
        <v>535</v>
      </c>
    </row>
    <row r="76" spans="1:11" ht="30" customHeight="1">
      <c r="A76" s="12" t="s">
        <v>70</v>
      </c>
      <c r="B76" s="12" t="s">
        <v>68</v>
      </c>
      <c r="C76" s="12" t="s">
        <v>28</v>
      </c>
      <c r="D76" s="12" t="s">
        <v>400</v>
      </c>
      <c r="E76" s="18">
        <v>1</v>
      </c>
      <c r="F76" s="13"/>
      <c r="G76" s="12" t="s">
        <v>69</v>
      </c>
      <c r="H76" s="12" t="s">
        <v>662</v>
      </c>
      <c r="I76" s="13"/>
      <c r="J76" s="12" t="s">
        <v>663</v>
      </c>
      <c r="K76" s="12" t="s">
        <v>535</v>
      </c>
    </row>
    <row r="77" spans="1:11" ht="30" customHeight="1">
      <c r="A77" s="12" t="s">
        <v>37</v>
      </c>
      <c r="B77" s="12" t="s">
        <v>27</v>
      </c>
      <c r="C77" s="12" t="s">
        <v>28</v>
      </c>
      <c r="D77" s="12" t="s">
        <v>391</v>
      </c>
      <c r="E77" s="18">
        <v>3</v>
      </c>
      <c r="F77" s="13"/>
      <c r="G77" s="12" t="s">
        <v>35</v>
      </c>
      <c r="H77" s="12" t="s">
        <v>664</v>
      </c>
      <c r="I77" s="13"/>
      <c r="J77" s="12" t="s">
        <v>665</v>
      </c>
      <c r="K77" s="12" t="s">
        <v>535</v>
      </c>
    </row>
    <row r="78" spans="1:11" ht="30" customHeight="1">
      <c r="A78" s="12" t="s">
        <v>37</v>
      </c>
      <c r="B78" s="12" t="s">
        <v>27</v>
      </c>
      <c r="C78" s="12" t="s">
        <v>28</v>
      </c>
      <c r="D78" s="12" t="s">
        <v>392</v>
      </c>
      <c r="E78" s="18">
        <v>0</v>
      </c>
      <c r="F78" s="13"/>
      <c r="G78" s="12" t="s">
        <v>35</v>
      </c>
      <c r="H78" s="12" t="s">
        <v>664</v>
      </c>
      <c r="I78" s="13"/>
      <c r="J78" s="12" t="s">
        <v>666</v>
      </c>
      <c r="K78" s="12" t="s">
        <v>535</v>
      </c>
    </row>
    <row r="79" spans="1:11" ht="30" customHeight="1">
      <c r="A79" s="12" t="s">
        <v>37</v>
      </c>
      <c r="B79" s="12" t="s">
        <v>27</v>
      </c>
      <c r="C79" s="12" t="s">
        <v>28</v>
      </c>
      <c r="D79" s="12" t="s">
        <v>393</v>
      </c>
      <c r="E79" s="18">
        <v>0</v>
      </c>
      <c r="F79" s="13"/>
      <c r="G79" s="12" t="s">
        <v>35</v>
      </c>
      <c r="H79" s="12" t="s">
        <v>667</v>
      </c>
      <c r="I79" s="13"/>
      <c r="J79" s="12" t="s">
        <v>668</v>
      </c>
      <c r="K79" s="12" t="s">
        <v>535</v>
      </c>
    </row>
    <row r="80" spans="1:11" ht="30" customHeight="1">
      <c r="A80" s="12" t="s">
        <v>37</v>
      </c>
      <c r="B80" s="12" t="s">
        <v>27</v>
      </c>
      <c r="C80" s="12" t="s">
        <v>28</v>
      </c>
      <c r="D80" s="12" t="s">
        <v>394</v>
      </c>
      <c r="E80" s="18">
        <v>2</v>
      </c>
      <c r="F80" s="13"/>
      <c r="G80" s="12" t="s">
        <v>35</v>
      </c>
      <c r="H80" s="12" t="s">
        <v>669</v>
      </c>
      <c r="I80" s="13"/>
      <c r="J80" s="12" t="s">
        <v>670</v>
      </c>
      <c r="K80" s="12" t="s">
        <v>535</v>
      </c>
    </row>
    <row r="81" spans="1:11" ht="30" customHeight="1">
      <c r="A81" s="12" t="s">
        <v>37</v>
      </c>
      <c r="B81" s="12" t="s">
        <v>27</v>
      </c>
      <c r="C81" s="12" t="s">
        <v>28</v>
      </c>
      <c r="D81" s="12" t="s">
        <v>395</v>
      </c>
      <c r="E81" s="18">
        <v>2</v>
      </c>
      <c r="F81" s="13"/>
      <c r="G81" s="12" t="s">
        <v>35</v>
      </c>
      <c r="H81" s="12" t="s">
        <v>671</v>
      </c>
      <c r="I81" s="13"/>
      <c r="J81" s="12" t="s">
        <v>672</v>
      </c>
      <c r="K81" s="12" t="s">
        <v>535</v>
      </c>
    </row>
    <row r="82" spans="1:11" ht="30" customHeight="1">
      <c r="A82" s="12" t="s">
        <v>37</v>
      </c>
      <c r="B82" s="12" t="s">
        <v>27</v>
      </c>
      <c r="C82" s="12" t="s">
        <v>28</v>
      </c>
      <c r="D82" s="12" t="s">
        <v>396</v>
      </c>
      <c r="E82" s="18">
        <v>2</v>
      </c>
      <c r="F82" s="13"/>
      <c r="G82" s="12" t="s">
        <v>35</v>
      </c>
      <c r="H82" s="12" t="s">
        <v>669</v>
      </c>
      <c r="I82" s="13"/>
      <c r="J82" s="12" t="s">
        <v>673</v>
      </c>
      <c r="K82" s="12" t="s">
        <v>535</v>
      </c>
    </row>
    <row r="83" spans="1:11" ht="30" customHeight="1">
      <c r="A83" s="12" t="s">
        <v>37</v>
      </c>
      <c r="B83" s="12" t="s">
        <v>27</v>
      </c>
      <c r="C83" s="12" t="s">
        <v>28</v>
      </c>
      <c r="D83" s="12" t="s">
        <v>397</v>
      </c>
      <c r="E83" s="18">
        <v>0</v>
      </c>
      <c r="F83" s="13"/>
      <c r="G83" s="12" t="s">
        <v>35</v>
      </c>
      <c r="H83" s="12" t="s">
        <v>546</v>
      </c>
      <c r="I83" s="13"/>
      <c r="J83" s="12" t="s">
        <v>674</v>
      </c>
      <c r="K83" s="12" t="s">
        <v>535</v>
      </c>
    </row>
    <row r="84" spans="1:11" ht="30" customHeight="1">
      <c r="A84" s="12" t="s">
        <v>37</v>
      </c>
      <c r="B84" s="12" t="s">
        <v>27</v>
      </c>
      <c r="C84" s="12" t="s">
        <v>28</v>
      </c>
      <c r="D84" s="12" t="s">
        <v>398</v>
      </c>
      <c r="E84" s="18">
        <v>1</v>
      </c>
      <c r="F84" s="13"/>
      <c r="G84" s="12" t="s">
        <v>35</v>
      </c>
      <c r="H84" s="12" t="s">
        <v>667</v>
      </c>
      <c r="I84" s="13"/>
      <c r="J84" s="12" t="s">
        <v>675</v>
      </c>
      <c r="K84" s="12" t="s">
        <v>535</v>
      </c>
    </row>
    <row r="85" spans="1:11" ht="30" customHeight="1">
      <c r="A85" s="12" t="s">
        <v>37</v>
      </c>
      <c r="B85" s="12" t="s">
        <v>27</v>
      </c>
      <c r="C85" s="12" t="s">
        <v>28</v>
      </c>
      <c r="D85" s="12" t="s">
        <v>399</v>
      </c>
      <c r="E85" s="18">
        <v>1</v>
      </c>
      <c r="F85" s="13"/>
      <c r="G85" s="12" t="s">
        <v>35</v>
      </c>
      <c r="H85" s="12" t="s">
        <v>676</v>
      </c>
      <c r="I85" s="13"/>
      <c r="J85" s="12" t="s">
        <v>677</v>
      </c>
      <c r="K85" s="12" t="s">
        <v>535</v>
      </c>
    </row>
    <row r="86" spans="1:11" ht="30" customHeight="1">
      <c r="A86" s="12" t="s">
        <v>37</v>
      </c>
      <c r="B86" s="12" t="s">
        <v>27</v>
      </c>
      <c r="C86" s="12" t="s">
        <v>28</v>
      </c>
      <c r="D86" s="12" t="s">
        <v>400</v>
      </c>
      <c r="E86" s="18">
        <v>2</v>
      </c>
      <c r="F86" s="13"/>
      <c r="G86" s="12" t="s">
        <v>35</v>
      </c>
      <c r="H86" s="12" t="s">
        <v>678</v>
      </c>
      <c r="I86" s="13"/>
      <c r="J86" s="12" t="s">
        <v>679</v>
      </c>
      <c r="K86" s="12" t="s">
        <v>535</v>
      </c>
    </row>
    <row r="87" spans="1:11" ht="30" customHeight="1">
      <c r="A87" s="12" t="s">
        <v>59</v>
      </c>
      <c r="B87" s="12" t="s">
        <v>58</v>
      </c>
      <c r="C87" s="12" t="s">
        <v>28</v>
      </c>
      <c r="D87" s="12" t="s">
        <v>391</v>
      </c>
      <c r="E87" s="18">
        <v>2</v>
      </c>
      <c r="F87" s="13"/>
      <c r="G87" s="12" t="s">
        <v>35</v>
      </c>
      <c r="H87" s="12" t="s">
        <v>680</v>
      </c>
      <c r="I87" s="13"/>
      <c r="J87" s="12" t="s">
        <v>681</v>
      </c>
      <c r="K87" s="12" t="s">
        <v>535</v>
      </c>
    </row>
    <row r="88" spans="1:11" ht="30" customHeight="1">
      <c r="A88" s="12" t="s">
        <v>59</v>
      </c>
      <c r="B88" s="12" t="s">
        <v>58</v>
      </c>
      <c r="C88" s="12" t="s">
        <v>28</v>
      </c>
      <c r="D88" s="12" t="s">
        <v>392</v>
      </c>
      <c r="E88" s="18">
        <v>0</v>
      </c>
      <c r="F88" s="13"/>
      <c r="G88" s="12" t="s">
        <v>35</v>
      </c>
      <c r="H88" s="12" t="s">
        <v>682</v>
      </c>
      <c r="I88" s="13"/>
      <c r="J88" s="12" t="s">
        <v>683</v>
      </c>
      <c r="K88" s="12" t="s">
        <v>535</v>
      </c>
    </row>
    <row r="89" spans="1:11" ht="30" customHeight="1">
      <c r="A89" s="12" t="s">
        <v>59</v>
      </c>
      <c r="B89" s="12" t="s">
        <v>58</v>
      </c>
      <c r="C89" s="12" t="s">
        <v>28</v>
      </c>
      <c r="D89" s="12" t="s">
        <v>393</v>
      </c>
      <c r="E89" s="18">
        <v>0</v>
      </c>
      <c r="F89" s="13"/>
      <c r="G89" s="12" t="s">
        <v>35</v>
      </c>
      <c r="H89" s="12" t="s">
        <v>566</v>
      </c>
      <c r="I89" s="13"/>
      <c r="J89" s="12" t="s">
        <v>684</v>
      </c>
      <c r="K89" s="12" t="s">
        <v>535</v>
      </c>
    </row>
    <row r="90" spans="1:11" ht="30" customHeight="1">
      <c r="A90" s="12" t="s">
        <v>59</v>
      </c>
      <c r="B90" s="12" t="s">
        <v>58</v>
      </c>
      <c r="C90" s="12" t="s">
        <v>28</v>
      </c>
      <c r="D90" s="12" t="s">
        <v>394</v>
      </c>
      <c r="E90" s="18">
        <v>0</v>
      </c>
      <c r="F90" s="13"/>
      <c r="G90" s="12" t="s">
        <v>35</v>
      </c>
      <c r="H90" s="12" t="s">
        <v>566</v>
      </c>
      <c r="I90" s="13"/>
      <c r="J90" s="12" t="s">
        <v>685</v>
      </c>
      <c r="K90" s="12" t="s">
        <v>535</v>
      </c>
    </row>
    <row r="91" spans="1:11" ht="30" customHeight="1">
      <c r="A91" s="12" t="s">
        <v>59</v>
      </c>
      <c r="B91" s="12" t="s">
        <v>58</v>
      </c>
      <c r="C91" s="12" t="s">
        <v>28</v>
      </c>
      <c r="D91" s="12" t="s">
        <v>395</v>
      </c>
      <c r="E91" s="18">
        <v>0</v>
      </c>
      <c r="F91" s="13"/>
      <c r="G91" s="12" t="s">
        <v>35</v>
      </c>
      <c r="H91" s="12" t="s">
        <v>655</v>
      </c>
      <c r="I91" s="13"/>
      <c r="J91" s="12" t="s">
        <v>686</v>
      </c>
      <c r="K91" s="12" t="s">
        <v>535</v>
      </c>
    </row>
    <row r="92" spans="1:11" ht="30" customHeight="1">
      <c r="A92" s="12" t="s">
        <v>59</v>
      </c>
      <c r="B92" s="12" t="s">
        <v>58</v>
      </c>
      <c r="C92" s="12" t="s">
        <v>28</v>
      </c>
      <c r="D92" s="12" t="s">
        <v>396</v>
      </c>
      <c r="E92" s="18">
        <v>2</v>
      </c>
      <c r="F92" s="13"/>
      <c r="G92" s="12" t="s">
        <v>35</v>
      </c>
      <c r="H92" s="12" t="s">
        <v>687</v>
      </c>
      <c r="I92" s="13"/>
      <c r="J92" s="12" t="s">
        <v>688</v>
      </c>
      <c r="K92" s="12" t="s">
        <v>535</v>
      </c>
    </row>
    <row r="93" spans="1:11" ht="30" customHeight="1">
      <c r="A93" s="12" t="s">
        <v>59</v>
      </c>
      <c r="B93" s="12" t="s">
        <v>58</v>
      </c>
      <c r="C93" s="12" t="s">
        <v>28</v>
      </c>
      <c r="D93" s="12" t="s">
        <v>397</v>
      </c>
      <c r="E93" s="18">
        <v>0</v>
      </c>
      <c r="F93" s="13"/>
      <c r="G93" s="12" t="s">
        <v>35</v>
      </c>
      <c r="H93" s="12" t="s">
        <v>566</v>
      </c>
      <c r="I93" s="13"/>
      <c r="J93" s="12" t="s">
        <v>642</v>
      </c>
      <c r="K93" s="12" t="s">
        <v>535</v>
      </c>
    </row>
    <row r="94" spans="1:11" ht="30" customHeight="1">
      <c r="A94" s="12" t="s">
        <v>59</v>
      </c>
      <c r="B94" s="12" t="s">
        <v>58</v>
      </c>
      <c r="C94" s="12" t="s">
        <v>28</v>
      </c>
      <c r="D94" s="12" t="s">
        <v>398</v>
      </c>
      <c r="E94" s="18">
        <v>0</v>
      </c>
      <c r="F94" s="13"/>
      <c r="G94" s="12" t="s">
        <v>35</v>
      </c>
      <c r="H94" s="12" t="s">
        <v>566</v>
      </c>
      <c r="I94" s="13"/>
      <c r="J94" s="12" t="s">
        <v>689</v>
      </c>
      <c r="K94" s="12" t="s">
        <v>535</v>
      </c>
    </row>
    <row r="95" spans="1:11" ht="30" customHeight="1">
      <c r="A95" s="12" t="s">
        <v>59</v>
      </c>
      <c r="B95" s="12" t="s">
        <v>58</v>
      </c>
      <c r="C95" s="12" t="s">
        <v>28</v>
      </c>
      <c r="D95" s="12" t="s">
        <v>399</v>
      </c>
      <c r="E95" s="18">
        <v>0</v>
      </c>
      <c r="F95" s="13"/>
      <c r="G95" s="12" t="s">
        <v>35</v>
      </c>
      <c r="H95" s="12" t="s">
        <v>690</v>
      </c>
      <c r="I95" s="13"/>
      <c r="J95" s="12" t="s">
        <v>691</v>
      </c>
      <c r="K95" s="12" t="s">
        <v>535</v>
      </c>
    </row>
    <row r="96" spans="1:11" ht="30" customHeight="1">
      <c r="A96" s="12" t="s">
        <v>59</v>
      </c>
      <c r="B96" s="12" t="s">
        <v>58</v>
      </c>
      <c r="C96" s="12" t="s">
        <v>28</v>
      </c>
      <c r="D96" s="12" t="s">
        <v>400</v>
      </c>
      <c r="E96" s="18">
        <v>1</v>
      </c>
      <c r="F96" s="13"/>
      <c r="G96" s="12" t="s">
        <v>35</v>
      </c>
      <c r="H96" s="12" t="s">
        <v>692</v>
      </c>
      <c r="I96" s="13"/>
      <c r="J96" s="12" t="s">
        <v>693</v>
      </c>
      <c r="K96" s="12" t="s">
        <v>535</v>
      </c>
    </row>
    <row r="97" spans="1:11" ht="30" customHeight="1">
      <c r="A97" s="12" t="s">
        <v>90</v>
      </c>
      <c r="B97" s="12" t="s">
        <v>88</v>
      </c>
      <c r="C97" s="12" t="s">
        <v>79</v>
      </c>
      <c r="D97" s="12" t="s">
        <v>391</v>
      </c>
      <c r="E97" s="18">
        <v>3</v>
      </c>
      <c r="F97" s="13"/>
      <c r="G97" s="12" t="s">
        <v>694</v>
      </c>
      <c r="H97" s="12" t="s">
        <v>695</v>
      </c>
      <c r="I97" s="13"/>
      <c r="J97" s="12" t="s">
        <v>696</v>
      </c>
      <c r="K97" s="12" t="s">
        <v>535</v>
      </c>
    </row>
    <row r="98" spans="1:11" ht="30" customHeight="1">
      <c r="A98" s="12" t="s">
        <v>90</v>
      </c>
      <c r="B98" s="12" t="s">
        <v>88</v>
      </c>
      <c r="C98" s="12" t="s">
        <v>79</v>
      </c>
      <c r="D98" s="12" t="s">
        <v>392</v>
      </c>
      <c r="E98" s="18">
        <v>3</v>
      </c>
      <c r="F98" s="13"/>
      <c r="G98" s="12" t="s">
        <v>694</v>
      </c>
      <c r="H98" s="12" t="s">
        <v>697</v>
      </c>
      <c r="I98" s="13"/>
      <c r="J98" s="12" t="s">
        <v>698</v>
      </c>
      <c r="K98" s="12" t="s">
        <v>535</v>
      </c>
    </row>
    <row r="99" spans="1:11" ht="30" customHeight="1">
      <c r="A99" s="12" t="s">
        <v>90</v>
      </c>
      <c r="B99" s="12" t="s">
        <v>88</v>
      </c>
      <c r="C99" s="12" t="s">
        <v>79</v>
      </c>
      <c r="D99" s="12" t="s">
        <v>393</v>
      </c>
      <c r="E99" s="18">
        <v>3</v>
      </c>
      <c r="F99" s="13"/>
      <c r="G99" s="12" t="s">
        <v>694</v>
      </c>
      <c r="H99" s="12" t="s">
        <v>699</v>
      </c>
      <c r="I99" s="13"/>
      <c r="J99" s="12" t="s">
        <v>700</v>
      </c>
      <c r="K99" s="12" t="s">
        <v>535</v>
      </c>
    </row>
    <row r="100" spans="1:11" ht="30" customHeight="1">
      <c r="A100" s="12" t="s">
        <v>90</v>
      </c>
      <c r="B100" s="12" t="s">
        <v>88</v>
      </c>
      <c r="C100" s="12" t="s">
        <v>79</v>
      </c>
      <c r="D100" s="12" t="s">
        <v>394</v>
      </c>
      <c r="E100" s="18">
        <v>3</v>
      </c>
      <c r="F100" s="13"/>
      <c r="G100" s="12" t="s">
        <v>694</v>
      </c>
      <c r="H100" s="12" t="s">
        <v>701</v>
      </c>
      <c r="I100" s="13"/>
      <c r="J100" s="12" t="s">
        <v>702</v>
      </c>
      <c r="K100" s="12" t="s">
        <v>535</v>
      </c>
    </row>
    <row r="101" spans="1:11" ht="30" customHeight="1">
      <c r="A101" s="12" t="s">
        <v>90</v>
      </c>
      <c r="B101" s="12" t="s">
        <v>88</v>
      </c>
      <c r="C101" s="12" t="s">
        <v>79</v>
      </c>
      <c r="D101" s="12" t="s">
        <v>395</v>
      </c>
      <c r="E101" s="18">
        <v>2</v>
      </c>
      <c r="F101" s="13"/>
      <c r="G101" s="12" t="s">
        <v>694</v>
      </c>
      <c r="H101" s="12" t="s">
        <v>703</v>
      </c>
      <c r="I101" s="13"/>
      <c r="J101" s="12" t="s">
        <v>704</v>
      </c>
      <c r="K101" s="12" t="s">
        <v>535</v>
      </c>
    </row>
    <row r="102" spans="1:11" ht="30" customHeight="1">
      <c r="A102" s="12" t="s">
        <v>90</v>
      </c>
      <c r="B102" s="12" t="s">
        <v>88</v>
      </c>
      <c r="C102" s="12" t="s">
        <v>79</v>
      </c>
      <c r="D102" s="12" t="s">
        <v>396</v>
      </c>
      <c r="E102" s="18">
        <v>2</v>
      </c>
      <c r="F102" s="13"/>
      <c r="G102" s="12" t="s">
        <v>694</v>
      </c>
      <c r="H102" s="12" t="s">
        <v>705</v>
      </c>
      <c r="I102" s="13"/>
      <c r="J102" s="12" t="s">
        <v>706</v>
      </c>
      <c r="K102" s="12" t="s">
        <v>535</v>
      </c>
    </row>
    <row r="103" spans="1:11" ht="30" customHeight="1">
      <c r="A103" s="12" t="s">
        <v>90</v>
      </c>
      <c r="B103" s="12" t="s">
        <v>88</v>
      </c>
      <c r="C103" s="12" t="s">
        <v>79</v>
      </c>
      <c r="D103" s="12" t="s">
        <v>397</v>
      </c>
      <c r="E103" s="18">
        <v>0</v>
      </c>
      <c r="F103" s="13"/>
      <c r="G103" s="12" t="s">
        <v>707</v>
      </c>
      <c r="H103" s="12" t="s">
        <v>708</v>
      </c>
      <c r="I103" s="13"/>
      <c r="J103" s="12" t="s">
        <v>709</v>
      </c>
      <c r="K103" s="12" t="s">
        <v>535</v>
      </c>
    </row>
    <row r="104" spans="1:11" ht="30" customHeight="1">
      <c r="A104" s="12" t="s">
        <v>90</v>
      </c>
      <c r="B104" s="12" t="s">
        <v>88</v>
      </c>
      <c r="C104" s="12" t="s">
        <v>79</v>
      </c>
      <c r="D104" s="12" t="s">
        <v>398</v>
      </c>
      <c r="E104" s="18">
        <v>2</v>
      </c>
      <c r="F104" s="13"/>
      <c r="G104" s="12" t="s">
        <v>694</v>
      </c>
      <c r="H104" s="12" t="s">
        <v>710</v>
      </c>
      <c r="I104" s="13"/>
      <c r="J104" s="12" t="s">
        <v>711</v>
      </c>
      <c r="K104" s="12" t="s">
        <v>535</v>
      </c>
    </row>
    <row r="105" spans="1:11" ht="30" customHeight="1">
      <c r="A105" s="12" t="s">
        <v>90</v>
      </c>
      <c r="B105" s="12" t="s">
        <v>88</v>
      </c>
      <c r="C105" s="12" t="s">
        <v>79</v>
      </c>
      <c r="D105" s="12" t="s">
        <v>399</v>
      </c>
      <c r="E105" s="18">
        <v>3</v>
      </c>
      <c r="F105" s="13"/>
      <c r="G105" s="12" t="s">
        <v>694</v>
      </c>
      <c r="H105" s="12" t="s">
        <v>712</v>
      </c>
      <c r="I105" s="13"/>
      <c r="J105" s="12" t="s">
        <v>713</v>
      </c>
      <c r="K105" s="12" t="s">
        <v>535</v>
      </c>
    </row>
    <row r="106" spans="1:11" ht="30" customHeight="1">
      <c r="A106" s="12" t="s">
        <v>90</v>
      </c>
      <c r="B106" s="12" t="s">
        <v>88</v>
      </c>
      <c r="C106" s="12" t="s">
        <v>79</v>
      </c>
      <c r="D106" s="12" t="s">
        <v>400</v>
      </c>
      <c r="E106" s="18">
        <v>2</v>
      </c>
      <c r="F106" s="13"/>
      <c r="G106" s="12" t="s">
        <v>694</v>
      </c>
      <c r="H106" s="12" t="s">
        <v>714</v>
      </c>
      <c r="I106" s="13"/>
      <c r="J106" s="12" t="s">
        <v>715</v>
      </c>
      <c r="K106" s="12" t="s">
        <v>535</v>
      </c>
    </row>
    <row r="107" spans="1:11" ht="30" customHeight="1">
      <c r="A107" s="12" t="s">
        <v>102</v>
      </c>
      <c r="B107" s="12" t="s">
        <v>100</v>
      </c>
      <c r="C107" s="12" t="s">
        <v>79</v>
      </c>
      <c r="D107" s="12" t="s">
        <v>391</v>
      </c>
      <c r="E107" s="18">
        <v>3</v>
      </c>
      <c r="F107" s="13"/>
      <c r="G107" s="12" t="s">
        <v>716</v>
      </c>
      <c r="H107" s="12" t="s">
        <v>717</v>
      </c>
      <c r="I107" s="13"/>
      <c r="J107" s="12" t="s">
        <v>718</v>
      </c>
      <c r="K107" s="12" t="s">
        <v>535</v>
      </c>
    </row>
    <row r="108" spans="1:11" ht="30" customHeight="1">
      <c r="A108" s="12" t="s">
        <v>102</v>
      </c>
      <c r="B108" s="12" t="s">
        <v>100</v>
      </c>
      <c r="C108" s="12" t="s">
        <v>79</v>
      </c>
      <c r="D108" s="12" t="s">
        <v>392</v>
      </c>
      <c r="E108" s="18">
        <v>3</v>
      </c>
      <c r="F108" s="13"/>
      <c r="G108" s="12" t="s">
        <v>716</v>
      </c>
      <c r="H108" s="12" t="s">
        <v>719</v>
      </c>
      <c r="I108" s="13"/>
      <c r="J108" s="12" t="s">
        <v>720</v>
      </c>
      <c r="K108" s="12" t="s">
        <v>535</v>
      </c>
    </row>
    <row r="109" spans="1:11" ht="30" customHeight="1">
      <c r="A109" s="12" t="s">
        <v>102</v>
      </c>
      <c r="B109" s="12" t="s">
        <v>100</v>
      </c>
      <c r="C109" s="12" t="s">
        <v>79</v>
      </c>
      <c r="D109" s="12" t="s">
        <v>393</v>
      </c>
      <c r="E109" s="18">
        <v>3</v>
      </c>
      <c r="F109" s="13"/>
      <c r="G109" s="12" t="s">
        <v>716</v>
      </c>
      <c r="H109" s="12" t="s">
        <v>721</v>
      </c>
      <c r="I109" s="13"/>
      <c r="J109" s="12" t="s">
        <v>722</v>
      </c>
      <c r="K109" s="12" t="s">
        <v>535</v>
      </c>
    </row>
    <row r="110" spans="1:11" ht="30" customHeight="1">
      <c r="A110" s="12" t="s">
        <v>102</v>
      </c>
      <c r="B110" s="12" t="s">
        <v>100</v>
      </c>
      <c r="C110" s="12" t="s">
        <v>79</v>
      </c>
      <c r="D110" s="12" t="s">
        <v>394</v>
      </c>
      <c r="E110" s="18">
        <v>3</v>
      </c>
      <c r="F110" s="13"/>
      <c r="G110" s="12" t="s">
        <v>716</v>
      </c>
      <c r="H110" s="12" t="s">
        <v>723</v>
      </c>
      <c r="I110" s="13"/>
      <c r="J110" s="12" t="s">
        <v>724</v>
      </c>
      <c r="K110" s="12" t="s">
        <v>535</v>
      </c>
    </row>
    <row r="111" spans="1:11" ht="30" customHeight="1">
      <c r="A111" s="12" t="s">
        <v>102</v>
      </c>
      <c r="B111" s="12" t="s">
        <v>100</v>
      </c>
      <c r="C111" s="12" t="s">
        <v>79</v>
      </c>
      <c r="D111" s="12" t="s">
        <v>395</v>
      </c>
      <c r="E111" s="18">
        <v>2</v>
      </c>
      <c r="F111" s="13"/>
      <c r="G111" s="12" t="s">
        <v>716</v>
      </c>
      <c r="H111" s="12" t="s">
        <v>725</v>
      </c>
      <c r="I111" s="13"/>
      <c r="J111" s="12" t="s">
        <v>726</v>
      </c>
      <c r="K111" s="12" t="s">
        <v>535</v>
      </c>
    </row>
    <row r="112" spans="1:11" ht="30" customHeight="1">
      <c r="A112" s="12" t="s">
        <v>102</v>
      </c>
      <c r="B112" s="12" t="s">
        <v>100</v>
      </c>
      <c r="C112" s="12" t="s">
        <v>79</v>
      </c>
      <c r="D112" s="12" t="s">
        <v>396</v>
      </c>
      <c r="E112" s="18">
        <v>2</v>
      </c>
      <c r="F112" s="13"/>
      <c r="G112" s="12" t="s">
        <v>716</v>
      </c>
      <c r="H112" s="12" t="s">
        <v>725</v>
      </c>
      <c r="I112" s="13"/>
      <c r="J112" s="12" t="s">
        <v>727</v>
      </c>
      <c r="K112" s="12" t="s">
        <v>535</v>
      </c>
    </row>
    <row r="113" spans="1:11" ht="30" customHeight="1">
      <c r="A113" s="12" t="s">
        <v>102</v>
      </c>
      <c r="B113" s="12" t="s">
        <v>100</v>
      </c>
      <c r="C113" s="12" t="s">
        <v>79</v>
      </c>
      <c r="D113" s="12" t="s">
        <v>397</v>
      </c>
      <c r="E113" s="18">
        <v>0</v>
      </c>
      <c r="F113" s="13"/>
      <c r="G113" s="12" t="s">
        <v>728</v>
      </c>
      <c r="H113" s="12" t="s">
        <v>708</v>
      </c>
      <c r="I113" s="13"/>
      <c r="J113" s="12" t="s">
        <v>709</v>
      </c>
      <c r="K113" s="12" t="s">
        <v>535</v>
      </c>
    </row>
    <row r="114" spans="1:11" ht="30" customHeight="1">
      <c r="A114" s="12" t="s">
        <v>102</v>
      </c>
      <c r="B114" s="12" t="s">
        <v>100</v>
      </c>
      <c r="C114" s="12" t="s">
        <v>79</v>
      </c>
      <c r="D114" s="12" t="s">
        <v>398</v>
      </c>
      <c r="E114" s="18">
        <v>1</v>
      </c>
      <c r="F114" s="13"/>
      <c r="G114" s="12" t="s">
        <v>716</v>
      </c>
      <c r="H114" s="12" t="s">
        <v>729</v>
      </c>
      <c r="I114" s="13"/>
      <c r="J114" s="12" t="s">
        <v>730</v>
      </c>
      <c r="K114" s="12" t="s">
        <v>535</v>
      </c>
    </row>
    <row r="115" spans="1:11" ht="30" customHeight="1">
      <c r="A115" s="12" t="s">
        <v>102</v>
      </c>
      <c r="B115" s="12" t="s">
        <v>100</v>
      </c>
      <c r="C115" s="12" t="s">
        <v>79</v>
      </c>
      <c r="D115" s="12" t="s">
        <v>399</v>
      </c>
      <c r="E115" s="18">
        <v>3</v>
      </c>
      <c r="F115" s="13"/>
      <c r="G115" s="12" t="s">
        <v>716</v>
      </c>
      <c r="H115" s="12" t="s">
        <v>731</v>
      </c>
      <c r="I115" s="13"/>
      <c r="J115" s="12" t="s">
        <v>732</v>
      </c>
      <c r="K115" s="12" t="s">
        <v>535</v>
      </c>
    </row>
    <row r="116" spans="1:11" ht="30" customHeight="1">
      <c r="A116" s="12" t="s">
        <v>102</v>
      </c>
      <c r="B116" s="12" t="s">
        <v>100</v>
      </c>
      <c r="C116" s="12" t="s">
        <v>79</v>
      </c>
      <c r="D116" s="12" t="s">
        <v>400</v>
      </c>
      <c r="E116" s="18">
        <v>2</v>
      </c>
      <c r="F116" s="13"/>
      <c r="G116" s="12" t="s">
        <v>716</v>
      </c>
      <c r="H116" s="12" t="s">
        <v>733</v>
      </c>
      <c r="I116" s="13"/>
      <c r="J116" s="12" t="s">
        <v>734</v>
      </c>
      <c r="K116" s="12" t="s">
        <v>535</v>
      </c>
    </row>
    <row r="117" spans="1:11" ht="30" customHeight="1">
      <c r="A117" s="12" t="s">
        <v>81</v>
      </c>
      <c r="B117" s="12" t="s">
        <v>78</v>
      </c>
      <c r="C117" s="12" t="s">
        <v>79</v>
      </c>
      <c r="D117" s="12" t="s">
        <v>391</v>
      </c>
      <c r="E117" s="18">
        <v>3</v>
      </c>
      <c r="F117" s="13"/>
      <c r="G117" s="12" t="s">
        <v>80</v>
      </c>
      <c r="H117" s="12" t="s">
        <v>735</v>
      </c>
      <c r="I117" s="13"/>
      <c r="J117" s="12" t="s">
        <v>736</v>
      </c>
      <c r="K117" s="12" t="s">
        <v>535</v>
      </c>
    </row>
    <row r="118" spans="1:11" ht="30" customHeight="1">
      <c r="A118" s="12" t="s">
        <v>81</v>
      </c>
      <c r="B118" s="12" t="s">
        <v>78</v>
      </c>
      <c r="C118" s="12" t="s">
        <v>79</v>
      </c>
      <c r="D118" s="12" t="s">
        <v>392</v>
      </c>
      <c r="E118" s="18">
        <v>2</v>
      </c>
      <c r="F118" s="13"/>
      <c r="G118" s="12" t="s">
        <v>80</v>
      </c>
      <c r="H118" s="12" t="s">
        <v>737</v>
      </c>
      <c r="I118" s="13"/>
      <c r="J118" s="12" t="s">
        <v>738</v>
      </c>
      <c r="K118" s="12" t="s">
        <v>535</v>
      </c>
    </row>
    <row r="119" spans="1:11" ht="30" customHeight="1">
      <c r="A119" s="12" t="s">
        <v>81</v>
      </c>
      <c r="B119" s="12" t="s">
        <v>78</v>
      </c>
      <c r="C119" s="12" t="s">
        <v>79</v>
      </c>
      <c r="D119" s="12" t="s">
        <v>393</v>
      </c>
      <c r="E119" s="18">
        <v>3</v>
      </c>
      <c r="F119" s="13"/>
      <c r="G119" s="12" t="s">
        <v>80</v>
      </c>
      <c r="H119" s="12" t="s">
        <v>739</v>
      </c>
      <c r="I119" s="13"/>
      <c r="J119" s="12" t="s">
        <v>740</v>
      </c>
      <c r="K119" s="12" t="s">
        <v>535</v>
      </c>
    </row>
    <row r="120" spans="1:11" ht="30" customHeight="1">
      <c r="A120" s="12" t="s">
        <v>81</v>
      </c>
      <c r="B120" s="12" t="s">
        <v>78</v>
      </c>
      <c r="C120" s="12" t="s">
        <v>79</v>
      </c>
      <c r="D120" s="12" t="s">
        <v>394</v>
      </c>
      <c r="E120" s="18">
        <v>3</v>
      </c>
      <c r="F120" s="13"/>
      <c r="G120" s="12" t="s">
        <v>80</v>
      </c>
      <c r="H120" s="12" t="s">
        <v>741</v>
      </c>
      <c r="I120" s="13"/>
      <c r="J120" s="12" t="s">
        <v>742</v>
      </c>
      <c r="K120" s="12" t="s">
        <v>535</v>
      </c>
    </row>
    <row r="121" spans="1:11" ht="30" customHeight="1">
      <c r="A121" s="12" t="s">
        <v>81</v>
      </c>
      <c r="B121" s="12" t="s">
        <v>78</v>
      </c>
      <c r="C121" s="12" t="s">
        <v>79</v>
      </c>
      <c r="D121" s="12" t="s">
        <v>395</v>
      </c>
      <c r="E121" s="18">
        <v>2</v>
      </c>
      <c r="F121" s="13"/>
      <c r="G121" s="12" t="s">
        <v>80</v>
      </c>
      <c r="H121" s="12" t="s">
        <v>743</v>
      </c>
      <c r="I121" s="13"/>
      <c r="J121" s="12" t="s">
        <v>744</v>
      </c>
      <c r="K121" s="12" t="s">
        <v>535</v>
      </c>
    </row>
    <row r="122" spans="1:11" ht="30" customHeight="1">
      <c r="A122" s="12" t="s">
        <v>81</v>
      </c>
      <c r="B122" s="12" t="s">
        <v>78</v>
      </c>
      <c r="C122" s="12" t="s">
        <v>79</v>
      </c>
      <c r="D122" s="12" t="s">
        <v>396</v>
      </c>
      <c r="E122" s="18">
        <v>2</v>
      </c>
      <c r="F122" s="13"/>
      <c r="G122" s="12" t="s">
        <v>80</v>
      </c>
      <c r="H122" s="12" t="s">
        <v>745</v>
      </c>
      <c r="I122" s="13"/>
      <c r="J122" s="12" t="s">
        <v>746</v>
      </c>
      <c r="K122" s="12" t="s">
        <v>535</v>
      </c>
    </row>
    <row r="123" spans="1:11" ht="30" customHeight="1">
      <c r="A123" s="12" t="s">
        <v>81</v>
      </c>
      <c r="B123" s="12" t="s">
        <v>78</v>
      </c>
      <c r="C123" s="12" t="s">
        <v>79</v>
      </c>
      <c r="D123" s="12" t="s">
        <v>397</v>
      </c>
      <c r="E123" s="18">
        <v>3</v>
      </c>
      <c r="F123" s="13"/>
      <c r="G123" s="12" t="s">
        <v>80</v>
      </c>
      <c r="H123" s="12" t="s">
        <v>747</v>
      </c>
      <c r="I123" s="13"/>
      <c r="J123" s="12" t="s">
        <v>748</v>
      </c>
      <c r="K123" s="12" t="s">
        <v>535</v>
      </c>
    </row>
    <row r="124" spans="1:11" ht="30" customHeight="1">
      <c r="A124" s="12" t="s">
        <v>81</v>
      </c>
      <c r="B124" s="12" t="s">
        <v>78</v>
      </c>
      <c r="C124" s="12" t="s">
        <v>79</v>
      </c>
      <c r="D124" s="12" t="s">
        <v>398</v>
      </c>
      <c r="E124" s="18">
        <v>3</v>
      </c>
      <c r="F124" s="13"/>
      <c r="G124" s="12" t="s">
        <v>80</v>
      </c>
      <c r="H124" s="12" t="s">
        <v>749</v>
      </c>
      <c r="I124" s="13"/>
      <c r="J124" s="12" t="s">
        <v>750</v>
      </c>
      <c r="K124" s="12" t="s">
        <v>535</v>
      </c>
    </row>
    <row r="125" spans="1:11" ht="30" customHeight="1">
      <c r="A125" s="12" t="s">
        <v>81</v>
      </c>
      <c r="B125" s="12" t="s">
        <v>78</v>
      </c>
      <c r="C125" s="12" t="s">
        <v>79</v>
      </c>
      <c r="D125" s="12" t="s">
        <v>399</v>
      </c>
      <c r="E125" s="18">
        <v>2</v>
      </c>
      <c r="F125" s="13"/>
      <c r="G125" s="12" t="s">
        <v>80</v>
      </c>
      <c r="H125" s="12" t="s">
        <v>751</v>
      </c>
      <c r="I125" s="13"/>
      <c r="J125" s="12" t="s">
        <v>752</v>
      </c>
      <c r="K125" s="12" t="s">
        <v>535</v>
      </c>
    </row>
    <row r="126" spans="1:11" ht="30" customHeight="1">
      <c r="A126" s="12" t="s">
        <v>81</v>
      </c>
      <c r="B126" s="12" t="s">
        <v>78</v>
      </c>
      <c r="C126" s="12" t="s">
        <v>79</v>
      </c>
      <c r="D126" s="12" t="s">
        <v>400</v>
      </c>
      <c r="E126" s="18">
        <v>2</v>
      </c>
      <c r="F126" s="13"/>
      <c r="G126" s="12" t="s">
        <v>80</v>
      </c>
      <c r="H126" s="12" t="s">
        <v>753</v>
      </c>
      <c r="I126" s="13"/>
      <c r="J126" s="12" t="s">
        <v>754</v>
      </c>
      <c r="K126" s="12" t="s">
        <v>535</v>
      </c>
    </row>
    <row r="127" spans="1:11" ht="30" customHeight="1">
      <c r="A127" s="12" t="s">
        <v>94</v>
      </c>
      <c r="B127" s="12" t="s">
        <v>92</v>
      </c>
      <c r="C127" s="12" t="s">
        <v>79</v>
      </c>
      <c r="D127" s="12" t="s">
        <v>391</v>
      </c>
      <c r="E127" s="18">
        <v>3</v>
      </c>
      <c r="F127" s="13"/>
      <c r="G127" s="12" t="s">
        <v>93</v>
      </c>
      <c r="H127" s="12" t="s">
        <v>755</v>
      </c>
      <c r="I127" s="13"/>
      <c r="J127" s="12" t="s">
        <v>756</v>
      </c>
      <c r="K127" s="12" t="s">
        <v>535</v>
      </c>
    </row>
    <row r="128" spans="1:11" ht="30" customHeight="1">
      <c r="A128" s="12" t="s">
        <v>94</v>
      </c>
      <c r="B128" s="12" t="s">
        <v>92</v>
      </c>
      <c r="C128" s="12" t="s">
        <v>79</v>
      </c>
      <c r="D128" s="12" t="s">
        <v>392</v>
      </c>
      <c r="E128" s="18">
        <v>3</v>
      </c>
      <c r="F128" s="13"/>
      <c r="G128" s="12" t="s">
        <v>93</v>
      </c>
      <c r="H128" s="12" t="s">
        <v>757</v>
      </c>
      <c r="I128" s="13"/>
      <c r="J128" s="12" t="s">
        <v>758</v>
      </c>
      <c r="K128" s="12" t="s">
        <v>535</v>
      </c>
    </row>
    <row r="129" spans="1:11" ht="30" customHeight="1">
      <c r="A129" s="12" t="s">
        <v>94</v>
      </c>
      <c r="B129" s="12" t="s">
        <v>92</v>
      </c>
      <c r="C129" s="12" t="s">
        <v>79</v>
      </c>
      <c r="D129" s="12" t="s">
        <v>393</v>
      </c>
      <c r="E129" s="18">
        <v>3</v>
      </c>
      <c r="F129" s="13"/>
      <c r="G129" s="12" t="s">
        <v>93</v>
      </c>
      <c r="H129" s="12" t="s">
        <v>759</v>
      </c>
      <c r="I129" s="13"/>
      <c r="J129" s="12" t="s">
        <v>760</v>
      </c>
      <c r="K129" s="12" t="s">
        <v>535</v>
      </c>
    </row>
    <row r="130" spans="1:11" ht="30" customHeight="1">
      <c r="A130" s="12" t="s">
        <v>94</v>
      </c>
      <c r="B130" s="12" t="s">
        <v>92</v>
      </c>
      <c r="C130" s="12" t="s">
        <v>79</v>
      </c>
      <c r="D130" s="12" t="s">
        <v>394</v>
      </c>
      <c r="E130" s="18">
        <v>3</v>
      </c>
      <c r="F130" s="13"/>
      <c r="G130" s="12" t="s">
        <v>93</v>
      </c>
      <c r="H130" s="12" t="s">
        <v>761</v>
      </c>
      <c r="I130" s="13"/>
      <c r="J130" s="12" t="s">
        <v>762</v>
      </c>
      <c r="K130" s="12" t="s">
        <v>535</v>
      </c>
    </row>
    <row r="131" spans="1:11" ht="30" customHeight="1">
      <c r="A131" s="12" t="s">
        <v>94</v>
      </c>
      <c r="B131" s="12" t="s">
        <v>92</v>
      </c>
      <c r="C131" s="12" t="s">
        <v>79</v>
      </c>
      <c r="D131" s="12" t="s">
        <v>395</v>
      </c>
      <c r="E131" s="18">
        <v>3</v>
      </c>
      <c r="F131" s="13"/>
      <c r="G131" s="12" t="s">
        <v>93</v>
      </c>
      <c r="H131" s="12" t="s">
        <v>763</v>
      </c>
      <c r="I131" s="13"/>
      <c r="J131" s="12" t="s">
        <v>764</v>
      </c>
      <c r="K131" s="12" t="s">
        <v>535</v>
      </c>
    </row>
    <row r="132" spans="1:11" ht="30" customHeight="1">
      <c r="A132" s="12" t="s">
        <v>94</v>
      </c>
      <c r="B132" s="12" t="s">
        <v>92</v>
      </c>
      <c r="C132" s="12" t="s">
        <v>79</v>
      </c>
      <c r="D132" s="12" t="s">
        <v>396</v>
      </c>
      <c r="E132" s="18">
        <v>3</v>
      </c>
      <c r="F132" s="13"/>
      <c r="G132" s="12" t="s">
        <v>93</v>
      </c>
      <c r="H132" s="12" t="s">
        <v>765</v>
      </c>
      <c r="I132" s="13"/>
      <c r="J132" s="12" t="s">
        <v>766</v>
      </c>
      <c r="K132" s="12" t="s">
        <v>535</v>
      </c>
    </row>
    <row r="133" spans="1:11" ht="30" customHeight="1">
      <c r="A133" s="12" t="s">
        <v>94</v>
      </c>
      <c r="B133" s="12" t="s">
        <v>92</v>
      </c>
      <c r="C133" s="12" t="s">
        <v>79</v>
      </c>
      <c r="D133" s="12" t="s">
        <v>397</v>
      </c>
      <c r="E133" s="18">
        <v>3</v>
      </c>
      <c r="F133" s="13"/>
      <c r="G133" s="12" t="s">
        <v>93</v>
      </c>
      <c r="H133" s="12" t="s">
        <v>767</v>
      </c>
      <c r="I133" s="13"/>
      <c r="J133" s="12" t="s">
        <v>768</v>
      </c>
      <c r="K133" s="12" t="s">
        <v>535</v>
      </c>
    </row>
    <row r="134" spans="1:11" ht="30" customHeight="1">
      <c r="A134" s="12" t="s">
        <v>94</v>
      </c>
      <c r="B134" s="12" t="s">
        <v>92</v>
      </c>
      <c r="C134" s="12" t="s">
        <v>79</v>
      </c>
      <c r="D134" s="12" t="s">
        <v>398</v>
      </c>
      <c r="E134" s="18">
        <v>3</v>
      </c>
      <c r="F134" s="13"/>
      <c r="G134" s="12" t="s">
        <v>93</v>
      </c>
      <c r="H134" s="12" t="s">
        <v>769</v>
      </c>
      <c r="I134" s="13"/>
      <c r="J134" s="12" t="s">
        <v>770</v>
      </c>
      <c r="K134" s="12" t="s">
        <v>535</v>
      </c>
    </row>
    <row r="135" spans="1:11" ht="30" customHeight="1">
      <c r="A135" s="12" t="s">
        <v>94</v>
      </c>
      <c r="B135" s="12" t="s">
        <v>92</v>
      </c>
      <c r="C135" s="12" t="s">
        <v>79</v>
      </c>
      <c r="D135" s="12" t="s">
        <v>399</v>
      </c>
      <c r="E135" s="18">
        <v>3</v>
      </c>
      <c r="F135" s="13"/>
      <c r="G135" s="12" t="s">
        <v>93</v>
      </c>
      <c r="H135" s="12" t="s">
        <v>755</v>
      </c>
      <c r="I135" s="13"/>
      <c r="J135" s="12" t="s">
        <v>771</v>
      </c>
      <c r="K135" s="12" t="s">
        <v>535</v>
      </c>
    </row>
    <row r="136" spans="1:11" ht="30" customHeight="1">
      <c r="A136" s="12" t="s">
        <v>94</v>
      </c>
      <c r="B136" s="12" t="s">
        <v>92</v>
      </c>
      <c r="C136" s="12" t="s">
        <v>79</v>
      </c>
      <c r="D136" s="12" t="s">
        <v>400</v>
      </c>
      <c r="E136" s="18">
        <v>2</v>
      </c>
      <c r="F136" s="13"/>
      <c r="G136" s="12" t="s">
        <v>93</v>
      </c>
      <c r="H136" s="12" t="s">
        <v>772</v>
      </c>
      <c r="I136" s="13"/>
      <c r="J136" s="12" t="s">
        <v>773</v>
      </c>
      <c r="K136" s="12" t="s">
        <v>535</v>
      </c>
    </row>
    <row r="137" spans="1:11" ht="30" customHeight="1">
      <c r="A137" s="12" t="s">
        <v>106</v>
      </c>
      <c r="B137" s="12" t="s">
        <v>104</v>
      </c>
      <c r="C137" s="12" t="s">
        <v>79</v>
      </c>
      <c r="D137" s="12" t="s">
        <v>391</v>
      </c>
      <c r="E137" s="18">
        <v>3</v>
      </c>
      <c r="F137" s="13"/>
      <c r="G137" s="12" t="s">
        <v>105</v>
      </c>
      <c r="H137" s="12" t="s">
        <v>774</v>
      </c>
      <c r="I137" s="13"/>
      <c r="J137" s="12" t="s">
        <v>775</v>
      </c>
      <c r="K137" s="12" t="s">
        <v>535</v>
      </c>
    </row>
    <row r="138" spans="1:11" ht="30" customHeight="1">
      <c r="A138" s="12" t="s">
        <v>106</v>
      </c>
      <c r="B138" s="12" t="s">
        <v>104</v>
      </c>
      <c r="C138" s="12" t="s">
        <v>79</v>
      </c>
      <c r="D138" s="12" t="s">
        <v>392</v>
      </c>
      <c r="E138" s="18">
        <v>3</v>
      </c>
      <c r="F138" s="13"/>
      <c r="G138" s="12" t="s">
        <v>105</v>
      </c>
      <c r="H138" s="12" t="s">
        <v>776</v>
      </c>
      <c r="I138" s="13"/>
      <c r="J138" s="12" t="s">
        <v>777</v>
      </c>
      <c r="K138" s="12" t="s">
        <v>535</v>
      </c>
    </row>
    <row r="139" spans="1:11" ht="30" customHeight="1">
      <c r="A139" s="12" t="s">
        <v>106</v>
      </c>
      <c r="B139" s="12" t="s">
        <v>104</v>
      </c>
      <c r="C139" s="12" t="s">
        <v>79</v>
      </c>
      <c r="D139" s="12" t="s">
        <v>393</v>
      </c>
      <c r="E139" s="18">
        <v>3</v>
      </c>
      <c r="F139" s="13"/>
      <c r="G139" s="12" t="s">
        <v>105</v>
      </c>
      <c r="H139" s="12" t="s">
        <v>778</v>
      </c>
      <c r="I139" s="13"/>
      <c r="J139" s="12" t="s">
        <v>779</v>
      </c>
      <c r="K139" s="12" t="s">
        <v>535</v>
      </c>
    </row>
    <row r="140" spans="1:11" ht="30" customHeight="1">
      <c r="A140" s="12" t="s">
        <v>106</v>
      </c>
      <c r="B140" s="12" t="s">
        <v>104</v>
      </c>
      <c r="C140" s="12" t="s">
        <v>79</v>
      </c>
      <c r="D140" s="12" t="s">
        <v>394</v>
      </c>
      <c r="E140" s="18">
        <v>3</v>
      </c>
      <c r="F140" s="13"/>
      <c r="G140" s="12" t="s">
        <v>105</v>
      </c>
      <c r="H140" s="12" t="s">
        <v>780</v>
      </c>
      <c r="I140" s="13"/>
      <c r="J140" s="12" t="s">
        <v>781</v>
      </c>
      <c r="K140" s="12" t="s">
        <v>535</v>
      </c>
    </row>
    <row r="141" spans="1:11" ht="30" customHeight="1">
      <c r="A141" s="12" t="s">
        <v>106</v>
      </c>
      <c r="B141" s="12" t="s">
        <v>104</v>
      </c>
      <c r="C141" s="12" t="s">
        <v>79</v>
      </c>
      <c r="D141" s="12" t="s">
        <v>395</v>
      </c>
      <c r="E141" s="18">
        <v>2</v>
      </c>
      <c r="F141" s="13"/>
      <c r="G141" s="12" t="s">
        <v>105</v>
      </c>
      <c r="H141" s="12" t="s">
        <v>782</v>
      </c>
      <c r="I141" s="13"/>
      <c r="J141" s="12" t="s">
        <v>783</v>
      </c>
      <c r="K141" s="12" t="s">
        <v>535</v>
      </c>
    </row>
    <row r="142" spans="1:11" ht="30" customHeight="1">
      <c r="A142" s="12" t="s">
        <v>106</v>
      </c>
      <c r="B142" s="12" t="s">
        <v>104</v>
      </c>
      <c r="C142" s="12" t="s">
        <v>79</v>
      </c>
      <c r="D142" s="12" t="s">
        <v>396</v>
      </c>
      <c r="E142" s="18">
        <v>2</v>
      </c>
      <c r="F142" s="13"/>
      <c r="G142" s="12" t="s">
        <v>105</v>
      </c>
      <c r="H142" s="12" t="s">
        <v>784</v>
      </c>
      <c r="I142" s="13"/>
      <c r="J142" s="12" t="s">
        <v>785</v>
      </c>
      <c r="K142" s="12" t="s">
        <v>535</v>
      </c>
    </row>
    <row r="143" spans="1:11" ht="30" customHeight="1">
      <c r="A143" s="12" t="s">
        <v>106</v>
      </c>
      <c r="B143" s="12" t="s">
        <v>104</v>
      </c>
      <c r="C143" s="12" t="s">
        <v>79</v>
      </c>
      <c r="D143" s="12" t="s">
        <v>397</v>
      </c>
      <c r="E143" s="18">
        <v>3</v>
      </c>
      <c r="F143" s="13"/>
      <c r="G143" s="12" t="s">
        <v>105</v>
      </c>
      <c r="H143" s="12" t="s">
        <v>786</v>
      </c>
      <c r="I143" s="13"/>
      <c r="J143" s="12" t="s">
        <v>787</v>
      </c>
      <c r="K143" s="12" t="s">
        <v>535</v>
      </c>
    </row>
    <row r="144" spans="1:11" ht="30" customHeight="1">
      <c r="A144" s="12" t="s">
        <v>106</v>
      </c>
      <c r="B144" s="12" t="s">
        <v>104</v>
      </c>
      <c r="C144" s="12" t="s">
        <v>79</v>
      </c>
      <c r="D144" s="12" t="s">
        <v>398</v>
      </c>
      <c r="E144" s="18">
        <v>3</v>
      </c>
      <c r="F144" s="13"/>
      <c r="G144" s="12" t="s">
        <v>105</v>
      </c>
      <c r="H144" s="12" t="s">
        <v>788</v>
      </c>
      <c r="I144" s="13"/>
      <c r="J144" s="12" t="s">
        <v>789</v>
      </c>
      <c r="K144" s="12" t="s">
        <v>535</v>
      </c>
    </row>
    <row r="145" spans="1:11" ht="30" customHeight="1">
      <c r="A145" s="12" t="s">
        <v>106</v>
      </c>
      <c r="B145" s="12" t="s">
        <v>104</v>
      </c>
      <c r="C145" s="12" t="s">
        <v>79</v>
      </c>
      <c r="D145" s="12" t="s">
        <v>399</v>
      </c>
      <c r="E145" s="18">
        <v>3</v>
      </c>
      <c r="F145" s="13"/>
      <c r="G145" s="12" t="s">
        <v>105</v>
      </c>
      <c r="H145" s="12" t="s">
        <v>790</v>
      </c>
      <c r="I145" s="13"/>
      <c r="J145" s="12" t="s">
        <v>791</v>
      </c>
      <c r="K145" s="12" t="s">
        <v>535</v>
      </c>
    </row>
    <row r="146" spans="1:11" ht="30" customHeight="1">
      <c r="A146" s="12" t="s">
        <v>106</v>
      </c>
      <c r="B146" s="12" t="s">
        <v>104</v>
      </c>
      <c r="C146" s="12" t="s">
        <v>79</v>
      </c>
      <c r="D146" s="12" t="s">
        <v>400</v>
      </c>
      <c r="E146" s="18">
        <v>2</v>
      </c>
      <c r="F146" s="13"/>
      <c r="G146" s="12" t="s">
        <v>105</v>
      </c>
      <c r="H146" s="12" t="s">
        <v>792</v>
      </c>
      <c r="I146" s="13"/>
      <c r="J146" s="12" t="s">
        <v>793</v>
      </c>
      <c r="K146" s="12" t="s">
        <v>535</v>
      </c>
    </row>
    <row r="147" spans="1:11" ht="30" customHeight="1">
      <c r="A147" s="12" t="s">
        <v>86</v>
      </c>
      <c r="B147" s="12" t="s">
        <v>84</v>
      </c>
      <c r="C147" s="12" t="s">
        <v>79</v>
      </c>
      <c r="D147" s="12" t="s">
        <v>391</v>
      </c>
      <c r="E147" s="18">
        <v>3</v>
      </c>
      <c r="F147" s="13"/>
      <c r="G147" s="12" t="s">
        <v>794</v>
      </c>
      <c r="H147" s="12" t="s">
        <v>795</v>
      </c>
      <c r="I147" s="13"/>
      <c r="J147" s="12" t="s">
        <v>796</v>
      </c>
      <c r="K147" s="12" t="s">
        <v>535</v>
      </c>
    </row>
    <row r="148" spans="1:11" ht="30" customHeight="1">
      <c r="A148" s="12" t="s">
        <v>86</v>
      </c>
      <c r="B148" s="12" t="s">
        <v>84</v>
      </c>
      <c r="C148" s="12" t="s">
        <v>79</v>
      </c>
      <c r="D148" s="12" t="s">
        <v>392</v>
      </c>
      <c r="E148" s="18">
        <v>1</v>
      </c>
      <c r="F148" s="13"/>
      <c r="G148" s="12" t="s">
        <v>794</v>
      </c>
      <c r="H148" s="12" t="s">
        <v>797</v>
      </c>
      <c r="I148" s="13"/>
      <c r="J148" s="12" t="s">
        <v>798</v>
      </c>
      <c r="K148" s="12" t="s">
        <v>535</v>
      </c>
    </row>
    <row r="149" spans="1:11" ht="30" customHeight="1">
      <c r="A149" s="12" t="s">
        <v>86</v>
      </c>
      <c r="B149" s="12" t="s">
        <v>84</v>
      </c>
      <c r="C149" s="12" t="s">
        <v>79</v>
      </c>
      <c r="D149" s="12" t="s">
        <v>393</v>
      </c>
      <c r="E149" s="18">
        <v>3</v>
      </c>
      <c r="F149" s="13"/>
      <c r="G149" s="12" t="s">
        <v>794</v>
      </c>
      <c r="H149" s="12" t="s">
        <v>799</v>
      </c>
      <c r="I149" s="13"/>
      <c r="J149" s="12" t="s">
        <v>800</v>
      </c>
      <c r="K149" s="12" t="s">
        <v>535</v>
      </c>
    </row>
    <row r="150" spans="1:11" ht="30" customHeight="1">
      <c r="A150" s="12" t="s">
        <v>86</v>
      </c>
      <c r="B150" s="12" t="s">
        <v>84</v>
      </c>
      <c r="C150" s="12" t="s">
        <v>79</v>
      </c>
      <c r="D150" s="12" t="s">
        <v>394</v>
      </c>
      <c r="E150" s="18">
        <v>3</v>
      </c>
      <c r="F150" s="13"/>
      <c r="G150" s="12" t="s">
        <v>794</v>
      </c>
      <c r="H150" s="12" t="s">
        <v>801</v>
      </c>
      <c r="I150" s="13"/>
      <c r="J150" s="12" t="s">
        <v>802</v>
      </c>
      <c r="K150" s="12" t="s">
        <v>535</v>
      </c>
    </row>
    <row r="151" spans="1:11" ht="30" customHeight="1">
      <c r="A151" s="12" t="s">
        <v>86</v>
      </c>
      <c r="B151" s="12" t="s">
        <v>84</v>
      </c>
      <c r="C151" s="12" t="s">
        <v>79</v>
      </c>
      <c r="D151" s="12" t="s">
        <v>395</v>
      </c>
      <c r="E151" s="18">
        <v>1</v>
      </c>
      <c r="F151" s="13"/>
      <c r="G151" s="12" t="s">
        <v>794</v>
      </c>
      <c r="H151" s="12" t="s">
        <v>803</v>
      </c>
      <c r="I151" s="13"/>
      <c r="J151" s="12" t="s">
        <v>804</v>
      </c>
      <c r="K151" s="12" t="s">
        <v>535</v>
      </c>
    </row>
    <row r="152" spans="1:11" ht="30" customHeight="1">
      <c r="A152" s="12" t="s">
        <v>86</v>
      </c>
      <c r="B152" s="12" t="s">
        <v>84</v>
      </c>
      <c r="C152" s="12" t="s">
        <v>79</v>
      </c>
      <c r="D152" s="12" t="s">
        <v>396</v>
      </c>
      <c r="E152" s="18">
        <v>2</v>
      </c>
      <c r="F152" s="13"/>
      <c r="G152" s="12" t="s">
        <v>794</v>
      </c>
      <c r="H152" s="12" t="s">
        <v>805</v>
      </c>
      <c r="I152" s="13"/>
      <c r="J152" s="12" t="s">
        <v>806</v>
      </c>
      <c r="K152" s="12" t="s">
        <v>535</v>
      </c>
    </row>
    <row r="153" spans="1:11" ht="30" customHeight="1">
      <c r="A153" s="12" t="s">
        <v>86</v>
      </c>
      <c r="B153" s="12" t="s">
        <v>84</v>
      </c>
      <c r="C153" s="12" t="s">
        <v>79</v>
      </c>
      <c r="D153" s="12" t="s">
        <v>397</v>
      </c>
      <c r="E153" s="18">
        <v>0</v>
      </c>
      <c r="F153" s="13"/>
      <c r="G153" s="12" t="s">
        <v>807</v>
      </c>
      <c r="H153" s="12" t="s">
        <v>708</v>
      </c>
      <c r="I153" s="13"/>
      <c r="J153" s="12" t="s">
        <v>709</v>
      </c>
      <c r="K153" s="12" t="s">
        <v>535</v>
      </c>
    </row>
    <row r="154" spans="1:11" ht="30" customHeight="1">
      <c r="A154" s="12" t="s">
        <v>86</v>
      </c>
      <c r="B154" s="12" t="s">
        <v>84</v>
      </c>
      <c r="C154" s="12" t="s">
        <v>79</v>
      </c>
      <c r="D154" s="12" t="s">
        <v>398</v>
      </c>
      <c r="E154" s="18">
        <v>3</v>
      </c>
      <c r="F154" s="13"/>
      <c r="G154" s="12" t="s">
        <v>794</v>
      </c>
      <c r="H154" s="12" t="s">
        <v>805</v>
      </c>
      <c r="I154" s="13"/>
      <c r="J154" s="12" t="s">
        <v>808</v>
      </c>
      <c r="K154" s="12" t="s">
        <v>535</v>
      </c>
    </row>
    <row r="155" spans="1:11" ht="30" customHeight="1">
      <c r="A155" s="12" t="s">
        <v>86</v>
      </c>
      <c r="B155" s="12" t="s">
        <v>84</v>
      </c>
      <c r="C155" s="12" t="s">
        <v>79</v>
      </c>
      <c r="D155" s="12" t="s">
        <v>399</v>
      </c>
      <c r="E155" s="18">
        <v>3</v>
      </c>
      <c r="F155" s="13"/>
      <c r="G155" s="12" t="s">
        <v>794</v>
      </c>
      <c r="H155" s="12" t="s">
        <v>809</v>
      </c>
      <c r="I155" s="13"/>
      <c r="J155" s="12" t="s">
        <v>810</v>
      </c>
      <c r="K155" s="12" t="s">
        <v>535</v>
      </c>
    </row>
    <row r="156" spans="1:11" ht="30" customHeight="1">
      <c r="A156" s="12" t="s">
        <v>86</v>
      </c>
      <c r="B156" s="12" t="s">
        <v>84</v>
      </c>
      <c r="C156" s="12" t="s">
        <v>79</v>
      </c>
      <c r="D156" s="12" t="s">
        <v>400</v>
      </c>
      <c r="E156" s="18">
        <v>2</v>
      </c>
      <c r="F156" s="13"/>
      <c r="G156" s="12" t="s">
        <v>794</v>
      </c>
      <c r="H156" s="12" t="s">
        <v>811</v>
      </c>
      <c r="I156" s="13"/>
      <c r="J156" s="12" t="s">
        <v>812</v>
      </c>
      <c r="K156" s="12" t="s">
        <v>535</v>
      </c>
    </row>
    <row r="157" spans="1:11" ht="30" customHeight="1">
      <c r="A157" s="12" t="s">
        <v>98</v>
      </c>
      <c r="B157" s="12" t="s">
        <v>96</v>
      </c>
      <c r="C157" s="12" t="s">
        <v>79</v>
      </c>
      <c r="D157" s="12" t="s">
        <v>391</v>
      </c>
      <c r="E157" s="18">
        <v>3</v>
      </c>
      <c r="F157" s="13"/>
      <c r="G157" s="12" t="s">
        <v>813</v>
      </c>
      <c r="H157" s="12" t="s">
        <v>814</v>
      </c>
      <c r="I157" s="13"/>
      <c r="J157" s="12" t="s">
        <v>815</v>
      </c>
      <c r="K157" s="12" t="s">
        <v>535</v>
      </c>
    </row>
    <row r="158" spans="1:11" ht="30" customHeight="1">
      <c r="A158" s="12" t="s">
        <v>98</v>
      </c>
      <c r="B158" s="12" t="s">
        <v>96</v>
      </c>
      <c r="C158" s="12" t="s">
        <v>79</v>
      </c>
      <c r="D158" s="12" t="s">
        <v>392</v>
      </c>
      <c r="E158" s="18">
        <v>2</v>
      </c>
      <c r="F158" s="13"/>
      <c r="G158" s="12" t="s">
        <v>813</v>
      </c>
      <c r="H158" s="12" t="s">
        <v>816</v>
      </c>
      <c r="I158" s="13"/>
      <c r="J158" s="12" t="s">
        <v>817</v>
      </c>
      <c r="K158" s="12" t="s">
        <v>535</v>
      </c>
    </row>
    <row r="159" spans="1:11" ht="30" customHeight="1">
      <c r="A159" s="12" t="s">
        <v>98</v>
      </c>
      <c r="B159" s="12" t="s">
        <v>96</v>
      </c>
      <c r="C159" s="12" t="s">
        <v>79</v>
      </c>
      <c r="D159" s="12" t="s">
        <v>393</v>
      </c>
      <c r="E159" s="18">
        <v>3</v>
      </c>
      <c r="F159" s="13"/>
      <c r="G159" s="12" t="s">
        <v>813</v>
      </c>
      <c r="H159" s="12" t="s">
        <v>818</v>
      </c>
      <c r="I159" s="13"/>
      <c r="J159" s="12" t="s">
        <v>819</v>
      </c>
      <c r="K159" s="12" t="s">
        <v>535</v>
      </c>
    </row>
    <row r="160" spans="1:11" ht="30" customHeight="1">
      <c r="A160" s="12" t="s">
        <v>98</v>
      </c>
      <c r="B160" s="12" t="s">
        <v>96</v>
      </c>
      <c r="C160" s="12" t="s">
        <v>79</v>
      </c>
      <c r="D160" s="12" t="s">
        <v>394</v>
      </c>
      <c r="E160" s="18">
        <v>3</v>
      </c>
      <c r="F160" s="13"/>
      <c r="G160" s="12" t="s">
        <v>813</v>
      </c>
      <c r="H160" s="12" t="s">
        <v>820</v>
      </c>
      <c r="I160" s="13"/>
      <c r="J160" s="12" t="s">
        <v>821</v>
      </c>
      <c r="K160" s="12" t="s">
        <v>535</v>
      </c>
    </row>
    <row r="161" spans="1:11" ht="30" customHeight="1">
      <c r="A161" s="12" t="s">
        <v>98</v>
      </c>
      <c r="B161" s="12" t="s">
        <v>96</v>
      </c>
      <c r="C161" s="12" t="s">
        <v>79</v>
      </c>
      <c r="D161" s="12" t="s">
        <v>395</v>
      </c>
      <c r="E161" s="18">
        <v>1</v>
      </c>
      <c r="F161" s="13"/>
      <c r="G161" s="12" t="s">
        <v>813</v>
      </c>
      <c r="H161" s="12" t="s">
        <v>822</v>
      </c>
      <c r="I161" s="13"/>
      <c r="J161" s="12" t="s">
        <v>823</v>
      </c>
      <c r="K161" s="12" t="s">
        <v>535</v>
      </c>
    </row>
    <row r="162" spans="1:11" ht="30" customHeight="1">
      <c r="A162" s="12" t="s">
        <v>98</v>
      </c>
      <c r="B162" s="12" t="s">
        <v>96</v>
      </c>
      <c r="C162" s="12" t="s">
        <v>79</v>
      </c>
      <c r="D162" s="12" t="s">
        <v>396</v>
      </c>
      <c r="E162" s="18">
        <v>2</v>
      </c>
      <c r="F162" s="13"/>
      <c r="G162" s="12" t="s">
        <v>813</v>
      </c>
      <c r="H162" s="12" t="s">
        <v>824</v>
      </c>
      <c r="I162" s="13"/>
      <c r="J162" s="12" t="s">
        <v>825</v>
      </c>
      <c r="K162" s="12" t="s">
        <v>535</v>
      </c>
    </row>
    <row r="163" spans="1:11" ht="30" customHeight="1">
      <c r="A163" s="12" t="s">
        <v>98</v>
      </c>
      <c r="B163" s="12" t="s">
        <v>96</v>
      </c>
      <c r="C163" s="12" t="s">
        <v>79</v>
      </c>
      <c r="D163" s="12" t="s">
        <v>397</v>
      </c>
      <c r="E163" s="18">
        <v>0</v>
      </c>
      <c r="F163" s="13"/>
      <c r="G163" s="12" t="s">
        <v>826</v>
      </c>
      <c r="H163" s="12" t="s">
        <v>708</v>
      </c>
      <c r="I163" s="13"/>
      <c r="J163" s="12" t="s">
        <v>709</v>
      </c>
      <c r="K163" s="12" t="s">
        <v>535</v>
      </c>
    </row>
    <row r="164" spans="1:11" ht="30" customHeight="1">
      <c r="A164" s="12" t="s">
        <v>98</v>
      </c>
      <c r="B164" s="12" t="s">
        <v>96</v>
      </c>
      <c r="C164" s="12" t="s">
        <v>79</v>
      </c>
      <c r="D164" s="12" t="s">
        <v>398</v>
      </c>
      <c r="E164" s="18">
        <v>2</v>
      </c>
      <c r="F164" s="13"/>
      <c r="G164" s="12" t="s">
        <v>813</v>
      </c>
      <c r="H164" s="12" t="s">
        <v>827</v>
      </c>
      <c r="I164" s="13"/>
      <c r="J164" s="12" t="s">
        <v>828</v>
      </c>
      <c r="K164" s="12" t="s">
        <v>535</v>
      </c>
    </row>
    <row r="165" spans="1:11" ht="30" customHeight="1">
      <c r="A165" s="12" t="s">
        <v>98</v>
      </c>
      <c r="B165" s="12" t="s">
        <v>96</v>
      </c>
      <c r="C165" s="12" t="s">
        <v>79</v>
      </c>
      <c r="D165" s="12" t="s">
        <v>399</v>
      </c>
      <c r="E165" s="18">
        <v>3</v>
      </c>
      <c r="F165" s="13"/>
      <c r="G165" s="12" t="s">
        <v>813</v>
      </c>
      <c r="H165" s="12" t="s">
        <v>829</v>
      </c>
      <c r="I165" s="13"/>
      <c r="J165" s="12" t="s">
        <v>830</v>
      </c>
      <c r="K165" s="12" t="s">
        <v>535</v>
      </c>
    </row>
    <row r="166" spans="1:11" ht="30" customHeight="1">
      <c r="A166" s="12" t="s">
        <v>98</v>
      </c>
      <c r="B166" s="12" t="s">
        <v>96</v>
      </c>
      <c r="C166" s="12" t="s">
        <v>79</v>
      </c>
      <c r="D166" s="12" t="s">
        <v>400</v>
      </c>
      <c r="E166" s="18">
        <v>2</v>
      </c>
      <c r="F166" s="13"/>
      <c r="G166" s="12" t="s">
        <v>813</v>
      </c>
      <c r="H166" s="12" t="s">
        <v>831</v>
      </c>
      <c r="I166" s="13"/>
      <c r="J166" s="12" t="s">
        <v>832</v>
      </c>
      <c r="K166" s="12" t="s">
        <v>535</v>
      </c>
    </row>
    <row r="167" spans="1:11" ht="30" customHeight="1">
      <c r="A167" s="12" t="s">
        <v>274</v>
      </c>
      <c r="B167" s="12" t="s">
        <v>269</v>
      </c>
      <c r="C167" s="12" t="s">
        <v>270</v>
      </c>
      <c r="D167" s="12" t="s">
        <v>391</v>
      </c>
      <c r="E167" s="18">
        <v>0</v>
      </c>
      <c r="F167" s="12" t="s">
        <v>31</v>
      </c>
      <c r="G167" s="13"/>
      <c r="H167" s="13"/>
      <c r="I167" s="13"/>
      <c r="J167" s="12" t="s">
        <v>833</v>
      </c>
      <c r="K167" s="12" t="s">
        <v>535</v>
      </c>
    </row>
    <row r="168" spans="1:11" ht="30" customHeight="1">
      <c r="A168" s="12" t="s">
        <v>274</v>
      </c>
      <c r="B168" s="12" t="s">
        <v>269</v>
      </c>
      <c r="C168" s="12" t="s">
        <v>270</v>
      </c>
      <c r="D168" s="12" t="s">
        <v>392</v>
      </c>
      <c r="E168" s="18">
        <v>0</v>
      </c>
      <c r="F168" s="12" t="s">
        <v>31</v>
      </c>
      <c r="G168" s="13"/>
      <c r="H168" s="13"/>
      <c r="I168" s="13"/>
      <c r="J168" s="12" t="s">
        <v>834</v>
      </c>
      <c r="K168" s="12" t="s">
        <v>535</v>
      </c>
    </row>
    <row r="169" spans="1:11" ht="30" customHeight="1">
      <c r="A169" s="12" t="s">
        <v>274</v>
      </c>
      <c r="B169" s="12" t="s">
        <v>269</v>
      </c>
      <c r="C169" s="12" t="s">
        <v>270</v>
      </c>
      <c r="D169" s="12" t="s">
        <v>393</v>
      </c>
      <c r="E169" s="18">
        <v>0</v>
      </c>
      <c r="F169" s="12" t="s">
        <v>31</v>
      </c>
      <c r="G169" s="13"/>
      <c r="H169" s="13"/>
      <c r="I169" s="13"/>
      <c r="J169" s="12" t="s">
        <v>835</v>
      </c>
      <c r="K169" s="12" t="s">
        <v>535</v>
      </c>
    </row>
    <row r="170" spans="1:11" ht="30" customHeight="1">
      <c r="A170" s="12" t="s">
        <v>274</v>
      </c>
      <c r="B170" s="12" t="s">
        <v>269</v>
      </c>
      <c r="C170" s="12" t="s">
        <v>270</v>
      </c>
      <c r="D170" s="12" t="s">
        <v>394</v>
      </c>
      <c r="E170" s="18">
        <v>1</v>
      </c>
      <c r="F170" s="12" t="s">
        <v>31</v>
      </c>
      <c r="G170" s="13"/>
      <c r="H170" s="13"/>
      <c r="I170" s="13"/>
      <c r="J170" s="12" t="s">
        <v>836</v>
      </c>
      <c r="K170" s="12" t="s">
        <v>535</v>
      </c>
    </row>
    <row r="171" spans="1:11" ht="30" customHeight="1">
      <c r="A171" s="12" t="s">
        <v>274</v>
      </c>
      <c r="B171" s="12" t="s">
        <v>269</v>
      </c>
      <c r="C171" s="12" t="s">
        <v>270</v>
      </c>
      <c r="D171" s="12" t="s">
        <v>395</v>
      </c>
      <c r="E171" s="18">
        <v>2</v>
      </c>
      <c r="F171" s="12" t="s">
        <v>31</v>
      </c>
      <c r="G171" s="13"/>
      <c r="H171" s="13"/>
      <c r="I171" s="13"/>
      <c r="J171" s="12" t="s">
        <v>837</v>
      </c>
      <c r="K171" s="12" t="s">
        <v>535</v>
      </c>
    </row>
    <row r="172" spans="1:11" ht="30" customHeight="1">
      <c r="A172" s="12" t="s">
        <v>274</v>
      </c>
      <c r="B172" s="12" t="s">
        <v>269</v>
      </c>
      <c r="C172" s="12" t="s">
        <v>270</v>
      </c>
      <c r="D172" s="12" t="s">
        <v>396</v>
      </c>
      <c r="E172" s="18">
        <v>0</v>
      </c>
      <c r="F172" s="12" t="s">
        <v>31</v>
      </c>
      <c r="G172" s="13"/>
      <c r="H172" s="13"/>
      <c r="I172" s="13"/>
      <c r="J172" s="12" t="s">
        <v>838</v>
      </c>
      <c r="K172" s="12" t="s">
        <v>535</v>
      </c>
    </row>
    <row r="173" spans="1:11" ht="30" customHeight="1">
      <c r="A173" s="12" t="s">
        <v>274</v>
      </c>
      <c r="B173" s="12" t="s">
        <v>269</v>
      </c>
      <c r="C173" s="12" t="s">
        <v>270</v>
      </c>
      <c r="D173" s="12" t="s">
        <v>397</v>
      </c>
      <c r="E173" s="18">
        <v>0</v>
      </c>
      <c r="F173" s="12" t="s">
        <v>31</v>
      </c>
      <c r="G173" s="13"/>
      <c r="H173" s="13"/>
      <c r="I173" s="13"/>
      <c r="J173" s="12" t="s">
        <v>839</v>
      </c>
      <c r="K173" s="12" t="s">
        <v>535</v>
      </c>
    </row>
    <row r="174" spans="1:11" ht="30" customHeight="1">
      <c r="A174" s="12" t="s">
        <v>274</v>
      </c>
      <c r="B174" s="12" t="s">
        <v>269</v>
      </c>
      <c r="C174" s="12" t="s">
        <v>270</v>
      </c>
      <c r="D174" s="12" t="s">
        <v>398</v>
      </c>
      <c r="E174" s="18">
        <v>0</v>
      </c>
      <c r="F174" s="12" t="s">
        <v>31</v>
      </c>
      <c r="G174" s="13"/>
      <c r="H174" s="13"/>
      <c r="I174" s="13"/>
      <c r="J174" s="12" t="s">
        <v>840</v>
      </c>
      <c r="K174" s="12" t="s">
        <v>535</v>
      </c>
    </row>
    <row r="175" spans="1:11" ht="30" customHeight="1">
      <c r="A175" s="12" t="s">
        <v>274</v>
      </c>
      <c r="B175" s="12" t="s">
        <v>269</v>
      </c>
      <c r="C175" s="12" t="s">
        <v>270</v>
      </c>
      <c r="D175" s="12" t="s">
        <v>399</v>
      </c>
      <c r="E175" s="18">
        <v>1</v>
      </c>
      <c r="F175" s="12" t="s">
        <v>31</v>
      </c>
      <c r="G175" s="13"/>
      <c r="H175" s="13"/>
      <c r="I175" s="13"/>
      <c r="J175" s="12" t="s">
        <v>841</v>
      </c>
      <c r="K175" s="12" t="s">
        <v>535</v>
      </c>
    </row>
    <row r="176" spans="1:11" ht="30" customHeight="1">
      <c r="A176" s="12" t="s">
        <v>274</v>
      </c>
      <c r="B176" s="12" t="s">
        <v>269</v>
      </c>
      <c r="C176" s="12" t="s">
        <v>270</v>
      </c>
      <c r="D176" s="12" t="s">
        <v>400</v>
      </c>
      <c r="E176" s="18">
        <v>2</v>
      </c>
      <c r="F176" s="12" t="s">
        <v>31</v>
      </c>
      <c r="G176" s="13"/>
      <c r="H176" s="13"/>
      <c r="I176" s="13"/>
      <c r="J176" s="12" t="s">
        <v>842</v>
      </c>
      <c r="K176" s="12" t="s">
        <v>535</v>
      </c>
    </row>
    <row r="177" spans="1:11" ht="30" customHeight="1">
      <c r="A177" s="12" t="s">
        <v>274</v>
      </c>
      <c r="B177" s="12" t="s">
        <v>269</v>
      </c>
      <c r="C177" s="12" t="s">
        <v>270</v>
      </c>
      <c r="D177" s="12" t="s">
        <v>391</v>
      </c>
      <c r="E177" s="18">
        <v>1</v>
      </c>
      <c r="F177" s="12" t="s">
        <v>31</v>
      </c>
      <c r="G177" s="13"/>
      <c r="H177" s="13"/>
      <c r="I177" s="13"/>
      <c r="J177" s="12" t="s">
        <v>843</v>
      </c>
      <c r="K177" s="12" t="s">
        <v>535</v>
      </c>
    </row>
    <row r="178" spans="1:11" ht="30" customHeight="1">
      <c r="A178" s="12" t="s">
        <v>274</v>
      </c>
      <c r="B178" s="12" t="s">
        <v>269</v>
      </c>
      <c r="C178" s="12" t="s">
        <v>270</v>
      </c>
      <c r="D178" s="12" t="s">
        <v>392</v>
      </c>
      <c r="E178" s="18">
        <v>1</v>
      </c>
      <c r="F178" s="12" t="s">
        <v>31</v>
      </c>
      <c r="G178" s="13"/>
      <c r="H178" s="13"/>
      <c r="I178" s="13"/>
      <c r="J178" s="12" t="s">
        <v>844</v>
      </c>
      <c r="K178" s="12" t="s">
        <v>535</v>
      </c>
    </row>
    <row r="179" spans="1:11" ht="30" customHeight="1">
      <c r="A179" s="12" t="s">
        <v>274</v>
      </c>
      <c r="B179" s="12" t="s">
        <v>269</v>
      </c>
      <c r="C179" s="12" t="s">
        <v>270</v>
      </c>
      <c r="D179" s="12" t="s">
        <v>393</v>
      </c>
      <c r="E179" s="18">
        <v>0</v>
      </c>
      <c r="F179" s="12" t="s">
        <v>31</v>
      </c>
      <c r="G179" s="13"/>
      <c r="H179" s="13"/>
      <c r="I179" s="13"/>
      <c r="J179" s="12" t="s">
        <v>845</v>
      </c>
      <c r="K179" s="12" t="s">
        <v>535</v>
      </c>
    </row>
    <row r="180" spans="1:11" ht="30" customHeight="1">
      <c r="A180" s="12" t="s">
        <v>274</v>
      </c>
      <c r="B180" s="12" t="s">
        <v>269</v>
      </c>
      <c r="C180" s="12" t="s">
        <v>270</v>
      </c>
      <c r="D180" s="12" t="s">
        <v>394</v>
      </c>
      <c r="E180" s="18">
        <v>1</v>
      </c>
      <c r="F180" s="12" t="s">
        <v>31</v>
      </c>
      <c r="G180" s="13"/>
      <c r="H180" s="13"/>
      <c r="I180" s="13"/>
      <c r="J180" s="12" t="s">
        <v>846</v>
      </c>
      <c r="K180" s="12" t="s">
        <v>535</v>
      </c>
    </row>
    <row r="181" spans="1:11" ht="30" customHeight="1">
      <c r="A181" s="12" t="s">
        <v>274</v>
      </c>
      <c r="B181" s="12" t="s">
        <v>269</v>
      </c>
      <c r="C181" s="12" t="s">
        <v>270</v>
      </c>
      <c r="D181" s="12" t="s">
        <v>395</v>
      </c>
      <c r="E181" s="18">
        <v>2</v>
      </c>
      <c r="F181" s="12" t="s">
        <v>31</v>
      </c>
      <c r="G181" s="13"/>
      <c r="H181" s="13"/>
      <c r="I181" s="13"/>
      <c r="J181" s="12" t="s">
        <v>847</v>
      </c>
      <c r="K181" s="12" t="s">
        <v>535</v>
      </c>
    </row>
    <row r="182" spans="1:11" ht="30" customHeight="1">
      <c r="A182" s="12" t="s">
        <v>274</v>
      </c>
      <c r="B182" s="12" t="s">
        <v>269</v>
      </c>
      <c r="C182" s="12" t="s">
        <v>270</v>
      </c>
      <c r="D182" s="12" t="s">
        <v>396</v>
      </c>
      <c r="E182" s="18">
        <v>0</v>
      </c>
      <c r="F182" s="12" t="s">
        <v>31</v>
      </c>
      <c r="G182" s="13"/>
      <c r="H182" s="13"/>
      <c r="I182" s="13"/>
      <c r="J182" s="12" t="s">
        <v>848</v>
      </c>
      <c r="K182" s="12" t="s">
        <v>535</v>
      </c>
    </row>
    <row r="183" spans="1:11" ht="30" customHeight="1">
      <c r="A183" s="12" t="s">
        <v>274</v>
      </c>
      <c r="B183" s="12" t="s">
        <v>269</v>
      </c>
      <c r="C183" s="12" t="s">
        <v>270</v>
      </c>
      <c r="D183" s="12" t="s">
        <v>397</v>
      </c>
      <c r="E183" s="18">
        <v>0</v>
      </c>
      <c r="F183" s="12" t="s">
        <v>31</v>
      </c>
      <c r="G183" s="13"/>
      <c r="H183" s="13"/>
      <c r="I183" s="13"/>
      <c r="J183" s="12" t="s">
        <v>849</v>
      </c>
      <c r="K183" s="12" t="s">
        <v>535</v>
      </c>
    </row>
    <row r="184" spans="1:11" ht="30" customHeight="1">
      <c r="A184" s="12" t="s">
        <v>274</v>
      </c>
      <c r="B184" s="12" t="s">
        <v>269</v>
      </c>
      <c r="C184" s="12" t="s">
        <v>270</v>
      </c>
      <c r="D184" s="12" t="s">
        <v>398</v>
      </c>
      <c r="E184" s="18">
        <v>0</v>
      </c>
      <c r="F184" s="12" t="s">
        <v>31</v>
      </c>
      <c r="G184" s="13"/>
      <c r="H184" s="13"/>
      <c r="I184" s="13"/>
      <c r="J184" s="12" t="s">
        <v>850</v>
      </c>
      <c r="K184" s="12" t="s">
        <v>535</v>
      </c>
    </row>
    <row r="185" spans="1:11" ht="30" customHeight="1">
      <c r="A185" s="12" t="s">
        <v>274</v>
      </c>
      <c r="B185" s="12" t="s">
        <v>269</v>
      </c>
      <c r="C185" s="12" t="s">
        <v>270</v>
      </c>
      <c r="D185" s="12" t="s">
        <v>399</v>
      </c>
      <c r="E185" s="18">
        <v>1</v>
      </c>
      <c r="F185" s="12" t="s">
        <v>31</v>
      </c>
      <c r="G185" s="13"/>
      <c r="H185" s="13"/>
      <c r="I185" s="13"/>
      <c r="J185" s="12" t="s">
        <v>851</v>
      </c>
      <c r="K185" s="12" t="s">
        <v>535</v>
      </c>
    </row>
    <row r="186" spans="1:11" ht="30" customHeight="1">
      <c r="A186" s="12" t="s">
        <v>274</v>
      </c>
      <c r="B186" s="12" t="s">
        <v>269</v>
      </c>
      <c r="C186" s="12" t="s">
        <v>270</v>
      </c>
      <c r="D186" s="12" t="s">
        <v>400</v>
      </c>
      <c r="E186" s="18">
        <v>2</v>
      </c>
      <c r="F186" s="12" t="s">
        <v>31</v>
      </c>
      <c r="G186" s="13"/>
      <c r="H186" s="13"/>
      <c r="I186" s="13"/>
      <c r="J186" s="12" t="s">
        <v>852</v>
      </c>
      <c r="K186" s="12" t="s">
        <v>535</v>
      </c>
    </row>
    <row r="187" spans="1:11" ht="30" customHeight="1">
      <c r="A187" s="12" t="s">
        <v>278</v>
      </c>
      <c r="B187" s="12" t="s">
        <v>277</v>
      </c>
      <c r="C187" s="12" t="s">
        <v>270</v>
      </c>
      <c r="D187" s="12" t="s">
        <v>391</v>
      </c>
      <c r="E187" s="18">
        <v>3</v>
      </c>
      <c r="F187" s="12" t="s">
        <v>50</v>
      </c>
      <c r="G187" s="13"/>
      <c r="H187" s="13"/>
      <c r="I187" s="13"/>
      <c r="J187" s="12" t="s">
        <v>853</v>
      </c>
      <c r="K187" s="12" t="s">
        <v>535</v>
      </c>
    </row>
    <row r="188" spans="1:11" ht="30" customHeight="1">
      <c r="A188" s="12" t="s">
        <v>278</v>
      </c>
      <c r="B188" s="12" t="s">
        <v>277</v>
      </c>
      <c r="C188" s="12" t="s">
        <v>270</v>
      </c>
      <c r="D188" s="12" t="s">
        <v>392</v>
      </c>
      <c r="E188" s="18">
        <v>1</v>
      </c>
      <c r="F188" s="12" t="s">
        <v>50</v>
      </c>
      <c r="G188" s="13"/>
      <c r="H188" s="13"/>
      <c r="I188" s="13"/>
      <c r="J188" s="12" t="s">
        <v>854</v>
      </c>
      <c r="K188" s="12" t="s">
        <v>535</v>
      </c>
    </row>
    <row r="189" spans="1:11" ht="30" customHeight="1">
      <c r="A189" s="12" t="s">
        <v>278</v>
      </c>
      <c r="B189" s="12" t="s">
        <v>277</v>
      </c>
      <c r="C189" s="12" t="s">
        <v>270</v>
      </c>
      <c r="D189" s="12" t="s">
        <v>393</v>
      </c>
      <c r="E189" s="18">
        <v>2</v>
      </c>
      <c r="F189" s="12" t="s">
        <v>50</v>
      </c>
      <c r="G189" s="13"/>
      <c r="H189" s="13"/>
      <c r="I189" s="13"/>
      <c r="J189" s="12" t="s">
        <v>855</v>
      </c>
      <c r="K189" s="12" t="s">
        <v>535</v>
      </c>
    </row>
    <row r="190" spans="1:11" ht="30" customHeight="1">
      <c r="A190" s="12" t="s">
        <v>278</v>
      </c>
      <c r="B190" s="12" t="s">
        <v>277</v>
      </c>
      <c r="C190" s="12" t="s">
        <v>270</v>
      </c>
      <c r="D190" s="12" t="s">
        <v>394</v>
      </c>
      <c r="E190" s="18">
        <v>2</v>
      </c>
      <c r="F190" s="12" t="s">
        <v>50</v>
      </c>
      <c r="G190" s="13"/>
      <c r="H190" s="13"/>
      <c r="I190" s="13"/>
      <c r="J190" s="12" t="s">
        <v>856</v>
      </c>
      <c r="K190" s="12" t="s">
        <v>535</v>
      </c>
    </row>
    <row r="191" spans="1:11" ht="30" customHeight="1">
      <c r="A191" s="12" t="s">
        <v>278</v>
      </c>
      <c r="B191" s="12" t="s">
        <v>277</v>
      </c>
      <c r="C191" s="12" t="s">
        <v>270</v>
      </c>
      <c r="D191" s="12" t="s">
        <v>395</v>
      </c>
      <c r="E191" s="18">
        <v>2</v>
      </c>
      <c r="F191" s="12" t="s">
        <v>50</v>
      </c>
      <c r="G191" s="13"/>
      <c r="H191" s="13"/>
      <c r="I191" s="13"/>
      <c r="J191" s="12" t="s">
        <v>857</v>
      </c>
      <c r="K191" s="12" t="s">
        <v>535</v>
      </c>
    </row>
    <row r="192" spans="1:11" ht="30" customHeight="1">
      <c r="A192" s="12" t="s">
        <v>278</v>
      </c>
      <c r="B192" s="12" t="s">
        <v>277</v>
      </c>
      <c r="C192" s="12" t="s">
        <v>270</v>
      </c>
      <c r="D192" s="12" t="s">
        <v>396</v>
      </c>
      <c r="E192" s="18">
        <v>1</v>
      </c>
      <c r="F192" s="12" t="s">
        <v>50</v>
      </c>
      <c r="G192" s="13"/>
      <c r="H192" s="13"/>
      <c r="I192" s="13"/>
      <c r="J192" s="12" t="s">
        <v>858</v>
      </c>
      <c r="K192" s="12" t="s">
        <v>535</v>
      </c>
    </row>
    <row r="193" spans="1:11" ht="30" customHeight="1">
      <c r="A193" s="12" t="s">
        <v>278</v>
      </c>
      <c r="B193" s="12" t="s">
        <v>277</v>
      </c>
      <c r="C193" s="12" t="s">
        <v>270</v>
      </c>
      <c r="D193" s="12" t="s">
        <v>397</v>
      </c>
      <c r="E193" s="18">
        <v>0</v>
      </c>
      <c r="F193" s="12" t="s">
        <v>50</v>
      </c>
      <c r="G193" s="13"/>
      <c r="H193" s="13"/>
      <c r="I193" s="13"/>
      <c r="J193" s="12" t="s">
        <v>839</v>
      </c>
      <c r="K193" s="12" t="s">
        <v>535</v>
      </c>
    </row>
    <row r="194" spans="1:11" ht="30" customHeight="1">
      <c r="A194" s="12" t="s">
        <v>278</v>
      </c>
      <c r="B194" s="12" t="s">
        <v>277</v>
      </c>
      <c r="C194" s="12" t="s">
        <v>270</v>
      </c>
      <c r="D194" s="12" t="s">
        <v>398</v>
      </c>
      <c r="E194" s="18">
        <v>1</v>
      </c>
      <c r="F194" s="12" t="s">
        <v>50</v>
      </c>
      <c r="G194" s="13"/>
      <c r="H194" s="13"/>
      <c r="I194" s="13"/>
      <c r="J194" s="12" t="s">
        <v>859</v>
      </c>
      <c r="K194" s="12" t="s">
        <v>535</v>
      </c>
    </row>
    <row r="195" spans="1:11" ht="30" customHeight="1">
      <c r="A195" s="12" t="s">
        <v>278</v>
      </c>
      <c r="B195" s="12" t="s">
        <v>277</v>
      </c>
      <c r="C195" s="12" t="s">
        <v>270</v>
      </c>
      <c r="D195" s="12" t="s">
        <v>399</v>
      </c>
      <c r="E195" s="18">
        <v>3</v>
      </c>
      <c r="F195" s="12" t="s">
        <v>50</v>
      </c>
      <c r="G195" s="13"/>
      <c r="H195" s="13"/>
      <c r="I195" s="13"/>
      <c r="J195" s="12" t="s">
        <v>860</v>
      </c>
      <c r="K195" s="12" t="s">
        <v>535</v>
      </c>
    </row>
    <row r="196" spans="1:11" ht="30" customHeight="1">
      <c r="A196" s="12" t="s">
        <v>278</v>
      </c>
      <c r="B196" s="12" t="s">
        <v>277</v>
      </c>
      <c r="C196" s="12" t="s">
        <v>270</v>
      </c>
      <c r="D196" s="12" t="s">
        <v>400</v>
      </c>
      <c r="E196" s="18">
        <v>2</v>
      </c>
      <c r="F196" s="12" t="s">
        <v>50</v>
      </c>
      <c r="G196" s="13"/>
      <c r="H196" s="13"/>
      <c r="I196" s="13"/>
      <c r="J196" s="12" t="s">
        <v>861</v>
      </c>
      <c r="K196" s="12" t="s">
        <v>535</v>
      </c>
    </row>
    <row r="197" spans="1:11" ht="30" customHeight="1">
      <c r="A197" s="12" t="s">
        <v>278</v>
      </c>
      <c r="B197" s="12" t="s">
        <v>277</v>
      </c>
      <c r="C197" s="12" t="s">
        <v>270</v>
      </c>
      <c r="D197" s="12" t="s">
        <v>391</v>
      </c>
      <c r="E197" s="18">
        <v>3</v>
      </c>
      <c r="F197" s="12" t="s">
        <v>50</v>
      </c>
      <c r="G197" s="13"/>
      <c r="H197" s="13"/>
      <c r="I197" s="13"/>
      <c r="J197" s="12" t="s">
        <v>862</v>
      </c>
      <c r="K197" s="12" t="s">
        <v>535</v>
      </c>
    </row>
    <row r="198" spans="1:11" ht="30" customHeight="1">
      <c r="A198" s="12" t="s">
        <v>278</v>
      </c>
      <c r="B198" s="12" t="s">
        <v>277</v>
      </c>
      <c r="C198" s="12" t="s">
        <v>270</v>
      </c>
      <c r="D198" s="12" t="s">
        <v>392</v>
      </c>
      <c r="E198" s="18">
        <v>1</v>
      </c>
      <c r="F198" s="12" t="s">
        <v>50</v>
      </c>
      <c r="G198" s="13"/>
      <c r="H198" s="13"/>
      <c r="I198" s="13"/>
      <c r="J198" s="12" t="s">
        <v>863</v>
      </c>
      <c r="K198" s="12" t="s">
        <v>535</v>
      </c>
    </row>
    <row r="199" spans="1:11" ht="30" customHeight="1">
      <c r="A199" s="12" t="s">
        <v>278</v>
      </c>
      <c r="B199" s="12" t="s">
        <v>277</v>
      </c>
      <c r="C199" s="12" t="s">
        <v>270</v>
      </c>
      <c r="D199" s="12" t="s">
        <v>393</v>
      </c>
      <c r="E199" s="18">
        <v>2</v>
      </c>
      <c r="F199" s="12" t="s">
        <v>50</v>
      </c>
      <c r="G199" s="13"/>
      <c r="H199" s="13"/>
      <c r="I199" s="13"/>
      <c r="J199" s="12" t="s">
        <v>864</v>
      </c>
      <c r="K199" s="12" t="s">
        <v>535</v>
      </c>
    </row>
    <row r="200" spans="1:11" ht="30" customHeight="1">
      <c r="A200" s="12" t="s">
        <v>278</v>
      </c>
      <c r="B200" s="12" t="s">
        <v>277</v>
      </c>
      <c r="C200" s="12" t="s">
        <v>270</v>
      </c>
      <c r="D200" s="12" t="s">
        <v>394</v>
      </c>
      <c r="E200" s="18">
        <v>2</v>
      </c>
      <c r="F200" s="12" t="s">
        <v>50</v>
      </c>
      <c r="G200" s="13"/>
      <c r="H200" s="13"/>
      <c r="I200" s="13"/>
      <c r="J200" s="12" t="s">
        <v>865</v>
      </c>
      <c r="K200" s="12" t="s">
        <v>535</v>
      </c>
    </row>
    <row r="201" spans="1:11" ht="30" customHeight="1">
      <c r="A201" s="12" t="s">
        <v>278</v>
      </c>
      <c r="B201" s="12" t="s">
        <v>277</v>
      </c>
      <c r="C201" s="12" t="s">
        <v>270</v>
      </c>
      <c r="D201" s="12" t="s">
        <v>395</v>
      </c>
      <c r="E201" s="18">
        <v>2</v>
      </c>
      <c r="F201" s="12" t="s">
        <v>50</v>
      </c>
      <c r="G201" s="13"/>
      <c r="H201" s="13"/>
      <c r="I201" s="13"/>
      <c r="J201" s="12" t="s">
        <v>866</v>
      </c>
      <c r="K201" s="12" t="s">
        <v>535</v>
      </c>
    </row>
    <row r="202" spans="1:11" ht="30" customHeight="1">
      <c r="A202" s="12" t="s">
        <v>278</v>
      </c>
      <c r="B202" s="12" t="s">
        <v>277</v>
      </c>
      <c r="C202" s="12" t="s">
        <v>270</v>
      </c>
      <c r="D202" s="12" t="s">
        <v>396</v>
      </c>
      <c r="E202" s="18">
        <v>1</v>
      </c>
      <c r="F202" s="12" t="s">
        <v>50</v>
      </c>
      <c r="G202" s="13"/>
      <c r="H202" s="13"/>
      <c r="I202" s="13"/>
      <c r="J202" s="12" t="s">
        <v>867</v>
      </c>
      <c r="K202" s="12" t="s">
        <v>535</v>
      </c>
    </row>
    <row r="203" spans="1:11" ht="30" customHeight="1">
      <c r="A203" s="12" t="s">
        <v>278</v>
      </c>
      <c r="B203" s="12" t="s">
        <v>277</v>
      </c>
      <c r="C203" s="12" t="s">
        <v>270</v>
      </c>
      <c r="D203" s="12" t="s">
        <v>397</v>
      </c>
      <c r="E203" s="18">
        <v>0</v>
      </c>
      <c r="F203" s="12" t="s">
        <v>50</v>
      </c>
      <c r="G203" s="13"/>
      <c r="H203" s="13"/>
      <c r="I203" s="13"/>
      <c r="J203" s="12" t="s">
        <v>868</v>
      </c>
      <c r="K203" s="12" t="s">
        <v>535</v>
      </c>
    </row>
    <row r="204" spans="1:11" ht="30" customHeight="1">
      <c r="A204" s="12" t="s">
        <v>278</v>
      </c>
      <c r="B204" s="12" t="s">
        <v>277</v>
      </c>
      <c r="C204" s="12" t="s">
        <v>270</v>
      </c>
      <c r="D204" s="12" t="s">
        <v>398</v>
      </c>
      <c r="E204" s="18">
        <v>0</v>
      </c>
      <c r="F204" s="12" t="s">
        <v>50</v>
      </c>
      <c r="G204" s="13"/>
      <c r="H204" s="13"/>
      <c r="I204" s="13"/>
      <c r="J204" s="12" t="s">
        <v>869</v>
      </c>
      <c r="K204" s="12" t="s">
        <v>535</v>
      </c>
    </row>
    <row r="205" spans="1:11" ht="30" customHeight="1">
      <c r="A205" s="12" t="s">
        <v>278</v>
      </c>
      <c r="B205" s="12" t="s">
        <v>277</v>
      </c>
      <c r="C205" s="12" t="s">
        <v>270</v>
      </c>
      <c r="D205" s="12" t="s">
        <v>399</v>
      </c>
      <c r="E205" s="18">
        <v>3</v>
      </c>
      <c r="F205" s="12" t="s">
        <v>50</v>
      </c>
      <c r="G205" s="13"/>
      <c r="H205" s="13"/>
      <c r="I205" s="13"/>
      <c r="J205" s="12" t="s">
        <v>870</v>
      </c>
      <c r="K205" s="12" t="s">
        <v>535</v>
      </c>
    </row>
    <row r="206" spans="1:11" ht="30" customHeight="1">
      <c r="A206" s="12" t="s">
        <v>278</v>
      </c>
      <c r="B206" s="12" t="s">
        <v>277</v>
      </c>
      <c r="C206" s="12" t="s">
        <v>270</v>
      </c>
      <c r="D206" s="12" t="s">
        <v>400</v>
      </c>
      <c r="E206" s="18">
        <v>2</v>
      </c>
      <c r="F206" s="12" t="s">
        <v>50</v>
      </c>
      <c r="G206" s="13"/>
      <c r="H206" s="13"/>
      <c r="I206" s="13"/>
      <c r="J206" s="12" t="s">
        <v>871</v>
      </c>
      <c r="K206" s="12" t="s">
        <v>535</v>
      </c>
    </row>
    <row r="207" spans="1:11" ht="30" customHeight="1">
      <c r="A207" s="12" t="s">
        <v>306</v>
      </c>
      <c r="B207" s="12" t="s">
        <v>304</v>
      </c>
      <c r="C207" s="12" t="s">
        <v>270</v>
      </c>
      <c r="D207" s="12" t="s">
        <v>391</v>
      </c>
      <c r="E207" s="18">
        <v>3</v>
      </c>
      <c r="F207" s="12" t="s">
        <v>31</v>
      </c>
      <c r="G207" s="13"/>
      <c r="H207" s="13"/>
      <c r="I207" s="13"/>
      <c r="J207" s="12" t="s">
        <v>872</v>
      </c>
      <c r="K207" s="12" t="s">
        <v>535</v>
      </c>
    </row>
    <row r="208" spans="1:11" ht="30" customHeight="1">
      <c r="A208" s="12" t="s">
        <v>306</v>
      </c>
      <c r="B208" s="12" t="s">
        <v>304</v>
      </c>
      <c r="C208" s="12" t="s">
        <v>270</v>
      </c>
      <c r="D208" s="12" t="s">
        <v>392</v>
      </c>
      <c r="E208" s="18">
        <v>0</v>
      </c>
      <c r="F208" s="12" t="s">
        <v>31</v>
      </c>
      <c r="G208" s="13"/>
      <c r="H208" s="13"/>
      <c r="I208" s="13"/>
      <c r="J208" s="12" t="s">
        <v>873</v>
      </c>
      <c r="K208" s="12" t="s">
        <v>535</v>
      </c>
    </row>
    <row r="209" spans="1:11" ht="30" customHeight="1">
      <c r="A209" s="12" t="s">
        <v>306</v>
      </c>
      <c r="B209" s="12" t="s">
        <v>304</v>
      </c>
      <c r="C209" s="12" t="s">
        <v>270</v>
      </c>
      <c r="D209" s="12" t="s">
        <v>393</v>
      </c>
      <c r="E209" s="18">
        <v>0</v>
      </c>
      <c r="F209" s="12" t="s">
        <v>31</v>
      </c>
      <c r="G209" s="13"/>
      <c r="H209" s="13"/>
      <c r="I209" s="13"/>
      <c r="J209" s="12" t="s">
        <v>874</v>
      </c>
      <c r="K209" s="12" t="s">
        <v>535</v>
      </c>
    </row>
    <row r="210" spans="1:11" ht="30" customHeight="1">
      <c r="A210" s="12" t="s">
        <v>306</v>
      </c>
      <c r="B210" s="12" t="s">
        <v>304</v>
      </c>
      <c r="C210" s="12" t="s">
        <v>270</v>
      </c>
      <c r="D210" s="12" t="s">
        <v>394</v>
      </c>
      <c r="E210" s="18">
        <v>2</v>
      </c>
      <c r="F210" s="12" t="s">
        <v>31</v>
      </c>
      <c r="G210" s="13"/>
      <c r="H210" s="13"/>
      <c r="I210" s="13"/>
      <c r="J210" s="12" t="s">
        <v>875</v>
      </c>
      <c r="K210" s="12" t="s">
        <v>535</v>
      </c>
    </row>
    <row r="211" spans="1:11" ht="30" customHeight="1">
      <c r="A211" s="12" t="s">
        <v>306</v>
      </c>
      <c r="B211" s="12" t="s">
        <v>304</v>
      </c>
      <c r="C211" s="12" t="s">
        <v>270</v>
      </c>
      <c r="D211" s="12" t="s">
        <v>395</v>
      </c>
      <c r="E211" s="18">
        <v>2</v>
      </c>
      <c r="F211" s="12" t="s">
        <v>31</v>
      </c>
      <c r="G211" s="13"/>
      <c r="H211" s="13"/>
      <c r="I211" s="13"/>
      <c r="J211" s="12" t="s">
        <v>876</v>
      </c>
      <c r="K211" s="12" t="s">
        <v>535</v>
      </c>
    </row>
    <row r="212" spans="1:11" ht="30" customHeight="1">
      <c r="A212" s="12" t="s">
        <v>306</v>
      </c>
      <c r="B212" s="12" t="s">
        <v>304</v>
      </c>
      <c r="C212" s="12" t="s">
        <v>270</v>
      </c>
      <c r="D212" s="12" t="s">
        <v>396</v>
      </c>
      <c r="E212" s="18">
        <v>0</v>
      </c>
      <c r="F212" s="12" t="s">
        <v>31</v>
      </c>
      <c r="G212" s="13"/>
      <c r="H212" s="13"/>
      <c r="I212" s="13"/>
      <c r="J212" s="12" t="s">
        <v>877</v>
      </c>
      <c r="K212" s="12" t="s">
        <v>535</v>
      </c>
    </row>
    <row r="213" spans="1:11" ht="30" customHeight="1">
      <c r="A213" s="12" t="s">
        <v>306</v>
      </c>
      <c r="B213" s="12" t="s">
        <v>304</v>
      </c>
      <c r="C213" s="12" t="s">
        <v>270</v>
      </c>
      <c r="D213" s="12" t="s">
        <v>397</v>
      </c>
      <c r="E213" s="18">
        <v>0</v>
      </c>
      <c r="F213" s="12" t="s">
        <v>31</v>
      </c>
      <c r="G213" s="13"/>
      <c r="H213" s="13"/>
      <c r="I213" s="13"/>
      <c r="J213" s="12" t="s">
        <v>839</v>
      </c>
      <c r="K213" s="12" t="s">
        <v>535</v>
      </c>
    </row>
    <row r="214" spans="1:11" ht="30" customHeight="1">
      <c r="A214" s="12" t="s">
        <v>306</v>
      </c>
      <c r="B214" s="12" t="s">
        <v>304</v>
      </c>
      <c r="C214" s="12" t="s">
        <v>270</v>
      </c>
      <c r="D214" s="12" t="s">
        <v>398</v>
      </c>
      <c r="E214" s="18">
        <v>1</v>
      </c>
      <c r="F214" s="12" t="s">
        <v>31</v>
      </c>
      <c r="G214" s="13"/>
      <c r="H214" s="13"/>
      <c r="I214" s="13"/>
      <c r="J214" s="12" t="s">
        <v>878</v>
      </c>
      <c r="K214" s="12" t="s">
        <v>535</v>
      </c>
    </row>
    <row r="215" spans="1:11" ht="30" customHeight="1">
      <c r="A215" s="12" t="s">
        <v>306</v>
      </c>
      <c r="B215" s="12" t="s">
        <v>304</v>
      </c>
      <c r="C215" s="12" t="s">
        <v>270</v>
      </c>
      <c r="D215" s="12" t="s">
        <v>399</v>
      </c>
      <c r="E215" s="18">
        <v>1</v>
      </c>
      <c r="F215" s="12" t="s">
        <v>31</v>
      </c>
      <c r="G215" s="13"/>
      <c r="H215" s="13"/>
      <c r="I215" s="13"/>
      <c r="J215" s="12" t="s">
        <v>879</v>
      </c>
      <c r="K215" s="12" t="s">
        <v>535</v>
      </c>
    </row>
    <row r="216" spans="1:11" ht="30" customHeight="1">
      <c r="A216" s="12" t="s">
        <v>306</v>
      </c>
      <c r="B216" s="12" t="s">
        <v>304</v>
      </c>
      <c r="C216" s="12" t="s">
        <v>270</v>
      </c>
      <c r="D216" s="12" t="s">
        <v>400</v>
      </c>
      <c r="E216" s="18">
        <v>2</v>
      </c>
      <c r="F216" s="12" t="s">
        <v>31</v>
      </c>
      <c r="G216" s="13"/>
      <c r="H216" s="13"/>
      <c r="I216" s="13"/>
      <c r="J216" s="12" t="s">
        <v>880</v>
      </c>
      <c r="K216" s="12" t="s">
        <v>535</v>
      </c>
    </row>
    <row r="217" spans="1:11" ht="30" customHeight="1">
      <c r="A217" s="12" t="s">
        <v>306</v>
      </c>
      <c r="B217" s="12" t="s">
        <v>304</v>
      </c>
      <c r="C217" s="12" t="s">
        <v>270</v>
      </c>
      <c r="D217" s="12" t="s">
        <v>391</v>
      </c>
      <c r="E217" s="18">
        <v>3</v>
      </c>
      <c r="F217" s="12" t="s">
        <v>31</v>
      </c>
      <c r="G217" s="13"/>
      <c r="H217" s="13"/>
      <c r="I217" s="13"/>
      <c r="J217" s="12" t="s">
        <v>881</v>
      </c>
      <c r="K217" s="12" t="s">
        <v>535</v>
      </c>
    </row>
    <row r="218" spans="1:11" ht="30" customHeight="1">
      <c r="A218" s="12" t="s">
        <v>306</v>
      </c>
      <c r="B218" s="12" t="s">
        <v>304</v>
      </c>
      <c r="C218" s="12" t="s">
        <v>270</v>
      </c>
      <c r="D218" s="12" t="s">
        <v>392</v>
      </c>
      <c r="E218" s="18">
        <v>0</v>
      </c>
      <c r="F218" s="12" t="s">
        <v>31</v>
      </c>
      <c r="G218" s="13"/>
      <c r="H218" s="13"/>
      <c r="I218" s="13"/>
      <c r="J218" s="12" t="s">
        <v>882</v>
      </c>
      <c r="K218" s="12" t="s">
        <v>535</v>
      </c>
    </row>
    <row r="219" spans="1:11" ht="30" customHeight="1">
      <c r="A219" s="12" t="s">
        <v>306</v>
      </c>
      <c r="B219" s="12" t="s">
        <v>304</v>
      </c>
      <c r="C219" s="12" t="s">
        <v>270</v>
      </c>
      <c r="D219" s="12" t="s">
        <v>393</v>
      </c>
      <c r="E219" s="18">
        <v>1</v>
      </c>
      <c r="F219" s="12" t="s">
        <v>31</v>
      </c>
      <c r="G219" s="13"/>
      <c r="H219" s="13"/>
      <c r="I219" s="13"/>
      <c r="J219" s="12" t="s">
        <v>883</v>
      </c>
      <c r="K219" s="12" t="s">
        <v>535</v>
      </c>
    </row>
    <row r="220" spans="1:11" ht="30" customHeight="1">
      <c r="A220" s="12" t="s">
        <v>306</v>
      </c>
      <c r="B220" s="12" t="s">
        <v>304</v>
      </c>
      <c r="C220" s="12" t="s">
        <v>270</v>
      </c>
      <c r="D220" s="12" t="s">
        <v>394</v>
      </c>
      <c r="E220" s="18">
        <v>2</v>
      </c>
      <c r="F220" s="12" t="s">
        <v>31</v>
      </c>
      <c r="G220" s="13"/>
      <c r="H220" s="13"/>
      <c r="I220" s="13"/>
      <c r="J220" s="12" t="s">
        <v>884</v>
      </c>
      <c r="K220" s="12" t="s">
        <v>535</v>
      </c>
    </row>
    <row r="221" spans="1:11" ht="30" customHeight="1">
      <c r="A221" s="12" t="s">
        <v>306</v>
      </c>
      <c r="B221" s="12" t="s">
        <v>304</v>
      </c>
      <c r="C221" s="12" t="s">
        <v>270</v>
      </c>
      <c r="D221" s="12" t="s">
        <v>395</v>
      </c>
      <c r="E221" s="18">
        <v>2</v>
      </c>
      <c r="F221" s="12" t="s">
        <v>31</v>
      </c>
      <c r="G221" s="13"/>
      <c r="H221" s="13"/>
      <c r="I221" s="13"/>
      <c r="J221" s="12" t="s">
        <v>885</v>
      </c>
      <c r="K221" s="12" t="s">
        <v>535</v>
      </c>
    </row>
    <row r="222" spans="1:11" ht="30" customHeight="1">
      <c r="A222" s="12" t="s">
        <v>306</v>
      </c>
      <c r="B222" s="12" t="s">
        <v>304</v>
      </c>
      <c r="C222" s="12" t="s">
        <v>270</v>
      </c>
      <c r="D222" s="12" t="s">
        <v>396</v>
      </c>
      <c r="E222" s="18">
        <v>1</v>
      </c>
      <c r="F222" s="12" t="s">
        <v>31</v>
      </c>
      <c r="G222" s="13"/>
      <c r="H222" s="13"/>
      <c r="I222" s="13"/>
      <c r="J222" s="12" t="s">
        <v>886</v>
      </c>
      <c r="K222" s="12" t="s">
        <v>535</v>
      </c>
    </row>
    <row r="223" spans="1:11" ht="30" customHeight="1">
      <c r="A223" s="12" t="s">
        <v>306</v>
      </c>
      <c r="B223" s="12" t="s">
        <v>304</v>
      </c>
      <c r="C223" s="12" t="s">
        <v>270</v>
      </c>
      <c r="D223" s="12" t="s">
        <v>397</v>
      </c>
      <c r="E223" s="18">
        <v>0</v>
      </c>
      <c r="F223" s="12" t="s">
        <v>31</v>
      </c>
      <c r="G223" s="13"/>
      <c r="H223" s="13"/>
      <c r="I223" s="13"/>
      <c r="J223" s="12" t="s">
        <v>887</v>
      </c>
      <c r="K223" s="12" t="s">
        <v>535</v>
      </c>
    </row>
    <row r="224" spans="1:11" ht="30" customHeight="1">
      <c r="A224" s="12" t="s">
        <v>306</v>
      </c>
      <c r="B224" s="12" t="s">
        <v>304</v>
      </c>
      <c r="C224" s="12" t="s">
        <v>270</v>
      </c>
      <c r="D224" s="12" t="s">
        <v>398</v>
      </c>
      <c r="E224" s="18">
        <v>1</v>
      </c>
      <c r="F224" s="12" t="s">
        <v>31</v>
      </c>
      <c r="G224" s="13"/>
      <c r="H224" s="13"/>
      <c r="I224" s="13"/>
      <c r="J224" s="12" t="s">
        <v>888</v>
      </c>
      <c r="K224" s="12" t="s">
        <v>535</v>
      </c>
    </row>
    <row r="225" spans="1:11" ht="30" customHeight="1">
      <c r="A225" s="12" t="s">
        <v>306</v>
      </c>
      <c r="B225" s="12" t="s">
        <v>304</v>
      </c>
      <c r="C225" s="12" t="s">
        <v>270</v>
      </c>
      <c r="D225" s="12" t="s">
        <v>399</v>
      </c>
      <c r="E225" s="18">
        <v>1</v>
      </c>
      <c r="F225" s="12" t="s">
        <v>31</v>
      </c>
      <c r="G225" s="13"/>
      <c r="H225" s="13"/>
      <c r="I225" s="13"/>
      <c r="J225" s="12" t="s">
        <v>889</v>
      </c>
      <c r="K225" s="12" t="s">
        <v>535</v>
      </c>
    </row>
    <row r="226" spans="1:11" ht="30" customHeight="1">
      <c r="A226" s="12" t="s">
        <v>306</v>
      </c>
      <c r="B226" s="12" t="s">
        <v>304</v>
      </c>
      <c r="C226" s="12" t="s">
        <v>270</v>
      </c>
      <c r="D226" s="12" t="s">
        <v>400</v>
      </c>
      <c r="E226" s="18">
        <v>3</v>
      </c>
      <c r="F226" s="12" t="s">
        <v>31</v>
      </c>
      <c r="G226" s="13"/>
      <c r="H226" s="13"/>
      <c r="I226" s="13"/>
      <c r="J226" s="12" t="s">
        <v>890</v>
      </c>
      <c r="K226" s="12" t="s">
        <v>535</v>
      </c>
    </row>
    <row r="227" spans="1:11" ht="30" customHeight="1">
      <c r="A227" s="12" t="s">
        <v>291</v>
      </c>
      <c r="B227" s="12" t="s">
        <v>290</v>
      </c>
      <c r="C227" s="12" t="s">
        <v>270</v>
      </c>
      <c r="D227" s="12" t="s">
        <v>391</v>
      </c>
      <c r="E227" s="18">
        <v>3</v>
      </c>
      <c r="F227" s="12" t="s">
        <v>31</v>
      </c>
      <c r="G227" s="13"/>
      <c r="H227" s="13"/>
      <c r="I227" s="13"/>
      <c r="J227" s="12" t="s">
        <v>891</v>
      </c>
      <c r="K227" s="12" t="s">
        <v>535</v>
      </c>
    </row>
    <row r="228" spans="1:11" ht="30" customHeight="1">
      <c r="A228" s="12" t="s">
        <v>291</v>
      </c>
      <c r="B228" s="12" t="s">
        <v>290</v>
      </c>
      <c r="C228" s="12" t="s">
        <v>270</v>
      </c>
      <c r="D228" s="12" t="s">
        <v>392</v>
      </c>
      <c r="E228" s="18">
        <v>0</v>
      </c>
      <c r="F228" s="12" t="s">
        <v>31</v>
      </c>
      <c r="G228" s="13"/>
      <c r="H228" s="13"/>
      <c r="I228" s="13"/>
      <c r="J228" s="12" t="s">
        <v>892</v>
      </c>
      <c r="K228" s="12" t="s">
        <v>535</v>
      </c>
    </row>
    <row r="229" spans="1:11" ht="30" customHeight="1">
      <c r="A229" s="12" t="s">
        <v>291</v>
      </c>
      <c r="B229" s="12" t="s">
        <v>290</v>
      </c>
      <c r="C229" s="12" t="s">
        <v>270</v>
      </c>
      <c r="D229" s="12" t="s">
        <v>393</v>
      </c>
      <c r="E229" s="18">
        <v>0</v>
      </c>
      <c r="F229" s="12" t="s">
        <v>31</v>
      </c>
      <c r="G229" s="13"/>
      <c r="H229" s="13"/>
      <c r="I229" s="13"/>
      <c r="J229" s="12" t="s">
        <v>893</v>
      </c>
      <c r="K229" s="12" t="s">
        <v>535</v>
      </c>
    </row>
    <row r="230" spans="1:11" ht="30" customHeight="1">
      <c r="A230" s="12" t="s">
        <v>291</v>
      </c>
      <c r="B230" s="12" t="s">
        <v>290</v>
      </c>
      <c r="C230" s="12" t="s">
        <v>270</v>
      </c>
      <c r="D230" s="12" t="s">
        <v>394</v>
      </c>
      <c r="E230" s="18">
        <v>2</v>
      </c>
      <c r="F230" s="12" t="s">
        <v>31</v>
      </c>
      <c r="G230" s="13"/>
      <c r="H230" s="13"/>
      <c r="I230" s="13"/>
      <c r="J230" s="12" t="s">
        <v>894</v>
      </c>
      <c r="K230" s="12" t="s">
        <v>535</v>
      </c>
    </row>
    <row r="231" spans="1:11" ht="30" customHeight="1">
      <c r="A231" s="12" t="s">
        <v>291</v>
      </c>
      <c r="B231" s="12" t="s">
        <v>290</v>
      </c>
      <c r="C231" s="12" t="s">
        <v>270</v>
      </c>
      <c r="D231" s="12" t="s">
        <v>395</v>
      </c>
      <c r="E231" s="18">
        <v>1</v>
      </c>
      <c r="F231" s="12" t="s">
        <v>31</v>
      </c>
      <c r="G231" s="13"/>
      <c r="H231" s="13"/>
      <c r="I231" s="13"/>
      <c r="J231" s="12" t="s">
        <v>895</v>
      </c>
      <c r="K231" s="12" t="s">
        <v>535</v>
      </c>
    </row>
    <row r="232" spans="1:11" ht="30" customHeight="1">
      <c r="A232" s="12" t="s">
        <v>291</v>
      </c>
      <c r="B232" s="12" t="s">
        <v>290</v>
      </c>
      <c r="C232" s="12" t="s">
        <v>270</v>
      </c>
      <c r="D232" s="12" t="s">
        <v>396</v>
      </c>
      <c r="E232" s="18">
        <v>0</v>
      </c>
      <c r="F232" s="12" t="s">
        <v>31</v>
      </c>
      <c r="G232" s="13"/>
      <c r="H232" s="13"/>
      <c r="I232" s="13"/>
      <c r="J232" s="12" t="s">
        <v>896</v>
      </c>
      <c r="K232" s="12" t="s">
        <v>535</v>
      </c>
    </row>
    <row r="233" spans="1:11" ht="30" customHeight="1">
      <c r="A233" s="12" t="s">
        <v>291</v>
      </c>
      <c r="B233" s="12" t="s">
        <v>290</v>
      </c>
      <c r="C233" s="12" t="s">
        <v>270</v>
      </c>
      <c r="D233" s="12" t="s">
        <v>397</v>
      </c>
      <c r="E233" s="18">
        <v>0</v>
      </c>
      <c r="F233" s="12" t="s">
        <v>31</v>
      </c>
      <c r="G233" s="13"/>
      <c r="H233" s="13"/>
      <c r="I233" s="13"/>
      <c r="J233" s="12" t="s">
        <v>839</v>
      </c>
      <c r="K233" s="12" t="s">
        <v>535</v>
      </c>
    </row>
    <row r="234" spans="1:11" ht="30" customHeight="1">
      <c r="A234" s="12" t="s">
        <v>291</v>
      </c>
      <c r="B234" s="12" t="s">
        <v>290</v>
      </c>
      <c r="C234" s="12" t="s">
        <v>270</v>
      </c>
      <c r="D234" s="12" t="s">
        <v>398</v>
      </c>
      <c r="E234" s="18">
        <v>0</v>
      </c>
      <c r="F234" s="12" t="s">
        <v>31</v>
      </c>
      <c r="G234" s="13"/>
      <c r="H234" s="13"/>
      <c r="I234" s="13"/>
      <c r="J234" s="12" t="s">
        <v>897</v>
      </c>
      <c r="K234" s="12" t="s">
        <v>535</v>
      </c>
    </row>
    <row r="235" spans="1:11" ht="30" customHeight="1">
      <c r="A235" s="12" t="s">
        <v>291</v>
      </c>
      <c r="B235" s="12" t="s">
        <v>290</v>
      </c>
      <c r="C235" s="12" t="s">
        <v>270</v>
      </c>
      <c r="D235" s="12" t="s">
        <v>399</v>
      </c>
      <c r="E235" s="18">
        <v>1</v>
      </c>
      <c r="F235" s="12" t="s">
        <v>31</v>
      </c>
      <c r="G235" s="13"/>
      <c r="H235" s="13"/>
      <c r="I235" s="13"/>
      <c r="J235" s="12" t="s">
        <v>898</v>
      </c>
      <c r="K235" s="12" t="s">
        <v>535</v>
      </c>
    </row>
    <row r="236" spans="1:11" ht="30" customHeight="1">
      <c r="A236" s="12" t="s">
        <v>291</v>
      </c>
      <c r="B236" s="12" t="s">
        <v>290</v>
      </c>
      <c r="C236" s="12" t="s">
        <v>270</v>
      </c>
      <c r="D236" s="12" t="s">
        <v>400</v>
      </c>
      <c r="E236" s="18">
        <v>1</v>
      </c>
      <c r="F236" s="12" t="s">
        <v>31</v>
      </c>
      <c r="G236" s="13"/>
      <c r="H236" s="13"/>
      <c r="I236" s="13"/>
      <c r="J236" s="12" t="s">
        <v>899</v>
      </c>
      <c r="K236" s="12" t="s">
        <v>535</v>
      </c>
    </row>
    <row r="237" spans="1:11" ht="30" customHeight="1">
      <c r="A237" s="12" t="s">
        <v>291</v>
      </c>
      <c r="B237" s="12" t="s">
        <v>290</v>
      </c>
      <c r="C237" s="12" t="s">
        <v>270</v>
      </c>
      <c r="D237" s="12" t="s">
        <v>391</v>
      </c>
      <c r="E237" s="18">
        <v>3</v>
      </c>
      <c r="F237" s="12" t="s">
        <v>31</v>
      </c>
      <c r="G237" s="13"/>
      <c r="H237" s="13"/>
      <c r="I237" s="13"/>
      <c r="J237" s="12" t="s">
        <v>900</v>
      </c>
      <c r="K237" s="12" t="s">
        <v>535</v>
      </c>
    </row>
    <row r="238" spans="1:11" ht="30" customHeight="1">
      <c r="A238" s="12" t="s">
        <v>291</v>
      </c>
      <c r="B238" s="12" t="s">
        <v>290</v>
      </c>
      <c r="C238" s="12" t="s">
        <v>270</v>
      </c>
      <c r="D238" s="12" t="s">
        <v>392</v>
      </c>
      <c r="E238" s="18">
        <v>0</v>
      </c>
      <c r="F238" s="12" t="s">
        <v>31</v>
      </c>
      <c r="G238" s="13"/>
      <c r="H238" s="13"/>
      <c r="I238" s="13"/>
      <c r="J238" s="12" t="s">
        <v>901</v>
      </c>
      <c r="K238" s="12" t="s">
        <v>535</v>
      </c>
    </row>
    <row r="239" spans="1:11" ht="30" customHeight="1">
      <c r="A239" s="12" t="s">
        <v>291</v>
      </c>
      <c r="B239" s="12" t="s">
        <v>290</v>
      </c>
      <c r="C239" s="12" t="s">
        <v>270</v>
      </c>
      <c r="D239" s="12" t="s">
        <v>393</v>
      </c>
      <c r="E239" s="18">
        <v>1</v>
      </c>
      <c r="F239" s="12" t="s">
        <v>31</v>
      </c>
      <c r="G239" s="13"/>
      <c r="H239" s="13"/>
      <c r="I239" s="13"/>
      <c r="J239" s="12" t="s">
        <v>902</v>
      </c>
      <c r="K239" s="12" t="s">
        <v>535</v>
      </c>
    </row>
    <row r="240" spans="1:11" ht="30" customHeight="1">
      <c r="A240" s="12" t="s">
        <v>291</v>
      </c>
      <c r="B240" s="12" t="s">
        <v>290</v>
      </c>
      <c r="C240" s="12" t="s">
        <v>270</v>
      </c>
      <c r="D240" s="12" t="s">
        <v>394</v>
      </c>
      <c r="E240" s="18">
        <v>2</v>
      </c>
      <c r="F240" s="12" t="s">
        <v>31</v>
      </c>
      <c r="G240" s="13"/>
      <c r="H240" s="13"/>
      <c r="I240" s="13"/>
      <c r="J240" s="12" t="s">
        <v>903</v>
      </c>
      <c r="K240" s="12" t="s">
        <v>535</v>
      </c>
    </row>
    <row r="241" spans="1:11" ht="30" customHeight="1">
      <c r="A241" s="12" t="s">
        <v>291</v>
      </c>
      <c r="B241" s="12" t="s">
        <v>290</v>
      </c>
      <c r="C241" s="12" t="s">
        <v>270</v>
      </c>
      <c r="D241" s="12" t="s">
        <v>395</v>
      </c>
      <c r="E241" s="18">
        <v>1</v>
      </c>
      <c r="F241" s="12" t="s">
        <v>31</v>
      </c>
      <c r="G241" s="13"/>
      <c r="H241" s="13"/>
      <c r="I241" s="13"/>
      <c r="J241" s="12" t="s">
        <v>904</v>
      </c>
      <c r="K241" s="12" t="s">
        <v>535</v>
      </c>
    </row>
    <row r="242" spans="1:11" ht="30" customHeight="1">
      <c r="A242" s="12" t="s">
        <v>291</v>
      </c>
      <c r="B242" s="12" t="s">
        <v>290</v>
      </c>
      <c r="C242" s="12" t="s">
        <v>270</v>
      </c>
      <c r="D242" s="12" t="s">
        <v>396</v>
      </c>
      <c r="E242" s="18">
        <v>0</v>
      </c>
      <c r="F242" s="12" t="s">
        <v>31</v>
      </c>
      <c r="G242" s="13"/>
      <c r="H242" s="13"/>
      <c r="I242" s="13"/>
      <c r="J242" s="12" t="s">
        <v>905</v>
      </c>
      <c r="K242" s="12" t="s">
        <v>535</v>
      </c>
    </row>
    <row r="243" spans="1:11" ht="30" customHeight="1">
      <c r="A243" s="12" t="s">
        <v>291</v>
      </c>
      <c r="B243" s="12" t="s">
        <v>290</v>
      </c>
      <c r="C243" s="12" t="s">
        <v>270</v>
      </c>
      <c r="D243" s="12" t="s">
        <v>397</v>
      </c>
      <c r="E243" s="18">
        <v>0</v>
      </c>
      <c r="F243" s="12" t="s">
        <v>31</v>
      </c>
      <c r="G243" s="13"/>
      <c r="H243" s="13"/>
      <c r="I243" s="13"/>
      <c r="J243" s="12" t="s">
        <v>906</v>
      </c>
      <c r="K243" s="12" t="s">
        <v>535</v>
      </c>
    </row>
    <row r="244" spans="1:11" ht="30" customHeight="1">
      <c r="A244" s="12" t="s">
        <v>291</v>
      </c>
      <c r="B244" s="12" t="s">
        <v>290</v>
      </c>
      <c r="C244" s="12" t="s">
        <v>270</v>
      </c>
      <c r="D244" s="12" t="s">
        <v>398</v>
      </c>
      <c r="E244" s="18">
        <v>0</v>
      </c>
      <c r="F244" s="12" t="s">
        <v>31</v>
      </c>
      <c r="G244" s="13"/>
      <c r="H244" s="13"/>
      <c r="I244" s="13"/>
      <c r="J244" s="12" t="s">
        <v>907</v>
      </c>
      <c r="K244" s="12" t="s">
        <v>535</v>
      </c>
    </row>
    <row r="245" spans="1:11" ht="30" customHeight="1">
      <c r="A245" s="12" t="s">
        <v>291</v>
      </c>
      <c r="B245" s="12" t="s">
        <v>290</v>
      </c>
      <c r="C245" s="12" t="s">
        <v>270</v>
      </c>
      <c r="D245" s="12" t="s">
        <v>399</v>
      </c>
      <c r="E245" s="18">
        <v>0</v>
      </c>
      <c r="F245" s="12" t="s">
        <v>31</v>
      </c>
      <c r="G245" s="13"/>
      <c r="H245" s="13"/>
      <c r="I245" s="13"/>
      <c r="J245" s="12" t="s">
        <v>908</v>
      </c>
      <c r="K245" s="12" t="s">
        <v>535</v>
      </c>
    </row>
    <row r="246" spans="1:11" ht="30" customHeight="1">
      <c r="A246" s="12" t="s">
        <v>291</v>
      </c>
      <c r="B246" s="12" t="s">
        <v>290</v>
      </c>
      <c r="C246" s="12" t="s">
        <v>270</v>
      </c>
      <c r="D246" s="12" t="s">
        <v>400</v>
      </c>
      <c r="E246" s="18">
        <v>2</v>
      </c>
      <c r="F246" s="12" t="s">
        <v>31</v>
      </c>
      <c r="G246" s="13"/>
      <c r="H246" s="13"/>
      <c r="I246" s="13"/>
      <c r="J246" s="12" t="s">
        <v>909</v>
      </c>
      <c r="K246" s="12" t="s">
        <v>535</v>
      </c>
    </row>
    <row r="247" spans="1:11" ht="30" customHeight="1">
      <c r="A247" s="12" t="s">
        <v>302</v>
      </c>
      <c r="B247" s="12" t="s">
        <v>301</v>
      </c>
      <c r="C247" s="12" t="s">
        <v>270</v>
      </c>
      <c r="D247" s="12" t="s">
        <v>391</v>
      </c>
      <c r="E247" s="18">
        <v>3</v>
      </c>
      <c r="F247" s="12" t="s">
        <v>50</v>
      </c>
      <c r="G247" s="13"/>
      <c r="H247" s="13"/>
      <c r="I247" s="13"/>
      <c r="J247" s="12" t="s">
        <v>910</v>
      </c>
      <c r="K247" s="12" t="s">
        <v>535</v>
      </c>
    </row>
    <row r="248" spans="1:11" ht="30" customHeight="1">
      <c r="A248" s="12" t="s">
        <v>302</v>
      </c>
      <c r="B248" s="12" t="s">
        <v>301</v>
      </c>
      <c r="C248" s="12" t="s">
        <v>270</v>
      </c>
      <c r="D248" s="12" t="s">
        <v>392</v>
      </c>
      <c r="E248" s="18">
        <v>3</v>
      </c>
      <c r="F248" s="12" t="s">
        <v>50</v>
      </c>
      <c r="G248" s="13"/>
      <c r="H248" s="13"/>
      <c r="I248" s="13"/>
      <c r="J248" s="12" t="s">
        <v>911</v>
      </c>
      <c r="K248" s="12" t="s">
        <v>535</v>
      </c>
    </row>
    <row r="249" spans="1:11" ht="30" customHeight="1">
      <c r="A249" s="12" t="s">
        <v>302</v>
      </c>
      <c r="B249" s="12" t="s">
        <v>301</v>
      </c>
      <c r="C249" s="12" t="s">
        <v>270</v>
      </c>
      <c r="D249" s="12" t="s">
        <v>393</v>
      </c>
      <c r="E249" s="18">
        <v>3</v>
      </c>
      <c r="F249" s="12" t="s">
        <v>50</v>
      </c>
      <c r="G249" s="13"/>
      <c r="H249" s="13"/>
      <c r="I249" s="13"/>
      <c r="J249" s="12" t="s">
        <v>912</v>
      </c>
      <c r="K249" s="12" t="s">
        <v>535</v>
      </c>
    </row>
    <row r="250" spans="1:11" ht="30" customHeight="1">
      <c r="A250" s="12" t="s">
        <v>302</v>
      </c>
      <c r="B250" s="12" t="s">
        <v>301</v>
      </c>
      <c r="C250" s="12" t="s">
        <v>270</v>
      </c>
      <c r="D250" s="12" t="s">
        <v>394</v>
      </c>
      <c r="E250" s="18">
        <v>2</v>
      </c>
      <c r="F250" s="12" t="s">
        <v>50</v>
      </c>
      <c r="G250" s="13"/>
      <c r="H250" s="13"/>
      <c r="I250" s="13"/>
      <c r="J250" s="12" t="s">
        <v>913</v>
      </c>
      <c r="K250" s="12" t="s">
        <v>535</v>
      </c>
    </row>
    <row r="251" spans="1:11" ht="30" customHeight="1">
      <c r="A251" s="12" t="s">
        <v>302</v>
      </c>
      <c r="B251" s="12" t="s">
        <v>301</v>
      </c>
      <c r="C251" s="12" t="s">
        <v>270</v>
      </c>
      <c r="D251" s="12" t="s">
        <v>395</v>
      </c>
      <c r="E251" s="18">
        <v>1</v>
      </c>
      <c r="F251" s="12" t="s">
        <v>50</v>
      </c>
      <c r="G251" s="13"/>
      <c r="H251" s="13"/>
      <c r="I251" s="13"/>
      <c r="J251" s="12" t="s">
        <v>914</v>
      </c>
      <c r="K251" s="12" t="s">
        <v>535</v>
      </c>
    </row>
    <row r="252" spans="1:11" ht="30" customHeight="1">
      <c r="A252" s="12" t="s">
        <v>302</v>
      </c>
      <c r="B252" s="12" t="s">
        <v>301</v>
      </c>
      <c r="C252" s="12" t="s">
        <v>270</v>
      </c>
      <c r="D252" s="12" t="s">
        <v>396</v>
      </c>
      <c r="E252" s="18">
        <v>1</v>
      </c>
      <c r="F252" s="12" t="s">
        <v>50</v>
      </c>
      <c r="G252" s="13"/>
      <c r="H252" s="13"/>
      <c r="I252" s="13"/>
      <c r="J252" s="12" t="s">
        <v>915</v>
      </c>
      <c r="K252" s="12" t="s">
        <v>535</v>
      </c>
    </row>
    <row r="253" spans="1:11" ht="30" customHeight="1">
      <c r="A253" s="12" t="s">
        <v>302</v>
      </c>
      <c r="B253" s="12" t="s">
        <v>301</v>
      </c>
      <c r="C253" s="12" t="s">
        <v>270</v>
      </c>
      <c r="D253" s="12" t="s">
        <v>397</v>
      </c>
      <c r="E253" s="18">
        <v>0</v>
      </c>
      <c r="F253" s="12" t="s">
        <v>50</v>
      </c>
      <c r="G253" s="13"/>
      <c r="H253" s="13"/>
      <c r="I253" s="13"/>
      <c r="J253" s="12" t="s">
        <v>916</v>
      </c>
      <c r="K253" s="12" t="s">
        <v>535</v>
      </c>
    </row>
    <row r="254" spans="1:11" ht="30" customHeight="1">
      <c r="A254" s="12" t="s">
        <v>302</v>
      </c>
      <c r="B254" s="12" t="s">
        <v>301</v>
      </c>
      <c r="C254" s="12" t="s">
        <v>270</v>
      </c>
      <c r="D254" s="12" t="s">
        <v>398</v>
      </c>
      <c r="E254" s="18">
        <v>2</v>
      </c>
      <c r="F254" s="12" t="s">
        <v>50</v>
      </c>
      <c r="G254" s="13"/>
      <c r="H254" s="13"/>
      <c r="I254" s="13"/>
      <c r="J254" s="12" t="s">
        <v>917</v>
      </c>
      <c r="K254" s="12" t="s">
        <v>535</v>
      </c>
    </row>
    <row r="255" spans="1:11" ht="30" customHeight="1">
      <c r="A255" s="12" t="s">
        <v>302</v>
      </c>
      <c r="B255" s="12" t="s">
        <v>301</v>
      </c>
      <c r="C255" s="12" t="s">
        <v>270</v>
      </c>
      <c r="D255" s="12" t="s">
        <v>399</v>
      </c>
      <c r="E255" s="18">
        <v>3</v>
      </c>
      <c r="F255" s="12" t="s">
        <v>50</v>
      </c>
      <c r="G255" s="13"/>
      <c r="H255" s="13"/>
      <c r="I255" s="13"/>
      <c r="J255" s="12" t="s">
        <v>918</v>
      </c>
      <c r="K255" s="12" t="s">
        <v>535</v>
      </c>
    </row>
    <row r="256" spans="1:11" ht="30" customHeight="1">
      <c r="A256" s="12" t="s">
        <v>302</v>
      </c>
      <c r="B256" s="12" t="s">
        <v>301</v>
      </c>
      <c r="C256" s="12" t="s">
        <v>270</v>
      </c>
      <c r="D256" s="12" t="s">
        <v>400</v>
      </c>
      <c r="E256" s="18">
        <v>3</v>
      </c>
      <c r="F256" s="12" t="s">
        <v>50</v>
      </c>
      <c r="G256" s="13"/>
      <c r="H256" s="13"/>
      <c r="I256" s="13"/>
      <c r="J256" s="12" t="s">
        <v>919</v>
      </c>
      <c r="K256" s="12" t="s">
        <v>535</v>
      </c>
    </row>
    <row r="257" spans="1:11" ht="30" customHeight="1">
      <c r="A257" s="12" t="s">
        <v>302</v>
      </c>
      <c r="B257" s="12" t="s">
        <v>301</v>
      </c>
      <c r="C257" s="12" t="s">
        <v>270</v>
      </c>
      <c r="D257" s="12" t="s">
        <v>391</v>
      </c>
      <c r="E257" s="18">
        <v>3</v>
      </c>
      <c r="F257" s="12" t="s">
        <v>50</v>
      </c>
      <c r="G257" s="13"/>
      <c r="H257" s="13"/>
      <c r="I257" s="13"/>
      <c r="J257" s="12" t="s">
        <v>920</v>
      </c>
      <c r="K257" s="12" t="s">
        <v>535</v>
      </c>
    </row>
    <row r="258" spans="1:11" ht="30" customHeight="1">
      <c r="A258" s="12" t="s">
        <v>302</v>
      </c>
      <c r="B258" s="12" t="s">
        <v>301</v>
      </c>
      <c r="C258" s="12" t="s">
        <v>270</v>
      </c>
      <c r="D258" s="12" t="s">
        <v>392</v>
      </c>
      <c r="E258" s="18">
        <v>3</v>
      </c>
      <c r="F258" s="12" t="s">
        <v>50</v>
      </c>
      <c r="G258" s="13"/>
      <c r="H258" s="13"/>
      <c r="I258" s="13"/>
      <c r="J258" s="12" t="s">
        <v>921</v>
      </c>
      <c r="K258" s="12" t="s">
        <v>535</v>
      </c>
    </row>
    <row r="259" spans="1:11" ht="30" customHeight="1">
      <c r="A259" s="12" t="s">
        <v>302</v>
      </c>
      <c r="B259" s="12" t="s">
        <v>301</v>
      </c>
      <c r="C259" s="12" t="s">
        <v>270</v>
      </c>
      <c r="D259" s="12" t="s">
        <v>393</v>
      </c>
      <c r="E259" s="18">
        <v>3</v>
      </c>
      <c r="F259" s="12" t="s">
        <v>50</v>
      </c>
      <c r="G259" s="13"/>
      <c r="H259" s="13"/>
      <c r="I259" s="13"/>
      <c r="J259" s="12" t="s">
        <v>922</v>
      </c>
      <c r="K259" s="12" t="s">
        <v>535</v>
      </c>
    </row>
    <row r="260" spans="1:11" ht="30" customHeight="1">
      <c r="A260" s="12" t="s">
        <v>302</v>
      </c>
      <c r="B260" s="12" t="s">
        <v>301</v>
      </c>
      <c r="C260" s="12" t="s">
        <v>270</v>
      </c>
      <c r="D260" s="12" t="s">
        <v>394</v>
      </c>
      <c r="E260" s="18">
        <v>3</v>
      </c>
      <c r="F260" s="12" t="s">
        <v>50</v>
      </c>
      <c r="G260" s="13"/>
      <c r="H260" s="13"/>
      <c r="I260" s="13"/>
      <c r="J260" s="12" t="s">
        <v>923</v>
      </c>
      <c r="K260" s="12" t="s">
        <v>535</v>
      </c>
    </row>
    <row r="261" spans="1:11" ht="30" customHeight="1">
      <c r="A261" s="12" t="s">
        <v>302</v>
      </c>
      <c r="B261" s="12" t="s">
        <v>301</v>
      </c>
      <c r="C261" s="12" t="s">
        <v>270</v>
      </c>
      <c r="D261" s="12" t="s">
        <v>395</v>
      </c>
      <c r="E261" s="18">
        <v>2</v>
      </c>
      <c r="F261" s="12" t="s">
        <v>50</v>
      </c>
      <c r="G261" s="13"/>
      <c r="H261" s="13"/>
      <c r="I261" s="13"/>
      <c r="J261" s="12" t="s">
        <v>924</v>
      </c>
      <c r="K261" s="12" t="s">
        <v>535</v>
      </c>
    </row>
    <row r="262" spans="1:11" ht="30" customHeight="1">
      <c r="A262" s="12" t="s">
        <v>302</v>
      </c>
      <c r="B262" s="12" t="s">
        <v>301</v>
      </c>
      <c r="C262" s="12" t="s">
        <v>270</v>
      </c>
      <c r="D262" s="12" t="s">
        <v>396</v>
      </c>
      <c r="E262" s="18">
        <v>1</v>
      </c>
      <c r="F262" s="12" t="s">
        <v>50</v>
      </c>
      <c r="G262" s="13"/>
      <c r="H262" s="13"/>
      <c r="I262" s="13"/>
      <c r="J262" s="12" t="s">
        <v>925</v>
      </c>
      <c r="K262" s="12" t="s">
        <v>535</v>
      </c>
    </row>
    <row r="263" spans="1:11" ht="30" customHeight="1">
      <c r="A263" s="12" t="s">
        <v>302</v>
      </c>
      <c r="B263" s="12" t="s">
        <v>301</v>
      </c>
      <c r="C263" s="12" t="s">
        <v>270</v>
      </c>
      <c r="D263" s="12" t="s">
        <v>397</v>
      </c>
      <c r="E263" s="18">
        <v>0</v>
      </c>
      <c r="F263" s="12" t="s">
        <v>50</v>
      </c>
      <c r="G263" s="13"/>
      <c r="H263" s="13"/>
      <c r="I263" s="13"/>
      <c r="J263" s="12" t="s">
        <v>926</v>
      </c>
      <c r="K263" s="12" t="s">
        <v>535</v>
      </c>
    </row>
    <row r="264" spans="1:11" ht="30" customHeight="1">
      <c r="A264" s="12" t="s">
        <v>302</v>
      </c>
      <c r="B264" s="12" t="s">
        <v>301</v>
      </c>
      <c r="C264" s="12" t="s">
        <v>270</v>
      </c>
      <c r="D264" s="12" t="s">
        <v>398</v>
      </c>
      <c r="E264" s="18">
        <v>3</v>
      </c>
      <c r="F264" s="12" t="s">
        <v>50</v>
      </c>
      <c r="G264" s="13"/>
      <c r="H264" s="13"/>
      <c r="I264" s="13"/>
      <c r="J264" s="12" t="s">
        <v>927</v>
      </c>
      <c r="K264" s="12" t="s">
        <v>535</v>
      </c>
    </row>
    <row r="265" spans="1:11" ht="30" customHeight="1">
      <c r="A265" s="12" t="s">
        <v>302</v>
      </c>
      <c r="B265" s="12" t="s">
        <v>301</v>
      </c>
      <c r="C265" s="12" t="s">
        <v>270</v>
      </c>
      <c r="D265" s="12" t="s">
        <v>399</v>
      </c>
      <c r="E265" s="18">
        <v>3</v>
      </c>
      <c r="F265" s="12" t="s">
        <v>50</v>
      </c>
      <c r="G265" s="13"/>
      <c r="H265" s="13"/>
      <c r="I265" s="13"/>
      <c r="J265" s="12" t="s">
        <v>928</v>
      </c>
      <c r="K265" s="12" t="s">
        <v>535</v>
      </c>
    </row>
    <row r="266" spans="1:11" ht="30" customHeight="1">
      <c r="A266" s="12" t="s">
        <v>302</v>
      </c>
      <c r="B266" s="12" t="s">
        <v>301</v>
      </c>
      <c r="C266" s="12" t="s">
        <v>270</v>
      </c>
      <c r="D266" s="12" t="s">
        <v>400</v>
      </c>
      <c r="E266" s="18">
        <v>3</v>
      </c>
      <c r="F266" s="12" t="s">
        <v>50</v>
      </c>
      <c r="G266" s="13"/>
      <c r="H266" s="13"/>
      <c r="I266" s="13"/>
      <c r="J266" s="12" t="s">
        <v>929</v>
      </c>
      <c r="K266" s="12" t="s">
        <v>535</v>
      </c>
    </row>
    <row r="267" spans="1:11" ht="30" customHeight="1">
      <c r="A267" s="12" t="s">
        <v>283</v>
      </c>
      <c r="B267" s="12" t="s">
        <v>280</v>
      </c>
      <c r="C267" s="12" t="s">
        <v>270</v>
      </c>
      <c r="D267" s="12" t="s">
        <v>391</v>
      </c>
      <c r="E267" s="18">
        <v>3</v>
      </c>
      <c r="F267" s="12" t="s">
        <v>50</v>
      </c>
      <c r="G267" s="13"/>
      <c r="H267" s="13"/>
      <c r="I267" s="13"/>
      <c r="J267" s="12" t="s">
        <v>930</v>
      </c>
      <c r="K267" s="12" t="s">
        <v>535</v>
      </c>
    </row>
    <row r="268" spans="1:11" ht="30" customHeight="1">
      <c r="A268" s="12" t="s">
        <v>283</v>
      </c>
      <c r="B268" s="12" t="s">
        <v>280</v>
      </c>
      <c r="C268" s="12" t="s">
        <v>270</v>
      </c>
      <c r="D268" s="12" t="s">
        <v>392</v>
      </c>
      <c r="E268" s="18">
        <v>1</v>
      </c>
      <c r="F268" s="12" t="s">
        <v>50</v>
      </c>
      <c r="G268" s="13"/>
      <c r="H268" s="13"/>
      <c r="I268" s="13"/>
      <c r="J268" s="12" t="s">
        <v>931</v>
      </c>
      <c r="K268" s="12" t="s">
        <v>535</v>
      </c>
    </row>
    <row r="269" spans="1:11" ht="30" customHeight="1">
      <c r="A269" s="12" t="s">
        <v>283</v>
      </c>
      <c r="B269" s="12" t="s">
        <v>280</v>
      </c>
      <c r="C269" s="12" t="s">
        <v>270</v>
      </c>
      <c r="D269" s="12" t="s">
        <v>393</v>
      </c>
      <c r="E269" s="18">
        <v>1</v>
      </c>
      <c r="F269" s="12" t="s">
        <v>50</v>
      </c>
      <c r="G269" s="13"/>
      <c r="H269" s="13"/>
      <c r="I269" s="13"/>
      <c r="J269" s="12" t="s">
        <v>932</v>
      </c>
      <c r="K269" s="12" t="s">
        <v>535</v>
      </c>
    </row>
    <row r="270" spans="1:11" ht="30" customHeight="1">
      <c r="A270" s="12" t="s">
        <v>283</v>
      </c>
      <c r="B270" s="12" t="s">
        <v>280</v>
      </c>
      <c r="C270" s="12" t="s">
        <v>270</v>
      </c>
      <c r="D270" s="12" t="s">
        <v>394</v>
      </c>
      <c r="E270" s="18">
        <v>2</v>
      </c>
      <c r="F270" s="12" t="s">
        <v>50</v>
      </c>
      <c r="G270" s="13"/>
      <c r="H270" s="13"/>
      <c r="I270" s="13"/>
      <c r="J270" s="12" t="s">
        <v>933</v>
      </c>
      <c r="K270" s="12" t="s">
        <v>535</v>
      </c>
    </row>
    <row r="271" spans="1:11" ht="30" customHeight="1">
      <c r="A271" s="12" t="s">
        <v>283</v>
      </c>
      <c r="B271" s="12" t="s">
        <v>280</v>
      </c>
      <c r="C271" s="12" t="s">
        <v>270</v>
      </c>
      <c r="D271" s="12" t="s">
        <v>395</v>
      </c>
      <c r="E271" s="18">
        <v>2</v>
      </c>
      <c r="F271" s="12" t="s">
        <v>50</v>
      </c>
      <c r="G271" s="13"/>
      <c r="H271" s="13"/>
      <c r="I271" s="13"/>
      <c r="J271" s="12" t="s">
        <v>934</v>
      </c>
      <c r="K271" s="12" t="s">
        <v>535</v>
      </c>
    </row>
    <row r="272" spans="1:11" ht="30" customHeight="1">
      <c r="A272" s="12" t="s">
        <v>283</v>
      </c>
      <c r="B272" s="12" t="s">
        <v>280</v>
      </c>
      <c r="C272" s="12" t="s">
        <v>270</v>
      </c>
      <c r="D272" s="12" t="s">
        <v>396</v>
      </c>
      <c r="E272" s="18">
        <v>0</v>
      </c>
      <c r="F272" s="12" t="s">
        <v>50</v>
      </c>
      <c r="G272" s="13"/>
      <c r="H272" s="13"/>
      <c r="I272" s="13"/>
      <c r="J272" s="12" t="s">
        <v>935</v>
      </c>
      <c r="K272" s="12" t="s">
        <v>535</v>
      </c>
    </row>
    <row r="273" spans="1:11" ht="30" customHeight="1">
      <c r="A273" s="12" t="s">
        <v>283</v>
      </c>
      <c r="B273" s="12" t="s">
        <v>280</v>
      </c>
      <c r="C273" s="12" t="s">
        <v>270</v>
      </c>
      <c r="D273" s="12" t="s">
        <v>397</v>
      </c>
      <c r="E273" s="18">
        <v>0</v>
      </c>
      <c r="F273" s="12" t="s">
        <v>50</v>
      </c>
      <c r="G273" s="13"/>
      <c r="H273" s="13"/>
      <c r="I273" s="13"/>
      <c r="J273" s="12" t="s">
        <v>936</v>
      </c>
      <c r="K273" s="12" t="s">
        <v>535</v>
      </c>
    </row>
    <row r="274" spans="1:11" ht="30" customHeight="1">
      <c r="A274" s="12" t="s">
        <v>283</v>
      </c>
      <c r="B274" s="12" t="s">
        <v>280</v>
      </c>
      <c r="C274" s="12" t="s">
        <v>270</v>
      </c>
      <c r="D274" s="12" t="s">
        <v>398</v>
      </c>
      <c r="E274" s="18">
        <v>2</v>
      </c>
      <c r="F274" s="12" t="s">
        <v>50</v>
      </c>
      <c r="G274" s="13"/>
      <c r="H274" s="13"/>
      <c r="I274" s="13"/>
      <c r="J274" s="12" t="s">
        <v>937</v>
      </c>
      <c r="K274" s="12" t="s">
        <v>535</v>
      </c>
    </row>
    <row r="275" spans="1:11" ht="30" customHeight="1">
      <c r="A275" s="12" t="s">
        <v>283</v>
      </c>
      <c r="B275" s="12" t="s">
        <v>280</v>
      </c>
      <c r="C275" s="12" t="s">
        <v>270</v>
      </c>
      <c r="D275" s="12" t="s">
        <v>399</v>
      </c>
      <c r="E275" s="18">
        <v>3</v>
      </c>
      <c r="F275" s="12" t="s">
        <v>50</v>
      </c>
      <c r="G275" s="13"/>
      <c r="H275" s="13"/>
      <c r="I275" s="13"/>
      <c r="J275" s="12" t="s">
        <v>938</v>
      </c>
      <c r="K275" s="12" t="s">
        <v>535</v>
      </c>
    </row>
    <row r="276" spans="1:11" ht="30" customHeight="1">
      <c r="A276" s="12" t="s">
        <v>283</v>
      </c>
      <c r="B276" s="12" t="s">
        <v>280</v>
      </c>
      <c r="C276" s="12" t="s">
        <v>270</v>
      </c>
      <c r="D276" s="12" t="s">
        <v>400</v>
      </c>
      <c r="E276" s="18">
        <v>2</v>
      </c>
      <c r="F276" s="12" t="s">
        <v>50</v>
      </c>
      <c r="G276" s="13"/>
      <c r="H276" s="13"/>
      <c r="I276" s="13"/>
      <c r="J276" s="12" t="s">
        <v>939</v>
      </c>
      <c r="K276" s="12" t="s">
        <v>535</v>
      </c>
    </row>
    <row r="277" spans="1:11" ht="30" customHeight="1">
      <c r="A277" s="12" t="s">
        <v>283</v>
      </c>
      <c r="B277" s="12" t="s">
        <v>280</v>
      </c>
      <c r="C277" s="12" t="s">
        <v>270</v>
      </c>
      <c r="D277" s="12" t="s">
        <v>391</v>
      </c>
      <c r="E277" s="18">
        <v>3</v>
      </c>
      <c r="F277" s="12" t="s">
        <v>940</v>
      </c>
      <c r="G277" s="13"/>
      <c r="H277" s="13"/>
      <c r="I277" s="13"/>
      <c r="J277" s="12" t="s">
        <v>941</v>
      </c>
      <c r="K277" s="12" t="s">
        <v>535</v>
      </c>
    </row>
    <row r="278" spans="1:11" ht="30" customHeight="1">
      <c r="A278" s="12" t="s">
        <v>283</v>
      </c>
      <c r="B278" s="12" t="s">
        <v>280</v>
      </c>
      <c r="C278" s="12" t="s">
        <v>270</v>
      </c>
      <c r="D278" s="12" t="s">
        <v>392</v>
      </c>
      <c r="E278" s="18">
        <v>1</v>
      </c>
      <c r="F278" s="12" t="s">
        <v>940</v>
      </c>
      <c r="G278" s="13"/>
      <c r="H278" s="13"/>
      <c r="I278" s="13"/>
      <c r="J278" s="12" t="s">
        <v>942</v>
      </c>
      <c r="K278" s="12" t="s">
        <v>535</v>
      </c>
    </row>
    <row r="279" spans="1:11" ht="30" customHeight="1">
      <c r="A279" s="12" t="s">
        <v>283</v>
      </c>
      <c r="B279" s="12" t="s">
        <v>280</v>
      </c>
      <c r="C279" s="12" t="s">
        <v>270</v>
      </c>
      <c r="D279" s="12" t="s">
        <v>393</v>
      </c>
      <c r="E279" s="18">
        <v>2</v>
      </c>
      <c r="F279" s="12" t="s">
        <v>940</v>
      </c>
      <c r="G279" s="13"/>
      <c r="H279" s="13"/>
      <c r="I279" s="13"/>
      <c r="J279" s="12" t="s">
        <v>943</v>
      </c>
      <c r="K279" s="12" t="s">
        <v>535</v>
      </c>
    </row>
    <row r="280" spans="1:11" ht="30" customHeight="1">
      <c r="A280" s="12" t="s">
        <v>283</v>
      </c>
      <c r="B280" s="12" t="s">
        <v>280</v>
      </c>
      <c r="C280" s="12" t="s">
        <v>270</v>
      </c>
      <c r="D280" s="12" t="s">
        <v>394</v>
      </c>
      <c r="E280" s="18">
        <v>2</v>
      </c>
      <c r="F280" s="12" t="s">
        <v>940</v>
      </c>
      <c r="G280" s="13"/>
      <c r="H280" s="13"/>
      <c r="I280" s="13"/>
      <c r="J280" s="12" t="s">
        <v>944</v>
      </c>
      <c r="K280" s="12" t="s">
        <v>535</v>
      </c>
    </row>
    <row r="281" spans="1:11" ht="30" customHeight="1">
      <c r="A281" s="12" t="s">
        <v>283</v>
      </c>
      <c r="B281" s="12" t="s">
        <v>280</v>
      </c>
      <c r="C281" s="12" t="s">
        <v>270</v>
      </c>
      <c r="D281" s="12" t="s">
        <v>395</v>
      </c>
      <c r="E281" s="18">
        <v>2</v>
      </c>
      <c r="F281" s="12" t="s">
        <v>940</v>
      </c>
      <c r="G281" s="13"/>
      <c r="H281" s="13"/>
      <c r="I281" s="13"/>
      <c r="J281" s="12" t="s">
        <v>945</v>
      </c>
      <c r="K281" s="12" t="s">
        <v>535</v>
      </c>
    </row>
    <row r="282" spans="1:11" ht="30" customHeight="1">
      <c r="A282" s="12" t="s">
        <v>283</v>
      </c>
      <c r="B282" s="12" t="s">
        <v>280</v>
      </c>
      <c r="C282" s="12" t="s">
        <v>270</v>
      </c>
      <c r="D282" s="12" t="s">
        <v>396</v>
      </c>
      <c r="E282" s="18">
        <v>1</v>
      </c>
      <c r="F282" s="12" t="s">
        <v>940</v>
      </c>
      <c r="G282" s="13"/>
      <c r="H282" s="13"/>
      <c r="I282" s="13"/>
      <c r="J282" s="12" t="s">
        <v>946</v>
      </c>
      <c r="K282" s="12" t="s">
        <v>535</v>
      </c>
    </row>
    <row r="283" spans="1:11" ht="30" customHeight="1">
      <c r="A283" s="12" t="s">
        <v>283</v>
      </c>
      <c r="B283" s="12" t="s">
        <v>280</v>
      </c>
      <c r="C283" s="12" t="s">
        <v>270</v>
      </c>
      <c r="D283" s="12" t="s">
        <v>397</v>
      </c>
      <c r="E283" s="18">
        <v>0</v>
      </c>
      <c r="F283" s="12" t="s">
        <v>940</v>
      </c>
      <c r="G283" s="13"/>
      <c r="H283" s="13"/>
      <c r="I283" s="13"/>
      <c r="J283" s="12" t="s">
        <v>947</v>
      </c>
      <c r="K283" s="12" t="s">
        <v>535</v>
      </c>
    </row>
    <row r="284" spans="1:11" ht="30" customHeight="1">
      <c r="A284" s="12" t="s">
        <v>283</v>
      </c>
      <c r="B284" s="12" t="s">
        <v>280</v>
      </c>
      <c r="C284" s="12" t="s">
        <v>270</v>
      </c>
      <c r="D284" s="12" t="s">
        <v>398</v>
      </c>
      <c r="E284" s="18">
        <v>2</v>
      </c>
      <c r="F284" s="12" t="s">
        <v>940</v>
      </c>
      <c r="G284" s="13"/>
      <c r="H284" s="13"/>
      <c r="I284" s="13"/>
      <c r="J284" s="12" t="s">
        <v>948</v>
      </c>
      <c r="K284" s="12" t="s">
        <v>535</v>
      </c>
    </row>
    <row r="285" spans="1:11" ht="30" customHeight="1">
      <c r="A285" s="12" t="s">
        <v>283</v>
      </c>
      <c r="B285" s="12" t="s">
        <v>280</v>
      </c>
      <c r="C285" s="12" t="s">
        <v>270</v>
      </c>
      <c r="D285" s="12" t="s">
        <v>399</v>
      </c>
      <c r="E285" s="18">
        <v>3</v>
      </c>
      <c r="F285" s="12" t="s">
        <v>940</v>
      </c>
      <c r="G285" s="13"/>
      <c r="H285" s="13"/>
      <c r="I285" s="13"/>
      <c r="J285" s="12" t="s">
        <v>949</v>
      </c>
      <c r="K285" s="12" t="s">
        <v>535</v>
      </c>
    </row>
    <row r="286" spans="1:11" ht="30" customHeight="1">
      <c r="A286" s="12" t="s">
        <v>283</v>
      </c>
      <c r="B286" s="12" t="s">
        <v>280</v>
      </c>
      <c r="C286" s="12" t="s">
        <v>270</v>
      </c>
      <c r="D286" s="12" t="s">
        <v>400</v>
      </c>
      <c r="E286" s="18">
        <v>2</v>
      </c>
      <c r="F286" s="12" t="s">
        <v>940</v>
      </c>
      <c r="G286" s="13"/>
      <c r="H286" s="13"/>
      <c r="I286" s="13"/>
      <c r="J286" s="12" t="s">
        <v>950</v>
      </c>
      <c r="K286" s="12" t="s">
        <v>535</v>
      </c>
    </row>
    <row r="287" spans="1:11" ht="30" customHeight="1">
      <c r="A287" s="12" t="s">
        <v>295</v>
      </c>
      <c r="B287" s="12" t="s">
        <v>293</v>
      </c>
      <c r="C287" s="12" t="s">
        <v>270</v>
      </c>
      <c r="D287" s="12" t="s">
        <v>391</v>
      </c>
      <c r="E287" s="18">
        <v>3</v>
      </c>
      <c r="F287" s="12" t="s">
        <v>50</v>
      </c>
      <c r="G287" s="13"/>
      <c r="H287" s="13"/>
      <c r="I287" s="13"/>
      <c r="J287" s="12" t="s">
        <v>951</v>
      </c>
      <c r="K287" s="12" t="s">
        <v>535</v>
      </c>
    </row>
    <row r="288" spans="1:11" ht="30" customHeight="1">
      <c r="A288" s="12" t="s">
        <v>295</v>
      </c>
      <c r="B288" s="12" t="s">
        <v>293</v>
      </c>
      <c r="C288" s="12" t="s">
        <v>270</v>
      </c>
      <c r="D288" s="12" t="s">
        <v>392</v>
      </c>
      <c r="E288" s="18">
        <v>3</v>
      </c>
      <c r="F288" s="12" t="s">
        <v>50</v>
      </c>
      <c r="G288" s="13"/>
      <c r="H288" s="13"/>
      <c r="I288" s="13"/>
      <c r="J288" s="12" t="s">
        <v>952</v>
      </c>
      <c r="K288" s="12" t="s">
        <v>535</v>
      </c>
    </row>
    <row r="289" spans="1:11" ht="30" customHeight="1">
      <c r="A289" s="12" t="s">
        <v>295</v>
      </c>
      <c r="B289" s="12" t="s">
        <v>293</v>
      </c>
      <c r="C289" s="12" t="s">
        <v>270</v>
      </c>
      <c r="D289" s="12" t="s">
        <v>393</v>
      </c>
      <c r="E289" s="18">
        <v>3</v>
      </c>
      <c r="F289" s="12" t="s">
        <v>50</v>
      </c>
      <c r="G289" s="13"/>
      <c r="H289" s="13"/>
      <c r="I289" s="13"/>
      <c r="J289" s="12" t="s">
        <v>953</v>
      </c>
      <c r="K289" s="12" t="s">
        <v>535</v>
      </c>
    </row>
    <row r="290" spans="1:11" ht="30" customHeight="1">
      <c r="A290" s="12" t="s">
        <v>295</v>
      </c>
      <c r="B290" s="12" t="s">
        <v>293</v>
      </c>
      <c r="C290" s="12" t="s">
        <v>270</v>
      </c>
      <c r="D290" s="12" t="s">
        <v>394</v>
      </c>
      <c r="E290" s="18">
        <v>3</v>
      </c>
      <c r="F290" s="12" t="s">
        <v>50</v>
      </c>
      <c r="G290" s="13"/>
      <c r="H290" s="13"/>
      <c r="I290" s="13"/>
      <c r="J290" s="12" t="s">
        <v>954</v>
      </c>
      <c r="K290" s="12" t="s">
        <v>535</v>
      </c>
    </row>
    <row r="291" spans="1:11" ht="30" customHeight="1">
      <c r="A291" s="12" t="s">
        <v>295</v>
      </c>
      <c r="B291" s="12" t="s">
        <v>293</v>
      </c>
      <c r="C291" s="12" t="s">
        <v>270</v>
      </c>
      <c r="D291" s="12" t="s">
        <v>395</v>
      </c>
      <c r="E291" s="18">
        <v>2</v>
      </c>
      <c r="F291" s="12" t="s">
        <v>50</v>
      </c>
      <c r="G291" s="13"/>
      <c r="H291" s="13"/>
      <c r="I291" s="13"/>
      <c r="J291" s="12" t="s">
        <v>955</v>
      </c>
      <c r="K291" s="12" t="s">
        <v>535</v>
      </c>
    </row>
    <row r="292" spans="1:11" ht="30" customHeight="1">
      <c r="A292" s="12" t="s">
        <v>295</v>
      </c>
      <c r="B292" s="12" t="s">
        <v>293</v>
      </c>
      <c r="C292" s="12" t="s">
        <v>270</v>
      </c>
      <c r="D292" s="12" t="s">
        <v>396</v>
      </c>
      <c r="E292" s="18">
        <v>2</v>
      </c>
      <c r="F292" s="12" t="s">
        <v>50</v>
      </c>
      <c r="G292" s="13"/>
      <c r="H292" s="13"/>
      <c r="I292" s="13"/>
      <c r="J292" s="12" t="s">
        <v>956</v>
      </c>
      <c r="K292" s="12" t="s">
        <v>535</v>
      </c>
    </row>
    <row r="293" spans="1:11" ht="30" customHeight="1">
      <c r="A293" s="12" t="s">
        <v>295</v>
      </c>
      <c r="B293" s="12" t="s">
        <v>293</v>
      </c>
      <c r="C293" s="12" t="s">
        <v>270</v>
      </c>
      <c r="D293" s="12" t="s">
        <v>397</v>
      </c>
      <c r="E293" s="18">
        <v>1</v>
      </c>
      <c r="F293" s="12" t="s">
        <v>50</v>
      </c>
      <c r="G293" s="13"/>
      <c r="H293" s="13"/>
      <c r="I293" s="13"/>
      <c r="J293" s="12" t="s">
        <v>957</v>
      </c>
      <c r="K293" s="12" t="s">
        <v>535</v>
      </c>
    </row>
    <row r="294" spans="1:11" ht="30" customHeight="1">
      <c r="A294" s="12" t="s">
        <v>295</v>
      </c>
      <c r="B294" s="12" t="s">
        <v>293</v>
      </c>
      <c r="C294" s="12" t="s">
        <v>270</v>
      </c>
      <c r="D294" s="12" t="s">
        <v>398</v>
      </c>
      <c r="E294" s="18">
        <v>2</v>
      </c>
      <c r="F294" s="12" t="s">
        <v>50</v>
      </c>
      <c r="G294" s="13"/>
      <c r="H294" s="13"/>
      <c r="I294" s="13"/>
      <c r="J294" s="12" t="s">
        <v>958</v>
      </c>
      <c r="K294" s="12" t="s">
        <v>535</v>
      </c>
    </row>
    <row r="295" spans="1:11" ht="30" customHeight="1">
      <c r="A295" s="12" t="s">
        <v>295</v>
      </c>
      <c r="B295" s="12" t="s">
        <v>293</v>
      </c>
      <c r="C295" s="12" t="s">
        <v>270</v>
      </c>
      <c r="D295" s="12" t="s">
        <v>399</v>
      </c>
      <c r="E295" s="18">
        <v>3</v>
      </c>
      <c r="F295" s="12" t="s">
        <v>50</v>
      </c>
      <c r="G295" s="13"/>
      <c r="H295" s="13"/>
      <c r="I295" s="13"/>
      <c r="J295" s="12" t="s">
        <v>959</v>
      </c>
      <c r="K295" s="12" t="s">
        <v>535</v>
      </c>
    </row>
    <row r="296" spans="1:11" ht="30" customHeight="1">
      <c r="A296" s="12" t="s">
        <v>295</v>
      </c>
      <c r="B296" s="12" t="s">
        <v>293</v>
      </c>
      <c r="C296" s="12" t="s">
        <v>270</v>
      </c>
      <c r="D296" s="12" t="s">
        <v>400</v>
      </c>
      <c r="E296" s="18">
        <v>2</v>
      </c>
      <c r="F296" s="12" t="s">
        <v>50</v>
      </c>
      <c r="G296" s="13"/>
      <c r="H296" s="13"/>
      <c r="I296" s="13"/>
      <c r="J296" s="12" t="s">
        <v>960</v>
      </c>
      <c r="K296" s="12" t="s">
        <v>535</v>
      </c>
    </row>
    <row r="297" spans="1:11" ht="30" customHeight="1">
      <c r="A297" s="12" t="s">
        <v>295</v>
      </c>
      <c r="B297" s="12" t="s">
        <v>293</v>
      </c>
      <c r="C297" s="12" t="s">
        <v>270</v>
      </c>
      <c r="D297" s="12" t="s">
        <v>391</v>
      </c>
      <c r="E297" s="18">
        <v>3</v>
      </c>
      <c r="F297" s="12" t="s">
        <v>940</v>
      </c>
      <c r="G297" s="13"/>
      <c r="H297" s="13"/>
      <c r="I297" s="13"/>
      <c r="J297" s="12" t="s">
        <v>961</v>
      </c>
      <c r="K297" s="12" t="s">
        <v>535</v>
      </c>
    </row>
    <row r="298" spans="1:11" ht="30" customHeight="1">
      <c r="A298" s="12" t="s">
        <v>295</v>
      </c>
      <c r="B298" s="12" t="s">
        <v>293</v>
      </c>
      <c r="C298" s="12" t="s">
        <v>270</v>
      </c>
      <c r="D298" s="12" t="s">
        <v>392</v>
      </c>
      <c r="E298" s="18">
        <v>3</v>
      </c>
      <c r="F298" s="12" t="s">
        <v>940</v>
      </c>
      <c r="G298" s="13"/>
      <c r="H298" s="13"/>
      <c r="I298" s="13"/>
      <c r="J298" s="12" t="s">
        <v>962</v>
      </c>
      <c r="K298" s="12" t="s">
        <v>535</v>
      </c>
    </row>
    <row r="299" spans="1:11" ht="30" customHeight="1">
      <c r="A299" s="12" t="s">
        <v>295</v>
      </c>
      <c r="B299" s="12" t="s">
        <v>293</v>
      </c>
      <c r="C299" s="12" t="s">
        <v>270</v>
      </c>
      <c r="D299" s="12" t="s">
        <v>393</v>
      </c>
      <c r="E299" s="18">
        <v>3</v>
      </c>
      <c r="F299" s="12" t="s">
        <v>940</v>
      </c>
      <c r="G299" s="13"/>
      <c r="H299" s="13"/>
      <c r="I299" s="13"/>
      <c r="J299" s="12" t="s">
        <v>963</v>
      </c>
      <c r="K299" s="12" t="s">
        <v>535</v>
      </c>
    </row>
    <row r="300" spans="1:11" ht="30" customHeight="1">
      <c r="A300" s="12" t="s">
        <v>295</v>
      </c>
      <c r="B300" s="12" t="s">
        <v>293</v>
      </c>
      <c r="C300" s="12" t="s">
        <v>270</v>
      </c>
      <c r="D300" s="12" t="s">
        <v>394</v>
      </c>
      <c r="E300" s="18">
        <v>2</v>
      </c>
      <c r="F300" s="12" t="s">
        <v>940</v>
      </c>
      <c r="G300" s="13"/>
      <c r="H300" s="13"/>
      <c r="I300" s="13"/>
      <c r="J300" s="12" t="s">
        <v>964</v>
      </c>
      <c r="K300" s="12" t="s">
        <v>535</v>
      </c>
    </row>
    <row r="301" spans="1:11" ht="30" customHeight="1">
      <c r="A301" s="12" t="s">
        <v>295</v>
      </c>
      <c r="B301" s="12" t="s">
        <v>293</v>
      </c>
      <c r="C301" s="12" t="s">
        <v>270</v>
      </c>
      <c r="D301" s="12" t="s">
        <v>395</v>
      </c>
      <c r="E301" s="18">
        <v>2</v>
      </c>
      <c r="F301" s="12" t="s">
        <v>940</v>
      </c>
      <c r="G301" s="13"/>
      <c r="H301" s="13"/>
      <c r="I301" s="13"/>
      <c r="J301" s="12" t="s">
        <v>965</v>
      </c>
      <c r="K301" s="12" t="s">
        <v>535</v>
      </c>
    </row>
    <row r="302" spans="1:11" ht="30" customHeight="1">
      <c r="A302" s="12" t="s">
        <v>295</v>
      </c>
      <c r="B302" s="12" t="s">
        <v>293</v>
      </c>
      <c r="C302" s="12" t="s">
        <v>270</v>
      </c>
      <c r="D302" s="12" t="s">
        <v>396</v>
      </c>
      <c r="E302" s="18">
        <v>1</v>
      </c>
      <c r="F302" s="12" t="s">
        <v>940</v>
      </c>
      <c r="G302" s="13"/>
      <c r="H302" s="13"/>
      <c r="I302" s="13"/>
      <c r="J302" s="12" t="s">
        <v>966</v>
      </c>
      <c r="K302" s="12" t="s">
        <v>535</v>
      </c>
    </row>
    <row r="303" spans="1:11" ht="30" customHeight="1">
      <c r="A303" s="12" t="s">
        <v>295</v>
      </c>
      <c r="B303" s="12" t="s">
        <v>293</v>
      </c>
      <c r="C303" s="12" t="s">
        <v>270</v>
      </c>
      <c r="D303" s="12" t="s">
        <v>397</v>
      </c>
      <c r="E303" s="18">
        <v>0</v>
      </c>
      <c r="F303" s="12" t="s">
        <v>940</v>
      </c>
      <c r="G303" s="13"/>
      <c r="H303" s="13"/>
      <c r="I303" s="13"/>
      <c r="J303" s="12" t="s">
        <v>967</v>
      </c>
      <c r="K303" s="12" t="s">
        <v>535</v>
      </c>
    </row>
    <row r="304" spans="1:11" ht="30" customHeight="1">
      <c r="A304" s="12" t="s">
        <v>295</v>
      </c>
      <c r="B304" s="12" t="s">
        <v>293</v>
      </c>
      <c r="C304" s="12" t="s">
        <v>270</v>
      </c>
      <c r="D304" s="12" t="s">
        <v>398</v>
      </c>
      <c r="E304" s="18">
        <v>3</v>
      </c>
      <c r="F304" s="12" t="s">
        <v>940</v>
      </c>
      <c r="G304" s="13"/>
      <c r="H304" s="13"/>
      <c r="I304" s="13"/>
      <c r="J304" s="12" t="s">
        <v>968</v>
      </c>
      <c r="K304" s="12" t="s">
        <v>535</v>
      </c>
    </row>
    <row r="305" spans="1:11" ht="30" customHeight="1">
      <c r="A305" s="12" t="s">
        <v>295</v>
      </c>
      <c r="B305" s="12" t="s">
        <v>293</v>
      </c>
      <c r="C305" s="12" t="s">
        <v>270</v>
      </c>
      <c r="D305" s="12" t="s">
        <v>399</v>
      </c>
      <c r="E305" s="18">
        <v>3</v>
      </c>
      <c r="F305" s="12" t="s">
        <v>940</v>
      </c>
      <c r="G305" s="13"/>
      <c r="H305" s="13"/>
      <c r="I305" s="13"/>
      <c r="J305" s="12" t="s">
        <v>969</v>
      </c>
      <c r="K305" s="12" t="s">
        <v>535</v>
      </c>
    </row>
    <row r="306" spans="1:11" ht="30" customHeight="1">
      <c r="A306" s="12" t="s">
        <v>295</v>
      </c>
      <c r="B306" s="12" t="s">
        <v>293</v>
      </c>
      <c r="C306" s="12" t="s">
        <v>270</v>
      </c>
      <c r="D306" s="12" t="s">
        <v>400</v>
      </c>
      <c r="E306" s="18">
        <v>2</v>
      </c>
      <c r="F306" s="12" t="s">
        <v>940</v>
      </c>
      <c r="G306" s="13"/>
      <c r="H306" s="13"/>
      <c r="I306" s="13"/>
      <c r="J306" s="12" t="s">
        <v>970</v>
      </c>
      <c r="K306" s="12" t="s">
        <v>535</v>
      </c>
    </row>
    <row r="307" spans="1:11" ht="30" customHeight="1">
      <c r="A307" s="12" t="s">
        <v>299</v>
      </c>
      <c r="B307" s="12" t="s">
        <v>297</v>
      </c>
      <c r="C307" s="12" t="s">
        <v>270</v>
      </c>
      <c r="D307" s="12" t="s">
        <v>391</v>
      </c>
      <c r="E307" s="18">
        <v>3</v>
      </c>
      <c r="F307" s="12" t="s">
        <v>50</v>
      </c>
      <c r="G307" s="13"/>
      <c r="H307" s="13"/>
      <c r="I307" s="13"/>
      <c r="J307" s="12" t="s">
        <v>971</v>
      </c>
      <c r="K307" s="12" t="s">
        <v>535</v>
      </c>
    </row>
    <row r="308" spans="1:11" ht="30" customHeight="1">
      <c r="A308" s="12" t="s">
        <v>299</v>
      </c>
      <c r="B308" s="12" t="s">
        <v>297</v>
      </c>
      <c r="C308" s="12" t="s">
        <v>270</v>
      </c>
      <c r="D308" s="12" t="s">
        <v>392</v>
      </c>
      <c r="E308" s="18">
        <v>3</v>
      </c>
      <c r="F308" s="12" t="s">
        <v>50</v>
      </c>
      <c r="G308" s="13"/>
      <c r="H308" s="13"/>
      <c r="I308" s="13"/>
      <c r="J308" s="12" t="s">
        <v>972</v>
      </c>
      <c r="K308" s="12" t="s">
        <v>535</v>
      </c>
    </row>
    <row r="309" spans="1:11" ht="30" customHeight="1">
      <c r="A309" s="12" t="s">
        <v>299</v>
      </c>
      <c r="B309" s="12" t="s">
        <v>297</v>
      </c>
      <c r="C309" s="12" t="s">
        <v>270</v>
      </c>
      <c r="D309" s="12" t="s">
        <v>393</v>
      </c>
      <c r="E309" s="18">
        <v>3</v>
      </c>
      <c r="F309" s="12" t="s">
        <v>50</v>
      </c>
      <c r="G309" s="13"/>
      <c r="H309" s="13"/>
      <c r="I309" s="13"/>
      <c r="J309" s="12" t="s">
        <v>973</v>
      </c>
      <c r="K309" s="12" t="s">
        <v>535</v>
      </c>
    </row>
    <row r="310" spans="1:11" ht="30" customHeight="1">
      <c r="A310" s="12" t="s">
        <v>299</v>
      </c>
      <c r="B310" s="12" t="s">
        <v>297</v>
      </c>
      <c r="C310" s="12" t="s">
        <v>270</v>
      </c>
      <c r="D310" s="12" t="s">
        <v>394</v>
      </c>
      <c r="E310" s="18">
        <v>3</v>
      </c>
      <c r="F310" s="12" t="s">
        <v>50</v>
      </c>
      <c r="G310" s="13"/>
      <c r="H310" s="13"/>
      <c r="I310" s="13"/>
      <c r="J310" s="12" t="s">
        <v>974</v>
      </c>
      <c r="K310" s="12" t="s">
        <v>535</v>
      </c>
    </row>
    <row r="311" spans="1:11" ht="30" customHeight="1">
      <c r="A311" s="12" t="s">
        <v>299</v>
      </c>
      <c r="B311" s="12" t="s">
        <v>297</v>
      </c>
      <c r="C311" s="12" t="s">
        <v>270</v>
      </c>
      <c r="D311" s="12" t="s">
        <v>395</v>
      </c>
      <c r="E311" s="18">
        <v>2</v>
      </c>
      <c r="F311" s="12" t="s">
        <v>50</v>
      </c>
      <c r="G311" s="13"/>
      <c r="H311" s="13"/>
      <c r="I311" s="13"/>
      <c r="J311" s="12" t="s">
        <v>975</v>
      </c>
      <c r="K311" s="12" t="s">
        <v>535</v>
      </c>
    </row>
    <row r="312" spans="1:11" ht="30" customHeight="1">
      <c r="A312" s="12" t="s">
        <v>299</v>
      </c>
      <c r="B312" s="12" t="s">
        <v>297</v>
      </c>
      <c r="C312" s="12" t="s">
        <v>270</v>
      </c>
      <c r="D312" s="12" t="s">
        <v>396</v>
      </c>
      <c r="E312" s="18">
        <v>2</v>
      </c>
      <c r="F312" s="12" t="s">
        <v>50</v>
      </c>
      <c r="G312" s="13"/>
      <c r="H312" s="13"/>
      <c r="I312" s="13"/>
      <c r="J312" s="12" t="s">
        <v>976</v>
      </c>
      <c r="K312" s="12" t="s">
        <v>535</v>
      </c>
    </row>
    <row r="313" spans="1:11" ht="30" customHeight="1">
      <c r="A313" s="12" t="s">
        <v>299</v>
      </c>
      <c r="B313" s="12" t="s">
        <v>297</v>
      </c>
      <c r="C313" s="12" t="s">
        <v>270</v>
      </c>
      <c r="D313" s="12" t="s">
        <v>397</v>
      </c>
      <c r="E313" s="18">
        <v>3</v>
      </c>
      <c r="F313" s="12" t="s">
        <v>50</v>
      </c>
      <c r="G313" s="13"/>
      <c r="H313" s="13"/>
      <c r="I313" s="13"/>
      <c r="J313" s="12" t="s">
        <v>977</v>
      </c>
      <c r="K313" s="12" t="s">
        <v>535</v>
      </c>
    </row>
    <row r="314" spans="1:11" ht="30" customHeight="1">
      <c r="A314" s="12" t="s">
        <v>299</v>
      </c>
      <c r="B314" s="12" t="s">
        <v>297</v>
      </c>
      <c r="C314" s="12" t="s">
        <v>270</v>
      </c>
      <c r="D314" s="12" t="s">
        <v>398</v>
      </c>
      <c r="E314" s="18">
        <v>2</v>
      </c>
      <c r="F314" s="12" t="s">
        <v>50</v>
      </c>
      <c r="G314" s="13"/>
      <c r="H314" s="13"/>
      <c r="I314" s="13"/>
      <c r="J314" s="12" t="s">
        <v>978</v>
      </c>
      <c r="K314" s="12" t="s">
        <v>535</v>
      </c>
    </row>
    <row r="315" spans="1:11" ht="30" customHeight="1">
      <c r="A315" s="12" t="s">
        <v>299</v>
      </c>
      <c r="B315" s="12" t="s">
        <v>297</v>
      </c>
      <c r="C315" s="12" t="s">
        <v>270</v>
      </c>
      <c r="D315" s="12" t="s">
        <v>399</v>
      </c>
      <c r="E315" s="18">
        <v>3</v>
      </c>
      <c r="F315" s="12" t="s">
        <v>50</v>
      </c>
      <c r="G315" s="13"/>
      <c r="H315" s="13"/>
      <c r="I315" s="13"/>
      <c r="J315" s="12" t="s">
        <v>979</v>
      </c>
      <c r="K315" s="12" t="s">
        <v>535</v>
      </c>
    </row>
    <row r="316" spans="1:11" ht="30" customHeight="1">
      <c r="A316" s="12" t="s">
        <v>299</v>
      </c>
      <c r="B316" s="12" t="s">
        <v>297</v>
      </c>
      <c r="C316" s="12" t="s">
        <v>270</v>
      </c>
      <c r="D316" s="12" t="s">
        <v>400</v>
      </c>
      <c r="E316" s="18">
        <v>3</v>
      </c>
      <c r="F316" s="12" t="s">
        <v>50</v>
      </c>
      <c r="G316" s="13"/>
      <c r="H316" s="13"/>
      <c r="I316" s="13"/>
      <c r="J316" s="12" t="s">
        <v>980</v>
      </c>
      <c r="K316" s="12" t="s">
        <v>535</v>
      </c>
    </row>
    <row r="317" spans="1:11" ht="30" customHeight="1">
      <c r="A317" s="12" t="s">
        <v>299</v>
      </c>
      <c r="B317" s="12" t="s">
        <v>297</v>
      </c>
      <c r="C317" s="12" t="s">
        <v>270</v>
      </c>
      <c r="D317" s="12" t="s">
        <v>391</v>
      </c>
      <c r="E317" s="18">
        <v>3</v>
      </c>
      <c r="F317" s="12" t="s">
        <v>940</v>
      </c>
      <c r="G317" s="13"/>
      <c r="H317" s="13"/>
      <c r="I317" s="13"/>
      <c r="J317" s="12" t="s">
        <v>981</v>
      </c>
      <c r="K317" s="12" t="s">
        <v>535</v>
      </c>
    </row>
    <row r="318" spans="1:11" ht="30" customHeight="1">
      <c r="A318" s="12" t="s">
        <v>299</v>
      </c>
      <c r="B318" s="12" t="s">
        <v>297</v>
      </c>
      <c r="C318" s="12" t="s">
        <v>270</v>
      </c>
      <c r="D318" s="12" t="s">
        <v>392</v>
      </c>
      <c r="E318" s="18">
        <v>3</v>
      </c>
      <c r="F318" s="12" t="s">
        <v>940</v>
      </c>
      <c r="G318" s="13"/>
      <c r="H318" s="13"/>
      <c r="I318" s="13"/>
      <c r="J318" s="12" t="s">
        <v>982</v>
      </c>
      <c r="K318" s="12" t="s">
        <v>535</v>
      </c>
    </row>
    <row r="319" spans="1:11" ht="30" customHeight="1">
      <c r="A319" s="12" t="s">
        <v>299</v>
      </c>
      <c r="B319" s="12" t="s">
        <v>297</v>
      </c>
      <c r="C319" s="12" t="s">
        <v>270</v>
      </c>
      <c r="D319" s="12" t="s">
        <v>393</v>
      </c>
      <c r="E319" s="18">
        <v>3</v>
      </c>
      <c r="F319" s="12" t="s">
        <v>940</v>
      </c>
      <c r="G319" s="13"/>
      <c r="H319" s="13"/>
      <c r="I319" s="13"/>
      <c r="J319" s="12" t="s">
        <v>983</v>
      </c>
      <c r="K319" s="12" t="s">
        <v>535</v>
      </c>
    </row>
    <row r="320" spans="1:11" ht="30" customHeight="1">
      <c r="A320" s="12" t="s">
        <v>299</v>
      </c>
      <c r="B320" s="12" t="s">
        <v>297</v>
      </c>
      <c r="C320" s="12" t="s">
        <v>270</v>
      </c>
      <c r="D320" s="12" t="s">
        <v>394</v>
      </c>
      <c r="E320" s="18">
        <v>2</v>
      </c>
      <c r="F320" s="12" t="s">
        <v>940</v>
      </c>
      <c r="G320" s="13"/>
      <c r="H320" s="13"/>
      <c r="I320" s="13"/>
      <c r="J320" s="12" t="s">
        <v>984</v>
      </c>
      <c r="K320" s="12" t="s">
        <v>535</v>
      </c>
    </row>
    <row r="321" spans="1:11" ht="30" customHeight="1">
      <c r="A321" s="12" t="s">
        <v>299</v>
      </c>
      <c r="B321" s="12" t="s">
        <v>297</v>
      </c>
      <c r="C321" s="12" t="s">
        <v>270</v>
      </c>
      <c r="D321" s="12" t="s">
        <v>395</v>
      </c>
      <c r="E321" s="18">
        <v>2</v>
      </c>
      <c r="F321" s="12" t="s">
        <v>940</v>
      </c>
      <c r="G321" s="13"/>
      <c r="H321" s="13"/>
      <c r="I321" s="13"/>
      <c r="J321" s="12" t="s">
        <v>985</v>
      </c>
      <c r="K321" s="12" t="s">
        <v>535</v>
      </c>
    </row>
    <row r="322" spans="1:11" ht="30" customHeight="1">
      <c r="A322" s="12" t="s">
        <v>299</v>
      </c>
      <c r="B322" s="12" t="s">
        <v>297</v>
      </c>
      <c r="C322" s="12" t="s">
        <v>270</v>
      </c>
      <c r="D322" s="12" t="s">
        <v>396</v>
      </c>
      <c r="E322" s="18">
        <v>1</v>
      </c>
      <c r="F322" s="12" t="s">
        <v>940</v>
      </c>
      <c r="G322" s="13"/>
      <c r="H322" s="13"/>
      <c r="I322" s="13"/>
      <c r="J322" s="12" t="s">
        <v>986</v>
      </c>
      <c r="K322" s="12" t="s">
        <v>535</v>
      </c>
    </row>
    <row r="323" spans="1:11" ht="30" customHeight="1">
      <c r="A323" s="12" t="s">
        <v>299</v>
      </c>
      <c r="B323" s="12" t="s">
        <v>297</v>
      </c>
      <c r="C323" s="12" t="s">
        <v>270</v>
      </c>
      <c r="D323" s="12" t="s">
        <v>397</v>
      </c>
      <c r="E323" s="18">
        <v>0</v>
      </c>
      <c r="F323" s="12" t="s">
        <v>940</v>
      </c>
      <c r="G323" s="13"/>
      <c r="H323" s="13"/>
      <c r="I323" s="13"/>
      <c r="J323" s="12" t="s">
        <v>987</v>
      </c>
      <c r="K323" s="12" t="s">
        <v>535</v>
      </c>
    </row>
    <row r="324" spans="1:11" ht="30" customHeight="1">
      <c r="A324" s="12" t="s">
        <v>299</v>
      </c>
      <c r="B324" s="12" t="s">
        <v>297</v>
      </c>
      <c r="C324" s="12" t="s">
        <v>270</v>
      </c>
      <c r="D324" s="12" t="s">
        <v>398</v>
      </c>
      <c r="E324" s="18">
        <v>1</v>
      </c>
      <c r="F324" s="12" t="s">
        <v>940</v>
      </c>
      <c r="G324" s="13"/>
      <c r="H324" s="13"/>
      <c r="I324" s="13"/>
      <c r="J324" s="12" t="s">
        <v>988</v>
      </c>
      <c r="K324" s="12" t="s">
        <v>535</v>
      </c>
    </row>
    <row r="325" spans="1:11" ht="30" customHeight="1">
      <c r="A325" s="12" t="s">
        <v>299</v>
      </c>
      <c r="B325" s="12" t="s">
        <v>297</v>
      </c>
      <c r="C325" s="12" t="s">
        <v>270</v>
      </c>
      <c r="D325" s="12" t="s">
        <v>399</v>
      </c>
      <c r="E325" s="18">
        <v>3</v>
      </c>
      <c r="F325" s="12" t="s">
        <v>940</v>
      </c>
      <c r="G325" s="13"/>
      <c r="H325" s="13"/>
      <c r="I325" s="13"/>
      <c r="J325" s="12" t="s">
        <v>989</v>
      </c>
      <c r="K325" s="12" t="s">
        <v>535</v>
      </c>
    </row>
    <row r="326" spans="1:11" ht="30" customHeight="1">
      <c r="A326" s="12" t="s">
        <v>299</v>
      </c>
      <c r="B326" s="12" t="s">
        <v>297</v>
      </c>
      <c r="C326" s="12" t="s">
        <v>270</v>
      </c>
      <c r="D326" s="12" t="s">
        <v>400</v>
      </c>
      <c r="E326" s="18">
        <v>2</v>
      </c>
      <c r="F326" s="12" t="s">
        <v>940</v>
      </c>
      <c r="G326" s="13"/>
      <c r="H326" s="13"/>
      <c r="I326" s="13"/>
      <c r="J326" s="12" t="s">
        <v>990</v>
      </c>
      <c r="K326" s="12" t="s">
        <v>535</v>
      </c>
    </row>
    <row r="327" spans="1:11" ht="30" customHeight="1">
      <c r="A327" s="12" t="s">
        <v>288</v>
      </c>
      <c r="B327" s="12" t="s">
        <v>286</v>
      </c>
      <c r="C327" s="12" t="s">
        <v>270</v>
      </c>
      <c r="D327" s="12" t="s">
        <v>391</v>
      </c>
      <c r="E327" s="18">
        <v>3</v>
      </c>
      <c r="F327" s="12" t="s">
        <v>50</v>
      </c>
      <c r="G327" s="13"/>
      <c r="H327" s="13"/>
      <c r="I327" s="13"/>
      <c r="J327" s="12" t="s">
        <v>991</v>
      </c>
      <c r="K327" s="12" t="s">
        <v>535</v>
      </c>
    </row>
    <row r="328" spans="1:11" ht="30" customHeight="1">
      <c r="A328" s="12" t="s">
        <v>288</v>
      </c>
      <c r="B328" s="12" t="s">
        <v>286</v>
      </c>
      <c r="C328" s="12" t="s">
        <v>270</v>
      </c>
      <c r="D328" s="12" t="s">
        <v>392</v>
      </c>
      <c r="E328" s="18">
        <v>3</v>
      </c>
      <c r="F328" s="12" t="s">
        <v>50</v>
      </c>
      <c r="G328" s="13"/>
      <c r="H328" s="13"/>
      <c r="I328" s="13"/>
      <c r="J328" s="12" t="s">
        <v>992</v>
      </c>
      <c r="K328" s="12" t="s">
        <v>535</v>
      </c>
    </row>
    <row r="329" spans="1:11" ht="30" customHeight="1">
      <c r="A329" s="12" t="s">
        <v>288</v>
      </c>
      <c r="B329" s="12" t="s">
        <v>286</v>
      </c>
      <c r="C329" s="12" t="s">
        <v>270</v>
      </c>
      <c r="D329" s="12" t="s">
        <v>393</v>
      </c>
      <c r="E329" s="18">
        <v>3</v>
      </c>
      <c r="F329" s="12" t="s">
        <v>50</v>
      </c>
      <c r="G329" s="13"/>
      <c r="H329" s="13"/>
      <c r="I329" s="13"/>
      <c r="J329" s="12" t="s">
        <v>993</v>
      </c>
      <c r="K329" s="12" t="s">
        <v>535</v>
      </c>
    </row>
    <row r="330" spans="1:11" ht="30" customHeight="1">
      <c r="A330" s="12" t="s">
        <v>288</v>
      </c>
      <c r="B330" s="12" t="s">
        <v>286</v>
      </c>
      <c r="C330" s="12" t="s">
        <v>270</v>
      </c>
      <c r="D330" s="12" t="s">
        <v>394</v>
      </c>
      <c r="E330" s="18">
        <v>3</v>
      </c>
      <c r="F330" s="12" t="s">
        <v>50</v>
      </c>
      <c r="G330" s="13"/>
      <c r="H330" s="13"/>
      <c r="I330" s="13"/>
      <c r="J330" s="12" t="s">
        <v>994</v>
      </c>
      <c r="K330" s="12" t="s">
        <v>535</v>
      </c>
    </row>
    <row r="331" spans="1:11" ht="30" customHeight="1">
      <c r="A331" s="12" t="s">
        <v>288</v>
      </c>
      <c r="B331" s="12" t="s">
        <v>286</v>
      </c>
      <c r="C331" s="12" t="s">
        <v>270</v>
      </c>
      <c r="D331" s="12" t="s">
        <v>395</v>
      </c>
      <c r="E331" s="18">
        <v>3</v>
      </c>
      <c r="F331" s="12" t="s">
        <v>50</v>
      </c>
      <c r="G331" s="13"/>
      <c r="H331" s="13"/>
      <c r="I331" s="13"/>
      <c r="J331" s="12" t="s">
        <v>995</v>
      </c>
      <c r="K331" s="12" t="s">
        <v>535</v>
      </c>
    </row>
    <row r="332" spans="1:11" ht="30" customHeight="1">
      <c r="A332" s="12" t="s">
        <v>288</v>
      </c>
      <c r="B332" s="12" t="s">
        <v>286</v>
      </c>
      <c r="C332" s="12" t="s">
        <v>270</v>
      </c>
      <c r="D332" s="12" t="s">
        <v>396</v>
      </c>
      <c r="E332" s="18">
        <v>2</v>
      </c>
      <c r="F332" s="12" t="s">
        <v>50</v>
      </c>
      <c r="G332" s="13"/>
      <c r="H332" s="13"/>
      <c r="I332" s="13"/>
      <c r="J332" s="12" t="s">
        <v>996</v>
      </c>
      <c r="K332" s="12" t="s">
        <v>535</v>
      </c>
    </row>
    <row r="333" spans="1:11" ht="30" customHeight="1">
      <c r="A333" s="12" t="s">
        <v>288</v>
      </c>
      <c r="B333" s="12" t="s">
        <v>286</v>
      </c>
      <c r="C333" s="12" t="s">
        <v>270</v>
      </c>
      <c r="D333" s="12" t="s">
        <v>397</v>
      </c>
      <c r="E333" s="18">
        <v>3</v>
      </c>
      <c r="F333" s="12" t="s">
        <v>50</v>
      </c>
      <c r="G333" s="13"/>
      <c r="H333" s="13"/>
      <c r="I333" s="13"/>
      <c r="J333" s="12" t="s">
        <v>997</v>
      </c>
      <c r="K333" s="12" t="s">
        <v>535</v>
      </c>
    </row>
    <row r="334" spans="1:11" ht="30" customHeight="1">
      <c r="A334" s="12" t="s">
        <v>288</v>
      </c>
      <c r="B334" s="12" t="s">
        <v>286</v>
      </c>
      <c r="C334" s="12" t="s">
        <v>270</v>
      </c>
      <c r="D334" s="12" t="s">
        <v>398</v>
      </c>
      <c r="E334" s="18">
        <v>3</v>
      </c>
      <c r="F334" s="12" t="s">
        <v>50</v>
      </c>
      <c r="G334" s="13"/>
      <c r="H334" s="13"/>
      <c r="I334" s="13"/>
      <c r="J334" s="12" t="s">
        <v>998</v>
      </c>
      <c r="K334" s="12" t="s">
        <v>535</v>
      </c>
    </row>
    <row r="335" spans="1:11" ht="30" customHeight="1">
      <c r="A335" s="12" t="s">
        <v>288</v>
      </c>
      <c r="B335" s="12" t="s">
        <v>286</v>
      </c>
      <c r="C335" s="12" t="s">
        <v>270</v>
      </c>
      <c r="D335" s="12" t="s">
        <v>399</v>
      </c>
      <c r="E335" s="18">
        <v>3</v>
      </c>
      <c r="F335" s="12" t="s">
        <v>50</v>
      </c>
      <c r="G335" s="13"/>
      <c r="H335" s="13"/>
      <c r="I335" s="13"/>
      <c r="J335" s="12" t="s">
        <v>999</v>
      </c>
      <c r="K335" s="12" t="s">
        <v>535</v>
      </c>
    </row>
    <row r="336" spans="1:11" ht="30" customHeight="1">
      <c r="A336" s="12" t="s">
        <v>288</v>
      </c>
      <c r="B336" s="12" t="s">
        <v>286</v>
      </c>
      <c r="C336" s="12" t="s">
        <v>270</v>
      </c>
      <c r="D336" s="12" t="s">
        <v>400</v>
      </c>
      <c r="E336" s="18">
        <v>3</v>
      </c>
      <c r="F336" s="12" t="s">
        <v>50</v>
      </c>
      <c r="G336" s="13"/>
      <c r="H336" s="13"/>
      <c r="I336" s="13"/>
      <c r="J336" s="12" t="s">
        <v>1000</v>
      </c>
      <c r="K336" s="12" t="s">
        <v>535</v>
      </c>
    </row>
    <row r="337" spans="1:11" ht="30" customHeight="1">
      <c r="A337" s="12" t="s">
        <v>288</v>
      </c>
      <c r="B337" s="12" t="s">
        <v>286</v>
      </c>
      <c r="C337" s="12" t="s">
        <v>270</v>
      </c>
      <c r="D337" s="12" t="s">
        <v>391</v>
      </c>
      <c r="E337" s="18">
        <v>3</v>
      </c>
      <c r="F337" s="12" t="s">
        <v>940</v>
      </c>
      <c r="G337" s="13"/>
      <c r="H337" s="13"/>
      <c r="I337" s="13"/>
      <c r="J337" s="12" t="s">
        <v>1001</v>
      </c>
      <c r="K337" s="12" t="s">
        <v>535</v>
      </c>
    </row>
    <row r="338" spans="1:11" ht="30" customHeight="1">
      <c r="A338" s="12" t="s">
        <v>288</v>
      </c>
      <c r="B338" s="12" t="s">
        <v>286</v>
      </c>
      <c r="C338" s="12" t="s">
        <v>270</v>
      </c>
      <c r="D338" s="12" t="s">
        <v>392</v>
      </c>
      <c r="E338" s="18">
        <v>3</v>
      </c>
      <c r="F338" s="12" t="s">
        <v>940</v>
      </c>
      <c r="G338" s="13"/>
      <c r="H338" s="13"/>
      <c r="I338" s="13"/>
      <c r="J338" s="12" t="s">
        <v>1002</v>
      </c>
      <c r="K338" s="12" t="s">
        <v>535</v>
      </c>
    </row>
    <row r="339" spans="1:11" ht="30" customHeight="1">
      <c r="A339" s="12" t="s">
        <v>288</v>
      </c>
      <c r="B339" s="12" t="s">
        <v>286</v>
      </c>
      <c r="C339" s="12" t="s">
        <v>270</v>
      </c>
      <c r="D339" s="12" t="s">
        <v>393</v>
      </c>
      <c r="E339" s="18">
        <v>3</v>
      </c>
      <c r="F339" s="12" t="s">
        <v>940</v>
      </c>
      <c r="G339" s="13"/>
      <c r="H339" s="13"/>
      <c r="I339" s="13"/>
      <c r="J339" s="12" t="s">
        <v>1003</v>
      </c>
      <c r="K339" s="12" t="s">
        <v>535</v>
      </c>
    </row>
    <row r="340" spans="1:11" ht="30" customHeight="1">
      <c r="A340" s="12" t="s">
        <v>288</v>
      </c>
      <c r="B340" s="12" t="s">
        <v>286</v>
      </c>
      <c r="C340" s="12" t="s">
        <v>270</v>
      </c>
      <c r="D340" s="12" t="s">
        <v>394</v>
      </c>
      <c r="E340" s="18">
        <v>2</v>
      </c>
      <c r="F340" s="12" t="s">
        <v>940</v>
      </c>
      <c r="G340" s="13"/>
      <c r="H340" s="13"/>
      <c r="I340" s="13"/>
      <c r="J340" s="12" t="s">
        <v>1004</v>
      </c>
      <c r="K340" s="12" t="s">
        <v>535</v>
      </c>
    </row>
    <row r="341" spans="1:11" ht="30" customHeight="1">
      <c r="A341" s="12" t="s">
        <v>288</v>
      </c>
      <c r="B341" s="12" t="s">
        <v>286</v>
      </c>
      <c r="C341" s="12" t="s">
        <v>270</v>
      </c>
      <c r="D341" s="12" t="s">
        <v>395</v>
      </c>
      <c r="E341" s="18">
        <v>2</v>
      </c>
      <c r="F341" s="12" t="s">
        <v>940</v>
      </c>
      <c r="G341" s="13"/>
      <c r="H341" s="13"/>
      <c r="I341" s="13"/>
      <c r="J341" s="12" t="s">
        <v>1005</v>
      </c>
      <c r="K341" s="12" t="s">
        <v>535</v>
      </c>
    </row>
    <row r="342" spans="1:11" ht="30" customHeight="1">
      <c r="A342" s="12" t="s">
        <v>288</v>
      </c>
      <c r="B342" s="12" t="s">
        <v>286</v>
      </c>
      <c r="C342" s="12" t="s">
        <v>270</v>
      </c>
      <c r="D342" s="12" t="s">
        <v>396</v>
      </c>
      <c r="E342" s="18">
        <v>1</v>
      </c>
      <c r="F342" s="12" t="s">
        <v>940</v>
      </c>
      <c r="G342" s="13"/>
      <c r="H342" s="13"/>
      <c r="I342" s="13"/>
      <c r="J342" s="12" t="s">
        <v>1006</v>
      </c>
      <c r="K342" s="12" t="s">
        <v>535</v>
      </c>
    </row>
    <row r="343" spans="1:11" ht="30" customHeight="1">
      <c r="A343" s="12" t="s">
        <v>288</v>
      </c>
      <c r="B343" s="12" t="s">
        <v>286</v>
      </c>
      <c r="C343" s="12" t="s">
        <v>270</v>
      </c>
      <c r="D343" s="12" t="s">
        <v>397</v>
      </c>
      <c r="E343" s="18">
        <v>0</v>
      </c>
      <c r="F343" s="12" t="s">
        <v>940</v>
      </c>
      <c r="G343" s="13"/>
      <c r="H343" s="13"/>
      <c r="I343" s="13"/>
      <c r="J343" s="12" t="s">
        <v>987</v>
      </c>
      <c r="K343" s="12" t="s">
        <v>535</v>
      </c>
    </row>
    <row r="344" spans="1:11" ht="30" customHeight="1">
      <c r="A344" s="12" t="s">
        <v>288</v>
      </c>
      <c r="B344" s="12" t="s">
        <v>286</v>
      </c>
      <c r="C344" s="12" t="s">
        <v>270</v>
      </c>
      <c r="D344" s="12" t="s">
        <v>398</v>
      </c>
      <c r="E344" s="18">
        <v>1</v>
      </c>
      <c r="F344" s="12" t="s">
        <v>940</v>
      </c>
      <c r="G344" s="13"/>
      <c r="H344" s="13"/>
      <c r="I344" s="13"/>
      <c r="J344" s="12" t="s">
        <v>1007</v>
      </c>
      <c r="K344" s="12" t="s">
        <v>535</v>
      </c>
    </row>
    <row r="345" spans="1:11" ht="30" customHeight="1">
      <c r="A345" s="12" t="s">
        <v>288</v>
      </c>
      <c r="B345" s="12" t="s">
        <v>286</v>
      </c>
      <c r="C345" s="12" t="s">
        <v>270</v>
      </c>
      <c r="D345" s="12" t="s">
        <v>399</v>
      </c>
      <c r="E345" s="18">
        <v>3</v>
      </c>
      <c r="F345" s="12" t="s">
        <v>940</v>
      </c>
      <c r="G345" s="13"/>
      <c r="H345" s="13"/>
      <c r="I345" s="13"/>
      <c r="J345" s="12" t="s">
        <v>1008</v>
      </c>
      <c r="K345" s="12" t="s">
        <v>535</v>
      </c>
    </row>
    <row r="346" spans="1:11" ht="30" customHeight="1">
      <c r="A346" s="12" t="s">
        <v>288</v>
      </c>
      <c r="B346" s="12" t="s">
        <v>286</v>
      </c>
      <c r="C346" s="12" t="s">
        <v>270</v>
      </c>
      <c r="D346" s="12" t="s">
        <v>400</v>
      </c>
      <c r="E346" s="18">
        <v>3</v>
      </c>
      <c r="F346" s="12" t="s">
        <v>940</v>
      </c>
      <c r="G346" s="13"/>
      <c r="H346" s="13"/>
      <c r="I346" s="13"/>
      <c r="J346" s="12" t="s">
        <v>1009</v>
      </c>
      <c r="K346" s="12" t="s">
        <v>535</v>
      </c>
    </row>
    <row r="347" spans="1:11" ht="30" customHeight="1">
      <c r="A347" s="12" t="s">
        <v>310</v>
      </c>
      <c r="B347" s="12" t="s">
        <v>308</v>
      </c>
      <c r="C347" s="12" t="s">
        <v>270</v>
      </c>
      <c r="D347" s="12" t="s">
        <v>391</v>
      </c>
      <c r="E347" s="18">
        <v>3</v>
      </c>
      <c r="F347" s="12" t="s">
        <v>50</v>
      </c>
      <c r="G347" s="13"/>
      <c r="H347" s="13"/>
      <c r="I347" s="13"/>
      <c r="J347" s="12" t="s">
        <v>1010</v>
      </c>
      <c r="K347" s="12" t="s">
        <v>535</v>
      </c>
    </row>
    <row r="348" spans="1:11" ht="30" customHeight="1">
      <c r="A348" s="12" t="s">
        <v>310</v>
      </c>
      <c r="B348" s="12" t="s">
        <v>308</v>
      </c>
      <c r="C348" s="12" t="s">
        <v>270</v>
      </c>
      <c r="D348" s="12" t="s">
        <v>392</v>
      </c>
      <c r="E348" s="18">
        <v>2</v>
      </c>
      <c r="F348" s="12" t="s">
        <v>50</v>
      </c>
      <c r="G348" s="13"/>
      <c r="H348" s="13"/>
      <c r="I348" s="13"/>
      <c r="J348" s="12" t="s">
        <v>1011</v>
      </c>
      <c r="K348" s="12" t="s">
        <v>535</v>
      </c>
    </row>
    <row r="349" spans="1:11" ht="30" customHeight="1">
      <c r="A349" s="12" t="s">
        <v>310</v>
      </c>
      <c r="B349" s="12" t="s">
        <v>308</v>
      </c>
      <c r="C349" s="12" t="s">
        <v>270</v>
      </c>
      <c r="D349" s="12" t="s">
        <v>393</v>
      </c>
      <c r="E349" s="18">
        <v>1</v>
      </c>
      <c r="F349" s="12" t="s">
        <v>50</v>
      </c>
      <c r="G349" s="13"/>
      <c r="H349" s="13"/>
      <c r="I349" s="13"/>
      <c r="J349" s="12" t="s">
        <v>1012</v>
      </c>
      <c r="K349" s="12" t="s">
        <v>535</v>
      </c>
    </row>
    <row r="350" spans="1:11" ht="30" customHeight="1">
      <c r="A350" s="12" t="s">
        <v>310</v>
      </c>
      <c r="B350" s="12" t="s">
        <v>308</v>
      </c>
      <c r="C350" s="12" t="s">
        <v>270</v>
      </c>
      <c r="D350" s="12" t="s">
        <v>394</v>
      </c>
      <c r="E350" s="18">
        <v>2</v>
      </c>
      <c r="F350" s="12" t="s">
        <v>50</v>
      </c>
      <c r="G350" s="13"/>
      <c r="H350" s="13"/>
      <c r="I350" s="13"/>
      <c r="J350" s="12" t="s">
        <v>1013</v>
      </c>
      <c r="K350" s="12" t="s">
        <v>535</v>
      </c>
    </row>
    <row r="351" spans="1:11" ht="30" customHeight="1">
      <c r="A351" s="12" t="s">
        <v>310</v>
      </c>
      <c r="B351" s="12" t="s">
        <v>308</v>
      </c>
      <c r="C351" s="12" t="s">
        <v>270</v>
      </c>
      <c r="D351" s="12" t="s">
        <v>395</v>
      </c>
      <c r="E351" s="18">
        <v>0</v>
      </c>
      <c r="F351" s="12" t="s">
        <v>50</v>
      </c>
      <c r="G351" s="13"/>
      <c r="H351" s="13"/>
      <c r="I351" s="13"/>
      <c r="J351" s="12" t="s">
        <v>1014</v>
      </c>
      <c r="K351" s="12" t="s">
        <v>535</v>
      </c>
    </row>
    <row r="352" spans="1:11" ht="30" customHeight="1">
      <c r="A352" s="12" t="s">
        <v>310</v>
      </c>
      <c r="B352" s="12" t="s">
        <v>308</v>
      </c>
      <c r="C352" s="12" t="s">
        <v>270</v>
      </c>
      <c r="D352" s="12" t="s">
        <v>396</v>
      </c>
      <c r="E352" s="18">
        <v>0</v>
      </c>
      <c r="F352" s="12" t="s">
        <v>50</v>
      </c>
      <c r="G352" s="13"/>
      <c r="H352" s="13"/>
      <c r="I352" s="13"/>
      <c r="J352" s="12" t="s">
        <v>1015</v>
      </c>
      <c r="K352" s="12" t="s">
        <v>535</v>
      </c>
    </row>
    <row r="353" spans="1:11" ht="30" customHeight="1">
      <c r="A353" s="12" t="s">
        <v>310</v>
      </c>
      <c r="B353" s="12" t="s">
        <v>308</v>
      </c>
      <c r="C353" s="12" t="s">
        <v>270</v>
      </c>
      <c r="D353" s="12" t="s">
        <v>397</v>
      </c>
      <c r="E353" s="18">
        <v>0</v>
      </c>
      <c r="F353" s="12" t="s">
        <v>50</v>
      </c>
      <c r="G353" s="13"/>
      <c r="H353" s="13"/>
      <c r="I353" s="13"/>
      <c r="J353" s="12" t="s">
        <v>1016</v>
      </c>
      <c r="K353" s="12" t="s">
        <v>535</v>
      </c>
    </row>
    <row r="354" spans="1:11" ht="30" customHeight="1">
      <c r="A354" s="12" t="s">
        <v>310</v>
      </c>
      <c r="B354" s="12" t="s">
        <v>308</v>
      </c>
      <c r="C354" s="12" t="s">
        <v>270</v>
      </c>
      <c r="D354" s="12" t="s">
        <v>398</v>
      </c>
      <c r="E354" s="18">
        <v>0</v>
      </c>
      <c r="F354" s="12" t="s">
        <v>50</v>
      </c>
      <c r="G354" s="13"/>
      <c r="H354" s="13"/>
      <c r="I354" s="13"/>
      <c r="J354" s="12" t="s">
        <v>1017</v>
      </c>
      <c r="K354" s="12" t="s">
        <v>535</v>
      </c>
    </row>
    <row r="355" spans="1:11" ht="30" customHeight="1">
      <c r="A355" s="12" t="s">
        <v>310</v>
      </c>
      <c r="B355" s="12" t="s">
        <v>308</v>
      </c>
      <c r="C355" s="12" t="s">
        <v>270</v>
      </c>
      <c r="D355" s="12" t="s">
        <v>399</v>
      </c>
      <c r="E355" s="18">
        <v>3</v>
      </c>
      <c r="F355" s="12" t="s">
        <v>50</v>
      </c>
      <c r="G355" s="13"/>
      <c r="H355" s="13"/>
      <c r="I355" s="13"/>
      <c r="J355" s="12" t="s">
        <v>1018</v>
      </c>
      <c r="K355" s="12" t="s">
        <v>535</v>
      </c>
    </row>
    <row r="356" spans="1:11" ht="30" customHeight="1">
      <c r="A356" s="12" t="s">
        <v>310</v>
      </c>
      <c r="B356" s="12" t="s">
        <v>308</v>
      </c>
      <c r="C356" s="12" t="s">
        <v>270</v>
      </c>
      <c r="D356" s="12" t="s">
        <v>400</v>
      </c>
      <c r="E356" s="18">
        <v>3</v>
      </c>
      <c r="F356" s="12" t="s">
        <v>50</v>
      </c>
      <c r="G356" s="13"/>
      <c r="H356" s="13"/>
      <c r="I356" s="13"/>
      <c r="J356" s="12" t="s">
        <v>1019</v>
      </c>
      <c r="K356" s="12" t="s">
        <v>535</v>
      </c>
    </row>
    <row r="357" spans="1:11" ht="30" customHeight="1">
      <c r="A357" s="12" t="s">
        <v>310</v>
      </c>
      <c r="B357" s="12" t="s">
        <v>308</v>
      </c>
      <c r="C357" s="12" t="s">
        <v>270</v>
      </c>
      <c r="D357" s="12" t="s">
        <v>391</v>
      </c>
      <c r="E357" s="18">
        <v>3</v>
      </c>
      <c r="F357" s="12" t="s">
        <v>940</v>
      </c>
      <c r="G357" s="13"/>
      <c r="H357" s="13"/>
      <c r="I357" s="13"/>
      <c r="J357" s="12" t="s">
        <v>1020</v>
      </c>
      <c r="K357" s="12" t="s">
        <v>535</v>
      </c>
    </row>
    <row r="358" spans="1:11" ht="30" customHeight="1">
      <c r="A358" s="12" t="s">
        <v>310</v>
      </c>
      <c r="B358" s="12" t="s">
        <v>308</v>
      </c>
      <c r="C358" s="12" t="s">
        <v>270</v>
      </c>
      <c r="D358" s="12" t="s">
        <v>392</v>
      </c>
      <c r="E358" s="18">
        <v>3</v>
      </c>
      <c r="F358" s="12" t="s">
        <v>940</v>
      </c>
      <c r="G358" s="13"/>
      <c r="H358" s="13"/>
      <c r="I358" s="13"/>
      <c r="J358" s="12" t="s">
        <v>1021</v>
      </c>
      <c r="K358" s="12" t="s">
        <v>535</v>
      </c>
    </row>
    <row r="359" spans="1:11" ht="30" customHeight="1">
      <c r="A359" s="12" t="s">
        <v>310</v>
      </c>
      <c r="B359" s="12" t="s">
        <v>308</v>
      </c>
      <c r="C359" s="12" t="s">
        <v>270</v>
      </c>
      <c r="D359" s="12" t="s">
        <v>393</v>
      </c>
      <c r="E359" s="18">
        <v>1</v>
      </c>
      <c r="F359" s="12" t="s">
        <v>940</v>
      </c>
      <c r="G359" s="13"/>
      <c r="H359" s="13"/>
      <c r="I359" s="13"/>
      <c r="J359" s="12" t="s">
        <v>1022</v>
      </c>
      <c r="K359" s="12" t="s">
        <v>535</v>
      </c>
    </row>
    <row r="360" spans="1:11" ht="30" customHeight="1">
      <c r="A360" s="12" t="s">
        <v>310</v>
      </c>
      <c r="B360" s="12" t="s">
        <v>308</v>
      </c>
      <c r="C360" s="12" t="s">
        <v>270</v>
      </c>
      <c r="D360" s="12" t="s">
        <v>394</v>
      </c>
      <c r="E360" s="18">
        <v>2</v>
      </c>
      <c r="F360" s="12" t="s">
        <v>940</v>
      </c>
      <c r="G360" s="13"/>
      <c r="H360" s="13"/>
      <c r="I360" s="13"/>
      <c r="J360" s="12" t="s">
        <v>1023</v>
      </c>
      <c r="K360" s="12" t="s">
        <v>535</v>
      </c>
    </row>
    <row r="361" spans="1:11" ht="30" customHeight="1">
      <c r="A361" s="12" t="s">
        <v>310</v>
      </c>
      <c r="B361" s="12" t="s">
        <v>308</v>
      </c>
      <c r="C361" s="12" t="s">
        <v>270</v>
      </c>
      <c r="D361" s="12" t="s">
        <v>395</v>
      </c>
      <c r="E361" s="18">
        <v>2</v>
      </c>
      <c r="F361" s="12" t="s">
        <v>940</v>
      </c>
      <c r="G361" s="13"/>
      <c r="H361" s="13"/>
      <c r="I361" s="13"/>
      <c r="J361" s="12" t="s">
        <v>1024</v>
      </c>
      <c r="K361" s="12" t="s">
        <v>535</v>
      </c>
    </row>
    <row r="362" spans="1:11" ht="30" customHeight="1">
      <c r="A362" s="12" t="s">
        <v>310</v>
      </c>
      <c r="B362" s="12" t="s">
        <v>308</v>
      </c>
      <c r="C362" s="12" t="s">
        <v>270</v>
      </c>
      <c r="D362" s="12" t="s">
        <v>396</v>
      </c>
      <c r="E362" s="18">
        <v>1</v>
      </c>
      <c r="F362" s="12" t="s">
        <v>940</v>
      </c>
      <c r="G362" s="13"/>
      <c r="H362" s="13"/>
      <c r="I362" s="13"/>
      <c r="J362" s="12" t="s">
        <v>1025</v>
      </c>
      <c r="K362" s="12" t="s">
        <v>535</v>
      </c>
    </row>
    <row r="363" spans="1:11" ht="30" customHeight="1">
      <c r="A363" s="12" t="s">
        <v>310</v>
      </c>
      <c r="B363" s="12" t="s">
        <v>308</v>
      </c>
      <c r="C363" s="12" t="s">
        <v>270</v>
      </c>
      <c r="D363" s="12" t="s">
        <v>397</v>
      </c>
      <c r="E363" s="18">
        <v>0</v>
      </c>
      <c r="F363" s="12" t="s">
        <v>940</v>
      </c>
      <c r="G363" s="13"/>
      <c r="H363" s="13"/>
      <c r="I363" s="13"/>
      <c r="J363" s="12" t="s">
        <v>987</v>
      </c>
      <c r="K363" s="12" t="s">
        <v>535</v>
      </c>
    </row>
    <row r="364" spans="1:11" ht="30" customHeight="1">
      <c r="A364" s="12" t="s">
        <v>310</v>
      </c>
      <c r="B364" s="12" t="s">
        <v>308</v>
      </c>
      <c r="C364" s="12" t="s">
        <v>270</v>
      </c>
      <c r="D364" s="12" t="s">
        <v>398</v>
      </c>
      <c r="E364" s="18">
        <v>1</v>
      </c>
      <c r="F364" s="12" t="s">
        <v>940</v>
      </c>
      <c r="G364" s="13"/>
      <c r="H364" s="13"/>
      <c r="I364" s="13"/>
      <c r="J364" s="12" t="s">
        <v>1026</v>
      </c>
      <c r="K364" s="12" t="s">
        <v>535</v>
      </c>
    </row>
    <row r="365" spans="1:11" ht="30" customHeight="1">
      <c r="A365" s="12" t="s">
        <v>310</v>
      </c>
      <c r="B365" s="12" t="s">
        <v>308</v>
      </c>
      <c r="C365" s="12" t="s">
        <v>270</v>
      </c>
      <c r="D365" s="12" t="s">
        <v>399</v>
      </c>
      <c r="E365" s="18">
        <v>3</v>
      </c>
      <c r="F365" s="12" t="s">
        <v>940</v>
      </c>
      <c r="G365" s="13"/>
      <c r="H365" s="13"/>
      <c r="I365" s="13"/>
      <c r="J365" s="12" t="s">
        <v>1027</v>
      </c>
      <c r="K365" s="12" t="s">
        <v>535</v>
      </c>
    </row>
    <row r="366" spans="1:11" ht="30" customHeight="1">
      <c r="A366" s="12" t="s">
        <v>310</v>
      </c>
      <c r="B366" s="12" t="s">
        <v>308</v>
      </c>
      <c r="C366" s="12" t="s">
        <v>270</v>
      </c>
      <c r="D366" s="12" t="s">
        <v>400</v>
      </c>
      <c r="E366" s="18">
        <v>2</v>
      </c>
      <c r="F366" s="12" t="s">
        <v>940</v>
      </c>
      <c r="G366" s="13"/>
      <c r="H366" s="13"/>
      <c r="I366" s="13"/>
      <c r="J366" s="12" t="s">
        <v>1028</v>
      </c>
      <c r="K366" s="12" t="s">
        <v>535</v>
      </c>
    </row>
    <row r="367" spans="1:11" ht="30" customHeight="1">
      <c r="A367" s="12" t="s">
        <v>179</v>
      </c>
      <c r="B367" s="12" t="s">
        <v>175</v>
      </c>
      <c r="C367" s="12" t="s">
        <v>154</v>
      </c>
      <c r="D367" s="12" t="s">
        <v>391</v>
      </c>
      <c r="E367" s="12" t="s">
        <v>1029</v>
      </c>
      <c r="F367" s="12" t="s">
        <v>50</v>
      </c>
      <c r="G367" s="12" t="s">
        <v>177</v>
      </c>
      <c r="H367" s="12" t="s">
        <v>1030</v>
      </c>
      <c r="I367" s="12" t="s">
        <v>178</v>
      </c>
      <c r="J367" s="12" t="s">
        <v>1031</v>
      </c>
      <c r="K367" s="12" t="s">
        <v>535</v>
      </c>
    </row>
    <row r="368" spans="1:11" ht="30" customHeight="1">
      <c r="A368" s="12" t="s">
        <v>179</v>
      </c>
      <c r="B368" s="12" t="s">
        <v>175</v>
      </c>
      <c r="C368" s="12" t="s">
        <v>154</v>
      </c>
      <c r="D368" s="12" t="s">
        <v>392</v>
      </c>
      <c r="E368" s="12" t="s">
        <v>1029</v>
      </c>
      <c r="F368" s="12" t="s">
        <v>50</v>
      </c>
      <c r="G368" s="12" t="s">
        <v>177</v>
      </c>
      <c r="H368" s="12" t="s">
        <v>1030</v>
      </c>
      <c r="I368" s="12" t="s">
        <v>178</v>
      </c>
      <c r="J368" s="12" t="s">
        <v>1031</v>
      </c>
      <c r="K368" s="12" t="s">
        <v>535</v>
      </c>
    </row>
    <row r="369" spans="1:11" ht="30" customHeight="1">
      <c r="A369" s="12" t="s">
        <v>179</v>
      </c>
      <c r="B369" s="12" t="s">
        <v>175</v>
      </c>
      <c r="C369" s="12" t="s">
        <v>154</v>
      </c>
      <c r="D369" s="12" t="s">
        <v>393</v>
      </c>
      <c r="E369" s="12" t="s">
        <v>1029</v>
      </c>
      <c r="F369" s="12" t="s">
        <v>50</v>
      </c>
      <c r="G369" s="12" t="s">
        <v>177</v>
      </c>
      <c r="H369" s="12" t="s">
        <v>1030</v>
      </c>
      <c r="I369" s="12" t="s">
        <v>178</v>
      </c>
      <c r="J369" s="12" t="s">
        <v>1031</v>
      </c>
      <c r="K369" s="12" t="s">
        <v>535</v>
      </c>
    </row>
    <row r="370" spans="1:11" ht="30" customHeight="1">
      <c r="A370" s="12" t="s">
        <v>179</v>
      </c>
      <c r="B370" s="12" t="s">
        <v>175</v>
      </c>
      <c r="C370" s="12" t="s">
        <v>154</v>
      </c>
      <c r="D370" s="12" t="s">
        <v>394</v>
      </c>
      <c r="E370" s="12" t="s">
        <v>1029</v>
      </c>
      <c r="F370" s="12" t="s">
        <v>50</v>
      </c>
      <c r="G370" s="12" t="s">
        <v>177</v>
      </c>
      <c r="H370" s="12" t="s">
        <v>1030</v>
      </c>
      <c r="I370" s="12" t="s">
        <v>178</v>
      </c>
      <c r="J370" s="12" t="s">
        <v>1031</v>
      </c>
      <c r="K370" s="12" t="s">
        <v>535</v>
      </c>
    </row>
    <row r="371" spans="1:11" ht="30" customHeight="1">
      <c r="A371" s="12" t="s">
        <v>179</v>
      </c>
      <c r="B371" s="12" t="s">
        <v>175</v>
      </c>
      <c r="C371" s="12" t="s">
        <v>154</v>
      </c>
      <c r="D371" s="12" t="s">
        <v>395</v>
      </c>
      <c r="E371" s="12" t="s">
        <v>1029</v>
      </c>
      <c r="F371" s="12" t="s">
        <v>50</v>
      </c>
      <c r="G371" s="12" t="s">
        <v>177</v>
      </c>
      <c r="H371" s="12" t="s">
        <v>1030</v>
      </c>
      <c r="I371" s="12" t="s">
        <v>178</v>
      </c>
      <c r="J371" s="12" t="s">
        <v>1031</v>
      </c>
      <c r="K371" s="12" t="s">
        <v>535</v>
      </c>
    </row>
    <row r="372" spans="1:11" ht="30" customHeight="1">
      <c r="A372" s="12" t="s">
        <v>179</v>
      </c>
      <c r="B372" s="12" t="s">
        <v>175</v>
      </c>
      <c r="C372" s="12" t="s">
        <v>154</v>
      </c>
      <c r="D372" s="12" t="s">
        <v>396</v>
      </c>
      <c r="E372" s="12" t="s">
        <v>1029</v>
      </c>
      <c r="F372" s="12" t="s">
        <v>50</v>
      </c>
      <c r="G372" s="12" t="s">
        <v>177</v>
      </c>
      <c r="H372" s="12" t="s">
        <v>1030</v>
      </c>
      <c r="I372" s="12" t="s">
        <v>178</v>
      </c>
      <c r="J372" s="12" t="s">
        <v>1031</v>
      </c>
      <c r="K372" s="12" t="s">
        <v>535</v>
      </c>
    </row>
    <row r="373" spans="1:11" ht="30" customHeight="1">
      <c r="A373" s="12" t="s">
        <v>179</v>
      </c>
      <c r="B373" s="12" t="s">
        <v>175</v>
      </c>
      <c r="C373" s="12" t="s">
        <v>154</v>
      </c>
      <c r="D373" s="12" t="s">
        <v>397</v>
      </c>
      <c r="E373" s="12" t="s">
        <v>1029</v>
      </c>
      <c r="F373" s="12" t="s">
        <v>50</v>
      </c>
      <c r="G373" s="12" t="s">
        <v>177</v>
      </c>
      <c r="H373" s="12" t="s">
        <v>1030</v>
      </c>
      <c r="I373" s="12" t="s">
        <v>178</v>
      </c>
      <c r="J373" s="12" t="s">
        <v>1031</v>
      </c>
      <c r="K373" s="12" t="s">
        <v>535</v>
      </c>
    </row>
    <row r="374" spans="1:11" ht="30" customHeight="1">
      <c r="A374" s="12" t="s">
        <v>179</v>
      </c>
      <c r="B374" s="12" t="s">
        <v>175</v>
      </c>
      <c r="C374" s="12" t="s">
        <v>154</v>
      </c>
      <c r="D374" s="12" t="s">
        <v>398</v>
      </c>
      <c r="E374" s="12" t="s">
        <v>1029</v>
      </c>
      <c r="F374" s="12" t="s">
        <v>50</v>
      </c>
      <c r="G374" s="12" t="s">
        <v>177</v>
      </c>
      <c r="H374" s="12" t="s">
        <v>1030</v>
      </c>
      <c r="I374" s="12" t="s">
        <v>178</v>
      </c>
      <c r="J374" s="12" t="s">
        <v>1031</v>
      </c>
      <c r="K374" s="12" t="s">
        <v>535</v>
      </c>
    </row>
    <row r="375" spans="1:11" ht="30" customHeight="1">
      <c r="A375" s="12" t="s">
        <v>179</v>
      </c>
      <c r="B375" s="12" t="s">
        <v>175</v>
      </c>
      <c r="C375" s="12" t="s">
        <v>154</v>
      </c>
      <c r="D375" s="12" t="s">
        <v>399</v>
      </c>
      <c r="E375" s="12" t="s">
        <v>1029</v>
      </c>
      <c r="F375" s="12" t="s">
        <v>50</v>
      </c>
      <c r="G375" s="12" t="s">
        <v>177</v>
      </c>
      <c r="H375" s="12" t="s">
        <v>1030</v>
      </c>
      <c r="I375" s="12" t="s">
        <v>178</v>
      </c>
      <c r="J375" s="12" t="s">
        <v>1031</v>
      </c>
      <c r="K375" s="12" t="s">
        <v>535</v>
      </c>
    </row>
    <row r="376" spans="1:11" ht="30" customHeight="1">
      <c r="A376" s="12" t="s">
        <v>179</v>
      </c>
      <c r="B376" s="12" t="s">
        <v>175</v>
      </c>
      <c r="C376" s="12" t="s">
        <v>154</v>
      </c>
      <c r="D376" s="12" t="s">
        <v>400</v>
      </c>
      <c r="E376" s="12" t="s">
        <v>1029</v>
      </c>
      <c r="F376" s="12" t="s">
        <v>50</v>
      </c>
      <c r="G376" s="12" t="s">
        <v>177</v>
      </c>
      <c r="H376" s="12" t="s">
        <v>1030</v>
      </c>
      <c r="I376" s="12" t="s">
        <v>178</v>
      </c>
      <c r="J376" s="12" t="s">
        <v>1031</v>
      </c>
      <c r="K376" s="12" t="s">
        <v>535</v>
      </c>
    </row>
    <row r="377" spans="1:11" ht="30" customHeight="1">
      <c r="A377" s="12" t="s">
        <v>168</v>
      </c>
      <c r="B377" s="12" t="s">
        <v>166</v>
      </c>
      <c r="C377" s="12" t="s">
        <v>154</v>
      </c>
      <c r="D377" s="12" t="s">
        <v>391</v>
      </c>
      <c r="E377" s="18">
        <v>3</v>
      </c>
      <c r="F377" s="12" t="s">
        <v>31</v>
      </c>
      <c r="G377" s="12" t="s">
        <v>167</v>
      </c>
      <c r="H377" s="12" t="s">
        <v>1032</v>
      </c>
      <c r="I377" s="12" t="s">
        <v>157</v>
      </c>
      <c r="J377" s="12" t="s">
        <v>1033</v>
      </c>
      <c r="K377" s="12" t="s">
        <v>535</v>
      </c>
    </row>
    <row r="378" spans="1:11" ht="30" customHeight="1">
      <c r="A378" s="12" t="s">
        <v>168</v>
      </c>
      <c r="B378" s="12" t="s">
        <v>166</v>
      </c>
      <c r="C378" s="12" t="s">
        <v>154</v>
      </c>
      <c r="D378" s="12" t="s">
        <v>392</v>
      </c>
      <c r="E378" s="18">
        <v>3</v>
      </c>
      <c r="F378" s="12" t="s">
        <v>31</v>
      </c>
      <c r="G378" s="12" t="s">
        <v>167</v>
      </c>
      <c r="H378" s="12" t="s">
        <v>1032</v>
      </c>
      <c r="I378" s="12" t="s">
        <v>157</v>
      </c>
      <c r="J378" s="12" t="s">
        <v>1034</v>
      </c>
      <c r="K378" s="12" t="s">
        <v>535</v>
      </c>
    </row>
    <row r="379" spans="1:11" ht="30" customHeight="1">
      <c r="A379" s="12" t="s">
        <v>168</v>
      </c>
      <c r="B379" s="12" t="s">
        <v>166</v>
      </c>
      <c r="C379" s="12" t="s">
        <v>154</v>
      </c>
      <c r="D379" s="12" t="s">
        <v>393</v>
      </c>
      <c r="E379" s="18">
        <v>2</v>
      </c>
      <c r="F379" s="12" t="s">
        <v>31</v>
      </c>
      <c r="G379" s="12" t="s">
        <v>167</v>
      </c>
      <c r="H379" s="12" t="s">
        <v>1032</v>
      </c>
      <c r="I379" s="12" t="s">
        <v>157</v>
      </c>
      <c r="J379" s="12" t="s">
        <v>1035</v>
      </c>
      <c r="K379" s="12" t="s">
        <v>535</v>
      </c>
    </row>
    <row r="380" spans="1:11" ht="30" customHeight="1">
      <c r="A380" s="12" t="s">
        <v>168</v>
      </c>
      <c r="B380" s="12" t="s">
        <v>166</v>
      </c>
      <c r="C380" s="12" t="s">
        <v>154</v>
      </c>
      <c r="D380" s="12" t="s">
        <v>394</v>
      </c>
      <c r="E380" s="18">
        <v>3</v>
      </c>
      <c r="F380" s="12" t="s">
        <v>31</v>
      </c>
      <c r="G380" s="12" t="s">
        <v>167</v>
      </c>
      <c r="H380" s="12" t="s">
        <v>1032</v>
      </c>
      <c r="I380" s="12" t="s">
        <v>157</v>
      </c>
      <c r="J380" s="12" t="s">
        <v>1036</v>
      </c>
      <c r="K380" s="12" t="s">
        <v>535</v>
      </c>
    </row>
    <row r="381" spans="1:11" ht="30" customHeight="1">
      <c r="A381" s="12" t="s">
        <v>168</v>
      </c>
      <c r="B381" s="12" t="s">
        <v>166</v>
      </c>
      <c r="C381" s="12" t="s">
        <v>154</v>
      </c>
      <c r="D381" s="12" t="s">
        <v>395</v>
      </c>
      <c r="E381" s="18">
        <v>2</v>
      </c>
      <c r="F381" s="12" t="s">
        <v>31</v>
      </c>
      <c r="G381" s="12" t="s">
        <v>167</v>
      </c>
      <c r="H381" s="12" t="s">
        <v>1032</v>
      </c>
      <c r="I381" s="12" t="s">
        <v>157</v>
      </c>
      <c r="J381" s="12" t="s">
        <v>1037</v>
      </c>
      <c r="K381" s="12" t="s">
        <v>535</v>
      </c>
    </row>
    <row r="382" spans="1:11" ht="30" customHeight="1">
      <c r="A382" s="12" t="s">
        <v>168</v>
      </c>
      <c r="B382" s="12" t="s">
        <v>166</v>
      </c>
      <c r="C382" s="12" t="s">
        <v>154</v>
      </c>
      <c r="D382" s="12" t="s">
        <v>396</v>
      </c>
      <c r="E382" s="18">
        <v>2</v>
      </c>
      <c r="F382" s="12" t="s">
        <v>31</v>
      </c>
      <c r="G382" s="12" t="s">
        <v>167</v>
      </c>
      <c r="H382" s="12" t="s">
        <v>1032</v>
      </c>
      <c r="I382" s="12" t="s">
        <v>157</v>
      </c>
      <c r="J382" s="12" t="s">
        <v>1038</v>
      </c>
      <c r="K382" s="12" t="s">
        <v>535</v>
      </c>
    </row>
    <row r="383" spans="1:11" ht="30" customHeight="1">
      <c r="A383" s="12" t="s">
        <v>168</v>
      </c>
      <c r="B383" s="12" t="s">
        <v>166</v>
      </c>
      <c r="C383" s="12" t="s">
        <v>154</v>
      </c>
      <c r="D383" s="12" t="s">
        <v>397</v>
      </c>
      <c r="E383" s="18">
        <v>0</v>
      </c>
      <c r="F383" s="12" t="s">
        <v>31</v>
      </c>
      <c r="G383" s="12" t="s">
        <v>167</v>
      </c>
      <c r="H383" s="12" t="s">
        <v>1032</v>
      </c>
      <c r="I383" s="12" t="s">
        <v>157</v>
      </c>
      <c r="J383" s="12" t="s">
        <v>1039</v>
      </c>
      <c r="K383" s="12" t="s">
        <v>535</v>
      </c>
    </row>
    <row r="384" spans="1:11" ht="30" customHeight="1">
      <c r="A384" s="12" t="s">
        <v>168</v>
      </c>
      <c r="B384" s="12" t="s">
        <v>166</v>
      </c>
      <c r="C384" s="12" t="s">
        <v>154</v>
      </c>
      <c r="D384" s="12" t="s">
        <v>398</v>
      </c>
      <c r="E384" s="18">
        <v>2</v>
      </c>
      <c r="F384" s="12" t="s">
        <v>31</v>
      </c>
      <c r="G384" s="12" t="s">
        <v>167</v>
      </c>
      <c r="H384" s="12" t="s">
        <v>1032</v>
      </c>
      <c r="I384" s="12" t="s">
        <v>157</v>
      </c>
      <c r="J384" s="12" t="s">
        <v>1040</v>
      </c>
      <c r="K384" s="12" t="s">
        <v>535</v>
      </c>
    </row>
    <row r="385" spans="1:11" ht="30" customHeight="1">
      <c r="A385" s="12" t="s">
        <v>168</v>
      </c>
      <c r="B385" s="12" t="s">
        <v>166</v>
      </c>
      <c r="C385" s="12" t="s">
        <v>154</v>
      </c>
      <c r="D385" s="12" t="s">
        <v>399</v>
      </c>
      <c r="E385" s="18">
        <v>2</v>
      </c>
      <c r="F385" s="12" t="s">
        <v>31</v>
      </c>
      <c r="G385" s="12" t="s">
        <v>167</v>
      </c>
      <c r="H385" s="12" t="s">
        <v>1032</v>
      </c>
      <c r="I385" s="12" t="s">
        <v>157</v>
      </c>
      <c r="J385" s="12" t="s">
        <v>1041</v>
      </c>
      <c r="K385" s="12" t="s">
        <v>535</v>
      </c>
    </row>
    <row r="386" spans="1:11" ht="30" customHeight="1">
      <c r="A386" s="12" t="s">
        <v>168</v>
      </c>
      <c r="B386" s="12" t="s">
        <v>166</v>
      </c>
      <c r="C386" s="12" t="s">
        <v>154</v>
      </c>
      <c r="D386" s="12" t="s">
        <v>400</v>
      </c>
      <c r="E386" s="18">
        <v>2</v>
      </c>
      <c r="F386" s="12" t="s">
        <v>31</v>
      </c>
      <c r="G386" s="12" t="s">
        <v>167</v>
      </c>
      <c r="H386" s="12" t="s">
        <v>1032</v>
      </c>
      <c r="I386" s="12" t="s">
        <v>157</v>
      </c>
      <c r="J386" s="12" t="s">
        <v>1042</v>
      </c>
      <c r="K386" s="12" t="s">
        <v>535</v>
      </c>
    </row>
    <row r="387" spans="1:11" ht="30" customHeight="1">
      <c r="A387" s="12" t="s">
        <v>207</v>
      </c>
      <c r="B387" s="12" t="s">
        <v>205</v>
      </c>
      <c r="C387" s="12" t="s">
        <v>154</v>
      </c>
      <c r="D387" s="12" t="s">
        <v>391</v>
      </c>
      <c r="E387" s="18">
        <v>3</v>
      </c>
      <c r="F387" s="12" t="s">
        <v>31</v>
      </c>
      <c r="G387" s="12" t="s">
        <v>206</v>
      </c>
      <c r="H387" s="12" t="s">
        <v>1043</v>
      </c>
      <c r="I387" s="12" t="s">
        <v>157</v>
      </c>
      <c r="J387" s="12" t="s">
        <v>1033</v>
      </c>
      <c r="K387" s="12" t="s">
        <v>535</v>
      </c>
    </row>
    <row r="388" spans="1:11" ht="30" customHeight="1">
      <c r="A388" s="12" t="s">
        <v>207</v>
      </c>
      <c r="B388" s="12" t="s">
        <v>205</v>
      </c>
      <c r="C388" s="12" t="s">
        <v>154</v>
      </c>
      <c r="D388" s="12" t="s">
        <v>392</v>
      </c>
      <c r="E388" s="18">
        <v>2</v>
      </c>
      <c r="F388" s="12" t="s">
        <v>31</v>
      </c>
      <c r="G388" s="12" t="s">
        <v>206</v>
      </c>
      <c r="H388" s="12" t="s">
        <v>1043</v>
      </c>
      <c r="I388" s="12" t="s">
        <v>157</v>
      </c>
      <c r="J388" s="12" t="s">
        <v>1034</v>
      </c>
      <c r="K388" s="12" t="s">
        <v>535</v>
      </c>
    </row>
    <row r="389" spans="1:11" ht="30" customHeight="1">
      <c r="A389" s="12" t="s">
        <v>207</v>
      </c>
      <c r="B389" s="12" t="s">
        <v>205</v>
      </c>
      <c r="C389" s="12" t="s">
        <v>154</v>
      </c>
      <c r="D389" s="12" t="s">
        <v>393</v>
      </c>
      <c r="E389" s="18">
        <v>2</v>
      </c>
      <c r="F389" s="12" t="s">
        <v>31</v>
      </c>
      <c r="G389" s="12" t="s">
        <v>206</v>
      </c>
      <c r="H389" s="12" t="s">
        <v>1043</v>
      </c>
      <c r="I389" s="12" t="s">
        <v>157</v>
      </c>
      <c r="J389" s="12" t="s">
        <v>1035</v>
      </c>
      <c r="K389" s="12" t="s">
        <v>535</v>
      </c>
    </row>
    <row r="390" spans="1:11" ht="30" customHeight="1">
      <c r="A390" s="12" t="s">
        <v>207</v>
      </c>
      <c r="B390" s="12" t="s">
        <v>205</v>
      </c>
      <c r="C390" s="12" t="s">
        <v>154</v>
      </c>
      <c r="D390" s="12" t="s">
        <v>394</v>
      </c>
      <c r="E390" s="18">
        <v>2</v>
      </c>
      <c r="F390" s="12" t="s">
        <v>31</v>
      </c>
      <c r="G390" s="12" t="s">
        <v>206</v>
      </c>
      <c r="H390" s="12" t="s">
        <v>1043</v>
      </c>
      <c r="I390" s="12" t="s">
        <v>157</v>
      </c>
      <c r="J390" s="12" t="s">
        <v>1036</v>
      </c>
      <c r="K390" s="12" t="s">
        <v>535</v>
      </c>
    </row>
    <row r="391" spans="1:11" ht="30" customHeight="1">
      <c r="A391" s="12" t="s">
        <v>207</v>
      </c>
      <c r="B391" s="12" t="s">
        <v>205</v>
      </c>
      <c r="C391" s="12" t="s">
        <v>154</v>
      </c>
      <c r="D391" s="12" t="s">
        <v>395</v>
      </c>
      <c r="E391" s="18">
        <v>1</v>
      </c>
      <c r="F391" s="12" t="s">
        <v>31</v>
      </c>
      <c r="G391" s="12" t="s">
        <v>206</v>
      </c>
      <c r="H391" s="12" t="s">
        <v>1043</v>
      </c>
      <c r="I391" s="12" t="s">
        <v>157</v>
      </c>
      <c r="J391" s="12" t="s">
        <v>1037</v>
      </c>
      <c r="K391" s="12" t="s">
        <v>535</v>
      </c>
    </row>
    <row r="392" spans="1:11" ht="30" customHeight="1">
      <c r="A392" s="12" t="s">
        <v>207</v>
      </c>
      <c r="B392" s="12" t="s">
        <v>205</v>
      </c>
      <c r="C392" s="12" t="s">
        <v>154</v>
      </c>
      <c r="D392" s="12" t="s">
        <v>396</v>
      </c>
      <c r="E392" s="18">
        <v>1</v>
      </c>
      <c r="F392" s="12" t="s">
        <v>31</v>
      </c>
      <c r="G392" s="12" t="s">
        <v>206</v>
      </c>
      <c r="H392" s="12" t="s">
        <v>1043</v>
      </c>
      <c r="I392" s="12" t="s">
        <v>157</v>
      </c>
      <c r="J392" s="12" t="s">
        <v>1038</v>
      </c>
      <c r="K392" s="12" t="s">
        <v>535</v>
      </c>
    </row>
    <row r="393" spans="1:11" ht="30" customHeight="1">
      <c r="A393" s="12" t="s">
        <v>207</v>
      </c>
      <c r="B393" s="12" t="s">
        <v>205</v>
      </c>
      <c r="C393" s="12" t="s">
        <v>154</v>
      </c>
      <c r="D393" s="12" t="s">
        <v>397</v>
      </c>
      <c r="E393" s="18">
        <v>0</v>
      </c>
      <c r="F393" s="12" t="s">
        <v>31</v>
      </c>
      <c r="G393" s="12" t="s">
        <v>206</v>
      </c>
      <c r="H393" s="12" t="s">
        <v>1043</v>
      </c>
      <c r="I393" s="12" t="s">
        <v>157</v>
      </c>
      <c r="J393" s="12" t="s">
        <v>1039</v>
      </c>
      <c r="K393" s="12" t="s">
        <v>535</v>
      </c>
    </row>
    <row r="394" spans="1:11" ht="30" customHeight="1">
      <c r="A394" s="12" t="s">
        <v>207</v>
      </c>
      <c r="B394" s="12" t="s">
        <v>205</v>
      </c>
      <c r="C394" s="12" t="s">
        <v>154</v>
      </c>
      <c r="D394" s="12" t="s">
        <v>398</v>
      </c>
      <c r="E394" s="18">
        <v>1</v>
      </c>
      <c r="F394" s="12" t="s">
        <v>31</v>
      </c>
      <c r="G394" s="12" t="s">
        <v>206</v>
      </c>
      <c r="H394" s="12" t="s">
        <v>1043</v>
      </c>
      <c r="I394" s="12" t="s">
        <v>157</v>
      </c>
      <c r="J394" s="12" t="s">
        <v>1040</v>
      </c>
      <c r="K394" s="12" t="s">
        <v>535</v>
      </c>
    </row>
    <row r="395" spans="1:11" ht="30" customHeight="1">
      <c r="A395" s="12" t="s">
        <v>207</v>
      </c>
      <c r="B395" s="12" t="s">
        <v>205</v>
      </c>
      <c r="C395" s="12" t="s">
        <v>154</v>
      </c>
      <c r="D395" s="12" t="s">
        <v>399</v>
      </c>
      <c r="E395" s="18">
        <v>2</v>
      </c>
      <c r="F395" s="12" t="s">
        <v>31</v>
      </c>
      <c r="G395" s="12" t="s">
        <v>206</v>
      </c>
      <c r="H395" s="12" t="s">
        <v>1043</v>
      </c>
      <c r="I395" s="12" t="s">
        <v>157</v>
      </c>
      <c r="J395" s="12" t="s">
        <v>1041</v>
      </c>
      <c r="K395" s="12" t="s">
        <v>535</v>
      </c>
    </row>
    <row r="396" spans="1:11" ht="30" customHeight="1">
      <c r="A396" s="12" t="s">
        <v>207</v>
      </c>
      <c r="B396" s="12" t="s">
        <v>205</v>
      </c>
      <c r="C396" s="12" t="s">
        <v>154</v>
      </c>
      <c r="D396" s="12" t="s">
        <v>400</v>
      </c>
      <c r="E396" s="18">
        <v>2</v>
      </c>
      <c r="F396" s="12" t="s">
        <v>31</v>
      </c>
      <c r="G396" s="12" t="s">
        <v>206</v>
      </c>
      <c r="H396" s="12" t="s">
        <v>1043</v>
      </c>
      <c r="I396" s="12" t="s">
        <v>157</v>
      </c>
      <c r="J396" s="12" t="s">
        <v>1042</v>
      </c>
      <c r="K396" s="12" t="s">
        <v>535</v>
      </c>
    </row>
    <row r="397" spans="1:11" ht="30" customHeight="1">
      <c r="A397" s="12" t="s">
        <v>158</v>
      </c>
      <c r="B397" s="12" t="s">
        <v>153</v>
      </c>
      <c r="C397" s="12" t="s">
        <v>154</v>
      </c>
      <c r="D397" s="12" t="s">
        <v>391</v>
      </c>
      <c r="E397" s="18">
        <v>2</v>
      </c>
      <c r="F397" s="12" t="s">
        <v>31</v>
      </c>
      <c r="G397" s="12" t="s">
        <v>156</v>
      </c>
      <c r="H397" s="12" t="s">
        <v>1044</v>
      </c>
      <c r="I397" s="12" t="s">
        <v>157</v>
      </c>
      <c r="J397" s="12" t="s">
        <v>1033</v>
      </c>
      <c r="K397" s="12" t="s">
        <v>535</v>
      </c>
    </row>
    <row r="398" spans="1:11" ht="30" customHeight="1">
      <c r="A398" s="12" t="s">
        <v>158</v>
      </c>
      <c r="B398" s="12" t="s">
        <v>153</v>
      </c>
      <c r="C398" s="12" t="s">
        <v>154</v>
      </c>
      <c r="D398" s="12" t="s">
        <v>392</v>
      </c>
      <c r="E398" s="18">
        <v>1</v>
      </c>
      <c r="F398" s="12" t="s">
        <v>31</v>
      </c>
      <c r="G398" s="12" t="s">
        <v>156</v>
      </c>
      <c r="H398" s="12" t="s">
        <v>1044</v>
      </c>
      <c r="I398" s="12" t="s">
        <v>157</v>
      </c>
      <c r="J398" s="12" t="s">
        <v>1034</v>
      </c>
      <c r="K398" s="12" t="s">
        <v>535</v>
      </c>
    </row>
    <row r="399" spans="1:11" ht="30" customHeight="1">
      <c r="A399" s="12" t="s">
        <v>158</v>
      </c>
      <c r="B399" s="12" t="s">
        <v>153</v>
      </c>
      <c r="C399" s="12" t="s">
        <v>154</v>
      </c>
      <c r="D399" s="12" t="s">
        <v>393</v>
      </c>
      <c r="E399" s="18">
        <v>2</v>
      </c>
      <c r="F399" s="12" t="s">
        <v>31</v>
      </c>
      <c r="G399" s="12" t="s">
        <v>156</v>
      </c>
      <c r="H399" s="12" t="s">
        <v>1044</v>
      </c>
      <c r="I399" s="12" t="s">
        <v>157</v>
      </c>
      <c r="J399" s="12" t="s">
        <v>1035</v>
      </c>
      <c r="K399" s="12" t="s">
        <v>535</v>
      </c>
    </row>
    <row r="400" spans="1:11" ht="30" customHeight="1">
      <c r="A400" s="12" t="s">
        <v>158</v>
      </c>
      <c r="B400" s="12" t="s">
        <v>153</v>
      </c>
      <c r="C400" s="12" t="s">
        <v>154</v>
      </c>
      <c r="D400" s="12" t="s">
        <v>394</v>
      </c>
      <c r="E400" s="18">
        <v>2</v>
      </c>
      <c r="F400" s="12" t="s">
        <v>31</v>
      </c>
      <c r="G400" s="12" t="s">
        <v>156</v>
      </c>
      <c r="H400" s="12" t="s">
        <v>1044</v>
      </c>
      <c r="I400" s="12" t="s">
        <v>157</v>
      </c>
      <c r="J400" s="12" t="s">
        <v>1036</v>
      </c>
      <c r="K400" s="12" t="s">
        <v>535</v>
      </c>
    </row>
    <row r="401" spans="1:11" ht="30" customHeight="1">
      <c r="A401" s="12" t="s">
        <v>158</v>
      </c>
      <c r="B401" s="12" t="s">
        <v>153</v>
      </c>
      <c r="C401" s="12" t="s">
        <v>154</v>
      </c>
      <c r="D401" s="12" t="s">
        <v>395</v>
      </c>
      <c r="E401" s="18">
        <v>2</v>
      </c>
      <c r="F401" s="12" t="s">
        <v>31</v>
      </c>
      <c r="G401" s="12" t="s">
        <v>156</v>
      </c>
      <c r="H401" s="12" t="s">
        <v>1044</v>
      </c>
      <c r="I401" s="12" t="s">
        <v>157</v>
      </c>
      <c r="J401" s="12" t="s">
        <v>1037</v>
      </c>
      <c r="K401" s="12" t="s">
        <v>535</v>
      </c>
    </row>
    <row r="402" spans="1:11" ht="30" customHeight="1">
      <c r="A402" s="12" t="s">
        <v>158</v>
      </c>
      <c r="B402" s="12" t="s">
        <v>153</v>
      </c>
      <c r="C402" s="12" t="s">
        <v>154</v>
      </c>
      <c r="D402" s="12" t="s">
        <v>396</v>
      </c>
      <c r="E402" s="18">
        <v>1</v>
      </c>
      <c r="F402" s="12" t="s">
        <v>31</v>
      </c>
      <c r="G402" s="12" t="s">
        <v>156</v>
      </c>
      <c r="H402" s="12" t="s">
        <v>1044</v>
      </c>
      <c r="I402" s="12" t="s">
        <v>157</v>
      </c>
      <c r="J402" s="12" t="s">
        <v>1038</v>
      </c>
      <c r="K402" s="12" t="s">
        <v>535</v>
      </c>
    </row>
    <row r="403" spans="1:11" ht="30" customHeight="1">
      <c r="A403" s="12" t="s">
        <v>158</v>
      </c>
      <c r="B403" s="12" t="s">
        <v>153</v>
      </c>
      <c r="C403" s="12" t="s">
        <v>154</v>
      </c>
      <c r="D403" s="12" t="s">
        <v>397</v>
      </c>
      <c r="E403" s="18">
        <v>0</v>
      </c>
      <c r="F403" s="12" t="s">
        <v>31</v>
      </c>
      <c r="G403" s="12" t="s">
        <v>156</v>
      </c>
      <c r="H403" s="12" t="s">
        <v>1044</v>
      </c>
      <c r="I403" s="12" t="s">
        <v>157</v>
      </c>
      <c r="J403" s="12" t="s">
        <v>1039</v>
      </c>
      <c r="K403" s="12" t="s">
        <v>535</v>
      </c>
    </row>
    <row r="404" spans="1:11" ht="30" customHeight="1">
      <c r="A404" s="12" t="s">
        <v>158</v>
      </c>
      <c r="B404" s="12" t="s">
        <v>153</v>
      </c>
      <c r="C404" s="12" t="s">
        <v>154</v>
      </c>
      <c r="D404" s="12" t="s">
        <v>398</v>
      </c>
      <c r="E404" s="18">
        <v>1</v>
      </c>
      <c r="F404" s="12" t="s">
        <v>31</v>
      </c>
      <c r="G404" s="12" t="s">
        <v>156</v>
      </c>
      <c r="H404" s="12" t="s">
        <v>1044</v>
      </c>
      <c r="I404" s="12" t="s">
        <v>157</v>
      </c>
      <c r="J404" s="12" t="s">
        <v>1040</v>
      </c>
      <c r="K404" s="12" t="s">
        <v>535</v>
      </c>
    </row>
    <row r="405" spans="1:11" ht="30" customHeight="1">
      <c r="A405" s="12" t="s">
        <v>158</v>
      </c>
      <c r="B405" s="12" t="s">
        <v>153</v>
      </c>
      <c r="C405" s="12" t="s">
        <v>154</v>
      </c>
      <c r="D405" s="12" t="s">
        <v>399</v>
      </c>
      <c r="E405" s="18">
        <v>3</v>
      </c>
      <c r="F405" s="12" t="s">
        <v>31</v>
      </c>
      <c r="G405" s="12" t="s">
        <v>156</v>
      </c>
      <c r="H405" s="12" t="s">
        <v>1044</v>
      </c>
      <c r="I405" s="12" t="s">
        <v>157</v>
      </c>
      <c r="J405" s="12" t="s">
        <v>1041</v>
      </c>
      <c r="K405" s="12" t="s">
        <v>535</v>
      </c>
    </row>
    <row r="406" spans="1:11" ht="30" customHeight="1">
      <c r="A406" s="12" t="s">
        <v>158</v>
      </c>
      <c r="B406" s="12" t="s">
        <v>153</v>
      </c>
      <c r="C406" s="12" t="s">
        <v>154</v>
      </c>
      <c r="D406" s="12" t="s">
        <v>400</v>
      </c>
      <c r="E406" s="18">
        <v>2</v>
      </c>
      <c r="F406" s="12" t="s">
        <v>31</v>
      </c>
      <c r="G406" s="12" t="s">
        <v>156</v>
      </c>
      <c r="H406" s="12" t="s">
        <v>1044</v>
      </c>
      <c r="I406" s="12" t="s">
        <v>157</v>
      </c>
      <c r="J406" s="12" t="s">
        <v>1042</v>
      </c>
      <c r="K406" s="12" t="s">
        <v>535</v>
      </c>
    </row>
    <row r="407" spans="1:11" ht="30" customHeight="1">
      <c r="A407" s="12" t="s">
        <v>222</v>
      </c>
      <c r="B407" s="12" t="s">
        <v>220</v>
      </c>
      <c r="C407" s="12" t="s">
        <v>154</v>
      </c>
      <c r="D407" s="12" t="s">
        <v>391</v>
      </c>
      <c r="E407" s="18">
        <v>3</v>
      </c>
      <c r="F407" s="12" t="s">
        <v>31</v>
      </c>
      <c r="G407" s="12" t="s">
        <v>221</v>
      </c>
      <c r="H407" s="12" t="s">
        <v>1045</v>
      </c>
      <c r="I407" s="12" t="s">
        <v>157</v>
      </c>
      <c r="J407" s="12" t="s">
        <v>1033</v>
      </c>
      <c r="K407" s="12" t="s">
        <v>535</v>
      </c>
    </row>
    <row r="408" spans="1:11" ht="30" customHeight="1">
      <c r="A408" s="12" t="s">
        <v>222</v>
      </c>
      <c r="B408" s="12" t="s">
        <v>220</v>
      </c>
      <c r="C408" s="12" t="s">
        <v>154</v>
      </c>
      <c r="D408" s="12" t="s">
        <v>392</v>
      </c>
      <c r="E408" s="18">
        <v>2</v>
      </c>
      <c r="F408" s="12" t="s">
        <v>31</v>
      </c>
      <c r="G408" s="12" t="s">
        <v>221</v>
      </c>
      <c r="H408" s="12" t="s">
        <v>1045</v>
      </c>
      <c r="I408" s="12" t="s">
        <v>157</v>
      </c>
      <c r="J408" s="12" t="s">
        <v>1034</v>
      </c>
      <c r="K408" s="12" t="s">
        <v>535</v>
      </c>
    </row>
    <row r="409" spans="1:11" ht="30" customHeight="1">
      <c r="A409" s="12" t="s">
        <v>222</v>
      </c>
      <c r="B409" s="12" t="s">
        <v>220</v>
      </c>
      <c r="C409" s="12" t="s">
        <v>154</v>
      </c>
      <c r="D409" s="12" t="s">
        <v>393</v>
      </c>
      <c r="E409" s="18">
        <v>2</v>
      </c>
      <c r="F409" s="12" t="s">
        <v>31</v>
      </c>
      <c r="G409" s="12" t="s">
        <v>221</v>
      </c>
      <c r="H409" s="12" t="s">
        <v>1045</v>
      </c>
      <c r="I409" s="12" t="s">
        <v>157</v>
      </c>
      <c r="J409" s="12" t="s">
        <v>1035</v>
      </c>
      <c r="K409" s="12" t="s">
        <v>535</v>
      </c>
    </row>
    <row r="410" spans="1:11" ht="30" customHeight="1">
      <c r="A410" s="12" t="s">
        <v>222</v>
      </c>
      <c r="B410" s="12" t="s">
        <v>220</v>
      </c>
      <c r="C410" s="12" t="s">
        <v>154</v>
      </c>
      <c r="D410" s="12" t="s">
        <v>394</v>
      </c>
      <c r="E410" s="18">
        <v>2</v>
      </c>
      <c r="F410" s="12" t="s">
        <v>31</v>
      </c>
      <c r="G410" s="12" t="s">
        <v>221</v>
      </c>
      <c r="H410" s="12" t="s">
        <v>1045</v>
      </c>
      <c r="I410" s="12" t="s">
        <v>157</v>
      </c>
      <c r="J410" s="12" t="s">
        <v>1036</v>
      </c>
      <c r="K410" s="12" t="s">
        <v>535</v>
      </c>
    </row>
    <row r="411" spans="1:11" ht="30" customHeight="1">
      <c r="A411" s="12" t="s">
        <v>222</v>
      </c>
      <c r="B411" s="12" t="s">
        <v>220</v>
      </c>
      <c r="C411" s="12" t="s">
        <v>154</v>
      </c>
      <c r="D411" s="12" t="s">
        <v>395</v>
      </c>
      <c r="E411" s="18">
        <v>1</v>
      </c>
      <c r="F411" s="12" t="s">
        <v>31</v>
      </c>
      <c r="G411" s="12" t="s">
        <v>221</v>
      </c>
      <c r="H411" s="12" t="s">
        <v>1045</v>
      </c>
      <c r="I411" s="12" t="s">
        <v>157</v>
      </c>
      <c r="J411" s="12" t="s">
        <v>1037</v>
      </c>
      <c r="K411" s="12" t="s">
        <v>535</v>
      </c>
    </row>
    <row r="412" spans="1:11" ht="30" customHeight="1">
      <c r="A412" s="12" t="s">
        <v>222</v>
      </c>
      <c r="B412" s="12" t="s">
        <v>220</v>
      </c>
      <c r="C412" s="12" t="s">
        <v>154</v>
      </c>
      <c r="D412" s="12" t="s">
        <v>396</v>
      </c>
      <c r="E412" s="18">
        <v>1</v>
      </c>
      <c r="F412" s="12" t="s">
        <v>31</v>
      </c>
      <c r="G412" s="12" t="s">
        <v>221</v>
      </c>
      <c r="H412" s="12" t="s">
        <v>1045</v>
      </c>
      <c r="I412" s="12" t="s">
        <v>157</v>
      </c>
      <c r="J412" s="12" t="s">
        <v>1038</v>
      </c>
      <c r="K412" s="12" t="s">
        <v>535</v>
      </c>
    </row>
    <row r="413" spans="1:11" ht="30" customHeight="1">
      <c r="A413" s="12" t="s">
        <v>222</v>
      </c>
      <c r="B413" s="12" t="s">
        <v>220</v>
      </c>
      <c r="C413" s="12" t="s">
        <v>154</v>
      </c>
      <c r="D413" s="12" t="s">
        <v>397</v>
      </c>
      <c r="E413" s="18">
        <v>0</v>
      </c>
      <c r="F413" s="12" t="s">
        <v>31</v>
      </c>
      <c r="G413" s="12" t="s">
        <v>221</v>
      </c>
      <c r="H413" s="12" t="s">
        <v>1045</v>
      </c>
      <c r="I413" s="12" t="s">
        <v>157</v>
      </c>
      <c r="J413" s="12" t="s">
        <v>1039</v>
      </c>
      <c r="K413" s="12" t="s">
        <v>535</v>
      </c>
    </row>
    <row r="414" spans="1:11" ht="30" customHeight="1">
      <c r="A414" s="12" t="s">
        <v>222</v>
      </c>
      <c r="B414" s="12" t="s">
        <v>220</v>
      </c>
      <c r="C414" s="12" t="s">
        <v>154</v>
      </c>
      <c r="D414" s="12" t="s">
        <v>398</v>
      </c>
      <c r="E414" s="18">
        <v>1</v>
      </c>
      <c r="F414" s="12" t="s">
        <v>31</v>
      </c>
      <c r="G414" s="12" t="s">
        <v>221</v>
      </c>
      <c r="H414" s="12" t="s">
        <v>1045</v>
      </c>
      <c r="I414" s="12" t="s">
        <v>157</v>
      </c>
      <c r="J414" s="12" t="s">
        <v>1040</v>
      </c>
      <c r="K414" s="12" t="s">
        <v>535</v>
      </c>
    </row>
    <row r="415" spans="1:11" ht="30" customHeight="1">
      <c r="A415" s="12" t="s">
        <v>222</v>
      </c>
      <c r="B415" s="12" t="s">
        <v>220</v>
      </c>
      <c r="C415" s="12" t="s">
        <v>154</v>
      </c>
      <c r="D415" s="12" t="s">
        <v>399</v>
      </c>
      <c r="E415" s="18">
        <v>3</v>
      </c>
      <c r="F415" s="12" t="s">
        <v>31</v>
      </c>
      <c r="G415" s="12" t="s">
        <v>221</v>
      </c>
      <c r="H415" s="12" t="s">
        <v>1045</v>
      </c>
      <c r="I415" s="12" t="s">
        <v>157</v>
      </c>
      <c r="J415" s="12" t="s">
        <v>1041</v>
      </c>
      <c r="K415" s="12" t="s">
        <v>535</v>
      </c>
    </row>
    <row r="416" spans="1:11" ht="30" customHeight="1">
      <c r="A416" s="12" t="s">
        <v>222</v>
      </c>
      <c r="B416" s="12" t="s">
        <v>220</v>
      </c>
      <c r="C416" s="12" t="s">
        <v>154</v>
      </c>
      <c r="D416" s="12" t="s">
        <v>400</v>
      </c>
      <c r="E416" s="18">
        <v>2</v>
      </c>
      <c r="F416" s="12" t="s">
        <v>31</v>
      </c>
      <c r="G416" s="12" t="s">
        <v>221</v>
      </c>
      <c r="H416" s="12" t="s">
        <v>1045</v>
      </c>
      <c r="I416" s="12" t="s">
        <v>157</v>
      </c>
      <c r="J416" s="12" t="s">
        <v>1042</v>
      </c>
      <c r="K416" s="12" t="s">
        <v>535</v>
      </c>
    </row>
    <row r="417" spans="1:11" ht="30" customHeight="1">
      <c r="A417" s="12" t="s">
        <v>212</v>
      </c>
      <c r="B417" s="12" t="s">
        <v>210</v>
      </c>
      <c r="C417" s="12" t="s">
        <v>154</v>
      </c>
      <c r="D417" s="12" t="s">
        <v>391</v>
      </c>
      <c r="E417" s="18">
        <v>3</v>
      </c>
      <c r="F417" s="12" t="s">
        <v>31</v>
      </c>
      <c r="G417" s="12" t="s">
        <v>211</v>
      </c>
      <c r="H417" s="12" t="s">
        <v>1046</v>
      </c>
      <c r="I417" s="12" t="s">
        <v>157</v>
      </c>
      <c r="J417" s="12" t="s">
        <v>1033</v>
      </c>
      <c r="K417" s="12" t="s">
        <v>535</v>
      </c>
    </row>
    <row r="418" spans="1:11" ht="30" customHeight="1">
      <c r="A418" s="12" t="s">
        <v>212</v>
      </c>
      <c r="B418" s="12" t="s">
        <v>210</v>
      </c>
      <c r="C418" s="12" t="s">
        <v>154</v>
      </c>
      <c r="D418" s="12" t="s">
        <v>392</v>
      </c>
      <c r="E418" s="18">
        <v>2</v>
      </c>
      <c r="F418" s="12" t="s">
        <v>31</v>
      </c>
      <c r="G418" s="12" t="s">
        <v>211</v>
      </c>
      <c r="H418" s="12" t="s">
        <v>1046</v>
      </c>
      <c r="I418" s="12" t="s">
        <v>157</v>
      </c>
      <c r="J418" s="12" t="s">
        <v>1034</v>
      </c>
      <c r="K418" s="12" t="s">
        <v>535</v>
      </c>
    </row>
    <row r="419" spans="1:11" ht="30" customHeight="1">
      <c r="A419" s="12" t="s">
        <v>212</v>
      </c>
      <c r="B419" s="12" t="s">
        <v>210</v>
      </c>
      <c r="C419" s="12" t="s">
        <v>154</v>
      </c>
      <c r="D419" s="12" t="s">
        <v>393</v>
      </c>
      <c r="E419" s="18">
        <v>2</v>
      </c>
      <c r="F419" s="12" t="s">
        <v>31</v>
      </c>
      <c r="G419" s="12" t="s">
        <v>211</v>
      </c>
      <c r="H419" s="12" t="s">
        <v>1046</v>
      </c>
      <c r="I419" s="12" t="s">
        <v>157</v>
      </c>
      <c r="J419" s="12" t="s">
        <v>1035</v>
      </c>
      <c r="K419" s="12" t="s">
        <v>535</v>
      </c>
    </row>
    <row r="420" spans="1:11" ht="30" customHeight="1">
      <c r="A420" s="12" t="s">
        <v>212</v>
      </c>
      <c r="B420" s="12" t="s">
        <v>210</v>
      </c>
      <c r="C420" s="12" t="s">
        <v>154</v>
      </c>
      <c r="D420" s="12" t="s">
        <v>394</v>
      </c>
      <c r="E420" s="18">
        <v>2</v>
      </c>
      <c r="F420" s="12" t="s">
        <v>31</v>
      </c>
      <c r="G420" s="12" t="s">
        <v>211</v>
      </c>
      <c r="H420" s="12" t="s">
        <v>1046</v>
      </c>
      <c r="I420" s="12" t="s">
        <v>157</v>
      </c>
      <c r="J420" s="12" t="s">
        <v>1036</v>
      </c>
      <c r="K420" s="12" t="s">
        <v>535</v>
      </c>
    </row>
    <row r="421" spans="1:11" ht="30" customHeight="1">
      <c r="A421" s="12" t="s">
        <v>212</v>
      </c>
      <c r="B421" s="12" t="s">
        <v>210</v>
      </c>
      <c r="C421" s="12" t="s">
        <v>154</v>
      </c>
      <c r="D421" s="12" t="s">
        <v>395</v>
      </c>
      <c r="E421" s="18">
        <v>2</v>
      </c>
      <c r="F421" s="12" t="s">
        <v>31</v>
      </c>
      <c r="G421" s="12" t="s">
        <v>211</v>
      </c>
      <c r="H421" s="12" t="s">
        <v>1046</v>
      </c>
      <c r="I421" s="12" t="s">
        <v>157</v>
      </c>
      <c r="J421" s="12" t="s">
        <v>1037</v>
      </c>
      <c r="K421" s="12" t="s">
        <v>535</v>
      </c>
    </row>
    <row r="422" spans="1:11" ht="30" customHeight="1">
      <c r="A422" s="12" t="s">
        <v>212</v>
      </c>
      <c r="B422" s="12" t="s">
        <v>210</v>
      </c>
      <c r="C422" s="12" t="s">
        <v>154</v>
      </c>
      <c r="D422" s="12" t="s">
        <v>396</v>
      </c>
      <c r="E422" s="18">
        <v>2</v>
      </c>
      <c r="F422" s="12" t="s">
        <v>31</v>
      </c>
      <c r="G422" s="12" t="s">
        <v>211</v>
      </c>
      <c r="H422" s="12" t="s">
        <v>1046</v>
      </c>
      <c r="I422" s="12" t="s">
        <v>157</v>
      </c>
      <c r="J422" s="12" t="s">
        <v>1038</v>
      </c>
      <c r="K422" s="12" t="s">
        <v>535</v>
      </c>
    </row>
    <row r="423" spans="1:11" ht="30" customHeight="1">
      <c r="A423" s="12" t="s">
        <v>212</v>
      </c>
      <c r="B423" s="12" t="s">
        <v>210</v>
      </c>
      <c r="C423" s="12" t="s">
        <v>154</v>
      </c>
      <c r="D423" s="12" t="s">
        <v>397</v>
      </c>
      <c r="E423" s="18">
        <v>0</v>
      </c>
      <c r="F423" s="12" t="s">
        <v>31</v>
      </c>
      <c r="G423" s="12" t="s">
        <v>211</v>
      </c>
      <c r="H423" s="12" t="s">
        <v>1046</v>
      </c>
      <c r="I423" s="12" t="s">
        <v>157</v>
      </c>
      <c r="J423" s="12" t="s">
        <v>1039</v>
      </c>
      <c r="K423" s="12" t="s">
        <v>535</v>
      </c>
    </row>
    <row r="424" spans="1:11" ht="30" customHeight="1">
      <c r="A424" s="12" t="s">
        <v>212</v>
      </c>
      <c r="B424" s="12" t="s">
        <v>210</v>
      </c>
      <c r="C424" s="12" t="s">
        <v>154</v>
      </c>
      <c r="D424" s="12" t="s">
        <v>398</v>
      </c>
      <c r="E424" s="18">
        <v>1</v>
      </c>
      <c r="F424" s="12" t="s">
        <v>31</v>
      </c>
      <c r="G424" s="12" t="s">
        <v>211</v>
      </c>
      <c r="H424" s="12" t="s">
        <v>1046</v>
      </c>
      <c r="I424" s="12" t="s">
        <v>157</v>
      </c>
      <c r="J424" s="12" t="s">
        <v>1040</v>
      </c>
      <c r="K424" s="12" t="s">
        <v>535</v>
      </c>
    </row>
    <row r="425" spans="1:11" ht="30" customHeight="1">
      <c r="A425" s="12" t="s">
        <v>212</v>
      </c>
      <c r="B425" s="12" t="s">
        <v>210</v>
      </c>
      <c r="C425" s="12" t="s">
        <v>154</v>
      </c>
      <c r="D425" s="12" t="s">
        <v>399</v>
      </c>
      <c r="E425" s="18">
        <v>3</v>
      </c>
      <c r="F425" s="12" t="s">
        <v>31</v>
      </c>
      <c r="G425" s="12" t="s">
        <v>211</v>
      </c>
      <c r="H425" s="12" t="s">
        <v>1046</v>
      </c>
      <c r="I425" s="12" t="s">
        <v>157</v>
      </c>
      <c r="J425" s="12" t="s">
        <v>1041</v>
      </c>
      <c r="K425" s="12" t="s">
        <v>535</v>
      </c>
    </row>
    <row r="426" spans="1:11" ht="30" customHeight="1">
      <c r="A426" s="12" t="s">
        <v>212</v>
      </c>
      <c r="B426" s="12" t="s">
        <v>210</v>
      </c>
      <c r="C426" s="12" t="s">
        <v>154</v>
      </c>
      <c r="D426" s="12" t="s">
        <v>400</v>
      </c>
      <c r="E426" s="18">
        <v>2</v>
      </c>
      <c r="F426" s="12" t="s">
        <v>31</v>
      </c>
      <c r="G426" s="12" t="s">
        <v>211</v>
      </c>
      <c r="H426" s="12" t="s">
        <v>1046</v>
      </c>
      <c r="I426" s="12" t="s">
        <v>157</v>
      </c>
      <c r="J426" s="12" t="s">
        <v>1042</v>
      </c>
      <c r="K426" s="12" t="s">
        <v>535</v>
      </c>
    </row>
    <row r="427" spans="1:11" ht="30" customHeight="1">
      <c r="A427" s="12" t="s">
        <v>203</v>
      </c>
      <c r="B427" s="12" t="s">
        <v>202</v>
      </c>
      <c r="C427" s="12" t="s">
        <v>154</v>
      </c>
      <c r="D427" s="12" t="s">
        <v>391</v>
      </c>
      <c r="E427" s="18">
        <v>2</v>
      </c>
      <c r="F427" s="12" t="s">
        <v>31</v>
      </c>
      <c r="G427" s="12" t="s">
        <v>184</v>
      </c>
      <c r="H427" s="12" t="s">
        <v>1047</v>
      </c>
      <c r="I427" s="12" t="s">
        <v>157</v>
      </c>
      <c r="J427" s="12" t="s">
        <v>1033</v>
      </c>
      <c r="K427" s="12" t="s">
        <v>535</v>
      </c>
    </row>
    <row r="428" spans="1:11" ht="30" customHeight="1">
      <c r="A428" s="12" t="s">
        <v>203</v>
      </c>
      <c r="B428" s="12" t="s">
        <v>202</v>
      </c>
      <c r="C428" s="12" t="s">
        <v>154</v>
      </c>
      <c r="D428" s="12" t="s">
        <v>392</v>
      </c>
      <c r="E428" s="18">
        <v>2</v>
      </c>
      <c r="F428" s="12" t="s">
        <v>31</v>
      </c>
      <c r="G428" s="12" t="s">
        <v>184</v>
      </c>
      <c r="H428" s="12" t="s">
        <v>1047</v>
      </c>
      <c r="I428" s="12" t="s">
        <v>157</v>
      </c>
      <c r="J428" s="12" t="s">
        <v>1034</v>
      </c>
      <c r="K428" s="12" t="s">
        <v>535</v>
      </c>
    </row>
    <row r="429" spans="1:11" ht="30" customHeight="1">
      <c r="A429" s="12" t="s">
        <v>203</v>
      </c>
      <c r="B429" s="12" t="s">
        <v>202</v>
      </c>
      <c r="C429" s="12" t="s">
        <v>154</v>
      </c>
      <c r="D429" s="12" t="s">
        <v>393</v>
      </c>
      <c r="E429" s="18">
        <v>2</v>
      </c>
      <c r="F429" s="12" t="s">
        <v>31</v>
      </c>
      <c r="G429" s="12" t="s">
        <v>184</v>
      </c>
      <c r="H429" s="12" t="s">
        <v>1047</v>
      </c>
      <c r="I429" s="12" t="s">
        <v>157</v>
      </c>
      <c r="J429" s="12" t="s">
        <v>1035</v>
      </c>
      <c r="K429" s="12" t="s">
        <v>535</v>
      </c>
    </row>
    <row r="430" spans="1:11" ht="30" customHeight="1">
      <c r="A430" s="12" t="s">
        <v>203</v>
      </c>
      <c r="B430" s="12" t="s">
        <v>202</v>
      </c>
      <c r="C430" s="12" t="s">
        <v>154</v>
      </c>
      <c r="D430" s="12" t="s">
        <v>394</v>
      </c>
      <c r="E430" s="18">
        <v>1</v>
      </c>
      <c r="F430" s="12" t="s">
        <v>31</v>
      </c>
      <c r="G430" s="12" t="s">
        <v>184</v>
      </c>
      <c r="H430" s="12" t="s">
        <v>1047</v>
      </c>
      <c r="I430" s="12" t="s">
        <v>157</v>
      </c>
      <c r="J430" s="12" t="s">
        <v>1036</v>
      </c>
      <c r="K430" s="12" t="s">
        <v>535</v>
      </c>
    </row>
    <row r="431" spans="1:11" ht="30" customHeight="1">
      <c r="A431" s="12" t="s">
        <v>203</v>
      </c>
      <c r="B431" s="12" t="s">
        <v>202</v>
      </c>
      <c r="C431" s="12" t="s">
        <v>154</v>
      </c>
      <c r="D431" s="12" t="s">
        <v>395</v>
      </c>
      <c r="E431" s="18">
        <v>1</v>
      </c>
      <c r="F431" s="12" t="s">
        <v>31</v>
      </c>
      <c r="G431" s="12" t="s">
        <v>184</v>
      </c>
      <c r="H431" s="12" t="s">
        <v>1047</v>
      </c>
      <c r="I431" s="12" t="s">
        <v>157</v>
      </c>
      <c r="J431" s="12" t="s">
        <v>1037</v>
      </c>
      <c r="K431" s="12" t="s">
        <v>535</v>
      </c>
    </row>
    <row r="432" spans="1:11" ht="30" customHeight="1">
      <c r="A432" s="12" t="s">
        <v>203</v>
      </c>
      <c r="B432" s="12" t="s">
        <v>202</v>
      </c>
      <c r="C432" s="12" t="s">
        <v>154</v>
      </c>
      <c r="D432" s="12" t="s">
        <v>396</v>
      </c>
      <c r="E432" s="18">
        <v>0</v>
      </c>
      <c r="F432" s="12" t="s">
        <v>31</v>
      </c>
      <c r="G432" s="12" t="s">
        <v>184</v>
      </c>
      <c r="H432" s="12" t="s">
        <v>1047</v>
      </c>
      <c r="I432" s="12" t="s">
        <v>157</v>
      </c>
      <c r="J432" s="12" t="s">
        <v>1038</v>
      </c>
      <c r="K432" s="12" t="s">
        <v>535</v>
      </c>
    </row>
    <row r="433" spans="1:11" ht="30" customHeight="1">
      <c r="A433" s="12" t="s">
        <v>203</v>
      </c>
      <c r="B433" s="12" t="s">
        <v>202</v>
      </c>
      <c r="C433" s="12" t="s">
        <v>154</v>
      </c>
      <c r="D433" s="12" t="s">
        <v>397</v>
      </c>
      <c r="E433" s="18">
        <v>0</v>
      </c>
      <c r="F433" s="12" t="s">
        <v>31</v>
      </c>
      <c r="G433" s="12" t="s">
        <v>184</v>
      </c>
      <c r="H433" s="12" t="s">
        <v>1047</v>
      </c>
      <c r="I433" s="12" t="s">
        <v>157</v>
      </c>
      <c r="J433" s="12" t="s">
        <v>1039</v>
      </c>
      <c r="K433" s="12" t="s">
        <v>535</v>
      </c>
    </row>
    <row r="434" spans="1:11" ht="30" customHeight="1">
      <c r="A434" s="12" t="s">
        <v>203</v>
      </c>
      <c r="B434" s="12" t="s">
        <v>202</v>
      </c>
      <c r="C434" s="12" t="s">
        <v>154</v>
      </c>
      <c r="D434" s="12" t="s">
        <v>398</v>
      </c>
      <c r="E434" s="18">
        <v>0</v>
      </c>
      <c r="F434" s="12" t="s">
        <v>31</v>
      </c>
      <c r="G434" s="12" t="s">
        <v>184</v>
      </c>
      <c r="H434" s="12" t="s">
        <v>1047</v>
      </c>
      <c r="I434" s="12" t="s">
        <v>157</v>
      </c>
      <c r="J434" s="12" t="s">
        <v>1040</v>
      </c>
      <c r="K434" s="12" t="s">
        <v>535</v>
      </c>
    </row>
    <row r="435" spans="1:11" ht="30" customHeight="1">
      <c r="A435" s="12" t="s">
        <v>203</v>
      </c>
      <c r="B435" s="12" t="s">
        <v>202</v>
      </c>
      <c r="C435" s="12" t="s">
        <v>154</v>
      </c>
      <c r="D435" s="12" t="s">
        <v>399</v>
      </c>
      <c r="E435" s="18">
        <v>0</v>
      </c>
      <c r="F435" s="12" t="s">
        <v>31</v>
      </c>
      <c r="G435" s="12" t="s">
        <v>184</v>
      </c>
      <c r="H435" s="12" t="s">
        <v>1047</v>
      </c>
      <c r="I435" s="12" t="s">
        <v>157</v>
      </c>
      <c r="J435" s="12" t="s">
        <v>1041</v>
      </c>
      <c r="K435" s="12" t="s">
        <v>535</v>
      </c>
    </row>
    <row r="436" spans="1:11" ht="30" customHeight="1">
      <c r="A436" s="12" t="s">
        <v>203</v>
      </c>
      <c r="B436" s="12" t="s">
        <v>202</v>
      </c>
      <c r="C436" s="12" t="s">
        <v>154</v>
      </c>
      <c r="D436" s="12" t="s">
        <v>400</v>
      </c>
      <c r="E436" s="18">
        <v>2</v>
      </c>
      <c r="F436" s="12" t="s">
        <v>31</v>
      </c>
      <c r="G436" s="12" t="s">
        <v>184</v>
      </c>
      <c r="H436" s="12" t="s">
        <v>1047</v>
      </c>
      <c r="I436" s="12" t="s">
        <v>157</v>
      </c>
      <c r="J436" s="12" t="s">
        <v>1042</v>
      </c>
      <c r="K436" s="12" t="s">
        <v>535</v>
      </c>
    </row>
    <row r="437" spans="1:11" ht="30" customHeight="1">
      <c r="A437" s="12" t="s">
        <v>218</v>
      </c>
      <c r="B437" s="12" t="s">
        <v>217</v>
      </c>
      <c r="C437" s="12" t="s">
        <v>154</v>
      </c>
      <c r="D437" s="12" t="s">
        <v>391</v>
      </c>
      <c r="E437" s="18">
        <v>1</v>
      </c>
      <c r="F437" s="12" t="s">
        <v>31</v>
      </c>
      <c r="G437" s="12" t="s">
        <v>156</v>
      </c>
      <c r="H437" s="12" t="s">
        <v>1048</v>
      </c>
      <c r="I437" s="12" t="s">
        <v>157</v>
      </c>
      <c r="J437" s="12" t="s">
        <v>1033</v>
      </c>
      <c r="K437" s="12" t="s">
        <v>535</v>
      </c>
    </row>
    <row r="438" spans="1:11" ht="30" customHeight="1">
      <c r="A438" s="12" t="s">
        <v>218</v>
      </c>
      <c r="B438" s="12" t="s">
        <v>217</v>
      </c>
      <c r="C438" s="12" t="s">
        <v>154</v>
      </c>
      <c r="D438" s="12" t="s">
        <v>392</v>
      </c>
      <c r="E438" s="18">
        <v>1</v>
      </c>
      <c r="F438" s="12" t="s">
        <v>31</v>
      </c>
      <c r="G438" s="12" t="s">
        <v>156</v>
      </c>
      <c r="H438" s="12" t="s">
        <v>1048</v>
      </c>
      <c r="I438" s="12" t="s">
        <v>157</v>
      </c>
      <c r="J438" s="12" t="s">
        <v>1034</v>
      </c>
      <c r="K438" s="12" t="s">
        <v>535</v>
      </c>
    </row>
    <row r="439" spans="1:11" ht="30" customHeight="1">
      <c r="A439" s="12" t="s">
        <v>218</v>
      </c>
      <c r="B439" s="12" t="s">
        <v>217</v>
      </c>
      <c r="C439" s="12" t="s">
        <v>154</v>
      </c>
      <c r="D439" s="12" t="s">
        <v>393</v>
      </c>
      <c r="E439" s="18">
        <v>1</v>
      </c>
      <c r="F439" s="12" t="s">
        <v>31</v>
      </c>
      <c r="G439" s="12" t="s">
        <v>156</v>
      </c>
      <c r="H439" s="12" t="s">
        <v>1048</v>
      </c>
      <c r="I439" s="12" t="s">
        <v>157</v>
      </c>
      <c r="J439" s="12" t="s">
        <v>1035</v>
      </c>
      <c r="K439" s="12" t="s">
        <v>535</v>
      </c>
    </row>
    <row r="440" spans="1:11" ht="30" customHeight="1">
      <c r="A440" s="12" t="s">
        <v>218</v>
      </c>
      <c r="B440" s="12" t="s">
        <v>217</v>
      </c>
      <c r="C440" s="12" t="s">
        <v>154</v>
      </c>
      <c r="D440" s="12" t="s">
        <v>394</v>
      </c>
      <c r="E440" s="18">
        <v>1</v>
      </c>
      <c r="F440" s="12" t="s">
        <v>31</v>
      </c>
      <c r="G440" s="12" t="s">
        <v>156</v>
      </c>
      <c r="H440" s="12" t="s">
        <v>1048</v>
      </c>
      <c r="I440" s="12" t="s">
        <v>157</v>
      </c>
      <c r="J440" s="12" t="s">
        <v>1036</v>
      </c>
      <c r="K440" s="12" t="s">
        <v>535</v>
      </c>
    </row>
    <row r="441" spans="1:11" ht="30" customHeight="1">
      <c r="A441" s="12" t="s">
        <v>218</v>
      </c>
      <c r="B441" s="12" t="s">
        <v>217</v>
      </c>
      <c r="C441" s="12" t="s">
        <v>154</v>
      </c>
      <c r="D441" s="12" t="s">
        <v>395</v>
      </c>
      <c r="E441" s="18">
        <v>1</v>
      </c>
      <c r="F441" s="12" t="s">
        <v>31</v>
      </c>
      <c r="G441" s="12" t="s">
        <v>156</v>
      </c>
      <c r="H441" s="12" t="s">
        <v>1048</v>
      </c>
      <c r="I441" s="12" t="s">
        <v>157</v>
      </c>
      <c r="J441" s="12" t="s">
        <v>1037</v>
      </c>
      <c r="K441" s="12" t="s">
        <v>535</v>
      </c>
    </row>
    <row r="442" spans="1:11" ht="30" customHeight="1">
      <c r="A442" s="12" t="s">
        <v>218</v>
      </c>
      <c r="B442" s="12" t="s">
        <v>217</v>
      </c>
      <c r="C442" s="12" t="s">
        <v>154</v>
      </c>
      <c r="D442" s="12" t="s">
        <v>396</v>
      </c>
      <c r="E442" s="18">
        <v>0</v>
      </c>
      <c r="F442" s="12" t="s">
        <v>31</v>
      </c>
      <c r="G442" s="12" t="s">
        <v>156</v>
      </c>
      <c r="H442" s="12" t="s">
        <v>1048</v>
      </c>
      <c r="I442" s="12" t="s">
        <v>157</v>
      </c>
      <c r="J442" s="12" t="s">
        <v>1038</v>
      </c>
      <c r="K442" s="12" t="s">
        <v>535</v>
      </c>
    </row>
    <row r="443" spans="1:11" ht="30" customHeight="1">
      <c r="A443" s="12" t="s">
        <v>218</v>
      </c>
      <c r="B443" s="12" t="s">
        <v>217</v>
      </c>
      <c r="C443" s="12" t="s">
        <v>154</v>
      </c>
      <c r="D443" s="12" t="s">
        <v>397</v>
      </c>
      <c r="E443" s="18">
        <v>0</v>
      </c>
      <c r="F443" s="12" t="s">
        <v>31</v>
      </c>
      <c r="G443" s="12" t="s">
        <v>156</v>
      </c>
      <c r="H443" s="12" t="s">
        <v>1048</v>
      </c>
      <c r="I443" s="12" t="s">
        <v>157</v>
      </c>
      <c r="J443" s="12" t="s">
        <v>1039</v>
      </c>
      <c r="K443" s="12" t="s">
        <v>535</v>
      </c>
    </row>
    <row r="444" spans="1:11" ht="30" customHeight="1">
      <c r="A444" s="12" t="s">
        <v>218</v>
      </c>
      <c r="B444" s="12" t="s">
        <v>217</v>
      </c>
      <c r="C444" s="12" t="s">
        <v>154</v>
      </c>
      <c r="D444" s="12" t="s">
        <v>398</v>
      </c>
      <c r="E444" s="18">
        <v>0</v>
      </c>
      <c r="F444" s="12" t="s">
        <v>31</v>
      </c>
      <c r="G444" s="12" t="s">
        <v>156</v>
      </c>
      <c r="H444" s="12" t="s">
        <v>1048</v>
      </c>
      <c r="I444" s="12" t="s">
        <v>157</v>
      </c>
      <c r="J444" s="12" t="s">
        <v>1040</v>
      </c>
      <c r="K444" s="12" t="s">
        <v>535</v>
      </c>
    </row>
    <row r="445" spans="1:11" ht="30" customHeight="1">
      <c r="A445" s="12" t="s">
        <v>218</v>
      </c>
      <c r="B445" s="12" t="s">
        <v>217</v>
      </c>
      <c r="C445" s="12" t="s">
        <v>154</v>
      </c>
      <c r="D445" s="12" t="s">
        <v>399</v>
      </c>
      <c r="E445" s="18">
        <v>0</v>
      </c>
      <c r="F445" s="12" t="s">
        <v>31</v>
      </c>
      <c r="G445" s="12" t="s">
        <v>156</v>
      </c>
      <c r="H445" s="12" t="s">
        <v>1048</v>
      </c>
      <c r="I445" s="12" t="s">
        <v>157</v>
      </c>
      <c r="J445" s="12" t="s">
        <v>1041</v>
      </c>
      <c r="K445" s="12" t="s">
        <v>535</v>
      </c>
    </row>
    <row r="446" spans="1:11" ht="30" customHeight="1">
      <c r="A446" s="12" t="s">
        <v>218</v>
      </c>
      <c r="B446" s="12" t="s">
        <v>217</v>
      </c>
      <c r="C446" s="12" t="s">
        <v>154</v>
      </c>
      <c r="D446" s="12" t="s">
        <v>400</v>
      </c>
      <c r="E446" s="18">
        <v>1</v>
      </c>
      <c r="F446" s="12" t="s">
        <v>31</v>
      </c>
      <c r="G446" s="12" t="s">
        <v>156</v>
      </c>
      <c r="H446" s="12" t="s">
        <v>1048</v>
      </c>
      <c r="I446" s="12" t="s">
        <v>157</v>
      </c>
      <c r="J446" s="12" t="s">
        <v>1042</v>
      </c>
      <c r="K446" s="12" t="s">
        <v>535</v>
      </c>
    </row>
    <row r="447" spans="1:11" ht="30" customHeight="1">
      <c r="A447" s="12" t="s">
        <v>185</v>
      </c>
      <c r="B447" s="12" t="s">
        <v>183</v>
      </c>
      <c r="C447" s="12" t="s">
        <v>154</v>
      </c>
      <c r="D447" s="12" t="s">
        <v>391</v>
      </c>
      <c r="E447" s="18">
        <v>0</v>
      </c>
      <c r="F447" s="12" t="s">
        <v>31</v>
      </c>
      <c r="G447" s="12" t="s">
        <v>184</v>
      </c>
      <c r="H447" s="12" t="s">
        <v>1048</v>
      </c>
      <c r="I447" s="12" t="s">
        <v>157</v>
      </c>
      <c r="J447" s="12" t="s">
        <v>1033</v>
      </c>
      <c r="K447" s="12" t="s">
        <v>535</v>
      </c>
    </row>
    <row r="448" spans="1:11" ht="30" customHeight="1">
      <c r="A448" s="12" t="s">
        <v>185</v>
      </c>
      <c r="B448" s="12" t="s">
        <v>183</v>
      </c>
      <c r="C448" s="12" t="s">
        <v>154</v>
      </c>
      <c r="D448" s="12" t="s">
        <v>392</v>
      </c>
      <c r="E448" s="18">
        <v>0</v>
      </c>
      <c r="F448" s="12" t="s">
        <v>31</v>
      </c>
      <c r="G448" s="12" t="s">
        <v>184</v>
      </c>
      <c r="H448" s="12" t="s">
        <v>1048</v>
      </c>
      <c r="I448" s="12" t="s">
        <v>157</v>
      </c>
      <c r="J448" s="12" t="s">
        <v>1034</v>
      </c>
      <c r="K448" s="12" t="s">
        <v>535</v>
      </c>
    </row>
    <row r="449" spans="1:11" ht="30" customHeight="1">
      <c r="A449" s="12" t="s">
        <v>185</v>
      </c>
      <c r="B449" s="12" t="s">
        <v>183</v>
      </c>
      <c r="C449" s="12" t="s">
        <v>154</v>
      </c>
      <c r="D449" s="12" t="s">
        <v>393</v>
      </c>
      <c r="E449" s="18">
        <v>1</v>
      </c>
      <c r="F449" s="12" t="s">
        <v>31</v>
      </c>
      <c r="G449" s="12" t="s">
        <v>184</v>
      </c>
      <c r="H449" s="12" t="s">
        <v>1048</v>
      </c>
      <c r="I449" s="12" t="s">
        <v>157</v>
      </c>
      <c r="J449" s="12" t="s">
        <v>1035</v>
      </c>
      <c r="K449" s="12" t="s">
        <v>535</v>
      </c>
    </row>
    <row r="450" spans="1:11" ht="30" customHeight="1">
      <c r="A450" s="12" t="s">
        <v>185</v>
      </c>
      <c r="B450" s="12" t="s">
        <v>183</v>
      </c>
      <c r="C450" s="12" t="s">
        <v>154</v>
      </c>
      <c r="D450" s="12" t="s">
        <v>394</v>
      </c>
      <c r="E450" s="18">
        <v>1</v>
      </c>
      <c r="F450" s="12" t="s">
        <v>31</v>
      </c>
      <c r="G450" s="12" t="s">
        <v>184</v>
      </c>
      <c r="H450" s="12" t="s">
        <v>1048</v>
      </c>
      <c r="I450" s="12" t="s">
        <v>157</v>
      </c>
      <c r="J450" s="12" t="s">
        <v>1036</v>
      </c>
      <c r="K450" s="12" t="s">
        <v>535</v>
      </c>
    </row>
    <row r="451" spans="1:11" ht="30" customHeight="1">
      <c r="A451" s="12" t="s">
        <v>185</v>
      </c>
      <c r="B451" s="12" t="s">
        <v>183</v>
      </c>
      <c r="C451" s="12" t="s">
        <v>154</v>
      </c>
      <c r="D451" s="12" t="s">
        <v>395</v>
      </c>
      <c r="E451" s="18">
        <v>1</v>
      </c>
      <c r="F451" s="12" t="s">
        <v>31</v>
      </c>
      <c r="G451" s="12" t="s">
        <v>184</v>
      </c>
      <c r="H451" s="12" t="s">
        <v>1048</v>
      </c>
      <c r="I451" s="12" t="s">
        <v>157</v>
      </c>
      <c r="J451" s="12" t="s">
        <v>1037</v>
      </c>
      <c r="K451" s="12" t="s">
        <v>535</v>
      </c>
    </row>
    <row r="452" spans="1:11" ht="30" customHeight="1">
      <c r="A452" s="12" t="s">
        <v>185</v>
      </c>
      <c r="B452" s="12" t="s">
        <v>183</v>
      </c>
      <c r="C452" s="12" t="s">
        <v>154</v>
      </c>
      <c r="D452" s="12" t="s">
        <v>396</v>
      </c>
      <c r="E452" s="18">
        <v>0</v>
      </c>
      <c r="F452" s="12" t="s">
        <v>31</v>
      </c>
      <c r="G452" s="12" t="s">
        <v>184</v>
      </c>
      <c r="H452" s="12" t="s">
        <v>1048</v>
      </c>
      <c r="I452" s="12" t="s">
        <v>157</v>
      </c>
      <c r="J452" s="12" t="s">
        <v>1038</v>
      </c>
      <c r="K452" s="12" t="s">
        <v>535</v>
      </c>
    </row>
    <row r="453" spans="1:11" ht="30" customHeight="1">
      <c r="A453" s="12" t="s">
        <v>185</v>
      </c>
      <c r="B453" s="12" t="s">
        <v>183</v>
      </c>
      <c r="C453" s="12" t="s">
        <v>154</v>
      </c>
      <c r="D453" s="12" t="s">
        <v>397</v>
      </c>
      <c r="E453" s="18">
        <v>0</v>
      </c>
      <c r="F453" s="12" t="s">
        <v>31</v>
      </c>
      <c r="G453" s="12" t="s">
        <v>184</v>
      </c>
      <c r="H453" s="12" t="s">
        <v>1048</v>
      </c>
      <c r="I453" s="12" t="s">
        <v>157</v>
      </c>
      <c r="J453" s="12" t="s">
        <v>1039</v>
      </c>
      <c r="K453" s="12" t="s">
        <v>535</v>
      </c>
    </row>
    <row r="454" spans="1:11" ht="30" customHeight="1">
      <c r="A454" s="12" t="s">
        <v>185</v>
      </c>
      <c r="B454" s="12" t="s">
        <v>183</v>
      </c>
      <c r="C454" s="12" t="s">
        <v>154</v>
      </c>
      <c r="D454" s="12" t="s">
        <v>398</v>
      </c>
      <c r="E454" s="18">
        <v>0</v>
      </c>
      <c r="F454" s="12" t="s">
        <v>31</v>
      </c>
      <c r="G454" s="12" t="s">
        <v>184</v>
      </c>
      <c r="H454" s="12" t="s">
        <v>1048</v>
      </c>
      <c r="I454" s="12" t="s">
        <v>157</v>
      </c>
      <c r="J454" s="12" t="s">
        <v>1040</v>
      </c>
      <c r="K454" s="12" t="s">
        <v>535</v>
      </c>
    </row>
    <row r="455" spans="1:11" ht="30" customHeight="1">
      <c r="A455" s="12" t="s">
        <v>185</v>
      </c>
      <c r="B455" s="12" t="s">
        <v>183</v>
      </c>
      <c r="C455" s="12" t="s">
        <v>154</v>
      </c>
      <c r="D455" s="12" t="s">
        <v>399</v>
      </c>
      <c r="E455" s="18">
        <v>0</v>
      </c>
      <c r="F455" s="12" t="s">
        <v>31</v>
      </c>
      <c r="G455" s="12" t="s">
        <v>184</v>
      </c>
      <c r="H455" s="12" t="s">
        <v>1048</v>
      </c>
      <c r="I455" s="12" t="s">
        <v>157</v>
      </c>
      <c r="J455" s="12" t="s">
        <v>1041</v>
      </c>
      <c r="K455" s="12" t="s">
        <v>535</v>
      </c>
    </row>
    <row r="456" spans="1:11" ht="30" customHeight="1">
      <c r="A456" s="12" t="s">
        <v>185</v>
      </c>
      <c r="B456" s="12" t="s">
        <v>183</v>
      </c>
      <c r="C456" s="12" t="s">
        <v>154</v>
      </c>
      <c r="D456" s="12" t="s">
        <v>400</v>
      </c>
      <c r="E456" s="18">
        <v>1</v>
      </c>
      <c r="F456" s="12" t="s">
        <v>31</v>
      </c>
      <c r="G456" s="12" t="s">
        <v>184</v>
      </c>
      <c r="H456" s="12" t="s">
        <v>1048</v>
      </c>
      <c r="I456" s="12" t="s">
        <v>157</v>
      </c>
      <c r="J456" s="12" t="s">
        <v>1042</v>
      </c>
      <c r="K456" s="12" t="s">
        <v>535</v>
      </c>
    </row>
    <row r="457" spans="1:11" ht="30" customHeight="1">
      <c r="A457" s="12" t="s">
        <v>173</v>
      </c>
      <c r="B457" s="12" t="s">
        <v>171</v>
      </c>
      <c r="C457" s="12" t="s">
        <v>154</v>
      </c>
      <c r="D457" s="12" t="s">
        <v>391</v>
      </c>
      <c r="E457" s="18">
        <v>3</v>
      </c>
      <c r="F457" s="12" t="s">
        <v>31</v>
      </c>
      <c r="G457" s="12" t="s">
        <v>172</v>
      </c>
      <c r="H457" s="12" t="s">
        <v>1049</v>
      </c>
      <c r="I457" s="12" t="s">
        <v>157</v>
      </c>
      <c r="J457" s="12" t="s">
        <v>1033</v>
      </c>
      <c r="K457" s="12" t="s">
        <v>535</v>
      </c>
    </row>
    <row r="458" spans="1:11" ht="30" customHeight="1">
      <c r="A458" s="12" t="s">
        <v>173</v>
      </c>
      <c r="B458" s="12" t="s">
        <v>171</v>
      </c>
      <c r="C458" s="12" t="s">
        <v>154</v>
      </c>
      <c r="D458" s="12" t="s">
        <v>392</v>
      </c>
      <c r="E458" s="18">
        <v>2</v>
      </c>
      <c r="F458" s="12" t="s">
        <v>31</v>
      </c>
      <c r="G458" s="12" t="s">
        <v>172</v>
      </c>
      <c r="H458" s="12" t="s">
        <v>1049</v>
      </c>
      <c r="I458" s="12" t="s">
        <v>157</v>
      </c>
      <c r="J458" s="12" t="s">
        <v>1034</v>
      </c>
      <c r="K458" s="12" t="s">
        <v>535</v>
      </c>
    </row>
    <row r="459" spans="1:11" ht="30" customHeight="1">
      <c r="A459" s="12" t="s">
        <v>173</v>
      </c>
      <c r="B459" s="12" t="s">
        <v>171</v>
      </c>
      <c r="C459" s="12" t="s">
        <v>154</v>
      </c>
      <c r="D459" s="12" t="s">
        <v>393</v>
      </c>
      <c r="E459" s="18">
        <v>2</v>
      </c>
      <c r="F459" s="12" t="s">
        <v>31</v>
      </c>
      <c r="G459" s="12" t="s">
        <v>172</v>
      </c>
      <c r="H459" s="12" t="s">
        <v>1049</v>
      </c>
      <c r="I459" s="12" t="s">
        <v>157</v>
      </c>
      <c r="J459" s="12" t="s">
        <v>1035</v>
      </c>
      <c r="K459" s="12" t="s">
        <v>535</v>
      </c>
    </row>
    <row r="460" spans="1:11" ht="30" customHeight="1">
      <c r="A460" s="12" t="s">
        <v>173</v>
      </c>
      <c r="B460" s="12" t="s">
        <v>171</v>
      </c>
      <c r="C460" s="12" t="s">
        <v>154</v>
      </c>
      <c r="D460" s="12" t="s">
        <v>394</v>
      </c>
      <c r="E460" s="18">
        <v>2</v>
      </c>
      <c r="F460" s="12" t="s">
        <v>31</v>
      </c>
      <c r="G460" s="12" t="s">
        <v>172</v>
      </c>
      <c r="H460" s="12" t="s">
        <v>1049</v>
      </c>
      <c r="I460" s="12" t="s">
        <v>157</v>
      </c>
      <c r="J460" s="12" t="s">
        <v>1036</v>
      </c>
      <c r="K460" s="12" t="s">
        <v>535</v>
      </c>
    </row>
    <row r="461" spans="1:11" ht="30" customHeight="1">
      <c r="A461" s="12" t="s">
        <v>173</v>
      </c>
      <c r="B461" s="12" t="s">
        <v>171</v>
      </c>
      <c r="C461" s="12" t="s">
        <v>154</v>
      </c>
      <c r="D461" s="12" t="s">
        <v>395</v>
      </c>
      <c r="E461" s="18">
        <v>1</v>
      </c>
      <c r="F461" s="12" t="s">
        <v>31</v>
      </c>
      <c r="G461" s="12" t="s">
        <v>172</v>
      </c>
      <c r="H461" s="12" t="s">
        <v>1049</v>
      </c>
      <c r="I461" s="12" t="s">
        <v>157</v>
      </c>
      <c r="J461" s="12" t="s">
        <v>1037</v>
      </c>
      <c r="K461" s="12" t="s">
        <v>535</v>
      </c>
    </row>
    <row r="462" spans="1:11" ht="30" customHeight="1">
      <c r="A462" s="12" t="s">
        <v>173</v>
      </c>
      <c r="B462" s="12" t="s">
        <v>171</v>
      </c>
      <c r="C462" s="12" t="s">
        <v>154</v>
      </c>
      <c r="D462" s="12" t="s">
        <v>396</v>
      </c>
      <c r="E462" s="18">
        <v>1</v>
      </c>
      <c r="F462" s="12" t="s">
        <v>31</v>
      </c>
      <c r="G462" s="12" t="s">
        <v>172</v>
      </c>
      <c r="H462" s="12" t="s">
        <v>1049</v>
      </c>
      <c r="I462" s="12" t="s">
        <v>157</v>
      </c>
      <c r="J462" s="12" t="s">
        <v>1038</v>
      </c>
      <c r="K462" s="12" t="s">
        <v>535</v>
      </c>
    </row>
    <row r="463" spans="1:11" ht="30" customHeight="1">
      <c r="A463" s="12" t="s">
        <v>173</v>
      </c>
      <c r="B463" s="12" t="s">
        <v>171</v>
      </c>
      <c r="C463" s="12" t="s">
        <v>154</v>
      </c>
      <c r="D463" s="12" t="s">
        <v>397</v>
      </c>
      <c r="E463" s="18">
        <v>0</v>
      </c>
      <c r="F463" s="12" t="s">
        <v>31</v>
      </c>
      <c r="G463" s="12" t="s">
        <v>172</v>
      </c>
      <c r="H463" s="12" t="s">
        <v>1049</v>
      </c>
      <c r="I463" s="12" t="s">
        <v>157</v>
      </c>
      <c r="J463" s="12" t="s">
        <v>1039</v>
      </c>
      <c r="K463" s="12" t="s">
        <v>535</v>
      </c>
    </row>
    <row r="464" spans="1:11" ht="30" customHeight="1">
      <c r="A464" s="12" t="s">
        <v>173</v>
      </c>
      <c r="B464" s="12" t="s">
        <v>171</v>
      </c>
      <c r="C464" s="12" t="s">
        <v>154</v>
      </c>
      <c r="D464" s="12" t="s">
        <v>398</v>
      </c>
      <c r="E464" s="18">
        <v>1</v>
      </c>
      <c r="F464" s="12" t="s">
        <v>31</v>
      </c>
      <c r="G464" s="12" t="s">
        <v>172</v>
      </c>
      <c r="H464" s="12" t="s">
        <v>1049</v>
      </c>
      <c r="I464" s="12" t="s">
        <v>157</v>
      </c>
      <c r="J464" s="12" t="s">
        <v>1040</v>
      </c>
      <c r="K464" s="12" t="s">
        <v>535</v>
      </c>
    </row>
    <row r="465" spans="1:11" ht="30" customHeight="1">
      <c r="A465" s="12" t="s">
        <v>173</v>
      </c>
      <c r="B465" s="12" t="s">
        <v>171</v>
      </c>
      <c r="C465" s="12" t="s">
        <v>154</v>
      </c>
      <c r="D465" s="12" t="s">
        <v>399</v>
      </c>
      <c r="E465" s="18">
        <v>2</v>
      </c>
      <c r="F465" s="12" t="s">
        <v>31</v>
      </c>
      <c r="G465" s="12" t="s">
        <v>172</v>
      </c>
      <c r="H465" s="12" t="s">
        <v>1049</v>
      </c>
      <c r="I465" s="12" t="s">
        <v>157</v>
      </c>
      <c r="J465" s="12" t="s">
        <v>1041</v>
      </c>
      <c r="K465" s="12" t="s">
        <v>535</v>
      </c>
    </row>
    <row r="466" spans="1:11" ht="30" customHeight="1">
      <c r="A466" s="12" t="s">
        <v>173</v>
      </c>
      <c r="B466" s="12" t="s">
        <v>171</v>
      </c>
      <c r="C466" s="12" t="s">
        <v>154</v>
      </c>
      <c r="D466" s="12" t="s">
        <v>400</v>
      </c>
      <c r="E466" s="18">
        <v>2</v>
      </c>
      <c r="F466" s="12" t="s">
        <v>31</v>
      </c>
      <c r="G466" s="12" t="s">
        <v>172</v>
      </c>
      <c r="H466" s="12" t="s">
        <v>1049</v>
      </c>
      <c r="I466" s="12" t="s">
        <v>157</v>
      </c>
      <c r="J466" s="12" t="s">
        <v>1042</v>
      </c>
      <c r="K466" s="12" t="s">
        <v>535</v>
      </c>
    </row>
    <row r="467" spans="1:11" ht="30" customHeight="1">
      <c r="A467" s="12" t="s">
        <v>215</v>
      </c>
      <c r="B467" s="12" t="s">
        <v>214</v>
      </c>
      <c r="C467" s="12" t="s">
        <v>154</v>
      </c>
      <c r="D467" s="12" t="s">
        <v>391</v>
      </c>
      <c r="E467" s="18">
        <v>3</v>
      </c>
      <c r="F467" s="12" t="s">
        <v>31</v>
      </c>
      <c r="G467" s="12" t="s">
        <v>206</v>
      </c>
      <c r="H467" s="12" t="s">
        <v>1050</v>
      </c>
      <c r="I467" s="12" t="s">
        <v>157</v>
      </c>
      <c r="J467" s="12" t="s">
        <v>1033</v>
      </c>
      <c r="K467" s="12" t="s">
        <v>535</v>
      </c>
    </row>
    <row r="468" spans="1:11" ht="30" customHeight="1">
      <c r="A468" s="12" t="s">
        <v>215</v>
      </c>
      <c r="B468" s="12" t="s">
        <v>214</v>
      </c>
      <c r="C468" s="12" t="s">
        <v>154</v>
      </c>
      <c r="D468" s="12" t="s">
        <v>392</v>
      </c>
      <c r="E468" s="18">
        <v>2</v>
      </c>
      <c r="F468" s="12" t="s">
        <v>31</v>
      </c>
      <c r="G468" s="12" t="s">
        <v>206</v>
      </c>
      <c r="H468" s="12" t="s">
        <v>1050</v>
      </c>
      <c r="I468" s="12" t="s">
        <v>157</v>
      </c>
      <c r="J468" s="12" t="s">
        <v>1034</v>
      </c>
      <c r="K468" s="12" t="s">
        <v>535</v>
      </c>
    </row>
    <row r="469" spans="1:11" ht="30" customHeight="1">
      <c r="A469" s="12" t="s">
        <v>215</v>
      </c>
      <c r="B469" s="12" t="s">
        <v>214</v>
      </c>
      <c r="C469" s="12" t="s">
        <v>154</v>
      </c>
      <c r="D469" s="12" t="s">
        <v>393</v>
      </c>
      <c r="E469" s="18">
        <v>2</v>
      </c>
      <c r="F469" s="12" t="s">
        <v>31</v>
      </c>
      <c r="G469" s="12" t="s">
        <v>206</v>
      </c>
      <c r="H469" s="12" t="s">
        <v>1050</v>
      </c>
      <c r="I469" s="12" t="s">
        <v>157</v>
      </c>
      <c r="J469" s="12" t="s">
        <v>1035</v>
      </c>
      <c r="K469" s="12" t="s">
        <v>535</v>
      </c>
    </row>
    <row r="470" spans="1:11" ht="30" customHeight="1">
      <c r="A470" s="12" t="s">
        <v>215</v>
      </c>
      <c r="B470" s="12" t="s">
        <v>214</v>
      </c>
      <c r="C470" s="12" t="s">
        <v>154</v>
      </c>
      <c r="D470" s="12" t="s">
        <v>394</v>
      </c>
      <c r="E470" s="18">
        <v>2</v>
      </c>
      <c r="F470" s="12" t="s">
        <v>31</v>
      </c>
      <c r="G470" s="12" t="s">
        <v>206</v>
      </c>
      <c r="H470" s="12" t="s">
        <v>1050</v>
      </c>
      <c r="I470" s="12" t="s">
        <v>157</v>
      </c>
      <c r="J470" s="12" t="s">
        <v>1036</v>
      </c>
      <c r="K470" s="12" t="s">
        <v>535</v>
      </c>
    </row>
    <row r="471" spans="1:11" ht="30" customHeight="1">
      <c r="A471" s="12" t="s">
        <v>215</v>
      </c>
      <c r="B471" s="12" t="s">
        <v>214</v>
      </c>
      <c r="C471" s="12" t="s">
        <v>154</v>
      </c>
      <c r="D471" s="12" t="s">
        <v>395</v>
      </c>
      <c r="E471" s="18">
        <v>1</v>
      </c>
      <c r="F471" s="12" t="s">
        <v>31</v>
      </c>
      <c r="G471" s="12" t="s">
        <v>206</v>
      </c>
      <c r="H471" s="12" t="s">
        <v>1050</v>
      </c>
      <c r="I471" s="12" t="s">
        <v>157</v>
      </c>
      <c r="J471" s="12" t="s">
        <v>1037</v>
      </c>
      <c r="K471" s="12" t="s">
        <v>535</v>
      </c>
    </row>
    <row r="472" spans="1:11" ht="30" customHeight="1">
      <c r="A472" s="12" t="s">
        <v>215</v>
      </c>
      <c r="B472" s="12" t="s">
        <v>214</v>
      </c>
      <c r="C472" s="12" t="s">
        <v>154</v>
      </c>
      <c r="D472" s="12" t="s">
        <v>396</v>
      </c>
      <c r="E472" s="18">
        <v>1</v>
      </c>
      <c r="F472" s="12" t="s">
        <v>31</v>
      </c>
      <c r="G472" s="12" t="s">
        <v>206</v>
      </c>
      <c r="H472" s="12" t="s">
        <v>1050</v>
      </c>
      <c r="I472" s="12" t="s">
        <v>157</v>
      </c>
      <c r="J472" s="12" t="s">
        <v>1038</v>
      </c>
      <c r="K472" s="12" t="s">
        <v>535</v>
      </c>
    </row>
    <row r="473" spans="1:11" ht="30" customHeight="1">
      <c r="A473" s="12" t="s">
        <v>215</v>
      </c>
      <c r="B473" s="12" t="s">
        <v>214</v>
      </c>
      <c r="C473" s="12" t="s">
        <v>154</v>
      </c>
      <c r="D473" s="12" t="s">
        <v>397</v>
      </c>
      <c r="E473" s="18">
        <v>0</v>
      </c>
      <c r="F473" s="12" t="s">
        <v>31</v>
      </c>
      <c r="G473" s="12" t="s">
        <v>206</v>
      </c>
      <c r="H473" s="12" t="s">
        <v>1050</v>
      </c>
      <c r="I473" s="12" t="s">
        <v>157</v>
      </c>
      <c r="J473" s="12" t="s">
        <v>1039</v>
      </c>
      <c r="K473" s="12" t="s">
        <v>535</v>
      </c>
    </row>
    <row r="474" spans="1:11" ht="30" customHeight="1">
      <c r="A474" s="12" t="s">
        <v>215</v>
      </c>
      <c r="B474" s="12" t="s">
        <v>214</v>
      </c>
      <c r="C474" s="12" t="s">
        <v>154</v>
      </c>
      <c r="D474" s="12" t="s">
        <v>398</v>
      </c>
      <c r="E474" s="18">
        <v>1</v>
      </c>
      <c r="F474" s="12" t="s">
        <v>31</v>
      </c>
      <c r="G474" s="12" t="s">
        <v>206</v>
      </c>
      <c r="H474" s="12" t="s">
        <v>1050</v>
      </c>
      <c r="I474" s="12" t="s">
        <v>157</v>
      </c>
      <c r="J474" s="12" t="s">
        <v>1040</v>
      </c>
      <c r="K474" s="12" t="s">
        <v>535</v>
      </c>
    </row>
    <row r="475" spans="1:11" ht="30" customHeight="1">
      <c r="A475" s="12" t="s">
        <v>215</v>
      </c>
      <c r="B475" s="12" t="s">
        <v>214</v>
      </c>
      <c r="C475" s="12" t="s">
        <v>154</v>
      </c>
      <c r="D475" s="12" t="s">
        <v>399</v>
      </c>
      <c r="E475" s="18">
        <v>2</v>
      </c>
      <c r="F475" s="12" t="s">
        <v>31</v>
      </c>
      <c r="G475" s="12" t="s">
        <v>206</v>
      </c>
      <c r="H475" s="12" t="s">
        <v>1050</v>
      </c>
      <c r="I475" s="12" t="s">
        <v>157</v>
      </c>
      <c r="J475" s="12" t="s">
        <v>1041</v>
      </c>
      <c r="K475" s="12" t="s">
        <v>535</v>
      </c>
    </row>
    <row r="476" spans="1:11" ht="30" customHeight="1">
      <c r="A476" s="12" t="s">
        <v>215</v>
      </c>
      <c r="B476" s="12" t="s">
        <v>214</v>
      </c>
      <c r="C476" s="12" t="s">
        <v>154</v>
      </c>
      <c r="D476" s="12" t="s">
        <v>400</v>
      </c>
      <c r="E476" s="18">
        <v>2</v>
      </c>
      <c r="F476" s="12" t="s">
        <v>31</v>
      </c>
      <c r="G476" s="12" t="s">
        <v>206</v>
      </c>
      <c r="H476" s="12" t="s">
        <v>1050</v>
      </c>
      <c r="I476" s="12" t="s">
        <v>157</v>
      </c>
      <c r="J476" s="12" t="s">
        <v>1042</v>
      </c>
      <c r="K476" s="12" t="s">
        <v>535</v>
      </c>
    </row>
    <row r="477" spans="1:11" ht="30" customHeight="1">
      <c r="A477" s="12" t="s">
        <v>164</v>
      </c>
      <c r="B477" s="12" t="s">
        <v>162</v>
      </c>
      <c r="C477" s="12" t="s">
        <v>154</v>
      </c>
      <c r="D477" s="12" t="s">
        <v>391</v>
      </c>
      <c r="E477" s="18">
        <v>3</v>
      </c>
      <c r="F477" s="12" t="s">
        <v>50</v>
      </c>
      <c r="G477" s="12" t="s">
        <v>163</v>
      </c>
      <c r="H477" s="12" t="s">
        <v>1051</v>
      </c>
      <c r="I477" s="12" t="s">
        <v>157</v>
      </c>
      <c r="J477" s="12" t="s">
        <v>1033</v>
      </c>
      <c r="K477" s="12" t="s">
        <v>535</v>
      </c>
    </row>
    <row r="478" spans="1:11" ht="30" customHeight="1">
      <c r="A478" s="12" t="s">
        <v>164</v>
      </c>
      <c r="B478" s="12" t="s">
        <v>162</v>
      </c>
      <c r="C478" s="12" t="s">
        <v>154</v>
      </c>
      <c r="D478" s="12" t="s">
        <v>392</v>
      </c>
      <c r="E478" s="18">
        <v>3</v>
      </c>
      <c r="F478" s="12" t="s">
        <v>50</v>
      </c>
      <c r="G478" s="12" t="s">
        <v>163</v>
      </c>
      <c r="H478" s="12" t="s">
        <v>1051</v>
      </c>
      <c r="I478" s="12" t="s">
        <v>157</v>
      </c>
      <c r="J478" s="12" t="s">
        <v>1034</v>
      </c>
      <c r="K478" s="12" t="s">
        <v>535</v>
      </c>
    </row>
    <row r="479" spans="1:11" ht="30" customHeight="1">
      <c r="A479" s="12" t="s">
        <v>164</v>
      </c>
      <c r="B479" s="12" t="s">
        <v>162</v>
      </c>
      <c r="C479" s="12" t="s">
        <v>154</v>
      </c>
      <c r="D479" s="12" t="s">
        <v>393</v>
      </c>
      <c r="E479" s="18">
        <v>2</v>
      </c>
      <c r="F479" s="12" t="s">
        <v>50</v>
      </c>
      <c r="G479" s="12" t="s">
        <v>163</v>
      </c>
      <c r="H479" s="12" t="s">
        <v>1051</v>
      </c>
      <c r="I479" s="12" t="s">
        <v>157</v>
      </c>
      <c r="J479" s="12" t="s">
        <v>1035</v>
      </c>
      <c r="K479" s="12" t="s">
        <v>535</v>
      </c>
    </row>
    <row r="480" spans="1:11" ht="30" customHeight="1">
      <c r="A480" s="12" t="s">
        <v>164</v>
      </c>
      <c r="B480" s="12" t="s">
        <v>162</v>
      </c>
      <c r="C480" s="12" t="s">
        <v>154</v>
      </c>
      <c r="D480" s="12" t="s">
        <v>394</v>
      </c>
      <c r="E480" s="18">
        <v>2</v>
      </c>
      <c r="F480" s="12" t="s">
        <v>50</v>
      </c>
      <c r="G480" s="12" t="s">
        <v>163</v>
      </c>
      <c r="H480" s="12" t="s">
        <v>1051</v>
      </c>
      <c r="I480" s="12" t="s">
        <v>157</v>
      </c>
      <c r="J480" s="12" t="s">
        <v>1036</v>
      </c>
      <c r="K480" s="12" t="s">
        <v>535</v>
      </c>
    </row>
    <row r="481" spans="1:11" ht="30" customHeight="1">
      <c r="A481" s="12" t="s">
        <v>164</v>
      </c>
      <c r="B481" s="12" t="s">
        <v>162</v>
      </c>
      <c r="C481" s="12" t="s">
        <v>154</v>
      </c>
      <c r="D481" s="12" t="s">
        <v>395</v>
      </c>
      <c r="E481" s="18">
        <v>2</v>
      </c>
      <c r="F481" s="12" t="s">
        <v>50</v>
      </c>
      <c r="G481" s="12" t="s">
        <v>163</v>
      </c>
      <c r="H481" s="12" t="s">
        <v>1051</v>
      </c>
      <c r="I481" s="12" t="s">
        <v>157</v>
      </c>
      <c r="J481" s="12" t="s">
        <v>1037</v>
      </c>
      <c r="K481" s="12" t="s">
        <v>535</v>
      </c>
    </row>
    <row r="482" spans="1:11" ht="30" customHeight="1">
      <c r="A482" s="12" t="s">
        <v>164</v>
      </c>
      <c r="B482" s="12" t="s">
        <v>162</v>
      </c>
      <c r="C482" s="12" t="s">
        <v>154</v>
      </c>
      <c r="D482" s="12" t="s">
        <v>396</v>
      </c>
      <c r="E482" s="18">
        <v>2</v>
      </c>
      <c r="F482" s="12" t="s">
        <v>50</v>
      </c>
      <c r="G482" s="12" t="s">
        <v>163</v>
      </c>
      <c r="H482" s="12" t="s">
        <v>1051</v>
      </c>
      <c r="I482" s="12" t="s">
        <v>157</v>
      </c>
      <c r="J482" s="12" t="s">
        <v>1038</v>
      </c>
      <c r="K482" s="12" t="s">
        <v>535</v>
      </c>
    </row>
    <row r="483" spans="1:11" ht="30" customHeight="1">
      <c r="A483" s="12" t="s">
        <v>164</v>
      </c>
      <c r="B483" s="12" t="s">
        <v>162</v>
      </c>
      <c r="C483" s="12" t="s">
        <v>154</v>
      </c>
      <c r="D483" s="12" t="s">
        <v>397</v>
      </c>
      <c r="E483" s="18">
        <v>0</v>
      </c>
      <c r="F483" s="12" t="s">
        <v>50</v>
      </c>
      <c r="G483" s="12" t="s">
        <v>163</v>
      </c>
      <c r="H483" s="12" t="s">
        <v>1051</v>
      </c>
      <c r="I483" s="12" t="s">
        <v>157</v>
      </c>
      <c r="J483" s="12" t="s">
        <v>1039</v>
      </c>
      <c r="K483" s="12" t="s">
        <v>535</v>
      </c>
    </row>
    <row r="484" spans="1:11" ht="30" customHeight="1">
      <c r="A484" s="12" t="s">
        <v>164</v>
      </c>
      <c r="B484" s="12" t="s">
        <v>162</v>
      </c>
      <c r="C484" s="12" t="s">
        <v>154</v>
      </c>
      <c r="D484" s="12" t="s">
        <v>398</v>
      </c>
      <c r="E484" s="18">
        <v>2</v>
      </c>
      <c r="F484" s="12" t="s">
        <v>50</v>
      </c>
      <c r="G484" s="12" t="s">
        <v>163</v>
      </c>
      <c r="H484" s="12" t="s">
        <v>1051</v>
      </c>
      <c r="I484" s="12" t="s">
        <v>157</v>
      </c>
      <c r="J484" s="12" t="s">
        <v>1040</v>
      </c>
      <c r="K484" s="12" t="s">
        <v>535</v>
      </c>
    </row>
    <row r="485" spans="1:11" ht="30" customHeight="1">
      <c r="A485" s="12" t="s">
        <v>164</v>
      </c>
      <c r="B485" s="12" t="s">
        <v>162</v>
      </c>
      <c r="C485" s="12" t="s">
        <v>154</v>
      </c>
      <c r="D485" s="12" t="s">
        <v>399</v>
      </c>
      <c r="E485" s="18">
        <v>3</v>
      </c>
      <c r="F485" s="12" t="s">
        <v>50</v>
      </c>
      <c r="G485" s="12" t="s">
        <v>163</v>
      </c>
      <c r="H485" s="12" t="s">
        <v>1051</v>
      </c>
      <c r="I485" s="12" t="s">
        <v>157</v>
      </c>
      <c r="J485" s="12" t="s">
        <v>1041</v>
      </c>
      <c r="K485" s="12" t="s">
        <v>535</v>
      </c>
    </row>
    <row r="486" spans="1:11" ht="30" customHeight="1">
      <c r="A486" s="12" t="s">
        <v>164</v>
      </c>
      <c r="B486" s="12" t="s">
        <v>162</v>
      </c>
      <c r="C486" s="12" t="s">
        <v>154</v>
      </c>
      <c r="D486" s="12" t="s">
        <v>400</v>
      </c>
      <c r="E486" s="18">
        <v>2</v>
      </c>
      <c r="F486" s="12" t="s">
        <v>50</v>
      </c>
      <c r="G486" s="12" t="s">
        <v>163</v>
      </c>
      <c r="H486" s="12" t="s">
        <v>1051</v>
      </c>
      <c r="I486" s="12" t="s">
        <v>157</v>
      </c>
      <c r="J486" s="12" t="s">
        <v>1042</v>
      </c>
      <c r="K486" s="12" t="s">
        <v>535</v>
      </c>
    </row>
    <row r="487" spans="1:11" ht="30" customHeight="1">
      <c r="A487" s="12" t="s">
        <v>132</v>
      </c>
      <c r="B487" s="12" t="s">
        <v>130</v>
      </c>
      <c r="C487" s="12" t="s">
        <v>109</v>
      </c>
      <c r="D487" s="12" t="s">
        <v>391</v>
      </c>
      <c r="E487" s="18">
        <v>3</v>
      </c>
      <c r="F487" s="12" t="s">
        <v>31</v>
      </c>
      <c r="G487" s="12" t="s">
        <v>110</v>
      </c>
      <c r="H487" s="13"/>
      <c r="I487" s="13"/>
      <c r="J487" s="12" t="s">
        <v>1052</v>
      </c>
      <c r="K487" s="12" t="s">
        <v>535</v>
      </c>
    </row>
    <row r="488" spans="1:11" ht="30" customHeight="1">
      <c r="A488" s="12" t="s">
        <v>132</v>
      </c>
      <c r="B488" s="12" t="s">
        <v>130</v>
      </c>
      <c r="C488" s="12" t="s">
        <v>109</v>
      </c>
      <c r="D488" s="12" t="s">
        <v>392</v>
      </c>
      <c r="E488" s="18">
        <v>3</v>
      </c>
      <c r="F488" s="12" t="s">
        <v>31</v>
      </c>
      <c r="G488" s="12" t="s">
        <v>110</v>
      </c>
      <c r="H488" s="13"/>
      <c r="I488" s="13"/>
      <c r="J488" s="12" t="s">
        <v>1052</v>
      </c>
      <c r="K488" s="12" t="s">
        <v>535</v>
      </c>
    </row>
    <row r="489" spans="1:11" ht="30" customHeight="1">
      <c r="A489" s="12" t="s">
        <v>132</v>
      </c>
      <c r="B489" s="12" t="s">
        <v>130</v>
      </c>
      <c r="C489" s="12" t="s">
        <v>109</v>
      </c>
      <c r="D489" s="12" t="s">
        <v>393</v>
      </c>
      <c r="E489" s="18">
        <v>3</v>
      </c>
      <c r="F489" s="12" t="s">
        <v>31</v>
      </c>
      <c r="G489" s="12" t="s">
        <v>110</v>
      </c>
      <c r="H489" s="13"/>
      <c r="I489" s="13"/>
      <c r="J489" s="12" t="s">
        <v>1052</v>
      </c>
      <c r="K489" s="12" t="s">
        <v>535</v>
      </c>
    </row>
    <row r="490" spans="1:11" ht="30" customHeight="1">
      <c r="A490" s="12" t="s">
        <v>132</v>
      </c>
      <c r="B490" s="12" t="s">
        <v>130</v>
      </c>
      <c r="C490" s="12" t="s">
        <v>109</v>
      </c>
      <c r="D490" s="12" t="s">
        <v>394</v>
      </c>
      <c r="E490" s="18">
        <v>3</v>
      </c>
      <c r="F490" s="12" t="s">
        <v>31</v>
      </c>
      <c r="G490" s="12" t="s">
        <v>110</v>
      </c>
      <c r="H490" s="13"/>
      <c r="I490" s="13"/>
      <c r="J490" s="12" t="s">
        <v>1052</v>
      </c>
      <c r="K490" s="12" t="s">
        <v>535</v>
      </c>
    </row>
    <row r="491" spans="1:11" ht="30" customHeight="1">
      <c r="A491" s="12" t="s">
        <v>132</v>
      </c>
      <c r="B491" s="12" t="s">
        <v>130</v>
      </c>
      <c r="C491" s="12" t="s">
        <v>109</v>
      </c>
      <c r="D491" s="12" t="s">
        <v>395</v>
      </c>
      <c r="E491" s="18">
        <v>3</v>
      </c>
      <c r="F491" s="12" t="s">
        <v>31</v>
      </c>
      <c r="G491" s="12" t="s">
        <v>110</v>
      </c>
      <c r="H491" s="13"/>
      <c r="I491" s="13"/>
      <c r="J491" s="12" t="s">
        <v>1052</v>
      </c>
      <c r="K491" s="12" t="s">
        <v>535</v>
      </c>
    </row>
    <row r="492" spans="1:11" ht="30" customHeight="1">
      <c r="A492" s="12" t="s">
        <v>132</v>
      </c>
      <c r="B492" s="12" t="s">
        <v>130</v>
      </c>
      <c r="C492" s="12" t="s">
        <v>109</v>
      </c>
      <c r="D492" s="12" t="s">
        <v>396</v>
      </c>
      <c r="E492" s="18">
        <v>3</v>
      </c>
      <c r="F492" s="12" t="s">
        <v>31</v>
      </c>
      <c r="G492" s="12" t="s">
        <v>110</v>
      </c>
      <c r="H492" s="13"/>
      <c r="I492" s="13"/>
      <c r="J492" s="12" t="s">
        <v>1052</v>
      </c>
      <c r="K492" s="12" t="s">
        <v>535</v>
      </c>
    </row>
    <row r="493" spans="1:11" ht="30" customHeight="1">
      <c r="A493" s="12" t="s">
        <v>132</v>
      </c>
      <c r="B493" s="12" t="s">
        <v>130</v>
      </c>
      <c r="C493" s="12" t="s">
        <v>109</v>
      </c>
      <c r="D493" s="12" t="s">
        <v>397</v>
      </c>
      <c r="E493" s="18">
        <v>3</v>
      </c>
      <c r="F493" s="12" t="s">
        <v>31</v>
      </c>
      <c r="G493" s="12" t="s">
        <v>110</v>
      </c>
      <c r="H493" s="13"/>
      <c r="I493" s="13"/>
      <c r="J493" s="12" t="s">
        <v>1052</v>
      </c>
      <c r="K493" s="12" t="s">
        <v>535</v>
      </c>
    </row>
    <row r="494" spans="1:11" ht="30" customHeight="1">
      <c r="A494" s="12" t="s">
        <v>132</v>
      </c>
      <c r="B494" s="12" t="s">
        <v>130</v>
      </c>
      <c r="C494" s="12" t="s">
        <v>109</v>
      </c>
      <c r="D494" s="12" t="s">
        <v>398</v>
      </c>
      <c r="E494" s="18">
        <v>3</v>
      </c>
      <c r="F494" s="12" t="s">
        <v>31</v>
      </c>
      <c r="G494" s="12" t="s">
        <v>110</v>
      </c>
      <c r="H494" s="13"/>
      <c r="I494" s="13"/>
      <c r="J494" s="12" t="s">
        <v>1052</v>
      </c>
      <c r="K494" s="12" t="s">
        <v>535</v>
      </c>
    </row>
    <row r="495" spans="1:11" ht="30" customHeight="1">
      <c r="A495" s="12" t="s">
        <v>132</v>
      </c>
      <c r="B495" s="12" t="s">
        <v>130</v>
      </c>
      <c r="C495" s="12" t="s">
        <v>109</v>
      </c>
      <c r="D495" s="12" t="s">
        <v>399</v>
      </c>
      <c r="E495" s="18">
        <v>3</v>
      </c>
      <c r="F495" s="12" t="s">
        <v>31</v>
      </c>
      <c r="G495" s="12" t="s">
        <v>110</v>
      </c>
      <c r="H495" s="13"/>
      <c r="I495" s="13"/>
      <c r="J495" s="12" t="s">
        <v>1052</v>
      </c>
      <c r="K495" s="12" t="s">
        <v>535</v>
      </c>
    </row>
    <row r="496" spans="1:11" ht="30" customHeight="1">
      <c r="A496" s="12" t="s">
        <v>132</v>
      </c>
      <c r="B496" s="12" t="s">
        <v>130</v>
      </c>
      <c r="C496" s="12" t="s">
        <v>109</v>
      </c>
      <c r="D496" s="12" t="s">
        <v>400</v>
      </c>
      <c r="E496" s="18">
        <v>3</v>
      </c>
      <c r="F496" s="12" t="s">
        <v>31</v>
      </c>
      <c r="G496" s="12" t="s">
        <v>110</v>
      </c>
      <c r="H496" s="13"/>
      <c r="I496" s="13"/>
      <c r="J496" s="12" t="s">
        <v>1052</v>
      </c>
      <c r="K496" s="12" t="s">
        <v>535</v>
      </c>
    </row>
    <row r="497" spans="1:11" ht="30" customHeight="1">
      <c r="A497" s="12" t="s">
        <v>151</v>
      </c>
      <c r="B497" s="12" t="s">
        <v>148</v>
      </c>
      <c r="C497" s="12" t="s">
        <v>109</v>
      </c>
      <c r="D497" s="12" t="s">
        <v>391</v>
      </c>
      <c r="E497" s="18">
        <v>3</v>
      </c>
      <c r="F497" s="12" t="s">
        <v>31</v>
      </c>
      <c r="G497" s="12" t="s">
        <v>110</v>
      </c>
      <c r="H497" s="13"/>
      <c r="I497" s="12" t="s">
        <v>150</v>
      </c>
      <c r="J497" s="12" t="s">
        <v>1052</v>
      </c>
      <c r="K497" s="12" t="s">
        <v>535</v>
      </c>
    </row>
    <row r="498" spans="1:11" ht="30" customHeight="1">
      <c r="A498" s="12" t="s">
        <v>151</v>
      </c>
      <c r="B498" s="12" t="s">
        <v>148</v>
      </c>
      <c r="C498" s="12" t="s">
        <v>109</v>
      </c>
      <c r="D498" s="12" t="s">
        <v>392</v>
      </c>
      <c r="E498" s="18">
        <v>3</v>
      </c>
      <c r="F498" s="12" t="s">
        <v>31</v>
      </c>
      <c r="G498" s="12" t="s">
        <v>110</v>
      </c>
      <c r="H498" s="13"/>
      <c r="I498" s="12" t="s">
        <v>150</v>
      </c>
      <c r="J498" s="12" t="s">
        <v>1052</v>
      </c>
      <c r="K498" s="12" t="s">
        <v>535</v>
      </c>
    </row>
    <row r="499" spans="1:11" ht="30" customHeight="1">
      <c r="A499" s="12" t="s">
        <v>151</v>
      </c>
      <c r="B499" s="12" t="s">
        <v>148</v>
      </c>
      <c r="C499" s="12" t="s">
        <v>109</v>
      </c>
      <c r="D499" s="12" t="s">
        <v>393</v>
      </c>
      <c r="E499" s="18">
        <v>3</v>
      </c>
      <c r="F499" s="12" t="s">
        <v>31</v>
      </c>
      <c r="G499" s="12" t="s">
        <v>110</v>
      </c>
      <c r="H499" s="13"/>
      <c r="I499" s="12" t="s">
        <v>150</v>
      </c>
      <c r="J499" s="12" t="s">
        <v>1052</v>
      </c>
      <c r="K499" s="12" t="s">
        <v>535</v>
      </c>
    </row>
    <row r="500" spans="1:11" ht="30" customHeight="1">
      <c r="A500" s="12" t="s">
        <v>151</v>
      </c>
      <c r="B500" s="12" t="s">
        <v>148</v>
      </c>
      <c r="C500" s="12" t="s">
        <v>109</v>
      </c>
      <c r="D500" s="12" t="s">
        <v>394</v>
      </c>
      <c r="E500" s="18">
        <v>3</v>
      </c>
      <c r="F500" s="12" t="s">
        <v>31</v>
      </c>
      <c r="G500" s="12" t="s">
        <v>110</v>
      </c>
      <c r="H500" s="13"/>
      <c r="I500" s="12" t="s">
        <v>150</v>
      </c>
      <c r="J500" s="12" t="s">
        <v>1052</v>
      </c>
      <c r="K500" s="12" t="s">
        <v>535</v>
      </c>
    </row>
    <row r="501" spans="1:11" ht="30" customHeight="1">
      <c r="A501" s="12" t="s">
        <v>151</v>
      </c>
      <c r="B501" s="12" t="s">
        <v>148</v>
      </c>
      <c r="C501" s="12" t="s">
        <v>109</v>
      </c>
      <c r="D501" s="12" t="s">
        <v>395</v>
      </c>
      <c r="E501" s="18">
        <v>3</v>
      </c>
      <c r="F501" s="12" t="s">
        <v>31</v>
      </c>
      <c r="G501" s="12" t="s">
        <v>110</v>
      </c>
      <c r="H501" s="13"/>
      <c r="I501" s="12" t="s">
        <v>150</v>
      </c>
      <c r="J501" s="12" t="s">
        <v>1052</v>
      </c>
      <c r="K501" s="12" t="s">
        <v>535</v>
      </c>
    </row>
    <row r="502" spans="1:11" ht="30" customHeight="1">
      <c r="A502" s="12" t="s">
        <v>151</v>
      </c>
      <c r="B502" s="12" t="s">
        <v>148</v>
      </c>
      <c r="C502" s="12" t="s">
        <v>109</v>
      </c>
      <c r="D502" s="12" t="s">
        <v>396</v>
      </c>
      <c r="E502" s="18">
        <v>3</v>
      </c>
      <c r="F502" s="12" t="s">
        <v>31</v>
      </c>
      <c r="G502" s="12" t="s">
        <v>110</v>
      </c>
      <c r="H502" s="13"/>
      <c r="I502" s="12" t="s">
        <v>150</v>
      </c>
      <c r="J502" s="12" t="s">
        <v>1052</v>
      </c>
      <c r="K502" s="12" t="s">
        <v>535</v>
      </c>
    </row>
    <row r="503" spans="1:11" ht="30" customHeight="1">
      <c r="A503" s="12" t="s">
        <v>151</v>
      </c>
      <c r="B503" s="12" t="s">
        <v>148</v>
      </c>
      <c r="C503" s="12" t="s">
        <v>109</v>
      </c>
      <c r="D503" s="12" t="s">
        <v>397</v>
      </c>
      <c r="E503" s="18">
        <v>3</v>
      </c>
      <c r="F503" s="12" t="s">
        <v>31</v>
      </c>
      <c r="G503" s="12" t="s">
        <v>110</v>
      </c>
      <c r="H503" s="13"/>
      <c r="I503" s="12" t="s">
        <v>150</v>
      </c>
      <c r="J503" s="12" t="s">
        <v>1052</v>
      </c>
      <c r="K503" s="12" t="s">
        <v>535</v>
      </c>
    </row>
    <row r="504" spans="1:11" ht="30" customHeight="1">
      <c r="A504" s="12" t="s">
        <v>151</v>
      </c>
      <c r="B504" s="12" t="s">
        <v>148</v>
      </c>
      <c r="C504" s="12" t="s">
        <v>109</v>
      </c>
      <c r="D504" s="12" t="s">
        <v>398</v>
      </c>
      <c r="E504" s="18">
        <v>3</v>
      </c>
      <c r="F504" s="12" t="s">
        <v>31</v>
      </c>
      <c r="G504" s="12" t="s">
        <v>110</v>
      </c>
      <c r="H504" s="13"/>
      <c r="I504" s="12" t="s">
        <v>150</v>
      </c>
      <c r="J504" s="12" t="s">
        <v>1052</v>
      </c>
      <c r="K504" s="12" t="s">
        <v>535</v>
      </c>
    </row>
    <row r="505" spans="1:11" ht="30" customHeight="1">
      <c r="A505" s="12" t="s">
        <v>151</v>
      </c>
      <c r="B505" s="12" t="s">
        <v>148</v>
      </c>
      <c r="C505" s="12" t="s">
        <v>109</v>
      </c>
      <c r="D505" s="12" t="s">
        <v>399</v>
      </c>
      <c r="E505" s="18">
        <v>3</v>
      </c>
      <c r="F505" s="12" t="s">
        <v>31</v>
      </c>
      <c r="G505" s="12" t="s">
        <v>110</v>
      </c>
      <c r="H505" s="13"/>
      <c r="I505" s="12" t="s">
        <v>150</v>
      </c>
      <c r="J505" s="12" t="s">
        <v>1052</v>
      </c>
      <c r="K505" s="12" t="s">
        <v>535</v>
      </c>
    </row>
    <row r="506" spans="1:11" ht="30" customHeight="1">
      <c r="A506" s="12" t="s">
        <v>151</v>
      </c>
      <c r="B506" s="12" t="s">
        <v>148</v>
      </c>
      <c r="C506" s="12" t="s">
        <v>109</v>
      </c>
      <c r="D506" s="12" t="s">
        <v>400</v>
      </c>
      <c r="E506" s="18">
        <v>3</v>
      </c>
      <c r="F506" s="12" t="s">
        <v>31</v>
      </c>
      <c r="G506" s="12" t="s">
        <v>110</v>
      </c>
      <c r="H506" s="13"/>
      <c r="I506" s="12" t="s">
        <v>150</v>
      </c>
      <c r="J506" s="12" t="s">
        <v>1052</v>
      </c>
      <c r="K506" s="12" t="s">
        <v>535</v>
      </c>
    </row>
    <row r="507" spans="1:11" ht="30" customHeight="1">
      <c r="A507" s="12" t="s">
        <v>142</v>
      </c>
      <c r="B507" s="12" t="s">
        <v>140</v>
      </c>
      <c r="C507" s="12" t="s">
        <v>109</v>
      </c>
      <c r="D507" s="12" t="s">
        <v>391</v>
      </c>
      <c r="E507" s="18">
        <v>3</v>
      </c>
      <c r="F507" s="12" t="s">
        <v>31</v>
      </c>
      <c r="G507" s="12" t="s">
        <v>110</v>
      </c>
      <c r="H507" s="13"/>
      <c r="I507" s="13"/>
      <c r="J507" s="12" t="s">
        <v>1052</v>
      </c>
      <c r="K507" s="12" t="s">
        <v>535</v>
      </c>
    </row>
    <row r="508" spans="1:11" ht="30" customHeight="1">
      <c r="A508" s="12" t="s">
        <v>142</v>
      </c>
      <c r="B508" s="12" t="s">
        <v>140</v>
      </c>
      <c r="C508" s="12" t="s">
        <v>109</v>
      </c>
      <c r="D508" s="12" t="s">
        <v>392</v>
      </c>
      <c r="E508" s="18">
        <v>3</v>
      </c>
      <c r="F508" s="12" t="s">
        <v>31</v>
      </c>
      <c r="G508" s="12" t="s">
        <v>110</v>
      </c>
      <c r="H508" s="13"/>
      <c r="I508" s="13"/>
      <c r="J508" s="12" t="s">
        <v>1052</v>
      </c>
      <c r="K508" s="12" t="s">
        <v>535</v>
      </c>
    </row>
    <row r="509" spans="1:11" ht="30" customHeight="1">
      <c r="A509" s="12" t="s">
        <v>142</v>
      </c>
      <c r="B509" s="12" t="s">
        <v>140</v>
      </c>
      <c r="C509" s="12" t="s">
        <v>109</v>
      </c>
      <c r="D509" s="12" t="s">
        <v>393</v>
      </c>
      <c r="E509" s="18">
        <v>3</v>
      </c>
      <c r="F509" s="12" t="s">
        <v>31</v>
      </c>
      <c r="G509" s="12" t="s">
        <v>110</v>
      </c>
      <c r="H509" s="13"/>
      <c r="I509" s="13"/>
      <c r="J509" s="12" t="s">
        <v>1052</v>
      </c>
      <c r="K509" s="12" t="s">
        <v>535</v>
      </c>
    </row>
    <row r="510" spans="1:11" ht="30" customHeight="1">
      <c r="A510" s="12" t="s">
        <v>142</v>
      </c>
      <c r="B510" s="12" t="s">
        <v>140</v>
      </c>
      <c r="C510" s="12" t="s">
        <v>109</v>
      </c>
      <c r="D510" s="12" t="s">
        <v>394</v>
      </c>
      <c r="E510" s="18">
        <v>3</v>
      </c>
      <c r="F510" s="12" t="s">
        <v>31</v>
      </c>
      <c r="G510" s="12" t="s">
        <v>110</v>
      </c>
      <c r="H510" s="13"/>
      <c r="I510" s="13"/>
      <c r="J510" s="12" t="s">
        <v>1052</v>
      </c>
      <c r="K510" s="12" t="s">
        <v>535</v>
      </c>
    </row>
    <row r="511" spans="1:11" ht="30" customHeight="1">
      <c r="A511" s="12" t="s">
        <v>142</v>
      </c>
      <c r="B511" s="12" t="s">
        <v>140</v>
      </c>
      <c r="C511" s="12" t="s">
        <v>109</v>
      </c>
      <c r="D511" s="12" t="s">
        <v>395</v>
      </c>
      <c r="E511" s="18">
        <v>3</v>
      </c>
      <c r="F511" s="12" t="s">
        <v>31</v>
      </c>
      <c r="G511" s="12" t="s">
        <v>110</v>
      </c>
      <c r="H511" s="13"/>
      <c r="I511" s="13"/>
      <c r="J511" s="12" t="s">
        <v>1052</v>
      </c>
      <c r="K511" s="12" t="s">
        <v>535</v>
      </c>
    </row>
    <row r="512" spans="1:11" ht="30" customHeight="1">
      <c r="A512" s="12" t="s">
        <v>142</v>
      </c>
      <c r="B512" s="12" t="s">
        <v>140</v>
      </c>
      <c r="C512" s="12" t="s">
        <v>109</v>
      </c>
      <c r="D512" s="12" t="s">
        <v>396</v>
      </c>
      <c r="E512" s="18">
        <v>3</v>
      </c>
      <c r="F512" s="12" t="s">
        <v>31</v>
      </c>
      <c r="G512" s="12" t="s">
        <v>110</v>
      </c>
      <c r="H512" s="13"/>
      <c r="I512" s="13"/>
      <c r="J512" s="12" t="s">
        <v>1052</v>
      </c>
      <c r="K512" s="12" t="s">
        <v>535</v>
      </c>
    </row>
    <row r="513" spans="1:11" ht="30" customHeight="1">
      <c r="A513" s="12" t="s">
        <v>142</v>
      </c>
      <c r="B513" s="12" t="s">
        <v>140</v>
      </c>
      <c r="C513" s="12" t="s">
        <v>109</v>
      </c>
      <c r="D513" s="12" t="s">
        <v>397</v>
      </c>
      <c r="E513" s="18">
        <v>3</v>
      </c>
      <c r="F513" s="12" t="s">
        <v>31</v>
      </c>
      <c r="G513" s="12" t="s">
        <v>110</v>
      </c>
      <c r="H513" s="13"/>
      <c r="I513" s="13"/>
      <c r="J513" s="12" t="s">
        <v>1052</v>
      </c>
      <c r="K513" s="12" t="s">
        <v>535</v>
      </c>
    </row>
    <row r="514" spans="1:11" ht="30" customHeight="1">
      <c r="A514" s="12" t="s">
        <v>142</v>
      </c>
      <c r="B514" s="12" t="s">
        <v>140</v>
      </c>
      <c r="C514" s="12" t="s">
        <v>109</v>
      </c>
      <c r="D514" s="12" t="s">
        <v>398</v>
      </c>
      <c r="E514" s="18">
        <v>3</v>
      </c>
      <c r="F514" s="12" t="s">
        <v>31</v>
      </c>
      <c r="G514" s="12" t="s">
        <v>110</v>
      </c>
      <c r="H514" s="13"/>
      <c r="I514" s="13"/>
      <c r="J514" s="12" t="s">
        <v>1052</v>
      </c>
      <c r="K514" s="12" t="s">
        <v>535</v>
      </c>
    </row>
    <row r="515" spans="1:11" ht="30" customHeight="1">
      <c r="A515" s="12" t="s">
        <v>142</v>
      </c>
      <c r="B515" s="12" t="s">
        <v>140</v>
      </c>
      <c r="C515" s="12" t="s">
        <v>109</v>
      </c>
      <c r="D515" s="12" t="s">
        <v>399</v>
      </c>
      <c r="E515" s="18">
        <v>3</v>
      </c>
      <c r="F515" s="12" t="s">
        <v>31</v>
      </c>
      <c r="G515" s="12" t="s">
        <v>110</v>
      </c>
      <c r="H515" s="13"/>
      <c r="I515" s="13"/>
      <c r="J515" s="12" t="s">
        <v>1052</v>
      </c>
      <c r="K515" s="12" t="s">
        <v>535</v>
      </c>
    </row>
    <row r="516" spans="1:11" ht="30" customHeight="1">
      <c r="A516" s="12" t="s">
        <v>142</v>
      </c>
      <c r="B516" s="12" t="s">
        <v>140</v>
      </c>
      <c r="C516" s="12" t="s">
        <v>109</v>
      </c>
      <c r="D516" s="12" t="s">
        <v>400</v>
      </c>
      <c r="E516" s="18">
        <v>3</v>
      </c>
      <c r="F516" s="12" t="s">
        <v>31</v>
      </c>
      <c r="G516" s="12" t="s">
        <v>110</v>
      </c>
      <c r="H516" s="13"/>
      <c r="I516" s="13"/>
      <c r="J516" s="12" t="s">
        <v>1052</v>
      </c>
      <c r="K516" s="12" t="s">
        <v>535</v>
      </c>
    </row>
    <row r="517" spans="1:11" ht="30" customHeight="1">
      <c r="A517" s="12" t="s">
        <v>122</v>
      </c>
      <c r="B517" s="12" t="s">
        <v>118</v>
      </c>
      <c r="C517" s="12" t="s">
        <v>109</v>
      </c>
      <c r="D517" s="12" t="s">
        <v>391</v>
      </c>
      <c r="E517" s="18">
        <v>3</v>
      </c>
      <c r="F517" s="12" t="s">
        <v>31</v>
      </c>
      <c r="G517" s="12" t="s">
        <v>110</v>
      </c>
      <c r="H517" s="13"/>
      <c r="I517" s="13"/>
      <c r="J517" s="12" t="s">
        <v>1052</v>
      </c>
      <c r="K517" s="12" t="s">
        <v>535</v>
      </c>
    </row>
    <row r="518" spans="1:11" ht="30" customHeight="1">
      <c r="A518" s="12" t="s">
        <v>122</v>
      </c>
      <c r="B518" s="12" t="s">
        <v>118</v>
      </c>
      <c r="C518" s="12" t="s">
        <v>109</v>
      </c>
      <c r="D518" s="12" t="s">
        <v>392</v>
      </c>
      <c r="E518" s="18">
        <v>0</v>
      </c>
      <c r="F518" s="12" t="s">
        <v>31</v>
      </c>
      <c r="G518" s="12" t="s">
        <v>110</v>
      </c>
      <c r="H518" s="13"/>
      <c r="I518" s="13"/>
      <c r="J518" s="12" t="s">
        <v>1052</v>
      </c>
      <c r="K518" s="12" t="s">
        <v>535</v>
      </c>
    </row>
    <row r="519" spans="1:11" ht="30" customHeight="1">
      <c r="A519" s="12" t="s">
        <v>122</v>
      </c>
      <c r="B519" s="12" t="s">
        <v>118</v>
      </c>
      <c r="C519" s="12" t="s">
        <v>109</v>
      </c>
      <c r="D519" s="12" t="s">
        <v>393</v>
      </c>
      <c r="E519" s="18">
        <v>0</v>
      </c>
      <c r="F519" s="12" t="s">
        <v>31</v>
      </c>
      <c r="G519" s="12" t="s">
        <v>110</v>
      </c>
      <c r="H519" s="13"/>
      <c r="I519" s="13"/>
      <c r="J519" s="12" t="s">
        <v>1052</v>
      </c>
      <c r="K519" s="12" t="s">
        <v>535</v>
      </c>
    </row>
    <row r="520" spans="1:11" ht="30" customHeight="1">
      <c r="A520" s="12" t="s">
        <v>122</v>
      </c>
      <c r="B520" s="12" t="s">
        <v>118</v>
      </c>
      <c r="C520" s="12" t="s">
        <v>109</v>
      </c>
      <c r="D520" s="12" t="s">
        <v>394</v>
      </c>
      <c r="E520" s="18">
        <v>2</v>
      </c>
      <c r="F520" s="12" t="s">
        <v>31</v>
      </c>
      <c r="G520" s="12" t="s">
        <v>110</v>
      </c>
      <c r="H520" s="13"/>
      <c r="I520" s="13"/>
      <c r="J520" s="12" t="s">
        <v>1052</v>
      </c>
      <c r="K520" s="12" t="s">
        <v>535</v>
      </c>
    </row>
    <row r="521" spans="1:11" ht="30" customHeight="1">
      <c r="A521" s="12" t="s">
        <v>122</v>
      </c>
      <c r="B521" s="12" t="s">
        <v>118</v>
      </c>
      <c r="C521" s="12" t="s">
        <v>109</v>
      </c>
      <c r="D521" s="12" t="s">
        <v>395</v>
      </c>
      <c r="E521" s="18">
        <v>2</v>
      </c>
      <c r="F521" s="12" t="s">
        <v>31</v>
      </c>
      <c r="G521" s="12" t="s">
        <v>110</v>
      </c>
      <c r="H521" s="13"/>
      <c r="I521" s="13"/>
      <c r="J521" s="12" t="s">
        <v>1052</v>
      </c>
      <c r="K521" s="12" t="s">
        <v>535</v>
      </c>
    </row>
    <row r="522" spans="1:11" ht="30" customHeight="1">
      <c r="A522" s="12" t="s">
        <v>122</v>
      </c>
      <c r="B522" s="12" t="s">
        <v>118</v>
      </c>
      <c r="C522" s="12" t="s">
        <v>109</v>
      </c>
      <c r="D522" s="12" t="s">
        <v>396</v>
      </c>
      <c r="E522" s="18">
        <v>1</v>
      </c>
      <c r="F522" s="12" t="s">
        <v>31</v>
      </c>
      <c r="G522" s="12" t="s">
        <v>110</v>
      </c>
      <c r="H522" s="13"/>
      <c r="I522" s="13"/>
      <c r="J522" s="12" t="s">
        <v>1052</v>
      </c>
      <c r="K522" s="12" t="s">
        <v>535</v>
      </c>
    </row>
    <row r="523" spans="1:11" ht="30" customHeight="1">
      <c r="A523" s="12" t="s">
        <v>122</v>
      </c>
      <c r="B523" s="12" t="s">
        <v>118</v>
      </c>
      <c r="C523" s="12" t="s">
        <v>109</v>
      </c>
      <c r="D523" s="12" t="s">
        <v>397</v>
      </c>
      <c r="E523" s="18">
        <v>3</v>
      </c>
      <c r="F523" s="12" t="s">
        <v>31</v>
      </c>
      <c r="G523" s="12" t="s">
        <v>110</v>
      </c>
      <c r="H523" s="13"/>
      <c r="I523" s="13"/>
      <c r="J523" s="12" t="s">
        <v>1052</v>
      </c>
      <c r="K523" s="12" t="s">
        <v>535</v>
      </c>
    </row>
    <row r="524" spans="1:11" ht="30" customHeight="1">
      <c r="A524" s="12" t="s">
        <v>122</v>
      </c>
      <c r="B524" s="12" t="s">
        <v>118</v>
      </c>
      <c r="C524" s="12" t="s">
        <v>109</v>
      </c>
      <c r="D524" s="12" t="s">
        <v>398</v>
      </c>
      <c r="E524" s="18">
        <v>3</v>
      </c>
      <c r="F524" s="12" t="s">
        <v>31</v>
      </c>
      <c r="G524" s="12" t="s">
        <v>110</v>
      </c>
      <c r="H524" s="13"/>
      <c r="I524" s="13"/>
      <c r="J524" s="12" t="s">
        <v>1052</v>
      </c>
      <c r="K524" s="12" t="s">
        <v>535</v>
      </c>
    </row>
    <row r="525" spans="1:11" ht="30" customHeight="1">
      <c r="A525" s="12" t="s">
        <v>122</v>
      </c>
      <c r="B525" s="12" t="s">
        <v>118</v>
      </c>
      <c r="C525" s="12" t="s">
        <v>109</v>
      </c>
      <c r="D525" s="12" t="s">
        <v>399</v>
      </c>
      <c r="E525" s="18">
        <v>3</v>
      </c>
      <c r="F525" s="12" t="s">
        <v>31</v>
      </c>
      <c r="G525" s="12" t="s">
        <v>110</v>
      </c>
      <c r="H525" s="13"/>
      <c r="I525" s="13"/>
      <c r="J525" s="12" t="s">
        <v>1052</v>
      </c>
      <c r="K525" s="12" t="s">
        <v>535</v>
      </c>
    </row>
    <row r="526" spans="1:11" ht="30" customHeight="1">
      <c r="A526" s="12" t="s">
        <v>122</v>
      </c>
      <c r="B526" s="12" t="s">
        <v>118</v>
      </c>
      <c r="C526" s="12" t="s">
        <v>109</v>
      </c>
      <c r="D526" s="12" t="s">
        <v>400</v>
      </c>
      <c r="E526" s="18">
        <v>0</v>
      </c>
      <c r="F526" s="12" t="s">
        <v>31</v>
      </c>
      <c r="G526" s="12" t="s">
        <v>110</v>
      </c>
      <c r="H526" s="13"/>
      <c r="I526" s="13"/>
      <c r="J526" s="12" t="s">
        <v>1052</v>
      </c>
      <c r="K526" s="12" t="s">
        <v>535</v>
      </c>
    </row>
    <row r="527" spans="1:11" ht="30" customHeight="1">
      <c r="A527" s="12" t="s">
        <v>135</v>
      </c>
      <c r="B527" s="12" t="s">
        <v>134</v>
      </c>
      <c r="C527" s="12" t="s">
        <v>109</v>
      </c>
      <c r="D527" s="12" t="s">
        <v>391</v>
      </c>
      <c r="E527" s="18">
        <v>3</v>
      </c>
      <c r="F527" s="12" t="s">
        <v>31</v>
      </c>
      <c r="G527" s="12" t="s">
        <v>110</v>
      </c>
      <c r="H527" s="13"/>
      <c r="I527" s="13"/>
      <c r="J527" s="12" t="s">
        <v>1052</v>
      </c>
      <c r="K527" s="12" t="s">
        <v>535</v>
      </c>
    </row>
    <row r="528" spans="1:11" ht="30" customHeight="1">
      <c r="A528" s="12" t="s">
        <v>135</v>
      </c>
      <c r="B528" s="12" t="s">
        <v>134</v>
      </c>
      <c r="C528" s="12" t="s">
        <v>109</v>
      </c>
      <c r="D528" s="12" t="s">
        <v>392</v>
      </c>
      <c r="E528" s="18">
        <v>0</v>
      </c>
      <c r="F528" s="12" t="s">
        <v>31</v>
      </c>
      <c r="G528" s="12" t="s">
        <v>110</v>
      </c>
      <c r="H528" s="13"/>
      <c r="I528" s="13"/>
      <c r="J528" s="12" t="s">
        <v>1052</v>
      </c>
      <c r="K528" s="12" t="s">
        <v>535</v>
      </c>
    </row>
    <row r="529" spans="1:11" ht="30" customHeight="1">
      <c r="A529" s="12" t="s">
        <v>135</v>
      </c>
      <c r="B529" s="12" t="s">
        <v>134</v>
      </c>
      <c r="C529" s="12" t="s">
        <v>109</v>
      </c>
      <c r="D529" s="12" t="s">
        <v>393</v>
      </c>
      <c r="E529" s="18">
        <v>0</v>
      </c>
      <c r="F529" s="12" t="s">
        <v>31</v>
      </c>
      <c r="G529" s="12" t="s">
        <v>110</v>
      </c>
      <c r="H529" s="13"/>
      <c r="I529" s="13"/>
      <c r="J529" s="12" t="s">
        <v>1052</v>
      </c>
      <c r="K529" s="12" t="s">
        <v>535</v>
      </c>
    </row>
    <row r="530" spans="1:11" ht="30" customHeight="1">
      <c r="A530" s="12" t="s">
        <v>135</v>
      </c>
      <c r="B530" s="12" t="s">
        <v>134</v>
      </c>
      <c r="C530" s="12" t="s">
        <v>109</v>
      </c>
      <c r="D530" s="12" t="s">
        <v>394</v>
      </c>
      <c r="E530" s="18">
        <v>0</v>
      </c>
      <c r="F530" s="12" t="s">
        <v>31</v>
      </c>
      <c r="G530" s="12" t="s">
        <v>110</v>
      </c>
      <c r="H530" s="13"/>
      <c r="I530" s="13"/>
      <c r="J530" s="12" t="s">
        <v>1052</v>
      </c>
      <c r="K530" s="12" t="s">
        <v>535</v>
      </c>
    </row>
    <row r="531" spans="1:11" ht="30" customHeight="1">
      <c r="A531" s="12" t="s">
        <v>135</v>
      </c>
      <c r="B531" s="12" t="s">
        <v>134</v>
      </c>
      <c r="C531" s="12" t="s">
        <v>109</v>
      </c>
      <c r="D531" s="12" t="s">
        <v>395</v>
      </c>
      <c r="E531" s="18">
        <v>0</v>
      </c>
      <c r="F531" s="12" t="s">
        <v>31</v>
      </c>
      <c r="G531" s="12" t="s">
        <v>110</v>
      </c>
      <c r="H531" s="13"/>
      <c r="I531" s="13"/>
      <c r="J531" s="12" t="s">
        <v>1052</v>
      </c>
      <c r="K531" s="12" t="s">
        <v>535</v>
      </c>
    </row>
    <row r="532" spans="1:11" ht="30" customHeight="1">
      <c r="A532" s="12" t="s">
        <v>135</v>
      </c>
      <c r="B532" s="12" t="s">
        <v>134</v>
      </c>
      <c r="C532" s="12" t="s">
        <v>109</v>
      </c>
      <c r="D532" s="12" t="s">
        <v>396</v>
      </c>
      <c r="E532" s="18">
        <v>0</v>
      </c>
      <c r="F532" s="12" t="s">
        <v>31</v>
      </c>
      <c r="G532" s="12" t="s">
        <v>110</v>
      </c>
      <c r="H532" s="13"/>
      <c r="I532" s="13"/>
      <c r="J532" s="12" t="s">
        <v>1052</v>
      </c>
      <c r="K532" s="12" t="s">
        <v>535</v>
      </c>
    </row>
    <row r="533" spans="1:11" ht="30" customHeight="1">
      <c r="A533" s="12" t="s">
        <v>135</v>
      </c>
      <c r="B533" s="12" t="s">
        <v>134</v>
      </c>
      <c r="C533" s="12" t="s">
        <v>109</v>
      </c>
      <c r="D533" s="12" t="s">
        <v>397</v>
      </c>
      <c r="E533" s="18">
        <v>3</v>
      </c>
      <c r="F533" s="12" t="s">
        <v>31</v>
      </c>
      <c r="G533" s="12" t="s">
        <v>110</v>
      </c>
      <c r="H533" s="13"/>
      <c r="I533" s="13"/>
      <c r="J533" s="12" t="s">
        <v>1052</v>
      </c>
      <c r="K533" s="12" t="s">
        <v>535</v>
      </c>
    </row>
    <row r="534" spans="1:11" ht="30" customHeight="1">
      <c r="A534" s="12" t="s">
        <v>135</v>
      </c>
      <c r="B534" s="12" t="s">
        <v>134</v>
      </c>
      <c r="C534" s="12" t="s">
        <v>109</v>
      </c>
      <c r="D534" s="12" t="s">
        <v>398</v>
      </c>
      <c r="E534" s="18">
        <v>2</v>
      </c>
      <c r="F534" s="12" t="s">
        <v>31</v>
      </c>
      <c r="G534" s="12" t="s">
        <v>110</v>
      </c>
      <c r="H534" s="13"/>
      <c r="I534" s="13"/>
      <c r="J534" s="12" t="s">
        <v>1052</v>
      </c>
      <c r="K534" s="12" t="s">
        <v>535</v>
      </c>
    </row>
    <row r="535" spans="1:11" ht="30" customHeight="1">
      <c r="A535" s="12" t="s">
        <v>135</v>
      </c>
      <c r="B535" s="12" t="s">
        <v>134</v>
      </c>
      <c r="C535" s="12" t="s">
        <v>109</v>
      </c>
      <c r="D535" s="12" t="s">
        <v>399</v>
      </c>
      <c r="E535" s="18">
        <v>2</v>
      </c>
      <c r="F535" s="12" t="s">
        <v>31</v>
      </c>
      <c r="G535" s="12" t="s">
        <v>110</v>
      </c>
      <c r="H535" s="13"/>
      <c r="I535" s="13"/>
      <c r="J535" s="12" t="s">
        <v>1052</v>
      </c>
      <c r="K535" s="12" t="s">
        <v>535</v>
      </c>
    </row>
    <row r="536" spans="1:11" ht="30" customHeight="1">
      <c r="A536" s="12" t="s">
        <v>135</v>
      </c>
      <c r="B536" s="12" t="s">
        <v>134</v>
      </c>
      <c r="C536" s="12" t="s">
        <v>109</v>
      </c>
      <c r="D536" s="12" t="s">
        <v>400</v>
      </c>
      <c r="E536" s="18">
        <v>0</v>
      </c>
      <c r="F536" s="12" t="s">
        <v>31</v>
      </c>
      <c r="G536" s="12" t="s">
        <v>110</v>
      </c>
      <c r="H536" s="13"/>
      <c r="I536" s="13"/>
      <c r="J536" s="12" t="s">
        <v>1052</v>
      </c>
      <c r="K536" s="12" t="s">
        <v>535</v>
      </c>
    </row>
    <row r="537" spans="1:11" ht="30" customHeight="1">
      <c r="A537" s="12" t="s">
        <v>125</v>
      </c>
      <c r="B537" s="12" t="s">
        <v>124</v>
      </c>
      <c r="C537" s="12" t="s">
        <v>109</v>
      </c>
      <c r="D537" s="12" t="s">
        <v>391</v>
      </c>
      <c r="E537" s="18">
        <v>3</v>
      </c>
      <c r="F537" s="12" t="s">
        <v>31</v>
      </c>
      <c r="G537" s="12" t="s">
        <v>110</v>
      </c>
      <c r="H537" s="13"/>
      <c r="I537" s="13"/>
      <c r="J537" s="12" t="s">
        <v>1052</v>
      </c>
      <c r="K537" s="12" t="s">
        <v>535</v>
      </c>
    </row>
    <row r="538" spans="1:11" ht="30" customHeight="1">
      <c r="A538" s="12" t="s">
        <v>125</v>
      </c>
      <c r="B538" s="12" t="s">
        <v>124</v>
      </c>
      <c r="C538" s="12" t="s">
        <v>109</v>
      </c>
      <c r="D538" s="12" t="s">
        <v>392</v>
      </c>
      <c r="E538" s="18">
        <v>0</v>
      </c>
      <c r="F538" s="12" t="s">
        <v>31</v>
      </c>
      <c r="G538" s="12" t="s">
        <v>110</v>
      </c>
      <c r="H538" s="13"/>
      <c r="I538" s="13"/>
      <c r="J538" s="12" t="s">
        <v>1052</v>
      </c>
      <c r="K538" s="12" t="s">
        <v>535</v>
      </c>
    </row>
    <row r="539" spans="1:11" ht="30" customHeight="1">
      <c r="A539" s="12" t="s">
        <v>125</v>
      </c>
      <c r="B539" s="12" t="s">
        <v>124</v>
      </c>
      <c r="C539" s="12" t="s">
        <v>109</v>
      </c>
      <c r="D539" s="12" t="s">
        <v>393</v>
      </c>
      <c r="E539" s="18">
        <v>0</v>
      </c>
      <c r="F539" s="12" t="s">
        <v>31</v>
      </c>
      <c r="G539" s="12" t="s">
        <v>110</v>
      </c>
      <c r="H539" s="13"/>
      <c r="I539" s="13"/>
      <c r="J539" s="12" t="s">
        <v>1052</v>
      </c>
      <c r="K539" s="12" t="s">
        <v>535</v>
      </c>
    </row>
    <row r="540" spans="1:11" ht="30" customHeight="1">
      <c r="A540" s="12" t="s">
        <v>125</v>
      </c>
      <c r="B540" s="12" t="s">
        <v>124</v>
      </c>
      <c r="C540" s="12" t="s">
        <v>109</v>
      </c>
      <c r="D540" s="12" t="s">
        <v>394</v>
      </c>
      <c r="E540" s="18">
        <v>0</v>
      </c>
      <c r="F540" s="12" t="s">
        <v>31</v>
      </c>
      <c r="G540" s="12" t="s">
        <v>110</v>
      </c>
      <c r="H540" s="13"/>
      <c r="I540" s="13"/>
      <c r="J540" s="12" t="s">
        <v>1052</v>
      </c>
      <c r="K540" s="12" t="s">
        <v>535</v>
      </c>
    </row>
    <row r="541" spans="1:11" ht="30" customHeight="1">
      <c r="A541" s="12" t="s">
        <v>125</v>
      </c>
      <c r="B541" s="12" t="s">
        <v>124</v>
      </c>
      <c r="C541" s="12" t="s">
        <v>109</v>
      </c>
      <c r="D541" s="12" t="s">
        <v>395</v>
      </c>
      <c r="E541" s="18">
        <v>0</v>
      </c>
      <c r="F541" s="12" t="s">
        <v>31</v>
      </c>
      <c r="G541" s="12" t="s">
        <v>110</v>
      </c>
      <c r="H541" s="13"/>
      <c r="I541" s="13"/>
      <c r="J541" s="12" t="s">
        <v>1052</v>
      </c>
      <c r="K541" s="12" t="s">
        <v>535</v>
      </c>
    </row>
    <row r="542" spans="1:11" ht="30" customHeight="1">
      <c r="A542" s="12" t="s">
        <v>125</v>
      </c>
      <c r="B542" s="12" t="s">
        <v>124</v>
      </c>
      <c r="C542" s="12" t="s">
        <v>109</v>
      </c>
      <c r="D542" s="12" t="s">
        <v>396</v>
      </c>
      <c r="E542" s="18">
        <v>0</v>
      </c>
      <c r="F542" s="12" t="s">
        <v>31</v>
      </c>
      <c r="G542" s="12" t="s">
        <v>110</v>
      </c>
      <c r="H542" s="13"/>
      <c r="I542" s="13"/>
      <c r="J542" s="12" t="s">
        <v>1052</v>
      </c>
      <c r="K542" s="12" t="s">
        <v>535</v>
      </c>
    </row>
    <row r="543" spans="1:11" ht="30" customHeight="1">
      <c r="A543" s="12" t="s">
        <v>125</v>
      </c>
      <c r="B543" s="12" t="s">
        <v>124</v>
      </c>
      <c r="C543" s="12" t="s">
        <v>109</v>
      </c>
      <c r="D543" s="12" t="s">
        <v>397</v>
      </c>
      <c r="E543" s="18">
        <v>2</v>
      </c>
      <c r="F543" s="12" t="s">
        <v>31</v>
      </c>
      <c r="G543" s="12" t="s">
        <v>110</v>
      </c>
      <c r="H543" s="13"/>
      <c r="I543" s="13"/>
      <c r="J543" s="12" t="s">
        <v>1052</v>
      </c>
      <c r="K543" s="12" t="s">
        <v>535</v>
      </c>
    </row>
    <row r="544" spans="1:11" ht="30" customHeight="1">
      <c r="A544" s="12" t="s">
        <v>125</v>
      </c>
      <c r="B544" s="12" t="s">
        <v>124</v>
      </c>
      <c r="C544" s="12" t="s">
        <v>109</v>
      </c>
      <c r="D544" s="12" t="s">
        <v>398</v>
      </c>
      <c r="E544" s="18">
        <v>2</v>
      </c>
      <c r="F544" s="12" t="s">
        <v>31</v>
      </c>
      <c r="G544" s="12" t="s">
        <v>110</v>
      </c>
      <c r="H544" s="13"/>
      <c r="I544" s="13"/>
      <c r="J544" s="12" t="s">
        <v>1052</v>
      </c>
      <c r="K544" s="12" t="s">
        <v>535</v>
      </c>
    </row>
    <row r="545" spans="1:11" ht="30" customHeight="1">
      <c r="A545" s="12" t="s">
        <v>125</v>
      </c>
      <c r="B545" s="12" t="s">
        <v>124</v>
      </c>
      <c r="C545" s="12" t="s">
        <v>109</v>
      </c>
      <c r="D545" s="12" t="s">
        <v>399</v>
      </c>
      <c r="E545" s="18">
        <v>2</v>
      </c>
      <c r="F545" s="12" t="s">
        <v>31</v>
      </c>
      <c r="G545" s="12" t="s">
        <v>110</v>
      </c>
      <c r="H545" s="13"/>
      <c r="I545" s="13"/>
      <c r="J545" s="12" t="s">
        <v>1052</v>
      </c>
      <c r="K545" s="12" t="s">
        <v>535</v>
      </c>
    </row>
    <row r="546" spans="1:11" ht="30" customHeight="1">
      <c r="A546" s="12" t="s">
        <v>125</v>
      </c>
      <c r="B546" s="12" t="s">
        <v>124</v>
      </c>
      <c r="C546" s="12" t="s">
        <v>109</v>
      </c>
      <c r="D546" s="12" t="s">
        <v>400</v>
      </c>
      <c r="E546" s="18">
        <v>0</v>
      </c>
      <c r="F546" s="12" t="s">
        <v>31</v>
      </c>
      <c r="G546" s="12" t="s">
        <v>110</v>
      </c>
      <c r="H546" s="13"/>
      <c r="I546" s="13"/>
      <c r="J546" s="12" t="s">
        <v>1052</v>
      </c>
      <c r="K546" s="12" t="s">
        <v>535</v>
      </c>
    </row>
    <row r="547" spans="1:11" ht="30" customHeight="1">
      <c r="A547" s="12" t="s">
        <v>146</v>
      </c>
      <c r="B547" s="12" t="s">
        <v>144</v>
      </c>
      <c r="C547" s="12" t="s">
        <v>109</v>
      </c>
      <c r="D547" s="12" t="s">
        <v>391</v>
      </c>
      <c r="E547" s="18">
        <v>3</v>
      </c>
      <c r="F547" s="12" t="s">
        <v>31</v>
      </c>
      <c r="G547" s="12" t="s">
        <v>110</v>
      </c>
      <c r="H547" s="13"/>
      <c r="I547" s="13"/>
      <c r="J547" s="12" t="s">
        <v>1052</v>
      </c>
      <c r="K547" s="12" t="s">
        <v>535</v>
      </c>
    </row>
    <row r="548" spans="1:11" ht="30" customHeight="1">
      <c r="A548" s="12" t="s">
        <v>146</v>
      </c>
      <c r="B548" s="12" t="s">
        <v>144</v>
      </c>
      <c r="C548" s="12" t="s">
        <v>109</v>
      </c>
      <c r="D548" s="12" t="s">
        <v>392</v>
      </c>
      <c r="E548" s="18">
        <v>0</v>
      </c>
      <c r="F548" s="12" t="s">
        <v>31</v>
      </c>
      <c r="G548" s="12" t="s">
        <v>110</v>
      </c>
      <c r="H548" s="13"/>
      <c r="I548" s="13"/>
      <c r="J548" s="12" t="s">
        <v>1052</v>
      </c>
      <c r="K548" s="12" t="s">
        <v>535</v>
      </c>
    </row>
    <row r="549" spans="1:11" ht="30" customHeight="1">
      <c r="A549" s="12" t="s">
        <v>146</v>
      </c>
      <c r="B549" s="12" t="s">
        <v>144</v>
      </c>
      <c r="C549" s="12" t="s">
        <v>109</v>
      </c>
      <c r="D549" s="12" t="s">
        <v>393</v>
      </c>
      <c r="E549" s="18">
        <v>0</v>
      </c>
      <c r="F549" s="12" t="s">
        <v>31</v>
      </c>
      <c r="G549" s="12" t="s">
        <v>110</v>
      </c>
      <c r="H549" s="13"/>
      <c r="I549" s="13"/>
      <c r="J549" s="12" t="s">
        <v>1052</v>
      </c>
      <c r="K549" s="12" t="s">
        <v>535</v>
      </c>
    </row>
    <row r="550" spans="1:11" ht="30" customHeight="1">
      <c r="A550" s="12" t="s">
        <v>146</v>
      </c>
      <c r="B550" s="12" t="s">
        <v>144</v>
      </c>
      <c r="C550" s="12" t="s">
        <v>109</v>
      </c>
      <c r="D550" s="12" t="s">
        <v>394</v>
      </c>
      <c r="E550" s="18">
        <v>0</v>
      </c>
      <c r="F550" s="12" t="s">
        <v>31</v>
      </c>
      <c r="G550" s="12" t="s">
        <v>110</v>
      </c>
      <c r="H550" s="13"/>
      <c r="I550" s="13"/>
      <c r="J550" s="12" t="s">
        <v>1052</v>
      </c>
      <c r="K550" s="12" t="s">
        <v>535</v>
      </c>
    </row>
    <row r="551" spans="1:11" ht="30" customHeight="1">
      <c r="A551" s="12" t="s">
        <v>146</v>
      </c>
      <c r="B551" s="12" t="s">
        <v>144</v>
      </c>
      <c r="C551" s="12" t="s">
        <v>109</v>
      </c>
      <c r="D551" s="12" t="s">
        <v>395</v>
      </c>
      <c r="E551" s="18">
        <v>0</v>
      </c>
      <c r="F551" s="12" t="s">
        <v>31</v>
      </c>
      <c r="G551" s="12" t="s">
        <v>110</v>
      </c>
      <c r="H551" s="13"/>
      <c r="I551" s="13"/>
      <c r="J551" s="12" t="s">
        <v>1052</v>
      </c>
      <c r="K551" s="12" t="s">
        <v>535</v>
      </c>
    </row>
    <row r="552" spans="1:11" ht="30" customHeight="1">
      <c r="A552" s="12" t="s">
        <v>146</v>
      </c>
      <c r="B552" s="12" t="s">
        <v>144</v>
      </c>
      <c r="C552" s="12" t="s">
        <v>109</v>
      </c>
      <c r="D552" s="12" t="s">
        <v>396</v>
      </c>
      <c r="E552" s="18">
        <v>0</v>
      </c>
      <c r="F552" s="12" t="s">
        <v>31</v>
      </c>
      <c r="G552" s="12" t="s">
        <v>110</v>
      </c>
      <c r="H552" s="13"/>
      <c r="I552" s="13"/>
      <c r="J552" s="12" t="s">
        <v>1052</v>
      </c>
      <c r="K552" s="12" t="s">
        <v>535</v>
      </c>
    </row>
    <row r="553" spans="1:11" ht="30" customHeight="1">
      <c r="A553" s="12" t="s">
        <v>146</v>
      </c>
      <c r="B553" s="12" t="s">
        <v>144</v>
      </c>
      <c r="C553" s="12" t="s">
        <v>109</v>
      </c>
      <c r="D553" s="12" t="s">
        <v>397</v>
      </c>
      <c r="E553" s="18">
        <v>2</v>
      </c>
      <c r="F553" s="12" t="s">
        <v>31</v>
      </c>
      <c r="G553" s="12" t="s">
        <v>110</v>
      </c>
      <c r="H553" s="13"/>
      <c r="I553" s="13"/>
      <c r="J553" s="12" t="s">
        <v>1052</v>
      </c>
      <c r="K553" s="12" t="s">
        <v>535</v>
      </c>
    </row>
    <row r="554" spans="1:11" ht="30" customHeight="1">
      <c r="A554" s="12" t="s">
        <v>146</v>
      </c>
      <c r="B554" s="12" t="s">
        <v>144</v>
      </c>
      <c r="C554" s="12" t="s">
        <v>109</v>
      </c>
      <c r="D554" s="12" t="s">
        <v>398</v>
      </c>
      <c r="E554" s="18">
        <v>2</v>
      </c>
      <c r="F554" s="12" t="s">
        <v>31</v>
      </c>
      <c r="G554" s="12" t="s">
        <v>110</v>
      </c>
      <c r="H554" s="13"/>
      <c r="I554" s="13"/>
      <c r="J554" s="12" t="s">
        <v>1052</v>
      </c>
      <c r="K554" s="12" t="s">
        <v>535</v>
      </c>
    </row>
    <row r="555" spans="1:11" ht="30" customHeight="1">
      <c r="A555" s="12" t="s">
        <v>146</v>
      </c>
      <c r="B555" s="12" t="s">
        <v>144</v>
      </c>
      <c r="C555" s="12" t="s">
        <v>109</v>
      </c>
      <c r="D555" s="12" t="s">
        <v>399</v>
      </c>
      <c r="E555" s="18">
        <v>2</v>
      </c>
      <c r="F555" s="12" t="s">
        <v>31</v>
      </c>
      <c r="G555" s="12" t="s">
        <v>110</v>
      </c>
      <c r="H555" s="13"/>
      <c r="I555" s="13"/>
      <c r="J555" s="12" t="s">
        <v>1052</v>
      </c>
      <c r="K555" s="12" t="s">
        <v>535</v>
      </c>
    </row>
    <row r="556" spans="1:11" ht="30" customHeight="1">
      <c r="A556" s="12" t="s">
        <v>146</v>
      </c>
      <c r="B556" s="12" t="s">
        <v>144</v>
      </c>
      <c r="C556" s="12" t="s">
        <v>109</v>
      </c>
      <c r="D556" s="12" t="s">
        <v>400</v>
      </c>
      <c r="E556" s="18">
        <v>0</v>
      </c>
      <c r="F556" s="12" t="s">
        <v>31</v>
      </c>
      <c r="G556" s="12" t="s">
        <v>110</v>
      </c>
      <c r="H556" s="13"/>
      <c r="I556" s="13"/>
      <c r="J556" s="12" t="s">
        <v>1052</v>
      </c>
      <c r="K556" s="12" t="s">
        <v>535</v>
      </c>
    </row>
    <row r="557" spans="1:11" ht="30" customHeight="1">
      <c r="A557" s="12" t="s">
        <v>138</v>
      </c>
      <c r="B557" s="12" t="s">
        <v>137</v>
      </c>
      <c r="C557" s="12" t="s">
        <v>109</v>
      </c>
      <c r="D557" s="12" t="s">
        <v>391</v>
      </c>
      <c r="E557" s="18">
        <v>3</v>
      </c>
      <c r="F557" s="12" t="s">
        <v>31</v>
      </c>
      <c r="G557" s="12" t="s">
        <v>110</v>
      </c>
      <c r="H557" s="13"/>
      <c r="I557" s="13"/>
      <c r="J557" s="12" t="s">
        <v>1052</v>
      </c>
      <c r="K557" s="12" t="s">
        <v>535</v>
      </c>
    </row>
    <row r="558" spans="1:11" ht="30" customHeight="1">
      <c r="A558" s="12" t="s">
        <v>138</v>
      </c>
      <c r="B558" s="12" t="s">
        <v>137</v>
      </c>
      <c r="C558" s="12" t="s">
        <v>109</v>
      </c>
      <c r="D558" s="12" t="s">
        <v>392</v>
      </c>
      <c r="E558" s="18">
        <v>0</v>
      </c>
      <c r="F558" s="12" t="s">
        <v>31</v>
      </c>
      <c r="G558" s="12" t="s">
        <v>110</v>
      </c>
      <c r="H558" s="13"/>
      <c r="I558" s="13"/>
      <c r="J558" s="12" t="s">
        <v>1052</v>
      </c>
      <c r="K558" s="12" t="s">
        <v>535</v>
      </c>
    </row>
    <row r="559" spans="1:11" ht="30" customHeight="1">
      <c r="A559" s="12" t="s">
        <v>138</v>
      </c>
      <c r="B559" s="12" t="s">
        <v>137</v>
      </c>
      <c r="C559" s="12" t="s">
        <v>109</v>
      </c>
      <c r="D559" s="12" t="s">
        <v>393</v>
      </c>
      <c r="E559" s="18">
        <v>0</v>
      </c>
      <c r="F559" s="12" t="s">
        <v>31</v>
      </c>
      <c r="G559" s="12" t="s">
        <v>110</v>
      </c>
      <c r="H559" s="13"/>
      <c r="I559" s="13"/>
      <c r="J559" s="12" t="s">
        <v>1052</v>
      </c>
      <c r="K559" s="12" t="s">
        <v>535</v>
      </c>
    </row>
    <row r="560" spans="1:11" ht="30" customHeight="1">
      <c r="A560" s="12" t="s">
        <v>138</v>
      </c>
      <c r="B560" s="12" t="s">
        <v>137</v>
      </c>
      <c r="C560" s="12" t="s">
        <v>109</v>
      </c>
      <c r="D560" s="12" t="s">
        <v>394</v>
      </c>
      <c r="E560" s="18">
        <v>0</v>
      </c>
      <c r="F560" s="12" t="s">
        <v>31</v>
      </c>
      <c r="G560" s="12" t="s">
        <v>110</v>
      </c>
      <c r="H560" s="13"/>
      <c r="I560" s="13"/>
      <c r="J560" s="12" t="s">
        <v>1052</v>
      </c>
      <c r="K560" s="12" t="s">
        <v>535</v>
      </c>
    </row>
    <row r="561" spans="1:11" ht="30" customHeight="1">
      <c r="A561" s="12" t="s">
        <v>138</v>
      </c>
      <c r="B561" s="12" t="s">
        <v>137</v>
      </c>
      <c r="C561" s="12" t="s">
        <v>109</v>
      </c>
      <c r="D561" s="12" t="s">
        <v>395</v>
      </c>
      <c r="E561" s="18">
        <v>0</v>
      </c>
      <c r="F561" s="12" t="s">
        <v>31</v>
      </c>
      <c r="G561" s="12" t="s">
        <v>110</v>
      </c>
      <c r="H561" s="13"/>
      <c r="I561" s="13"/>
      <c r="J561" s="12" t="s">
        <v>1052</v>
      </c>
      <c r="K561" s="12" t="s">
        <v>535</v>
      </c>
    </row>
    <row r="562" spans="1:11" ht="30" customHeight="1">
      <c r="A562" s="12" t="s">
        <v>138</v>
      </c>
      <c r="B562" s="12" t="s">
        <v>137</v>
      </c>
      <c r="C562" s="12" t="s">
        <v>109</v>
      </c>
      <c r="D562" s="12" t="s">
        <v>396</v>
      </c>
      <c r="E562" s="18">
        <v>0</v>
      </c>
      <c r="F562" s="12" t="s">
        <v>31</v>
      </c>
      <c r="G562" s="12" t="s">
        <v>110</v>
      </c>
      <c r="H562" s="13"/>
      <c r="I562" s="13"/>
      <c r="J562" s="12" t="s">
        <v>1052</v>
      </c>
      <c r="K562" s="12" t="s">
        <v>535</v>
      </c>
    </row>
    <row r="563" spans="1:11" ht="30" customHeight="1">
      <c r="A563" s="12" t="s">
        <v>138</v>
      </c>
      <c r="B563" s="12" t="s">
        <v>137</v>
      </c>
      <c r="C563" s="12" t="s">
        <v>109</v>
      </c>
      <c r="D563" s="12" t="s">
        <v>397</v>
      </c>
      <c r="E563" s="18">
        <v>2</v>
      </c>
      <c r="F563" s="12" t="s">
        <v>31</v>
      </c>
      <c r="G563" s="12" t="s">
        <v>110</v>
      </c>
      <c r="H563" s="13"/>
      <c r="I563" s="13"/>
      <c r="J563" s="12" t="s">
        <v>1052</v>
      </c>
      <c r="K563" s="12" t="s">
        <v>535</v>
      </c>
    </row>
    <row r="564" spans="1:11" ht="30" customHeight="1">
      <c r="A564" s="12" t="s">
        <v>138</v>
      </c>
      <c r="B564" s="12" t="s">
        <v>137</v>
      </c>
      <c r="C564" s="12" t="s">
        <v>109</v>
      </c>
      <c r="D564" s="12" t="s">
        <v>398</v>
      </c>
      <c r="E564" s="18">
        <v>1</v>
      </c>
      <c r="F564" s="12" t="s">
        <v>31</v>
      </c>
      <c r="G564" s="12" t="s">
        <v>110</v>
      </c>
      <c r="H564" s="13"/>
      <c r="I564" s="13"/>
      <c r="J564" s="12" t="s">
        <v>1052</v>
      </c>
      <c r="K564" s="12" t="s">
        <v>535</v>
      </c>
    </row>
    <row r="565" spans="1:11" ht="30" customHeight="1">
      <c r="A565" s="12" t="s">
        <v>138</v>
      </c>
      <c r="B565" s="12" t="s">
        <v>137</v>
      </c>
      <c r="C565" s="12" t="s">
        <v>109</v>
      </c>
      <c r="D565" s="12" t="s">
        <v>399</v>
      </c>
      <c r="E565" s="18">
        <v>2</v>
      </c>
      <c r="F565" s="12" t="s">
        <v>31</v>
      </c>
      <c r="G565" s="12" t="s">
        <v>110</v>
      </c>
      <c r="H565" s="13"/>
      <c r="I565" s="13"/>
      <c r="J565" s="12" t="s">
        <v>1052</v>
      </c>
      <c r="K565" s="12" t="s">
        <v>535</v>
      </c>
    </row>
    <row r="566" spans="1:11" ht="30" customHeight="1">
      <c r="A566" s="12" t="s">
        <v>138</v>
      </c>
      <c r="B566" s="12" t="s">
        <v>137</v>
      </c>
      <c r="C566" s="12" t="s">
        <v>109</v>
      </c>
      <c r="D566" s="12" t="s">
        <v>400</v>
      </c>
      <c r="E566" s="18">
        <v>0</v>
      </c>
      <c r="F566" s="12" t="s">
        <v>31</v>
      </c>
      <c r="G566" s="12" t="s">
        <v>110</v>
      </c>
      <c r="H566" s="13"/>
      <c r="I566" s="13"/>
      <c r="J566" s="12" t="s">
        <v>1052</v>
      </c>
      <c r="K566" s="12" t="s">
        <v>535</v>
      </c>
    </row>
    <row r="567" spans="1:11" ht="30" customHeight="1">
      <c r="A567" s="12" t="s">
        <v>112</v>
      </c>
      <c r="B567" s="12" t="s">
        <v>108</v>
      </c>
      <c r="C567" s="12" t="s">
        <v>109</v>
      </c>
      <c r="D567" s="12" t="s">
        <v>391</v>
      </c>
      <c r="E567" s="18">
        <v>3</v>
      </c>
      <c r="F567" s="12" t="s">
        <v>31</v>
      </c>
      <c r="G567" s="12" t="s">
        <v>110</v>
      </c>
      <c r="H567" s="13"/>
      <c r="I567" s="13"/>
      <c r="J567" s="12" t="s">
        <v>1052</v>
      </c>
      <c r="K567" s="12" t="s">
        <v>535</v>
      </c>
    </row>
    <row r="568" spans="1:11" ht="30" customHeight="1">
      <c r="A568" s="12" t="s">
        <v>112</v>
      </c>
      <c r="B568" s="12" t="s">
        <v>108</v>
      </c>
      <c r="C568" s="12" t="s">
        <v>109</v>
      </c>
      <c r="D568" s="12" t="s">
        <v>392</v>
      </c>
      <c r="E568" s="18">
        <v>0</v>
      </c>
      <c r="F568" s="12" t="s">
        <v>31</v>
      </c>
      <c r="G568" s="12" t="s">
        <v>110</v>
      </c>
      <c r="H568" s="13"/>
      <c r="I568" s="13"/>
      <c r="J568" s="12" t="s">
        <v>1052</v>
      </c>
      <c r="K568" s="12" t="s">
        <v>535</v>
      </c>
    </row>
    <row r="569" spans="1:11" ht="30" customHeight="1">
      <c r="A569" s="12" t="s">
        <v>112</v>
      </c>
      <c r="B569" s="12" t="s">
        <v>108</v>
      </c>
      <c r="C569" s="12" t="s">
        <v>109</v>
      </c>
      <c r="D569" s="12" t="s">
        <v>393</v>
      </c>
      <c r="E569" s="18">
        <v>0</v>
      </c>
      <c r="F569" s="12" t="s">
        <v>31</v>
      </c>
      <c r="G569" s="12" t="s">
        <v>110</v>
      </c>
      <c r="H569" s="13"/>
      <c r="I569" s="13"/>
      <c r="J569" s="12" t="s">
        <v>1052</v>
      </c>
      <c r="K569" s="12" t="s">
        <v>535</v>
      </c>
    </row>
    <row r="570" spans="1:11" ht="30" customHeight="1">
      <c r="A570" s="12" t="s">
        <v>112</v>
      </c>
      <c r="B570" s="12" t="s">
        <v>108</v>
      </c>
      <c r="C570" s="12" t="s">
        <v>109</v>
      </c>
      <c r="D570" s="12" t="s">
        <v>394</v>
      </c>
      <c r="E570" s="18">
        <v>0</v>
      </c>
      <c r="F570" s="12" t="s">
        <v>31</v>
      </c>
      <c r="G570" s="12" t="s">
        <v>110</v>
      </c>
      <c r="H570" s="13"/>
      <c r="I570" s="13"/>
      <c r="J570" s="12" t="s">
        <v>1052</v>
      </c>
      <c r="K570" s="12" t="s">
        <v>535</v>
      </c>
    </row>
    <row r="571" spans="1:11" ht="30" customHeight="1">
      <c r="A571" s="12" t="s">
        <v>112</v>
      </c>
      <c r="B571" s="12" t="s">
        <v>108</v>
      </c>
      <c r="C571" s="12" t="s">
        <v>109</v>
      </c>
      <c r="D571" s="12" t="s">
        <v>395</v>
      </c>
      <c r="E571" s="18">
        <v>0</v>
      </c>
      <c r="F571" s="12" t="s">
        <v>31</v>
      </c>
      <c r="G571" s="12" t="s">
        <v>110</v>
      </c>
      <c r="H571" s="13"/>
      <c r="I571" s="13"/>
      <c r="J571" s="12" t="s">
        <v>1052</v>
      </c>
      <c r="K571" s="12" t="s">
        <v>535</v>
      </c>
    </row>
    <row r="572" spans="1:11" ht="30" customHeight="1">
      <c r="A572" s="12" t="s">
        <v>112</v>
      </c>
      <c r="B572" s="12" t="s">
        <v>108</v>
      </c>
      <c r="C572" s="12" t="s">
        <v>109</v>
      </c>
      <c r="D572" s="12" t="s">
        <v>396</v>
      </c>
      <c r="E572" s="18">
        <v>0</v>
      </c>
      <c r="F572" s="12" t="s">
        <v>31</v>
      </c>
      <c r="G572" s="12" t="s">
        <v>110</v>
      </c>
      <c r="H572" s="13"/>
      <c r="I572" s="13"/>
      <c r="J572" s="12" t="s">
        <v>1052</v>
      </c>
      <c r="K572" s="12" t="s">
        <v>535</v>
      </c>
    </row>
    <row r="573" spans="1:11" ht="30" customHeight="1">
      <c r="A573" s="12" t="s">
        <v>112</v>
      </c>
      <c r="B573" s="12" t="s">
        <v>108</v>
      </c>
      <c r="C573" s="12" t="s">
        <v>109</v>
      </c>
      <c r="D573" s="12" t="s">
        <v>397</v>
      </c>
      <c r="E573" s="18">
        <v>2</v>
      </c>
      <c r="F573" s="12" t="s">
        <v>31</v>
      </c>
      <c r="G573" s="12" t="s">
        <v>110</v>
      </c>
      <c r="H573" s="13"/>
      <c r="I573" s="13"/>
      <c r="J573" s="12" t="s">
        <v>1052</v>
      </c>
      <c r="K573" s="12" t="s">
        <v>535</v>
      </c>
    </row>
    <row r="574" spans="1:11" ht="30" customHeight="1">
      <c r="A574" s="12" t="s">
        <v>112</v>
      </c>
      <c r="B574" s="12" t="s">
        <v>108</v>
      </c>
      <c r="C574" s="12" t="s">
        <v>109</v>
      </c>
      <c r="D574" s="12" t="s">
        <v>398</v>
      </c>
      <c r="E574" s="18">
        <v>1</v>
      </c>
      <c r="F574" s="12" t="s">
        <v>31</v>
      </c>
      <c r="G574" s="12" t="s">
        <v>110</v>
      </c>
      <c r="H574" s="13"/>
      <c r="I574" s="13"/>
      <c r="J574" s="12" t="s">
        <v>1052</v>
      </c>
      <c r="K574" s="12" t="s">
        <v>535</v>
      </c>
    </row>
    <row r="575" spans="1:11" ht="30" customHeight="1">
      <c r="A575" s="12" t="s">
        <v>112</v>
      </c>
      <c r="B575" s="12" t="s">
        <v>108</v>
      </c>
      <c r="C575" s="12" t="s">
        <v>109</v>
      </c>
      <c r="D575" s="12" t="s">
        <v>399</v>
      </c>
      <c r="E575" s="18">
        <v>2</v>
      </c>
      <c r="F575" s="12" t="s">
        <v>31</v>
      </c>
      <c r="G575" s="12" t="s">
        <v>110</v>
      </c>
      <c r="H575" s="13"/>
      <c r="I575" s="13"/>
      <c r="J575" s="12" t="s">
        <v>1052</v>
      </c>
      <c r="K575" s="12" t="s">
        <v>535</v>
      </c>
    </row>
    <row r="576" spans="1:11" ht="30" customHeight="1">
      <c r="A576" s="12" t="s">
        <v>112</v>
      </c>
      <c r="B576" s="12" t="s">
        <v>108</v>
      </c>
      <c r="C576" s="12" t="s">
        <v>109</v>
      </c>
      <c r="D576" s="12" t="s">
        <v>400</v>
      </c>
      <c r="E576" s="18">
        <v>0</v>
      </c>
      <c r="F576" s="12" t="s">
        <v>31</v>
      </c>
      <c r="G576" s="12" t="s">
        <v>110</v>
      </c>
      <c r="H576" s="13"/>
      <c r="I576" s="13"/>
      <c r="J576" s="12" t="s">
        <v>1052</v>
      </c>
      <c r="K576" s="12" t="s">
        <v>535</v>
      </c>
    </row>
    <row r="577" spans="1:11" ht="30" customHeight="1">
      <c r="A577" s="12" t="s">
        <v>128</v>
      </c>
      <c r="B577" s="12" t="s">
        <v>127</v>
      </c>
      <c r="C577" s="12" t="s">
        <v>109</v>
      </c>
      <c r="D577" s="12" t="s">
        <v>391</v>
      </c>
      <c r="E577" s="18">
        <v>3</v>
      </c>
      <c r="F577" s="12" t="s">
        <v>31</v>
      </c>
      <c r="G577" s="12" t="s">
        <v>110</v>
      </c>
      <c r="H577" s="13"/>
      <c r="I577" s="13"/>
      <c r="J577" s="12" t="s">
        <v>1052</v>
      </c>
      <c r="K577" s="12" t="s">
        <v>535</v>
      </c>
    </row>
    <row r="578" spans="1:11" ht="30" customHeight="1">
      <c r="A578" s="12" t="s">
        <v>128</v>
      </c>
      <c r="B578" s="12" t="s">
        <v>127</v>
      </c>
      <c r="C578" s="12" t="s">
        <v>109</v>
      </c>
      <c r="D578" s="12" t="s">
        <v>392</v>
      </c>
      <c r="E578" s="18">
        <v>0</v>
      </c>
      <c r="F578" s="12" t="s">
        <v>31</v>
      </c>
      <c r="G578" s="12" t="s">
        <v>110</v>
      </c>
      <c r="H578" s="13"/>
      <c r="I578" s="13"/>
      <c r="J578" s="12" t="s">
        <v>1052</v>
      </c>
      <c r="K578" s="12" t="s">
        <v>535</v>
      </c>
    </row>
    <row r="579" spans="1:11" ht="30" customHeight="1">
      <c r="A579" s="12" t="s">
        <v>128</v>
      </c>
      <c r="B579" s="12" t="s">
        <v>127</v>
      </c>
      <c r="C579" s="12" t="s">
        <v>109</v>
      </c>
      <c r="D579" s="12" t="s">
        <v>393</v>
      </c>
      <c r="E579" s="18">
        <v>0</v>
      </c>
      <c r="F579" s="12" t="s">
        <v>31</v>
      </c>
      <c r="G579" s="12" t="s">
        <v>110</v>
      </c>
      <c r="H579" s="13"/>
      <c r="I579" s="13"/>
      <c r="J579" s="12" t="s">
        <v>1052</v>
      </c>
      <c r="K579" s="12" t="s">
        <v>535</v>
      </c>
    </row>
    <row r="580" spans="1:11" ht="30" customHeight="1">
      <c r="A580" s="12" t="s">
        <v>128</v>
      </c>
      <c r="B580" s="12" t="s">
        <v>127</v>
      </c>
      <c r="C580" s="12" t="s">
        <v>109</v>
      </c>
      <c r="D580" s="12" t="s">
        <v>394</v>
      </c>
      <c r="E580" s="18">
        <v>0</v>
      </c>
      <c r="F580" s="12" t="s">
        <v>31</v>
      </c>
      <c r="G580" s="12" t="s">
        <v>110</v>
      </c>
      <c r="H580" s="13"/>
      <c r="I580" s="13"/>
      <c r="J580" s="12" t="s">
        <v>1052</v>
      </c>
      <c r="K580" s="12" t="s">
        <v>535</v>
      </c>
    </row>
    <row r="581" spans="1:11" ht="30" customHeight="1">
      <c r="A581" s="12" t="s">
        <v>128</v>
      </c>
      <c r="B581" s="12" t="s">
        <v>127</v>
      </c>
      <c r="C581" s="12" t="s">
        <v>109</v>
      </c>
      <c r="D581" s="12" t="s">
        <v>395</v>
      </c>
      <c r="E581" s="18">
        <v>0</v>
      </c>
      <c r="F581" s="12" t="s">
        <v>31</v>
      </c>
      <c r="G581" s="12" t="s">
        <v>110</v>
      </c>
      <c r="H581" s="13"/>
      <c r="I581" s="13"/>
      <c r="J581" s="12" t="s">
        <v>1052</v>
      </c>
      <c r="K581" s="12" t="s">
        <v>535</v>
      </c>
    </row>
    <row r="582" spans="1:11" ht="30" customHeight="1">
      <c r="A582" s="12" t="s">
        <v>128</v>
      </c>
      <c r="B582" s="12" t="s">
        <v>127</v>
      </c>
      <c r="C582" s="12" t="s">
        <v>109</v>
      </c>
      <c r="D582" s="12" t="s">
        <v>396</v>
      </c>
      <c r="E582" s="18">
        <v>0</v>
      </c>
      <c r="F582" s="12" t="s">
        <v>31</v>
      </c>
      <c r="G582" s="12" t="s">
        <v>110</v>
      </c>
      <c r="H582" s="13"/>
      <c r="I582" s="13"/>
      <c r="J582" s="12" t="s">
        <v>1052</v>
      </c>
      <c r="K582" s="12" t="s">
        <v>535</v>
      </c>
    </row>
    <row r="583" spans="1:11" ht="30" customHeight="1">
      <c r="A583" s="12" t="s">
        <v>128</v>
      </c>
      <c r="B583" s="12" t="s">
        <v>127</v>
      </c>
      <c r="C583" s="12" t="s">
        <v>109</v>
      </c>
      <c r="D583" s="12" t="s">
        <v>397</v>
      </c>
      <c r="E583" s="18">
        <v>1</v>
      </c>
      <c r="F583" s="12" t="s">
        <v>31</v>
      </c>
      <c r="G583" s="12" t="s">
        <v>110</v>
      </c>
      <c r="H583" s="13"/>
      <c r="I583" s="13"/>
      <c r="J583" s="12" t="s">
        <v>1052</v>
      </c>
      <c r="K583" s="12" t="s">
        <v>535</v>
      </c>
    </row>
    <row r="584" spans="1:11" ht="30" customHeight="1">
      <c r="A584" s="12" t="s">
        <v>128</v>
      </c>
      <c r="B584" s="12" t="s">
        <v>127</v>
      </c>
      <c r="C584" s="12" t="s">
        <v>109</v>
      </c>
      <c r="D584" s="12" t="s">
        <v>398</v>
      </c>
      <c r="E584" s="18">
        <v>1</v>
      </c>
      <c r="F584" s="12" t="s">
        <v>31</v>
      </c>
      <c r="G584" s="12" t="s">
        <v>110</v>
      </c>
      <c r="H584" s="13"/>
      <c r="I584" s="13"/>
      <c r="J584" s="12" t="s">
        <v>1052</v>
      </c>
      <c r="K584" s="12" t="s">
        <v>535</v>
      </c>
    </row>
    <row r="585" spans="1:11" ht="30" customHeight="1">
      <c r="A585" s="12" t="s">
        <v>128</v>
      </c>
      <c r="B585" s="12" t="s">
        <v>127</v>
      </c>
      <c r="C585" s="12" t="s">
        <v>109</v>
      </c>
      <c r="D585" s="12" t="s">
        <v>399</v>
      </c>
      <c r="E585" s="18">
        <v>2</v>
      </c>
      <c r="F585" s="12" t="s">
        <v>31</v>
      </c>
      <c r="G585" s="12" t="s">
        <v>110</v>
      </c>
      <c r="H585" s="13"/>
      <c r="I585" s="13"/>
      <c r="J585" s="12" t="s">
        <v>1052</v>
      </c>
      <c r="K585" s="12" t="s">
        <v>535</v>
      </c>
    </row>
    <row r="586" spans="1:11" ht="30" customHeight="1">
      <c r="A586" s="12" t="s">
        <v>128</v>
      </c>
      <c r="B586" s="12" t="s">
        <v>127</v>
      </c>
      <c r="C586" s="12" t="s">
        <v>109</v>
      </c>
      <c r="D586" s="12" t="s">
        <v>400</v>
      </c>
      <c r="E586" s="18">
        <v>0</v>
      </c>
      <c r="F586" s="12" t="s">
        <v>31</v>
      </c>
      <c r="G586" s="12" t="s">
        <v>110</v>
      </c>
      <c r="H586" s="13"/>
      <c r="I586" s="13"/>
      <c r="J586" s="12" t="s">
        <v>1052</v>
      </c>
      <c r="K586" s="12" t="s">
        <v>535</v>
      </c>
    </row>
    <row r="587" spans="1:11" ht="30" customHeight="1">
      <c r="A587" s="12" t="s">
        <v>371</v>
      </c>
      <c r="B587" s="12" t="s">
        <v>368</v>
      </c>
      <c r="C587" s="12" t="s">
        <v>347</v>
      </c>
      <c r="D587" s="12" t="s">
        <v>391</v>
      </c>
      <c r="E587" s="18">
        <v>3</v>
      </c>
      <c r="F587" s="13"/>
      <c r="G587" s="12" t="s">
        <v>1053</v>
      </c>
      <c r="H587" s="13"/>
      <c r="I587" s="12" t="s">
        <v>370</v>
      </c>
      <c r="J587" s="12" t="s">
        <v>1052</v>
      </c>
      <c r="K587" s="12" t="s">
        <v>535</v>
      </c>
    </row>
    <row r="588" spans="1:11" ht="30" customHeight="1">
      <c r="A588" s="12" t="s">
        <v>371</v>
      </c>
      <c r="B588" s="12" t="s">
        <v>368</v>
      </c>
      <c r="C588" s="12" t="s">
        <v>347</v>
      </c>
      <c r="D588" s="12" t="s">
        <v>392</v>
      </c>
      <c r="E588" s="18">
        <v>3</v>
      </c>
      <c r="F588" s="13"/>
      <c r="G588" s="12" t="s">
        <v>1053</v>
      </c>
      <c r="H588" s="13"/>
      <c r="I588" s="12" t="s">
        <v>370</v>
      </c>
      <c r="J588" s="12" t="s">
        <v>1052</v>
      </c>
      <c r="K588" s="12" t="s">
        <v>535</v>
      </c>
    </row>
    <row r="589" spans="1:11" ht="30" customHeight="1">
      <c r="A589" s="12" t="s">
        <v>371</v>
      </c>
      <c r="B589" s="12" t="s">
        <v>368</v>
      </c>
      <c r="C589" s="12" t="s">
        <v>347</v>
      </c>
      <c r="D589" s="12" t="s">
        <v>393</v>
      </c>
      <c r="E589" s="18">
        <v>3</v>
      </c>
      <c r="F589" s="13"/>
      <c r="G589" s="12" t="s">
        <v>1053</v>
      </c>
      <c r="H589" s="13"/>
      <c r="I589" s="12" t="s">
        <v>370</v>
      </c>
      <c r="J589" s="12" t="s">
        <v>1052</v>
      </c>
      <c r="K589" s="12" t="s">
        <v>535</v>
      </c>
    </row>
    <row r="590" spans="1:11" ht="30" customHeight="1">
      <c r="A590" s="12" t="s">
        <v>371</v>
      </c>
      <c r="B590" s="12" t="s">
        <v>368</v>
      </c>
      <c r="C590" s="12" t="s">
        <v>347</v>
      </c>
      <c r="D590" s="12" t="s">
        <v>394</v>
      </c>
      <c r="E590" s="18">
        <v>3</v>
      </c>
      <c r="F590" s="13"/>
      <c r="G590" s="12" t="s">
        <v>1053</v>
      </c>
      <c r="H590" s="13"/>
      <c r="I590" s="12" t="s">
        <v>370</v>
      </c>
      <c r="J590" s="12" t="s">
        <v>1052</v>
      </c>
      <c r="K590" s="12" t="s">
        <v>535</v>
      </c>
    </row>
    <row r="591" spans="1:11" ht="30" customHeight="1">
      <c r="A591" s="12" t="s">
        <v>371</v>
      </c>
      <c r="B591" s="12" t="s">
        <v>368</v>
      </c>
      <c r="C591" s="12" t="s">
        <v>347</v>
      </c>
      <c r="D591" s="12" t="s">
        <v>395</v>
      </c>
      <c r="E591" s="18">
        <v>3</v>
      </c>
      <c r="F591" s="13"/>
      <c r="G591" s="12" t="s">
        <v>1053</v>
      </c>
      <c r="H591" s="13"/>
      <c r="I591" s="12" t="s">
        <v>370</v>
      </c>
      <c r="J591" s="12" t="s">
        <v>1052</v>
      </c>
      <c r="K591" s="12" t="s">
        <v>535</v>
      </c>
    </row>
    <row r="592" spans="1:11" ht="30" customHeight="1">
      <c r="A592" s="12" t="s">
        <v>371</v>
      </c>
      <c r="B592" s="12" t="s">
        <v>368</v>
      </c>
      <c r="C592" s="12" t="s">
        <v>347</v>
      </c>
      <c r="D592" s="12" t="s">
        <v>396</v>
      </c>
      <c r="E592" s="18">
        <v>3</v>
      </c>
      <c r="F592" s="13"/>
      <c r="G592" s="12" t="s">
        <v>1053</v>
      </c>
      <c r="H592" s="13"/>
      <c r="I592" s="12" t="s">
        <v>370</v>
      </c>
      <c r="J592" s="12" t="s">
        <v>1052</v>
      </c>
      <c r="K592" s="12" t="s">
        <v>535</v>
      </c>
    </row>
    <row r="593" spans="1:11" ht="30" customHeight="1">
      <c r="A593" s="12" t="s">
        <v>371</v>
      </c>
      <c r="B593" s="12" t="s">
        <v>368</v>
      </c>
      <c r="C593" s="12" t="s">
        <v>347</v>
      </c>
      <c r="D593" s="12" t="s">
        <v>397</v>
      </c>
      <c r="E593" s="18">
        <v>2</v>
      </c>
      <c r="F593" s="13"/>
      <c r="G593" s="12" t="s">
        <v>1053</v>
      </c>
      <c r="H593" s="13"/>
      <c r="I593" s="12" t="s">
        <v>370</v>
      </c>
      <c r="J593" s="12" t="s">
        <v>1052</v>
      </c>
      <c r="K593" s="12" t="s">
        <v>535</v>
      </c>
    </row>
    <row r="594" spans="1:11" ht="30" customHeight="1">
      <c r="A594" s="12" t="s">
        <v>371</v>
      </c>
      <c r="B594" s="12" t="s">
        <v>368</v>
      </c>
      <c r="C594" s="12" t="s">
        <v>347</v>
      </c>
      <c r="D594" s="12" t="s">
        <v>398</v>
      </c>
      <c r="E594" s="18">
        <v>3</v>
      </c>
      <c r="F594" s="13"/>
      <c r="G594" s="12" t="s">
        <v>1053</v>
      </c>
      <c r="H594" s="13"/>
      <c r="I594" s="12" t="s">
        <v>370</v>
      </c>
      <c r="J594" s="12" t="s">
        <v>1052</v>
      </c>
      <c r="K594" s="12" t="s">
        <v>535</v>
      </c>
    </row>
    <row r="595" spans="1:11" ht="30" customHeight="1">
      <c r="A595" s="12" t="s">
        <v>371</v>
      </c>
      <c r="B595" s="12" t="s">
        <v>368</v>
      </c>
      <c r="C595" s="12" t="s">
        <v>347</v>
      </c>
      <c r="D595" s="12" t="s">
        <v>399</v>
      </c>
      <c r="E595" s="18">
        <v>3</v>
      </c>
      <c r="F595" s="13"/>
      <c r="G595" s="12" t="s">
        <v>1053</v>
      </c>
      <c r="H595" s="13"/>
      <c r="I595" s="12" t="s">
        <v>370</v>
      </c>
      <c r="J595" s="12" t="s">
        <v>1052</v>
      </c>
      <c r="K595" s="12" t="s">
        <v>535</v>
      </c>
    </row>
    <row r="596" spans="1:11" ht="30" customHeight="1">
      <c r="A596" s="12" t="s">
        <v>371</v>
      </c>
      <c r="B596" s="12" t="s">
        <v>368</v>
      </c>
      <c r="C596" s="12" t="s">
        <v>347</v>
      </c>
      <c r="D596" s="12" t="s">
        <v>400</v>
      </c>
      <c r="E596" s="18">
        <v>3</v>
      </c>
      <c r="F596" s="13"/>
      <c r="G596" s="12" t="s">
        <v>1053</v>
      </c>
      <c r="H596" s="13"/>
      <c r="I596" s="12" t="s">
        <v>370</v>
      </c>
      <c r="J596" s="12" t="s">
        <v>1052</v>
      </c>
      <c r="K596" s="12" t="s">
        <v>535</v>
      </c>
    </row>
    <row r="597" spans="1:11" ht="30" customHeight="1">
      <c r="A597" s="12" t="s">
        <v>366</v>
      </c>
      <c r="B597" s="12" t="s">
        <v>363</v>
      </c>
      <c r="C597" s="12" t="s">
        <v>347</v>
      </c>
      <c r="D597" s="12" t="s">
        <v>391</v>
      </c>
      <c r="E597" s="18">
        <v>3</v>
      </c>
      <c r="F597" s="12" t="s">
        <v>50</v>
      </c>
      <c r="G597" s="12" t="s">
        <v>1053</v>
      </c>
      <c r="H597" s="13"/>
      <c r="I597" s="12" t="s">
        <v>365</v>
      </c>
      <c r="J597" s="12" t="s">
        <v>1052</v>
      </c>
      <c r="K597" s="12" t="s">
        <v>535</v>
      </c>
    </row>
    <row r="598" spans="1:11" ht="30" customHeight="1">
      <c r="A598" s="12" t="s">
        <v>366</v>
      </c>
      <c r="B598" s="12" t="s">
        <v>363</v>
      </c>
      <c r="C598" s="12" t="s">
        <v>347</v>
      </c>
      <c r="D598" s="12" t="s">
        <v>392</v>
      </c>
      <c r="E598" s="18">
        <v>3</v>
      </c>
      <c r="F598" s="12" t="s">
        <v>50</v>
      </c>
      <c r="G598" s="12" t="s">
        <v>1053</v>
      </c>
      <c r="H598" s="13"/>
      <c r="I598" s="12" t="s">
        <v>365</v>
      </c>
      <c r="J598" s="12" t="s">
        <v>1052</v>
      </c>
      <c r="K598" s="12" t="s">
        <v>535</v>
      </c>
    </row>
    <row r="599" spans="1:11" ht="30" customHeight="1">
      <c r="A599" s="12" t="s">
        <v>366</v>
      </c>
      <c r="B599" s="12" t="s">
        <v>363</v>
      </c>
      <c r="C599" s="12" t="s">
        <v>347</v>
      </c>
      <c r="D599" s="12" t="s">
        <v>393</v>
      </c>
      <c r="E599" s="18">
        <v>3</v>
      </c>
      <c r="F599" s="12" t="s">
        <v>50</v>
      </c>
      <c r="G599" s="12" t="s">
        <v>1053</v>
      </c>
      <c r="H599" s="13"/>
      <c r="I599" s="12" t="s">
        <v>365</v>
      </c>
      <c r="J599" s="12" t="s">
        <v>1052</v>
      </c>
      <c r="K599" s="12" t="s">
        <v>535</v>
      </c>
    </row>
    <row r="600" spans="1:11" ht="30" customHeight="1">
      <c r="A600" s="12" t="s">
        <v>366</v>
      </c>
      <c r="B600" s="12" t="s">
        <v>363</v>
      </c>
      <c r="C600" s="12" t="s">
        <v>347</v>
      </c>
      <c r="D600" s="12" t="s">
        <v>394</v>
      </c>
      <c r="E600" s="18">
        <v>3</v>
      </c>
      <c r="F600" s="12" t="s">
        <v>50</v>
      </c>
      <c r="G600" s="12" t="s">
        <v>1053</v>
      </c>
      <c r="H600" s="13"/>
      <c r="I600" s="12" t="s">
        <v>365</v>
      </c>
      <c r="J600" s="12" t="s">
        <v>1052</v>
      </c>
      <c r="K600" s="12" t="s">
        <v>535</v>
      </c>
    </row>
    <row r="601" spans="1:11" ht="30" customHeight="1">
      <c r="A601" s="12" t="s">
        <v>366</v>
      </c>
      <c r="B601" s="12" t="s">
        <v>363</v>
      </c>
      <c r="C601" s="12" t="s">
        <v>347</v>
      </c>
      <c r="D601" s="12" t="s">
        <v>395</v>
      </c>
      <c r="E601" s="18">
        <v>3</v>
      </c>
      <c r="F601" s="12" t="s">
        <v>50</v>
      </c>
      <c r="G601" s="12" t="s">
        <v>1053</v>
      </c>
      <c r="H601" s="13"/>
      <c r="I601" s="12" t="s">
        <v>365</v>
      </c>
      <c r="J601" s="12" t="s">
        <v>1052</v>
      </c>
      <c r="K601" s="12" t="s">
        <v>535</v>
      </c>
    </row>
    <row r="602" spans="1:11" ht="30" customHeight="1">
      <c r="A602" s="12" t="s">
        <v>366</v>
      </c>
      <c r="B602" s="12" t="s">
        <v>363</v>
      </c>
      <c r="C602" s="12" t="s">
        <v>347</v>
      </c>
      <c r="D602" s="12" t="s">
        <v>396</v>
      </c>
      <c r="E602" s="18">
        <v>3</v>
      </c>
      <c r="F602" s="12" t="s">
        <v>50</v>
      </c>
      <c r="G602" s="12" t="s">
        <v>1053</v>
      </c>
      <c r="H602" s="13"/>
      <c r="I602" s="12" t="s">
        <v>365</v>
      </c>
      <c r="J602" s="12" t="s">
        <v>1052</v>
      </c>
      <c r="K602" s="12" t="s">
        <v>535</v>
      </c>
    </row>
    <row r="603" spans="1:11" ht="30" customHeight="1">
      <c r="A603" s="12" t="s">
        <v>366</v>
      </c>
      <c r="B603" s="12" t="s">
        <v>363</v>
      </c>
      <c r="C603" s="12" t="s">
        <v>347</v>
      </c>
      <c r="D603" s="12" t="s">
        <v>397</v>
      </c>
      <c r="E603" s="18">
        <v>0</v>
      </c>
      <c r="F603" s="12" t="s">
        <v>50</v>
      </c>
      <c r="G603" s="12" t="s">
        <v>1053</v>
      </c>
      <c r="H603" s="13"/>
      <c r="I603" s="12" t="s">
        <v>365</v>
      </c>
      <c r="J603" s="12" t="s">
        <v>1052</v>
      </c>
      <c r="K603" s="12" t="s">
        <v>535</v>
      </c>
    </row>
    <row r="604" spans="1:11" ht="30" customHeight="1">
      <c r="A604" s="12" t="s">
        <v>366</v>
      </c>
      <c r="B604" s="12" t="s">
        <v>363</v>
      </c>
      <c r="C604" s="12" t="s">
        <v>347</v>
      </c>
      <c r="D604" s="12" t="s">
        <v>398</v>
      </c>
      <c r="E604" s="18">
        <v>3</v>
      </c>
      <c r="F604" s="12" t="s">
        <v>50</v>
      </c>
      <c r="G604" s="12" t="s">
        <v>1053</v>
      </c>
      <c r="H604" s="13"/>
      <c r="I604" s="12" t="s">
        <v>365</v>
      </c>
      <c r="J604" s="12" t="s">
        <v>1052</v>
      </c>
      <c r="K604" s="12" t="s">
        <v>535</v>
      </c>
    </row>
    <row r="605" spans="1:11" ht="30" customHeight="1">
      <c r="A605" s="12" t="s">
        <v>366</v>
      </c>
      <c r="B605" s="12" t="s">
        <v>363</v>
      </c>
      <c r="C605" s="12" t="s">
        <v>347</v>
      </c>
      <c r="D605" s="12" t="s">
        <v>399</v>
      </c>
      <c r="E605" s="18">
        <v>3</v>
      </c>
      <c r="F605" s="12" t="s">
        <v>50</v>
      </c>
      <c r="G605" s="12" t="s">
        <v>1053</v>
      </c>
      <c r="H605" s="13"/>
      <c r="I605" s="12" t="s">
        <v>365</v>
      </c>
      <c r="J605" s="12" t="s">
        <v>1052</v>
      </c>
      <c r="K605" s="12" t="s">
        <v>535</v>
      </c>
    </row>
    <row r="606" spans="1:11" ht="30" customHeight="1">
      <c r="A606" s="12" t="s">
        <v>366</v>
      </c>
      <c r="B606" s="12" t="s">
        <v>363</v>
      </c>
      <c r="C606" s="12" t="s">
        <v>347</v>
      </c>
      <c r="D606" s="12" t="s">
        <v>400</v>
      </c>
      <c r="E606" s="18">
        <v>3</v>
      </c>
      <c r="F606" s="12" t="s">
        <v>50</v>
      </c>
      <c r="G606" s="12" t="s">
        <v>1053</v>
      </c>
      <c r="H606" s="13"/>
      <c r="I606" s="12" t="s">
        <v>365</v>
      </c>
      <c r="J606" s="12" t="s">
        <v>1052</v>
      </c>
      <c r="K606" s="12" t="s">
        <v>535</v>
      </c>
    </row>
    <row r="607" spans="1:11" ht="30" customHeight="1">
      <c r="A607" s="12" t="s">
        <v>361</v>
      </c>
      <c r="B607" s="12" t="s">
        <v>358</v>
      </c>
      <c r="C607" s="12" t="s">
        <v>347</v>
      </c>
      <c r="D607" s="12" t="s">
        <v>391</v>
      </c>
      <c r="E607" s="18">
        <v>3</v>
      </c>
      <c r="F607" s="13"/>
      <c r="G607" s="12" t="s">
        <v>1053</v>
      </c>
      <c r="H607" s="13"/>
      <c r="I607" s="12" t="s">
        <v>360</v>
      </c>
      <c r="J607" s="12" t="s">
        <v>1052</v>
      </c>
      <c r="K607" s="12" t="s">
        <v>535</v>
      </c>
    </row>
    <row r="608" spans="1:11" ht="30" customHeight="1">
      <c r="A608" s="12" t="s">
        <v>361</v>
      </c>
      <c r="B608" s="12" t="s">
        <v>358</v>
      </c>
      <c r="C608" s="12" t="s">
        <v>347</v>
      </c>
      <c r="D608" s="12" t="s">
        <v>392</v>
      </c>
      <c r="E608" s="18">
        <v>3</v>
      </c>
      <c r="F608" s="13"/>
      <c r="G608" s="12" t="s">
        <v>1053</v>
      </c>
      <c r="H608" s="13"/>
      <c r="I608" s="12" t="s">
        <v>360</v>
      </c>
      <c r="J608" s="12" t="s">
        <v>1052</v>
      </c>
      <c r="K608" s="12" t="s">
        <v>535</v>
      </c>
    </row>
    <row r="609" spans="1:11" ht="30" customHeight="1">
      <c r="A609" s="12" t="s">
        <v>361</v>
      </c>
      <c r="B609" s="12" t="s">
        <v>358</v>
      </c>
      <c r="C609" s="12" t="s">
        <v>347</v>
      </c>
      <c r="D609" s="12" t="s">
        <v>393</v>
      </c>
      <c r="E609" s="18">
        <v>3</v>
      </c>
      <c r="F609" s="13"/>
      <c r="G609" s="12" t="s">
        <v>1053</v>
      </c>
      <c r="H609" s="13"/>
      <c r="I609" s="12" t="s">
        <v>360</v>
      </c>
      <c r="J609" s="12" t="s">
        <v>1052</v>
      </c>
      <c r="K609" s="12" t="s">
        <v>535</v>
      </c>
    </row>
    <row r="610" spans="1:11" ht="30" customHeight="1">
      <c r="A610" s="12" t="s">
        <v>361</v>
      </c>
      <c r="B610" s="12" t="s">
        <v>358</v>
      </c>
      <c r="C610" s="12" t="s">
        <v>347</v>
      </c>
      <c r="D610" s="12" t="s">
        <v>394</v>
      </c>
      <c r="E610" s="18">
        <v>3</v>
      </c>
      <c r="F610" s="13"/>
      <c r="G610" s="12" t="s">
        <v>1053</v>
      </c>
      <c r="H610" s="13"/>
      <c r="I610" s="12" t="s">
        <v>360</v>
      </c>
      <c r="J610" s="12" t="s">
        <v>1052</v>
      </c>
      <c r="K610" s="12" t="s">
        <v>535</v>
      </c>
    </row>
    <row r="611" spans="1:11" ht="30" customHeight="1">
      <c r="A611" s="12" t="s">
        <v>361</v>
      </c>
      <c r="B611" s="12" t="s">
        <v>358</v>
      </c>
      <c r="C611" s="12" t="s">
        <v>347</v>
      </c>
      <c r="D611" s="12" t="s">
        <v>395</v>
      </c>
      <c r="E611" s="18">
        <v>3</v>
      </c>
      <c r="F611" s="13"/>
      <c r="G611" s="12" t="s">
        <v>1053</v>
      </c>
      <c r="H611" s="13"/>
      <c r="I611" s="12" t="s">
        <v>360</v>
      </c>
      <c r="J611" s="12" t="s">
        <v>1052</v>
      </c>
      <c r="K611" s="12" t="s">
        <v>535</v>
      </c>
    </row>
    <row r="612" spans="1:11" ht="30" customHeight="1">
      <c r="A612" s="12" t="s">
        <v>361</v>
      </c>
      <c r="B612" s="12" t="s">
        <v>358</v>
      </c>
      <c r="C612" s="12" t="s">
        <v>347</v>
      </c>
      <c r="D612" s="12" t="s">
        <v>396</v>
      </c>
      <c r="E612" s="18">
        <v>3</v>
      </c>
      <c r="F612" s="13"/>
      <c r="G612" s="12" t="s">
        <v>1053</v>
      </c>
      <c r="H612" s="13"/>
      <c r="I612" s="12" t="s">
        <v>360</v>
      </c>
      <c r="J612" s="12" t="s">
        <v>1052</v>
      </c>
      <c r="K612" s="12" t="s">
        <v>535</v>
      </c>
    </row>
    <row r="613" spans="1:11" ht="30" customHeight="1">
      <c r="A613" s="12" t="s">
        <v>361</v>
      </c>
      <c r="B613" s="12" t="s">
        <v>358</v>
      </c>
      <c r="C613" s="12" t="s">
        <v>347</v>
      </c>
      <c r="D613" s="12" t="s">
        <v>397</v>
      </c>
      <c r="E613" s="18">
        <v>3</v>
      </c>
      <c r="F613" s="13"/>
      <c r="G613" s="12" t="s">
        <v>1053</v>
      </c>
      <c r="H613" s="13"/>
      <c r="I613" s="12" t="s">
        <v>360</v>
      </c>
      <c r="J613" s="12" t="s">
        <v>1052</v>
      </c>
      <c r="K613" s="12" t="s">
        <v>535</v>
      </c>
    </row>
    <row r="614" spans="1:11" ht="30" customHeight="1">
      <c r="A614" s="12" t="s">
        <v>361</v>
      </c>
      <c r="B614" s="12" t="s">
        <v>358</v>
      </c>
      <c r="C614" s="12" t="s">
        <v>347</v>
      </c>
      <c r="D614" s="12" t="s">
        <v>398</v>
      </c>
      <c r="E614" s="18">
        <v>3</v>
      </c>
      <c r="F614" s="13"/>
      <c r="G614" s="12" t="s">
        <v>1053</v>
      </c>
      <c r="H614" s="13"/>
      <c r="I614" s="12" t="s">
        <v>360</v>
      </c>
      <c r="J614" s="12" t="s">
        <v>1052</v>
      </c>
      <c r="K614" s="12" t="s">
        <v>535</v>
      </c>
    </row>
    <row r="615" spans="1:11" ht="30" customHeight="1">
      <c r="A615" s="12" t="s">
        <v>361</v>
      </c>
      <c r="B615" s="12" t="s">
        <v>358</v>
      </c>
      <c r="C615" s="12" t="s">
        <v>347</v>
      </c>
      <c r="D615" s="12" t="s">
        <v>399</v>
      </c>
      <c r="E615" s="18">
        <v>3</v>
      </c>
      <c r="F615" s="13"/>
      <c r="G615" s="12" t="s">
        <v>1053</v>
      </c>
      <c r="H615" s="13"/>
      <c r="I615" s="12" t="s">
        <v>360</v>
      </c>
      <c r="J615" s="12" t="s">
        <v>1052</v>
      </c>
      <c r="K615" s="12" t="s">
        <v>535</v>
      </c>
    </row>
    <row r="616" spans="1:11" ht="30" customHeight="1">
      <c r="A616" s="12" t="s">
        <v>361</v>
      </c>
      <c r="B616" s="12" t="s">
        <v>358</v>
      </c>
      <c r="C616" s="12" t="s">
        <v>347</v>
      </c>
      <c r="D616" s="12" t="s">
        <v>400</v>
      </c>
      <c r="E616" s="18">
        <v>3</v>
      </c>
      <c r="F616" s="13"/>
      <c r="G616" s="12" t="s">
        <v>1053</v>
      </c>
      <c r="H616" s="13"/>
      <c r="I616" s="12" t="s">
        <v>360</v>
      </c>
      <c r="J616" s="12" t="s">
        <v>1052</v>
      </c>
      <c r="K616" s="12" t="s">
        <v>535</v>
      </c>
    </row>
    <row r="617" spans="1:11" ht="30" customHeight="1">
      <c r="A617" s="12" t="s">
        <v>351</v>
      </c>
      <c r="B617" s="12" t="s">
        <v>346</v>
      </c>
      <c r="C617" s="12" t="s">
        <v>347</v>
      </c>
      <c r="D617" s="12" t="s">
        <v>391</v>
      </c>
      <c r="E617" s="18">
        <v>3</v>
      </c>
      <c r="F617" s="13"/>
      <c r="G617" s="12" t="s">
        <v>1053</v>
      </c>
      <c r="H617" s="13"/>
      <c r="I617" s="13"/>
      <c r="J617" s="12" t="s">
        <v>1052</v>
      </c>
      <c r="K617" s="12" t="s">
        <v>535</v>
      </c>
    </row>
    <row r="618" spans="1:11" ht="30" customHeight="1">
      <c r="A618" s="12" t="s">
        <v>351</v>
      </c>
      <c r="B618" s="12" t="s">
        <v>346</v>
      </c>
      <c r="C618" s="12" t="s">
        <v>347</v>
      </c>
      <c r="D618" s="12" t="s">
        <v>392</v>
      </c>
      <c r="E618" s="18">
        <v>3</v>
      </c>
      <c r="F618" s="13"/>
      <c r="G618" s="12" t="s">
        <v>1053</v>
      </c>
      <c r="H618" s="13"/>
      <c r="I618" s="13"/>
      <c r="J618" s="12" t="s">
        <v>1052</v>
      </c>
      <c r="K618" s="12" t="s">
        <v>535</v>
      </c>
    </row>
    <row r="619" spans="1:11" ht="30" customHeight="1">
      <c r="A619" s="12" t="s">
        <v>351</v>
      </c>
      <c r="B619" s="12" t="s">
        <v>346</v>
      </c>
      <c r="C619" s="12" t="s">
        <v>347</v>
      </c>
      <c r="D619" s="12" t="s">
        <v>393</v>
      </c>
      <c r="E619" s="18">
        <v>3</v>
      </c>
      <c r="F619" s="13"/>
      <c r="G619" s="12" t="s">
        <v>1053</v>
      </c>
      <c r="H619" s="13"/>
      <c r="I619" s="13"/>
      <c r="J619" s="12" t="s">
        <v>1052</v>
      </c>
      <c r="K619" s="12" t="s">
        <v>535</v>
      </c>
    </row>
    <row r="620" spans="1:11" ht="30" customHeight="1">
      <c r="A620" s="12" t="s">
        <v>351</v>
      </c>
      <c r="B620" s="12" t="s">
        <v>346</v>
      </c>
      <c r="C620" s="12" t="s">
        <v>347</v>
      </c>
      <c r="D620" s="12" t="s">
        <v>394</v>
      </c>
      <c r="E620" s="18">
        <v>3</v>
      </c>
      <c r="F620" s="13"/>
      <c r="G620" s="12" t="s">
        <v>1053</v>
      </c>
      <c r="H620" s="13"/>
      <c r="I620" s="13"/>
      <c r="J620" s="12" t="s">
        <v>1052</v>
      </c>
      <c r="K620" s="12" t="s">
        <v>535</v>
      </c>
    </row>
    <row r="621" spans="1:11" ht="30" customHeight="1">
      <c r="A621" s="12" t="s">
        <v>351</v>
      </c>
      <c r="B621" s="12" t="s">
        <v>346</v>
      </c>
      <c r="C621" s="12" t="s">
        <v>347</v>
      </c>
      <c r="D621" s="12" t="s">
        <v>395</v>
      </c>
      <c r="E621" s="18">
        <v>3</v>
      </c>
      <c r="F621" s="13"/>
      <c r="G621" s="12" t="s">
        <v>1053</v>
      </c>
      <c r="H621" s="13"/>
      <c r="I621" s="13"/>
      <c r="J621" s="12" t="s">
        <v>1052</v>
      </c>
      <c r="K621" s="12" t="s">
        <v>535</v>
      </c>
    </row>
    <row r="622" spans="1:11" ht="30" customHeight="1">
      <c r="A622" s="12" t="s">
        <v>351</v>
      </c>
      <c r="B622" s="12" t="s">
        <v>346</v>
      </c>
      <c r="C622" s="12" t="s">
        <v>347</v>
      </c>
      <c r="D622" s="12" t="s">
        <v>396</v>
      </c>
      <c r="E622" s="18">
        <v>3</v>
      </c>
      <c r="F622" s="13"/>
      <c r="G622" s="12" t="s">
        <v>1053</v>
      </c>
      <c r="H622" s="13"/>
      <c r="I622" s="13"/>
      <c r="J622" s="12" t="s">
        <v>1052</v>
      </c>
      <c r="K622" s="12" t="s">
        <v>535</v>
      </c>
    </row>
    <row r="623" spans="1:11" ht="30" customHeight="1">
      <c r="A623" s="12" t="s">
        <v>351</v>
      </c>
      <c r="B623" s="12" t="s">
        <v>346</v>
      </c>
      <c r="C623" s="12" t="s">
        <v>347</v>
      </c>
      <c r="D623" s="12" t="s">
        <v>397</v>
      </c>
      <c r="E623" s="18">
        <v>3</v>
      </c>
      <c r="F623" s="13"/>
      <c r="G623" s="12" t="s">
        <v>1053</v>
      </c>
      <c r="H623" s="13"/>
      <c r="I623" s="13"/>
      <c r="J623" s="12" t="s">
        <v>1052</v>
      </c>
      <c r="K623" s="12" t="s">
        <v>535</v>
      </c>
    </row>
    <row r="624" spans="1:11" ht="30" customHeight="1">
      <c r="A624" s="12" t="s">
        <v>351</v>
      </c>
      <c r="B624" s="12" t="s">
        <v>346</v>
      </c>
      <c r="C624" s="12" t="s">
        <v>347</v>
      </c>
      <c r="D624" s="12" t="s">
        <v>398</v>
      </c>
      <c r="E624" s="18">
        <v>3</v>
      </c>
      <c r="F624" s="13"/>
      <c r="G624" s="12" t="s">
        <v>1053</v>
      </c>
      <c r="H624" s="13"/>
      <c r="I624" s="13"/>
      <c r="J624" s="12" t="s">
        <v>1052</v>
      </c>
      <c r="K624" s="12" t="s">
        <v>535</v>
      </c>
    </row>
    <row r="625" spans="1:11" ht="30" customHeight="1">
      <c r="A625" s="12" t="s">
        <v>351</v>
      </c>
      <c r="B625" s="12" t="s">
        <v>346</v>
      </c>
      <c r="C625" s="12" t="s">
        <v>347</v>
      </c>
      <c r="D625" s="12" t="s">
        <v>399</v>
      </c>
      <c r="E625" s="18">
        <v>3</v>
      </c>
      <c r="F625" s="13"/>
      <c r="G625" s="12" t="s">
        <v>1053</v>
      </c>
      <c r="H625" s="13"/>
      <c r="I625" s="13"/>
      <c r="J625" s="12" t="s">
        <v>1052</v>
      </c>
      <c r="K625" s="12" t="s">
        <v>535</v>
      </c>
    </row>
    <row r="626" spans="1:11" ht="30" customHeight="1">
      <c r="A626" s="12" t="s">
        <v>351</v>
      </c>
      <c r="B626" s="12" t="s">
        <v>346</v>
      </c>
      <c r="C626" s="12" t="s">
        <v>347</v>
      </c>
      <c r="D626" s="12" t="s">
        <v>400</v>
      </c>
      <c r="E626" s="18">
        <v>3</v>
      </c>
      <c r="F626" s="13"/>
      <c r="G626" s="12" t="s">
        <v>1053</v>
      </c>
      <c r="H626" s="13"/>
      <c r="I626" s="13"/>
      <c r="J626" s="12" t="s">
        <v>1052</v>
      </c>
      <c r="K626" s="12" t="s">
        <v>535</v>
      </c>
    </row>
    <row r="627" spans="1:11" ht="30" customHeight="1">
      <c r="A627" s="12" t="s">
        <v>382</v>
      </c>
      <c r="B627" s="12" t="s">
        <v>379</v>
      </c>
      <c r="C627" s="12" t="s">
        <v>347</v>
      </c>
      <c r="D627" s="12" t="s">
        <v>391</v>
      </c>
      <c r="E627" s="18">
        <v>3</v>
      </c>
      <c r="F627" s="13"/>
      <c r="G627" s="12" t="s">
        <v>1053</v>
      </c>
      <c r="H627" s="13"/>
      <c r="I627" s="12" t="s">
        <v>381</v>
      </c>
      <c r="J627" s="12" t="s">
        <v>1052</v>
      </c>
      <c r="K627" s="12" t="s">
        <v>535</v>
      </c>
    </row>
    <row r="628" spans="1:11" ht="30" customHeight="1">
      <c r="A628" s="12" t="s">
        <v>382</v>
      </c>
      <c r="B628" s="12" t="s">
        <v>379</v>
      </c>
      <c r="C628" s="12" t="s">
        <v>347</v>
      </c>
      <c r="D628" s="12" t="s">
        <v>392</v>
      </c>
      <c r="E628" s="18">
        <v>0</v>
      </c>
      <c r="F628" s="13"/>
      <c r="G628" s="12" t="s">
        <v>1053</v>
      </c>
      <c r="H628" s="13"/>
      <c r="I628" s="12" t="s">
        <v>381</v>
      </c>
      <c r="J628" s="12" t="s">
        <v>1052</v>
      </c>
      <c r="K628" s="12" t="s">
        <v>535</v>
      </c>
    </row>
    <row r="629" spans="1:11" ht="30" customHeight="1">
      <c r="A629" s="12" t="s">
        <v>382</v>
      </c>
      <c r="B629" s="12" t="s">
        <v>379</v>
      </c>
      <c r="C629" s="12" t="s">
        <v>347</v>
      </c>
      <c r="D629" s="12" t="s">
        <v>393</v>
      </c>
      <c r="E629" s="18">
        <v>3</v>
      </c>
      <c r="F629" s="13"/>
      <c r="G629" s="12" t="s">
        <v>1053</v>
      </c>
      <c r="H629" s="13"/>
      <c r="I629" s="12" t="s">
        <v>381</v>
      </c>
      <c r="J629" s="12" t="s">
        <v>1052</v>
      </c>
      <c r="K629" s="12" t="s">
        <v>535</v>
      </c>
    </row>
    <row r="630" spans="1:11" ht="30" customHeight="1">
      <c r="A630" s="12" t="s">
        <v>382</v>
      </c>
      <c r="B630" s="12" t="s">
        <v>379</v>
      </c>
      <c r="C630" s="12" t="s">
        <v>347</v>
      </c>
      <c r="D630" s="12" t="s">
        <v>394</v>
      </c>
      <c r="E630" s="18">
        <v>3</v>
      </c>
      <c r="F630" s="13"/>
      <c r="G630" s="12" t="s">
        <v>1053</v>
      </c>
      <c r="H630" s="13"/>
      <c r="I630" s="12" t="s">
        <v>381</v>
      </c>
      <c r="J630" s="12" t="s">
        <v>1052</v>
      </c>
      <c r="K630" s="12" t="s">
        <v>535</v>
      </c>
    </row>
    <row r="631" spans="1:11" ht="30" customHeight="1">
      <c r="A631" s="12" t="s">
        <v>382</v>
      </c>
      <c r="B631" s="12" t="s">
        <v>379</v>
      </c>
      <c r="C631" s="12" t="s">
        <v>347</v>
      </c>
      <c r="D631" s="12" t="s">
        <v>395</v>
      </c>
      <c r="E631" s="18">
        <v>3</v>
      </c>
      <c r="F631" s="13"/>
      <c r="G631" s="12" t="s">
        <v>1053</v>
      </c>
      <c r="H631" s="13"/>
      <c r="I631" s="12" t="s">
        <v>381</v>
      </c>
      <c r="J631" s="12" t="s">
        <v>1052</v>
      </c>
      <c r="K631" s="12" t="s">
        <v>535</v>
      </c>
    </row>
    <row r="632" spans="1:11" ht="30" customHeight="1">
      <c r="A632" s="12" t="s">
        <v>382</v>
      </c>
      <c r="B632" s="12" t="s">
        <v>379</v>
      </c>
      <c r="C632" s="12" t="s">
        <v>347</v>
      </c>
      <c r="D632" s="12" t="s">
        <v>396</v>
      </c>
      <c r="E632" s="18">
        <v>3</v>
      </c>
      <c r="F632" s="13"/>
      <c r="G632" s="12" t="s">
        <v>1053</v>
      </c>
      <c r="H632" s="13"/>
      <c r="I632" s="12" t="s">
        <v>381</v>
      </c>
      <c r="J632" s="12" t="s">
        <v>1052</v>
      </c>
      <c r="K632" s="12" t="s">
        <v>535</v>
      </c>
    </row>
    <row r="633" spans="1:11" ht="30" customHeight="1">
      <c r="A633" s="12" t="s">
        <v>382</v>
      </c>
      <c r="B633" s="12" t="s">
        <v>379</v>
      </c>
      <c r="C633" s="12" t="s">
        <v>347</v>
      </c>
      <c r="D633" s="12" t="s">
        <v>397</v>
      </c>
      <c r="E633" s="18">
        <v>3</v>
      </c>
      <c r="F633" s="13"/>
      <c r="G633" s="12" t="s">
        <v>1053</v>
      </c>
      <c r="H633" s="13"/>
      <c r="I633" s="12" t="s">
        <v>381</v>
      </c>
      <c r="J633" s="12" t="s">
        <v>1052</v>
      </c>
      <c r="K633" s="12" t="s">
        <v>535</v>
      </c>
    </row>
    <row r="634" spans="1:11" ht="30" customHeight="1">
      <c r="A634" s="12" t="s">
        <v>382</v>
      </c>
      <c r="B634" s="12" t="s">
        <v>379</v>
      </c>
      <c r="C634" s="12" t="s">
        <v>347</v>
      </c>
      <c r="D634" s="12" t="s">
        <v>398</v>
      </c>
      <c r="E634" s="18">
        <v>3</v>
      </c>
      <c r="F634" s="13"/>
      <c r="G634" s="12" t="s">
        <v>1053</v>
      </c>
      <c r="H634" s="13"/>
      <c r="I634" s="12" t="s">
        <v>381</v>
      </c>
      <c r="J634" s="12" t="s">
        <v>1052</v>
      </c>
      <c r="K634" s="12" t="s">
        <v>535</v>
      </c>
    </row>
    <row r="635" spans="1:11" ht="30" customHeight="1">
      <c r="A635" s="12" t="s">
        <v>382</v>
      </c>
      <c r="B635" s="12" t="s">
        <v>379</v>
      </c>
      <c r="C635" s="12" t="s">
        <v>347</v>
      </c>
      <c r="D635" s="12" t="s">
        <v>399</v>
      </c>
      <c r="E635" s="18">
        <v>3</v>
      </c>
      <c r="F635" s="13"/>
      <c r="G635" s="12" t="s">
        <v>1053</v>
      </c>
      <c r="H635" s="13"/>
      <c r="I635" s="12" t="s">
        <v>381</v>
      </c>
      <c r="J635" s="12" t="s">
        <v>1052</v>
      </c>
      <c r="K635" s="12" t="s">
        <v>535</v>
      </c>
    </row>
    <row r="636" spans="1:11" ht="30" customHeight="1">
      <c r="A636" s="12" t="s">
        <v>382</v>
      </c>
      <c r="B636" s="12" t="s">
        <v>379</v>
      </c>
      <c r="C636" s="12" t="s">
        <v>347</v>
      </c>
      <c r="D636" s="12" t="s">
        <v>400</v>
      </c>
      <c r="E636" s="18">
        <v>3</v>
      </c>
      <c r="F636" s="13"/>
      <c r="G636" s="12" t="s">
        <v>1053</v>
      </c>
      <c r="H636" s="13"/>
      <c r="I636" s="12" t="s">
        <v>381</v>
      </c>
      <c r="J636" s="12" t="s">
        <v>1052</v>
      </c>
      <c r="K636" s="12" t="s">
        <v>535</v>
      </c>
    </row>
    <row r="637" spans="1:11" ht="30" customHeight="1">
      <c r="A637" s="12" t="s">
        <v>374</v>
      </c>
      <c r="B637" s="12" t="s">
        <v>373</v>
      </c>
      <c r="C637" s="12" t="s">
        <v>347</v>
      </c>
      <c r="D637" s="12" t="s">
        <v>391</v>
      </c>
      <c r="E637" s="18">
        <v>3</v>
      </c>
      <c r="F637" s="13"/>
      <c r="G637" s="12" t="s">
        <v>1053</v>
      </c>
      <c r="H637" s="13"/>
      <c r="I637" s="13"/>
      <c r="J637" s="12" t="s">
        <v>1052</v>
      </c>
      <c r="K637" s="12" t="s">
        <v>535</v>
      </c>
    </row>
    <row r="638" spans="1:11" ht="30" customHeight="1">
      <c r="A638" s="12" t="s">
        <v>374</v>
      </c>
      <c r="B638" s="12" t="s">
        <v>373</v>
      </c>
      <c r="C638" s="12" t="s">
        <v>347</v>
      </c>
      <c r="D638" s="12" t="s">
        <v>392</v>
      </c>
      <c r="E638" s="18">
        <v>3</v>
      </c>
      <c r="F638" s="13"/>
      <c r="G638" s="12" t="s">
        <v>1053</v>
      </c>
      <c r="H638" s="13"/>
      <c r="I638" s="13"/>
      <c r="J638" s="12" t="s">
        <v>1052</v>
      </c>
      <c r="K638" s="12" t="s">
        <v>535</v>
      </c>
    </row>
    <row r="639" spans="1:11" ht="30" customHeight="1">
      <c r="A639" s="12" t="s">
        <v>374</v>
      </c>
      <c r="B639" s="12" t="s">
        <v>373</v>
      </c>
      <c r="C639" s="12" t="s">
        <v>347</v>
      </c>
      <c r="D639" s="12" t="s">
        <v>393</v>
      </c>
      <c r="E639" s="18">
        <v>3</v>
      </c>
      <c r="F639" s="13"/>
      <c r="G639" s="12" t="s">
        <v>1053</v>
      </c>
      <c r="H639" s="13"/>
      <c r="I639" s="13"/>
      <c r="J639" s="12" t="s">
        <v>1052</v>
      </c>
      <c r="K639" s="12" t="s">
        <v>535</v>
      </c>
    </row>
    <row r="640" spans="1:11" ht="30" customHeight="1">
      <c r="A640" s="12" t="s">
        <v>374</v>
      </c>
      <c r="B640" s="12" t="s">
        <v>373</v>
      </c>
      <c r="C640" s="12" t="s">
        <v>347</v>
      </c>
      <c r="D640" s="12" t="s">
        <v>394</v>
      </c>
      <c r="E640" s="18">
        <v>3</v>
      </c>
      <c r="F640" s="13"/>
      <c r="G640" s="12" t="s">
        <v>1053</v>
      </c>
      <c r="H640" s="13"/>
      <c r="I640" s="13"/>
      <c r="J640" s="12" t="s">
        <v>1052</v>
      </c>
      <c r="K640" s="12" t="s">
        <v>535</v>
      </c>
    </row>
    <row r="641" spans="1:11" ht="30" customHeight="1">
      <c r="A641" s="12" t="s">
        <v>374</v>
      </c>
      <c r="B641" s="12" t="s">
        <v>373</v>
      </c>
      <c r="C641" s="12" t="s">
        <v>347</v>
      </c>
      <c r="D641" s="12" t="s">
        <v>395</v>
      </c>
      <c r="E641" s="18">
        <v>3</v>
      </c>
      <c r="F641" s="13"/>
      <c r="G641" s="12" t="s">
        <v>1053</v>
      </c>
      <c r="H641" s="13"/>
      <c r="I641" s="13"/>
      <c r="J641" s="12" t="s">
        <v>1052</v>
      </c>
      <c r="K641" s="12" t="s">
        <v>535</v>
      </c>
    </row>
    <row r="642" spans="1:11" ht="30" customHeight="1">
      <c r="A642" s="12" t="s">
        <v>374</v>
      </c>
      <c r="B642" s="12" t="s">
        <v>373</v>
      </c>
      <c r="C642" s="12" t="s">
        <v>347</v>
      </c>
      <c r="D642" s="12" t="s">
        <v>396</v>
      </c>
      <c r="E642" s="18">
        <v>3</v>
      </c>
      <c r="F642" s="13"/>
      <c r="G642" s="12" t="s">
        <v>1053</v>
      </c>
      <c r="H642" s="13"/>
      <c r="I642" s="13"/>
      <c r="J642" s="12" t="s">
        <v>1052</v>
      </c>
      <c r="K642" s="12" t="s">
        <v>535</v>
      </c>
    </row>
    <row r="643" spans="1:11" ht="30" customHeight="1">
      <c r="A643" s="12" t="s">
        <v>374</v>
      </c>
      <c r="B643" s="12" t="s">
        <v>373</v>
      </c>
      <c r="C643" s="12" t="s">
        <v>347</v>
      </c>
      <c r="D643" s="12" t="s">
        <v>397</v>
      </c>
      <c r="E643" s="18">
        <v>1</v>
      </c>
      <c r="F643" s="13"/>
      <c r="G643" s="12" t="s">
        <v>1053</v>
      </c>
      <c r="H643" s="13"/>
      <c r="I643" s="13"/>
      <c r="J643" s="12" t="s">
        <v>1052</v>
      </c>
      <c r="K643" s="12" t="s">
        <v>535</v>
      </c>
    </row>
    <row r="644" spans="1:11" ht="30" customHeight="1">
      <c r="A644" s="12" t="s">
        <v>374</v>
      </c>
      <c r="B644" s="12" t="s">
        <v>373</v>
      </c>
      <c r="C644" s="12" t="s">
        <v>347</v>
      </c>
      <c r="D644" s="12" t="s">
        <v>398</v>
      </c>
      <c r="E644" s="18">
        <v>3</v>
      </c>
      <c r="F644" s="13"/>
      <c r="G644" s="12" t="s">
        <v>1053</v>
      </c>
      <c r="H644" s="13"/>
      <c r="I644" s="13"/>
      <c r="J644" s="12" t="s">
        <v>1052</v>
      </c>
      <c r="K644" s="12" t="s">
        <v>535</v>
      </c>
    </row>
    <row r="645" spans="1:11" ht="30" customHeight="1">
      <c r="A645" s="12" t="s">
        <v>374</v>
      </c>
      <c r="B645" s="12" t="s">
        <v>373</v>
      </c>
      <c r="C645" s="12" t="s">
        <v>347</v>
      </c>
      <c r="D645" s="12" t="s">
        <v>399</v>
      </c>
      <c r="E645" s="18">
        <v>3</v>
      </c>
      <c r="F645" s="13"/>
      <c r="G645" s="12" t="s">
        <v>1053</v>
      </c>
      <c r="H645" s="13"/>
      <c r="I645" s="13"/>
      <c r="J645" s="12" t="s">
        <v>1052</v>
      </c>
      <c r="K645" s="12" t="s">
        <v>535</v>
      </c>
    </row>
    <row r="646" spans="1:11" ht="30" customHeight="1">
      <c r="A646" s="12" t="s">
        <v>374</v>
      </c>
      <c r="B646" s="12" t="s">
        <v>373</v>
      </c>
      <c r="C646" s="12" t="s">
        <v>347</v>
      </c>
      <c r="D646" s="12" t="s">
        <v>400</v>
      </c>
      <c r="E646" s="18">
        <v>3</v>
      </c>
      <c r="F646" s="13"/>
      <c r="G646" s="12" t="s">
        <v>1053</v>
      </c>
      <c r="H646" s="13"/>
      <c r="I646" s="13"/>
      <c r="J646" s="12" t="s">
        <v>1052</v>
      </c>
      <c r="K646" s="12" t="s">
        <v>535</v>
      </c>
    </row>
    <row r="647" spans="1:11" ht="30" customHeight="1">
      <c r="A647" s="12" t="s">
        <v>356</v>
      </c>
      <c r="B647" s="12" t="s">
        <v>353</v>
      </c>
      <c r="C647" s="12" t="s">
        <v>347</v>
      </c>
      <c r="D647" s="12" t="s">
        <v>391</v>
      </c>
      <c r="E647" s="18">
        <v>3</v>
      </c>
      <c r="F647" s="13"/>
      <c r="G647" s="12" t="s">
        <v>1053</v>
      </c>
      <c r="H647" s="13"/>
      <c r="I647" s="12" t="s">
        <v>355</v>
      </c>
      <c r="J647" s="12" t="s">
        <v>1052</v>
      </c>
      <c r="K647" s="12" t="s">
        <v>535</v>
      </c>
    </row>
    <row r="648" spans="1:11" ht="30" customHeight="1">
      <c r="A648" s="12" t="s">
        <v>356</v>
      </c>
      <c r="B648" s="12" t="s">
        <v>353</v>
      </c>
      <c r="C648" s="12" t="s">
        <v>347</v>
      </c>
      <c r="D648" s="12" t="s">
        <v>392</v>
      </c>
      <c r="E648" s="18">
        <v>3</v>
      </c>
      <c r="F648" s="13"/>
      <c r="G648" s="12" t="s">
        <v>1053</v>
      </c>
      <c r="H648" s="13"/>
      <c r="I648" s="12" t="s">
        <v>355</v>
      </c>
      <c r="J648" s="12" t="s">
        <v>1052</v>
      </c>
      <c r="K648" s="12" t="s">
        <v>535</v>
      </c>
    </row>
    <row r="649" spans="1:11" ht="30" customHeight="1">
      <c r="A649" s="12" t="s">
        <v>356</v>
      </c>
      <c r="B649" s="12" t="s">
        <v>353</v>
      </c>
      <c r="C649" s="12" t="s">
        <v>347</v>
      </c>
      <c r="D649" s="12" t="s">
        <v>393</v>
      </c>
      <c r="E649" s="18">
        <v>3</v>
      </c>
      <c r="F649" s="13"/>
      <c r="G649" s="12" t="s">
        <v>1053</v>
      </c>
      <c r="H649" s="13"/>
      <c r="I649" s="12" t="s">
        <v>355</v>
      </c>
      <c r="J649" s="12" t="s">
        <v>1052</v>
      </c>
      <c r="K649" s="12" t="s">
        <v>535</v>
      </c>
    </row>
    <row r="650" spans="1:11" ht="30" customHeight="1">
      <c r="A650" s="12" t="s">
        <v>356</v>
      </c>
      <c r="B650" s="12" t="s">
        <v>353</v>
      </c>
      <c r="C650" s="12" t="s">
        <v>347</v>
      </c>
      <c r="D650" s="12" t="s">
        <v>394</v>
      </c>
      <c r="E650" s="18">
        <v>3</v>
      </c>
      <c r="F650" s="13"/>
      <c r="G650" s="12" t="s">
        <v>1053</v>
      </c>
      <c r="H650" s="13"/>
      <c r="I650" s="12" t="s">
        <v>355</v>
      </c>
      <c r="J650" s="12" t="s">
        <v>1052</v>
      </c>
      <c r="K650" s="12" t="s">
        <v>535</v>
      </c>
    </row>
    <row r="651" spans="1:11" ht="30" customHeight="1">
      <c r="A651" s="12" t="s">
        <v>356</v>
      </c>
      <c r="B651" s="12" t="s">
        <v>353</v>
      </c>
      <c r="C651" s="12" t="s">
        <v>347</v>
      </c>
      <c r="D651" s="12" t="s">
        <v>395</v>
      </c>
      <c r="E651" s="18">
        <v>3</v>
      </c>
      <c r="F651" s="13"/>
      <c r="G651" s="12" t="s">
        <v>1053</v>
      </c>
      <c r="H651" s="13"/>
      <c r="I651" s="12" t="s">
        <v>355</v>
      </c>
      <c r="J651" s="12" t="s">
        <v>1052</v>
      </c>
      <c r="K651" s="12" t="s">
        <v>535</v>
      </c>
    </row>
    <row r="652" spans="1:11" ht="30" customHeight="1">
      <c r="A652" s="12" t="s">
        <v>356</v>
      </c>
      <c r="B652" s="12" t="s">
        <v>353</v>
      </c>
      <c r="C652" s="12" t="s">
        <v>347</v>
      </c>
      <c r="D652" s="12" t="s">
        <v>396</v>
      </c>
      <c r="E652" s="18">
        <v>3</v>
      </c>
      <c r="F652" s="13"/>
      <c r="G652" s="12" t="s">
        <v>1053</v>
      </c>
      <c r="H652" s="13"/>
      <c r="I652" s="12" t="s">
        <v>355</v>
      </c>
      <c r="J652" s="12" t="s">
        <v>1052</v>
      </c>
      <c r="K652" s="12" t="s">
        <v>535</v>
      </c>
    </row>
    <row r="653" spans="1:11" ht="30" customHeight="1">
      <c r="A653" s="12" t="s">
        <v>356</v>
      </c>
      <c r="B653" s="12" t="s">
        <v>353</v>
      </c>
      <c r="C653" s="12" t="s">
        <v>347</v>
      </c>
      <c r="D653" s="12" t="s">
        <v>397</v>
      </c>
      <c r="E653" s="18">
        <v>3</v>
      </c>
      <c r="F653" s="13"/>
      <c r="G653" s="12" t="s">
        <v>1053</v>
      </c>
      <c r="H653" s="13"/>
      <c r="I653" s="12" t="s">
        <v>355</v>
      </c>
      <c r="J653" s="12" t="s">
        <v>1052</v>
      </c>
      <c r="K653" s="12" t="s">
        <v>535</v>
      </c>
    </row>
    <row r="654" spans="1:11" ht="30" customHeight="1">
      <c r="A654" s="12" t="s">
        <v>356</v>
      </c>
      <c r="B654" s="12" t="s">
        <v>353</v>
      </c>
      <c r="C654" s="12" t="s">
        <v>347</v>
      </c>
      <c r="D654" s="12" t="s">
        <v>398</v>
      </c>
      <c r="E654" s="18">
        <v>3</v>
      </c>
      <c r="F654" s="13"/>
      <c r="G654" s="12" t="s">
        <v>1053</v>
      </c>
      <c r="H654" s="13"/>
      <c r="I654" s="12" t="s">
        <v>355</v>
      </c>
      <c r="J654" s="12" t="s">
        <v>1052</v>
      </c>
      <c r="K654" s="12" t="s">
        <v>535</v>
      </c>
    </row>
    <row r="655" spans="1:11" ht="30" customHeight="1">
      <c r="A655" s="12" t="s">
        <v>356</v>
      </c>
      <c r="B655" s="12" t="s">
        <v>353</v>
      </c>
      <c r="C655" s="12" t="s">
        <v>347</v>
      </c>
      <c r="D655" s="12" t="s">
        <v>399</v>
      </c>
      <c r="E655" s="18">
        <v>3</v>
      </c>
      <c r="F655" s="13"/>
      <c r="G655" s="12" t="s">
        <v>1053</v>
      </c>
      <c r="H655" s="13"/>
      <c r="I655" s="12" t="s">
        <v>355</v>
      </c>
      <c r="J655" s="12" t="s">
        <v>1052</v>
      </c>
      <c r="K655" s="12" t="s">
        <v>535</v>
      </c>
    </row>
    <row r="656" spans="1:11" ht="30" customHeight="1">
      <c r="A656" s="12" t="s">
        <v>356</v>
      </c>
      <c r="B656" s="12" t="s">
        <v>353</v>
      </c>
      <c r="C656" s="12" t="s">
        <v>347</v>
      </c>
      <c r="D656" s="12" t="s">
        <v>400</v>
      </c>
      <c r="E656" s="18">
        <v>3</v>
      </c>
      <c r="F656" s="13"/>
      <c r="G656" s="12" t="s">
        <v>1053</v>
      </c>
      <c r="H656" s="13"/>
      <c r="I656" s="12" t="s">
        <v>355</v>
      </c>
      <c r="J656" s="12" t="s">
        <v>1052</v>
      </c>
      <c r="K656" s="12" t="s">
        <v>535</v>
      </c>
    </row>
    <row r="657" spans="1:11" ht="30" customHeight="1">
      <c r="A657" s="12" t="s">
        <v>132</v>
      </c>
      <c r="B657" s="12" t="s">
        <v>130</v>
      </c>
      <c r="C657" s="12" t="s">
        <v>109</v>
      </c>
      <c r="D657" s="12" t="s">
        <v>391</v>
      </c>
      <c r="E657" s="18">
        <v>3</v>
      </c>
      <c r="F657" s="13"/>
      <c r="G657" s="12" t="s">
        <v>1054</v>
      </c>
      <c r="H657" s="12" t="s">
        <v>1055</v>
      </c>
      <c r="I657" s="13"/>
      <c r="J657" s="12" t="s">
        <v>1056</v>
      </c>
      <c r="K657" s="12" t="s">
        <v>535</v>
      </c>
    </row>
    <row r="658" spans="1:11" ht="30" customHeight="1">
      <c r="A658" s="12" t="s">
        <v>132</v>
      </c>
      <c r="B658" s="12" t="s">
        <v>130</v>
      </c>
      <c r="C658" s="12" t="s">
        <v>109</v>
      </c>
      <c r="D658" s="12" t="s">
        <v>392</v>
      </c>
      <c r="E658" s="18">
        <v>3</v>
      </c>
      <c r="F658" s="13"/>
      <c r="G658" s="12" t="s">
        <v>1054</v>
      </c>
      <c r="H658" s="12" t="s">
        <v>1055</v>
      </c>
      <c r="I658" s="13"/>
      <c r="J658" s="12" t="s">
        <v>1056</v>
      </c>
      <c r="K658" s="12" t="s">
        <v>535</v>
      </c>
    </row>
    <row r="659" spans="1:11" ht="30" customHeight="1">
      <c r="A659" s="12" t="s">
        <v>132</v>
      </c>
      <c r="B659" s="12" t="s">
        <v>130</v>
      </c>
      <c r="C659" s="12" t="s">
        <v>109</v>
      </c>
      <c r="D659" s="12" t="s">
        <v>393</v>
      </c>
      <c r="E659" s="18">
        <v>3</v>
      </c>
      <c r="F659" s="13"/>
      <c r="G659" s="12" t="s">
        <v>1054</v>
      </c>
      <c r="H659" s="12" t="s">
        <v>1055</v>
      </c>
      <c r="I659" s="13"/>
      <c r="J659" s="12" t="s">
        <v>1056</v>
      </c>
      <c r="K659" s="12" t="s">
        <v>535</v>
      </c>
    </row>
    <row r="660" spans="1:11" ht="30" customHeight="1">
      <c r="A660" s="12" t="s">
        <v>132</v>
      </c>
      <c r="B660" s="12" t="s">
        <v>130</v>
      </c>
      <c r="C660" s="12" t="s">
        <v>109</v>
      </c>
      <c r="D660" s="12" t="s">
        <v>394</v>
      </c>
      <c r="E660" s="18">
        <v>3</v>
      </c>
      <c r="F660" s="13"/>
      <c r="G660" s="12" t="s">
        <v>1054</v>
      </c>
      <c r="H660" s="12" t="s">
        <v>1055</v>
      </c>
      <c r="I660" s="13"/>
      <c r="J660" s="12" t="s">
        <v>1056</v>
      </c>
      <c r="K660" s="12" t="s">
        <v>535</v>
      </c>
    </row>
    <row r="661" spans="1:11" ht="30" customHeight="1">
      <c r="A661" s="12" t="s">
        <v>132</v>
      </c>
      <c r="B661" s="12" t="s">
        <v>130</v>
      </c>
      <c r="C661" s="12" t="s">
        <v>109</v>
      </c>
      <c r="D661" s="12" t="s">
        <v>395</v>
      </c>
      <c r="E661" s="18">
        <v>3</v>
      </c>
      <c r="F661" s="13"/>
      <c r="G661" s="12" t="s">
        <v>1054</v>
      </c>
      <c r="H661" s="12" t="s">
        <v>1055</v>
      </c>
      <c r="I661" s="13"/>
      <c r="J661" s="12" t="s">
        <v>1056</v>
      </c>
      <c r="K661" s="12" t="s">
        <v>535</v>
      </c>
    </row>
    <row r="662" spans="1:11" ht="30" customHeight="1">
      <c r="A662" s="12" t="s">
        <v>132</v>
      </c>
      <c r="B662" s="12" t="s">
        <v>130</v>
      </c>
      <c r="C662" s="12" t="s">
        <v>109</v>
      </c>
      <c r="D662" s="12" t="s">
        <v>396</v>
      </c>
      <c r="E662" s="18">
        <v>3</v>
      </c>
      <c r="F662" s="13"/>
      <c r="G662" s="12" t="s">
        <v>1054</v>
      </c>
      <c r="H662" s="12" t="s">
        <v>1055</v>
      </c>
      <c r="I662" s="13"/>
      <c r="J662" s="12" t="s">
        <v>1056</v>
      </c>
      <c r="K662" s="12" t="s">
        <v>535</v>
      </c>
    </row>
    <row r="663" spans="1:11" ht="30" customHeight="1">
      <c r="A663" s="12" t="s">
        <v>132</v>
      </c>
      <c r="B663" s="12" t="s">
        <v>130</v>
      </c>
      <c r="C663" s="12" t="s">
        <v>109</v>
      </c>
      <c r="D663" s="12" t="s">
        <v>397</v>
      </c>
      <c r="E663" s="18">
        <v>3</v>
      </c>
      <c r="F663" s="13"/>
      <c r="G663" s="12" t="s">
        <v>1054</v>
      </c>
      <c r="H663" s="12" t="s">
        <v>1055</v>
      </c>
      <c r="I663" s="13"/>
      <c r="J663" s="12" t="s">
        <v>1056</v>
      </c>
      <c r="K663" s="12" t="s">
        <v>535</v>
      </c>
    </row>
    <row r="664" spans="1:11" ht="30" customHeight="1">
      <c r="A664" s="12" t="s">
        <v>132</v>
      </c>
      <c r="B664" s="12" t="s">
        <v>130</v>
      </c>
      <c r="C664" s="12" t="s">
        <v>109</v>
      </c>
      <c r="D664" s="12" t="s">
        <v>398</v>
      </c>
      <c r="E664" s="18">
        <v>3</v>
      </c>
      <c r="F664" s="13"/>
      <c r="G664" s="12" t="s">
        <v>1054</v>
      </c>
      <c r="H664" s="12" t="s">
        <v>1055</v>
      </c>
      <c r="I664" s="13"/>
      <c r="J664" s="12" t="s">
        <v>1056</v>
      </c>
      <c r="K664" s="12" t="s">
        <v>535</v>
      </c>
    </row>
    <row r="665" spans="1:11" ht="30" customHeight="1">
      <c r="A665" s="12" t="s">
        <v>132</v>
      </c>
      <c r="B665" s="12" t="s">
        <v>130</v>
      </c>
      <c r="C665" s="12" t="s">
        <v>109</v>
      </c>
      <c r="D665" s="12" t="s">
        <v>399</v>
      </c>
      <c r="E665" s="18">
        <v>3</v>
      </c>
      <c r="F665" s="13"/>
      <c r="G665" s="12" t="s">
        <v>1054</v>
      </c>
      <c r="H665" s="12" t="s">
        <v>1055</v>
      </c>
      <c r="I665" s="13"/>
      <c r="J665" s="12" t="s">
        <v>1056</v>
      </c>
      <c r="K665" s="12" t="s">
        <v>535</v>
      </c>
    </row>
    <row r="666" spans="1:11" ht="30" customHeight="1">
      <c r="A666" s="12" t="s">
        <v>132</v>
      </c>
      <c r="B666" s="12" t="s">
        <v>130</v>
      </c>
      <c r="C666" s="12" t="s">
        <v>109</v>
      </c>
      <c r="D666" s="12" t="s">
        <v>400</v>
      </c>
      <c r="E666" s="18">
        <v>3</v>
      </c>
      <c r="F666" s="13"/>
      <c r="G666" s="12" t="s">
        <v>1054</v>
      </c>
      <c r="H666" s="12" t="s">
        <v>1055</v>
      </c>
      <c r="I666" s="13"/>
      <c r="J666" s="12" t="s">
        <v>1056</v>
      </c>
      <c r="K666" s="12" t="s">
        <v>535</v>
      </c>
    </row>
    <row r="667" spans="1:11" ht="30" customHeight="1">
      <c r="A667" s="12" t="s">
        <v>151</v>
      </c>
      <c r="B667" s="12" t="s">
        <v>148</v>
      </c>
      <c r="C667" s="12" t="s">
        <v>109</v>
      </c>
      <c r="D667" s="12" t="s">
        <v>391</v>
      </c>
      <c r="E667" s="18">
        <v>3</v>
      </c>
      <c r="F667" s="13"/>
      <c r="G667" s="12" t="s">
        <v>1054</v>
      </c>
      <c r="H667" s="12" t="s">
        <v>1055</v>
      </c>
      <c r="I667" s="13"/>
      <c r="J667" s="12" t="s">
        <v>1056</v>
      </c>
      <c r="K667" s="12" t="s">
        <v>535</v>
      </c>
    </row>
    <row r="668" spans="1:11" ht="30" customHeight="1">
      <c r="A668" s="12" t="s">
        <v>151</v>
      </c>
      <c r="B668" s="12" t="s">
        <v>148</v>
      </c>
      <c r="C668" s="12" t="s">
        <v>109</v>
      </c>
      <c r="D668" s="12" t="s">
        <v>392</v>
      </c>
      <c r="E668" s="18">
        <v>3</v>
      </c>
      <c r="F668" s="13"/>
      <c r="G668" s="12" t="s">
        <v>1054</v>
      </c>
      <c r="H668" s="12" t="s">
        <v>1055</v>
      </c>
      <c r="I668" s="13"/>
      <c r="J668" s="12" t="s">
        <v>1056</v>
      </c>
      <c r="K668" s="12" t="s">
        <v>535</v>
      </c>
    </row>
    <row r="669" spans="1:11" ht="30" customHeight="1">
      <c r="A669" s="12" t="s">
        <v>151</v>
      </c>
      <c r="B669" s="12" t="s">
        <v>148</v>
      </c>
      <c r="C669" s="12" t="s">
        <v>109</v>
      </c>
      <c r="D669" s="12" t="s">
        <v>393</v>
      </c>
      <c r="E669" s="18">
        <v>3</v>
      </c>
      <c r="F669" s="13"/>
      <c r="G669" s="12" t="s">
        <v>1054</v>
      </c>
      <c r="H669" s="12" t="s">
        <v>1055</v>
      </c>
      <c r="I669" s="13"/>
      <c r="J669" s="12" t="s">
        <v>1056</v>
      </c>
      <c r="K669" s="12" t="s">
        <v>535</v>
      </c>
    </row>
    <row r="670" spans="1:11" ht="30" customHeight="1">
      <c r="A670" s="12" t="s">
        <v>151</v>
      </c>
      <c r="B670" s="12" t="s">
        <v>148</v>
      </c>
      <c r="C670" s="12" t="s">
        <v>109</v>
      </c>
      <c r="D670" s="12" t="s">
        <v>394</v>
      </c>
      <c r="E670" s="18">
        <v>3</v>
      </c>
      <c r="F670" s="13"/>
      <c r="G670" s="12" t="s">
        <v>1054</v>
      </c>
      <c r="H670" s="12" t="s">
        <v>1055</v>
      </c>
      <c r="I670" s="13"/>
      <c r="J670" s="12" t="s">
        <v>1056</v>
      </c>
      <c r="K670" s="12" t="s">
        <v>535</v>
      </c>
    </row>
    <row r="671" spans="1:11" ht="30" customHeight="1">
      <c r="A671" s="12" t="s">
        <v>151</v>
      </c>
      <c r="B671" s="12" t="s">
        <v>148</v>
      </c>
      <c r="C671" s="12" t="s">
        <v>109</v>
      </c>
      <c r="D671" s="12" t="s">
        <v>395</v>
      </c>
      <c r="E671" s="18">
        <v>3</v>
      </c>
      <c r="F671" s="13"/>
      <c r="G671" s="12" t="s">
        <v>1054</v>
      </c>
      <c r="H671" s="12" t="s">
        <v>1055</v>
      </c>
      <c r="I671" s="13"/>
      <c r="J671" s="12" t="s">
        <v>1056</v>
      </c>
      <c r="K671" s="12" t="s">
        <v>535</v>
      </c>
    </row>
    <row r="672" spans="1:11" ht="30" customHeight="1">
      <c r="A672" s="12" t="s">
        <v>151</v>
      </c>
      <c r="B672" s="12" t="s">
        <v>148</v>
      </c>
      <c r="C672" s="12" t="s">
        <v>109</v>
      </c>
      <c r="D672" s="12" t="s">
        <v>396</v>
      </c>
      <c r="E672" s="18">
        <v>3</v>
      </c>
      <c r="F672" s="13"/>
      <c r="G672" s="12" t="s">
        <v>1054</v>
      </c>
      <c r="H672" s="12" t="s">
        <v>1055</v>
      </c>
      <c r="I672" s="13"/>
      <c r="J672" s="12" t="s">
        <v>1056</v>
      </c>
      <c r="K672" s="12" t="s">
        <v>535</v>
      </c>
    </row>
    <row r="673" spans="1:11" ht="30" customHeight="1">
      <c r="A673" s="12" t="s">
        <v>151</v>
      </c>
      <c r="B673" s="12" t="s">
        <v>148</v>
      </c>
      <c r="C673" s="12" t="s">
        <v>109</v>
      </c>
      <c r="D673" s="12" t="s">
        <v>397</v>
      </c>
      <c r="E673" s="18">
        <v>3</v>
      </c>
      <c r="F673" s="13"/>
      <c r="G673" s="12" t="s">
        <v>1054</v>
      </c>
      <c r="H673" s="12" t="s">
        <v>1055</v>
      </c>
      <c r="I673" s="13"/>
      <c r="J673" s="12" t="s">
        <v>1056</v>
      </c>
      <c r="K673" s="12" t="s">
        <v>535</v>
      </c>
    </row>
    <row r="674" spans="1:11" ht="30" customHeight="1">
      <c r="A674" s="12" t="s">
        <v>151</v>
      </c>
      <c r="B674" s="12" t="s">
        <v>148</v>
      </c>
      <c r="C674" s="12" t="s">
        <v>109</v>
      </c>
      <c r="D674" s="12" t="s">
        <v>398</v>
      </c>
      <c r="E674" s="18">
        <v>3</v>
      </c>
      <c r="F674" s="13"/>
      <c r="G674" s="12" t="s">
        <v>1054</v>
      </c>
      <c r="H674" s="12" t="s">
        <v>1055</v>
      </c>
      <c r="I674" s="13"/>
      <c r="J674" s="12" t="s">
        <v>1056</v>
      </c>
      <c r="K674" s="12" t="s">
        <v>535</v>
      </c>
    </row>
    <row r="675" spans="1:11" ht="30" customHeight="1">
      <c r="A675" s="12" t="s">
        <v>151</v>
      </c>
      <c r="B675" s="12" t="s">
        <v>148</v>
      </c>
      <c r="C675" s="12" t="s">
        <v>109</v>
      </c>
      <c r="D675" s="12" t="s">
        <v>399</v>
      </c>
      <c r="E675" s="18">
        <v>3</v>
      </c>
      <c r="F675" s="13"/>
      <c r="G675" s="12" t="s">
        <v>1054</v>
      </c>
      <c r="H675" s="12" t="s">
        <v>1055</v>
      </c>
      <c r="I675" s="13"/>
      <c r="J675" s="12" t="s">
        <v>1056</v>
      </c>
      <c r="K675" s="12" t="s">
        <v>535</v>
      </c>
    </row>
    <row r="676" spans="1:11" ht="30" customHeight="1">
      <c r="A676" s="12" t="s">
        <v>151</v>
      </c>
      <c r="B676" s="12" t="s">
        <v>148</v>
      </c>
      <c r="C676" s="12" t="s">
        <v>109</v>
      </c>
      <c r="D676" s="12" t="s">
        <v>400</v>
      </c>
      <c r="E676" s="18">
        <v>3</v>
      </c>
      <c r="F676" s="13"/>
      <c r="G676" s="12" t="s">
        <v>1054</v>
      </c>
      <c r="H676" s="12" t="s">
        <v>1055</v>
      </c>
      <c r="I676" s="13"/>
      <c r="J676" s="12" t="s">
        <v>1056</v>
      </c>
      <c r="K676" s="12" t="s">
        <v>535</v>
      </c>
    </row>
    <row r="677" spans="1:11" ht="30" customHeight="1">
      <c r="A677" s="12" t="s">
        <v>142</v>
      </c>
      <c r="B677" s="12" t="s">
        <v>140</v>
      </c>
      <c r="C677" s="12" t="s">
        <v>109</v>
      </c>
      <c r="D677" s="12" t="s">
        <v>391</v>
      </c>
      <c r="E677" s="18">
        <v>3</v>
      </c>
      <c r="F677" s="13"/>
      <c r="G677" s="12" t="s">
        <v>1054</v>
      </c>
      <c r="H677" s="12" t="s">
        <v>1055</v>
      </c>
      <c r="I677" s="13"/>
      <c r="J677" s="12" t="s">
        <v>1056</v>
      </c>
      <c r="K677" s="12" t="s">
        <v>535</v>
      </c>
    </row>
    <row r="678" spans="1:11" ht="30" customHeight="1">
      <c r="A678" s="12" t="s">
        <v>142</v>
      </c>
      <c r="B678" s="12" t="s">
        <v>140</v>
      </c>
      <c r="C678" s="12" t="s">
        <v>109</v>
      </c>
      <c r="D678" s="12" t="s">
        <v>392</v>
      </c>
      <c r="E678" s="18">
        <v>3</v>
      </c>
      <c r="F678" s="13"/>
      <c r="G678" s="12" t="s">
        <v>1054</v>
      </c>
      <c r="H678" s="12" t="s">
        <v>1055</v>
      </c>
      <c r="I678" s="13"/>
      <c r="J678" s="12" t="s">
        <v>1056</v>
      </c>
      <c r="K678" s="12" t="s">
        <v>535</v>
      </c>
    </row>
    <row r="679" spans="1:11" ht="30" customHeight="1">
      <c r="A679" s="12" t="s">
        <v>142</v>
      </c>
      <c r="B679" s="12" t="s">
        <v>140</v>
      </c>
      <c r="C679" s="12" t="s">
        <v>109</v>
      </c>
      <c r="D679" s="12" t="s">
        <v>393</v>
      </c>
      <c r="E679" s="18">
        <v>3</v>
      </c>
      <c r="F679" s="13"/>
      <c r="G679" s="12" t="s">
        <v>1054</v>
      </c>
      <c r="H679" s="12" t="s">
        <v>1055</v>
      </c>
      <c r="I679" s="13"/>
      <c r="J679" s="12" t="s">
        <v>1056</v>
      </c>
      <c r="K679" s="12" t="s">
        <v>535</v>
      </c>
    </row>
    <row r="680" spans="1:11" ht="30" customHeight="1">
      <c r="A680" s="12" t="s">
        <v>142</v>
      </c>
      <c r="B680" s="12" t="s">
        <v>140</v>
      </c>
      <c r="C680" s="12" t="s">
        <v>109</v>
      </c>
      <c r="D680" s="12" t="s">
        <v>394</v>
      </c>
      <c r="E680" s="18">
        <v>3</v>
      </c>
      <c r="F680" s="13"/>
      <c r="G680" s="12" t="s">
        <v>1054</v>
      </c>
      <c r="H680" s="12" t="s">
        <v>1055</v>
      </c>
      <c r="I680" s="13"/>
      <c r="J680" s="12" t="s">
        <v>1056</v>
      </c>
      <c r="K680" s="12" t="s">
        <v>535</v>
      </c>
    </row>
    <row r="681" spans="1:11" ht="30" customHeight="1">
      <c r="A681" s="12" t="s">
        <v>142</v>
      </c>
      <c r="B681" s="12" t="s">
        <v>140</v>
      </c>
      <c r="C681" s="12" t="s">
        <v>109</v>
      </c>
      <c r="D681" s="12" t="s">
        <v>395</v>
      </c>
      <c r="E681" s="18">
        <v>3</v>
      </c>
      <c r="F681" s="13"/>
      <c r="G681" s="12" t="s">
        <v>1054</v>
      </c>
      <c r="H681" s="12" t="s">
        <v>1055</v>
      </c>
      <c r="I681" s="13"/>
      <c r="J681" s="12" t="s">
        <v>1056</v>
      </c>
      <c r="K681" s="12" t="s">
        <v>535</v>
      </c>
    </row>
    <row r="682" spans="1:11" ht="30" customHeight="1">
      <c r="A682" s="12" t="s">
        <v>142</v>
      </c>
      <c r="B682" s="12" t="s">
        <v>140</v>
      </c>
      <c r="C682" s="12" t="s">
        <v>109</v>
      </c>
      <c r="D682" s="12" t="s">
        <v>396</v>
      </c>
      <c r="E682" s="18">
        <v>3</v>
      </c>
      <c r="F682" s="13"/>
      <c r="G682" s="12" t="s">
        <v>1054</v>
      </c>
      <c r="H682" s="12" t="s">
        <v>1055</v>
      </c>
      <c r="I682" s="13"/>
      <c r="J682" s="12" t="s">
        <v>1056</v>
      </c>
      <c r="K682" s="12" t="s">
        <v>535</v>
      </c>
    </row>
    <row r="683" spans="1:11" ht="30" customHeight="1">
      <c r="A683" s="12" t="s">
        <v>142</v>
      </c>
      <c r="B683" s="12" t="s">
        <v>140</v>
      </c>
      <c r="C683" s="12" t="s">
        <v>109</v>
      </c>
      <c r="D683" s="12" t="s">
        <v>397</v>
      </c>
      <c r="E683" s="18">
        <v>3</v>
      </c>
      <c r="F683" s="13"/>
      <c r="G683" s="12" t="s">
        <v>1054</v>
      </c>
      <c r="H683" s="12" t="s">
        <v>1055</v>
      </c>
      <c r="I683" s="13"/>
      <c r="J683" s="12" t="s">
        <v>1056</v>
      </c>
      <c r="K683" s="12" t="s">
        <v>535</v>
      </c>
    </row>
    <row r="684" spans="1:11" ht="30" customHeight="1">
      <c r="A684" s="12" t="s">
        <v>142</v>
      </c>
      <c r="B684" s="12" t="s">
        <v>140</v>
      </c>
      <c r="C684" s="12" t="s">
        <v>109</v>
      </c>
      <c r="D684" s="12" t="s">
        <v>398</v>
      </c>
      <c r="E684" s="18">
        <v>3</v>
      </c>
      <c r="F684" s="13"/>
      <c r="G684" s="12" t="s">
        <v>1054</v>
      </c>
      <c r="H684" s="12" t="s">
        <v>1055</v>
      </c>
      <c r="I684" s="13"/>
      <c r="J684" s="12" t="s">
        <v>1056</v>
      </c>
      <c r="K684" s="12" t="s">
        <v>535</v>
      </c>
    </row>
    <row r="685" spans="1:11" ht="30" customHeight="1">
      <c r="A685" s="12" t="s">
        <v>142</v>
      </c>
      <c r="B685" s="12" t="s">
        <v>140</v>
      </c>
      <c r="C685" s="12" t="s">
        <v>109</v>
      </c>
      <c r="D685" s="12" t="s">
        <v>399</v>
      </c>
      <c r="E685" s="18">
        <v>3</v>
      </c>
      <c r="F685" s="13"/>
      <c r="G685" s="12" t="s">
        <v>1054</v>
      </c>
      <c r="H685" s="12" t="s">
        <v>1055</v>
      </c>
      <c r="I685" s="13"/>
      <c r="J685" s="12" t="s">
        <v>1056</v>
      </c>
      <c r="K685" s="12" t="s">
        <v>535</v>
      </c>
    </row>
    <row r="686" spans="1:11" ht="30" customHeight="1">
      <c r="A686" s="12" t="s">
        <v>142</v>
      </c>
      <c r="B686" s="12" t="s">
        <v>140</v>
      </c>
      <c r="C686" s="12" t="s">
        <v>109</v>
      </c>
      <c r="D686" s="12" t="s">
        <v>400</v>
      </c>
      <c r="E686" s="18">
        <v>3</v>
      </c>
      <c r="F686" s="13"/>
      <c r="G686" s="12" t="s">
        <v>1054</v>
      </c>
      <c r="H686" s="12" t="s">
        <v>1055</v>
      </c>
      <c r="I686" s="13"/>
      <c r="J686" s="12" t="s">
        <v>1056</v>
      </c>
      <c r="K686" s="12" t="s">
        <v>535</v>
      </c>
    </row>
    <row r="687" spans="1:11" ht="30" customHeight="1">
      <c r="A687" s="12" t="s">
        <v>122</v>
      </c>
      <c r="B687" s="12" t="s">
        <v>118</v>
      </c>
      <c r="C687" s="12" t="s">
        <v>109</v>
      </c>
      <c r="D687" s="12" t="s">
        <v>391</v>
      </c>
      <c r="E687" s="18">
        <v>3</v>
      </c>
      <c r="F687" s="13"/>
      <c r="G687" s="12" t="s">
        <v>1054</v>
      </c>
      <c r="H687" s="12" t="s">
        <v>1055</v>
      </c>
      <c r="I687" s="13"/>
      <c r="J687" s="12" t="s">
        <v>1056</v>
      </c>
      <c r="K687" s="12" t="s">
        <v>535</v>
      </c>
    </row>
    <row r="688" spans="1:11" ht="30" customHeight="1">
      <c r="A688" s="12" t="s">
        <v>122</v>
      </c>
      <c r="B688" s="12" t="s">
        <v>118</v>
      </c>
      <c r="C688" s="12" t="s">
        <v>109</v>
      </c>
      <c r="D688" s="12" t="s">
        <v>392</v>
      </c>
      <c r="E688" s="18">
        <v>0</v>
      </c>
      <c r="F688" s="13"/>
      <c r="G688" s="12" t="s">
        <v>1054</v>
      </c>
      <c r="H688" s="12" t="s">
        <v>1055</v>
      </c>
      <c r="I688" s="13"/>
      <c r="J688" s="12" t="s">
        <v>1056</v>
      </c>
      <c r="K688" s="12" t="s">
        <v>535</v>
      </c>
    </row>
    <row r="689" spans="1:11" ht="30" customHeight="1">
      <c r="A689" s="12" t="s">
        <v>122</v>
      </c>
      <c r="B689" s="12" t="s">
        <v>118</v>
      </c>
      <c r="C689" s="12" t="s">
        <v>109</v>
      </c>
      <c r="D689" s="12" t="s">
        <v>393</v>
      </c>
      <c r="E689" s="18">
        <v>0</v>
      </c>
      <c r="F689" s="13"/>
      <c r="G689" s="12" t="s">
        <v>1054</v>
      </c>
      <c r="H689" s="12" t="s">
        <v>1055</v>
      </c>
      <c r="I689" s="13"/>
      <c r="J689" s="12" t="s">
        <v>1056</v>
      </c>
      <c r="K689" s="12" t="s">
        <v>535</v>
      </c>
    </row>
    <row r="690" spans="1:11" ht="30" customHeight="1">
      <c r="A690" s="12" t="s">
        <v>122</v>
      </c>
      <c r="B690" s="12" t="s">
        <v>118</v>
      </c>
      <c r="C690" s="12" t="s">
        <v>109</v>
      </c>
      <c r="D690" s="12" t="s">
        <v>394</v>
      </c>
      <c r="E690" s="18">
        <v>2</v>
      </c>
      <c r="F690" s="13"/>
      <c r="G690" s="12" t="s">
        <v>1054</v>
      </c>
      <c r="H690" s="12" t="s">
        <v>1055</v>
      </c>
      <c r="I690" s="13"/>
      <c r="J690" s="12" t="s">
        <v>1056</v>
      </c>
      <c r="K690" s="12" t="s">
        <v>535</v>
      </c>
    </row>
    <row r="691" spans="1:11" ht="30" customHeight="1">
      <c r="A691" s="12" t="s">
        <v>122</v>
      </c>
      <c r="B691" s="12" t="s">
        <v>118</v>
      </c>
      <c r="C691" s="12" t="s">
        <v>109</v>
      </c>
      <c r="D691" s="12" t="s">
        <v>395</v>
      </c>
      <c r="E691" s="18">
        <v>2</v>
      </c>
      <c r="F691" s="13"/>
      <c r="G691" s="12" t="s">
        <v>1054</v>
      </c>
      <c r="H691" s="12" t="s">
        <v>1055</v>
      </c>
      <c r="I691" s="13"/>
      <c r="J691" s="12" t="s">
        <v>1056</v>
      </c>
      <c r="K691" s="12" t="s">
        <v>535</v>
      </c>
    </row>
    <row r="692" spans="1:11" ht="30" customHeight="1">
      <c r="A692" s="12" t="s">
        <v>122</v>
      </c>
      <c r="B692" s="12" t="s">
        <v>118</v>
      </c>
      <c r="C692" s="12" t="s">
        <v>109</v>
      </c>
      <c r="D692" s="12" t="s">
        <v>396</v>
      </c>
      <c r="E692" s="18">
        <v>1</v>
      </c>
      <c r="F692" s="13"/>
      <c r="G692" s="12" t="s">
        <v>1054</v>
      </c>
      <c r="H692" s="12" t="s">
        <v>1055</v>
      </c>
      <c r="I692" s="13"/>
      <c r="J692" s="12" t="s">
        <v>1056</v>
      </c>
      <c r="K692" s="12" t="s">
        <v>535</v>
      </c>
    </row>
    <row r="693" spans="1:11" ht="30" customHeight="1">
      <c r="A693" s="12" t="s">
        <v>122</v>
      </c>
      <c r="B693" s="12" t="s">
        <v>118</v>
      </c>
      <c r="C693" s="12" t="s">
        <v>109</v>
      </c>
      <c r="D693" s="12" t="s">
        <v>397</v>
      </c>
      <c r="E693" s="18">
        <v>3</v>
      </c>
      <c r="F693" s="13"/>
      <c r="G693" s="12" t="s">
        <v>1054</v>
      </c>
      <c r="H693" s="12" t="s">
        <v>1055</v>
      </c>
      <c r="I693" s="13"/>
      <c r="J693" s="12" t="s">
        <v>1056</v>
      </c>
      <c r="K693" s="12" t="s">
        <v>535</v>
      </c>
    </row>
    <row r="694" spans="1:11" ht="30" customHeight="1">
      <c r="A694" s="12" t="s">
        <v>122</v>
      </c>
      <c r="B694" s="12" t="s">
        <v>118</v>
      </c>
      <c r="C694" s="12" t="s">
        <v>109</v>
      </c>
      <c r="D694" s="12" t="s">
        <v>398</v>
      </c>
      <c r="E694" s="18">
        <v>3</v>
      </c>
      <c r="F694" s="13"/>
      <c r="G694" s="12" t="s">
        <v>1054</v>
      </c>
      <c r="H694" s="12" t="s">
        <v>1055</v>
      </c>
      <c r="I694" s="13"/>
      <c r="J694" s="12" t="s">
        <v>1056</v>
      </c>
      <c r="K694" s="12" t="s">
        <v>535</v>
      </c>
    </row>
    <row r="695" spans="1:11" ht="30" customHeight="1">
      <c r="A695" s="12" t="s">
        <v>122</v>
      </c>
      <c r="B695" s="12" t="s">
        <v>118</v>
      </c>
      <c r="C695" s="12" t="s">
        <v>109</v>
      </c>
      <c r="D695" s="12" t="s">
        <v>399</v>
      </c>
      <c r="E695" s="18">
        <v>3</v>
      </c>
      <c r="F695" s="13"/>
      <c r="G695" s="12" t="s">
        <v>1054</v>
      </c>
      <c r="H695" s="12" t="s">
        <v>1055</v>
      </c>
      <c r="I695" s="13"/>
      <c r="J695" s="12" t="s">
        <v>1056</v>
      </c>
      <c r="K695" s="12" t="s">
        <v>535</v>
      </c>
    </row>
    <row r="696" spans="1:11" ht="30" customHeight="1">
      <c r="A696" s="12" t="s">
        <v>122</v>
      </c>
      <c r="B696" s="12" t="s">
        <v>118</v>
      </c>
      <c r="C696" s="12" t="s">
        <v>109</v>
      </c>
      <c r="D696" s="12" t="s">
        <v>400</v>
      </c>
      <c r="E696" s="18">
        <v>0</v>
      </c>
      <c r="F696" s="13"/>
      <c r="G696" s="12" t="s">
        <v>1054</v>
      </c>
      <c r="H696" s="12" t="s">
        <v>1055</v>
      </c>
      <c r="I696" s="13"/>
      <c r="J696" s="12" t="s">
        <v>1056</v>
      </c>
      <c r="K696" s="12" t="s">
        <v>535</v>
      </c>
    </row>
    <row r="697" spans="1:11" ht="30" customHeight="1">
      <c r="A697" s="12" t="s">
        <v>135</v>
      </c>
      <c r="B697" s="12" t="s">
        <v>134</v>
      </c>
      <c r="C697" s="12" t="s">
        <v>109</v>
      </c>
      <c r="D697" s="12" t="s">
        <v>391</v>
      </c>
      <c r="E697" s="18">
        <v>3</v>
      </c>
      <c r="F697" s="13"/>
      <c r="G697" s="12" t="s">
        <v>1054</v>
      </c>
      <c r="H697" s="12" t="s">
        <v>1055</v>
      </c>
      <c r="I697" s="13"/>
      <c r="J697" s="12" t="s">
        <v>1056</v>
      </c>
      <c r="K697" s="12" t="s">
        <v>535</v>
      </c>
    </row>
    <row r="698" spans="1:11" ht="30" customHeight="1">
      <c r="A698" s="12" t="s">
        <v>135</v>
      </c>
      <c r="B698" s="12" t="s">
        <v>134</v>
      </c>
      <c r="C698" s="12" t="s">
        <v>109</v>
      </c>
      <c r="D698" s="12" t="s">
        <v>392</v>
      </c>
      <c r="E698" s="18">
        <v>0</v>
      </c>
      <c r="F698" s="13"/>
      <c r="G698" s="12" t="s">
        <v>1054</v>
      </c>
      <c r="H698" s="12" t="s">
        <v>1055</v>
      </c>
      <c r="I698" s="13"/>
      <c r="J698" s="12" t="s">
        <v>1056</v>
      </c>
      <c r="K698" s="12" t="s">
        <v>535</v>
      </c>
    </row>
    <row r="699" spans="1:11" ht="30" customHeight="1">
      <c r="A699" s="12" t="s">
        <v>135</v>
      </c>
      <c r="B699" s="12" t="s">
        <v>134</v>
      </c>
      <c r="C699" s="12" t="s">
        <v>109</v>
      </c>
      <c r="D699" s="12" t="s">
        <v>393</v>
      </c>
      <c r="E699" s="18">
        <v>0</v>
      </c>
      <c r="F699" s="13"/>
      <c r="G699" s="12" t="s">
        <v>1054</v>
      </c>
      <c r="H699" s="12" t="s">
        <v>1055</v>
      </c>
      <c r="I699" s="13"/>
      <c r="J699" s="12" t="s">
        <v>1056</v>
      </c>
      <c r="K699" s="12" t="s">
        <v>535</v>
      </c>
    </row>
    <row r="700" spans="1:11" ht="30" customHeight="1">
      <c r="A700" s="12" t="s">
        <v>135</v>
      </c>
      <c r="B700" s="12" t="s">
        <v>134</v>
      </c>
      <c r="C700" s="12" t="s">
        <v>109</v>
      </c>
      <c r="D700" s="12" t="s">
        <v>394</v>
      </c>
      <c r="E700" s="18">
        <v>0</v>
      </c>
      <c r="F700" s="13"/>
      <c r="G700" s="12" t="s">
        <v>1054</v>
      </c>
      <c r="H700" s="12" t="s">
        <v>1055</v>
      </c>
      <c r="I700" s="13"/>
      <c r="J700" s="12" t="s">
        <v>1056</v>
      </c>
      <c r="K700" s="12" t="s">
        <v>535</v>
      </c>
    </row>
    <row r="701" spans="1:11" ht="30" customHeight="1">
      <c r="A701" s="12" t="s">
        <v>135</v>
      </c>
      <c r="B701" s="12" t="s">
        <v>134</v>
      </c>
      <c r="C701" s="12" t="s">
        <v>109</v>
      </c>
      <c r="D701" s="12" t="s">
        <v>395</v>
      </c>
      <c r="E701" s="18">
        <v>0</v>
      </c>
      <c r="F701" s="13"/>
      <c r="G701" s="12" t="s">
        <v>1054</v>
      </c>
      <c r="H701" s="12" t="s">
        <v>1055</v>
      </c>
      <c r="I701" s="13"/>
      <c r="J701" s="12" t="s">
        <v>1056</v>
      </c>
      <c r="K701" s="12" t="s">
        <v>535</v>
      </c>
    </row>
    <row r="702" spans="1:11" ht="30" customHeight="1">
      <c r="A702" s="12" t="s">
        <v>135</v>
      </c>
      <c r="B702" s="12" t="s">
        <v>134</v>
      </c>
      <c r="C702" s="12" t="s">
        <v>109</v>
      </c>
      <c r="D702" s="12" t="s">
        <v>396</v>
      </c>
      <c r="E702" s="18">
        <v>0</v>
      </c>
      <c r="F702" s="13"/>
      <c r="G702" s="12" t="s">
        <v>1054</v>
      </c>
      <c r="H702" s="12" t="s">
        <v>1055</v>
      </c>
      <c r="I702" s="13"/>
      <c r="J702" s="12" t="s">
        <v>1056</v>
      </c>
      <c r="K702" s="12" t="s">
        <v>535</v>
      </c>
    </row>
    <row r="703" spans="1:11" ht="30" customHeight="1">
      <c r="A703" s="12" t="s">
        <v>135</v>
      </c>
      <c r="B703" s="12" t="s">
        <v>134</v>
      </c>
      <c r="C703" s="12" t="s">
        <v>109</v>
      </c>
      <c r="D703" s="12" t="s">
        <v>397</v>
      </c>
      <c r="E703" s="18">
        <v>3</v>
      </c>
      <c r="F703" s="13"/>
      <c r="G703" s="12" t="s">
        <v>1054</v>
      </c>
      <c r="H703" s="12" t="s">
        <v>1055</v>
      </c>
      <c r="I703" s="13"/>
      <c r="J703" s="12" t="s">
        <v>1056</v>
      </c>
      <c r="K703" s="12" t="s">
        <v>535</v>
      </c>
    </row>
    <row r="704" spans="1:11" ht="30" customHeight="1">
      <c r="A704" s="12" t="s">
        <v>135</v>
      </c>
      <c r="B704" s="12" t="s">
        <v>134</v>
      </c>
      <c r="C704" s="12" t="s">
        <v>109</v>
      </c>
      <c r="D704" s="12" t="s">
        <v>398</v>
      </c>
      <c r="E704" s="18">
        <v>2</v>
      </c>
      <c r="F704" s="13"/>
      <c r="G704" s="12" t="s">
        <v>1054</v>
      </c>
      <c r="H704" s="12" t="s">
        <v>1055</v>
      </c>
      <c r="I704" s="13"/>
      <c r="J704" s="12" t="s">
        <v>1056</v>
      </c>
      <c r="K704" s="12" t="s">
        <v>535</v>
      </c>
    </row>
    <row r="705" spans="1:11" ht="30" customHeight="1">
      <c r="A705" s="12" t="s">
        <v>135</v>
      </c>
      <c r="B705" s="12" t="s">
        <v>134</v>
      </c>
      <c r="C705" s="12" t="s">
        <v>109</v>
      </c>
      <c r="D705" s="12" t="s">
        <v>399</v>
      </c>
      <c r="E705" s="18">
        <v>2</v>
      </c>
      <c r="F705" s="13"/>
      <c r="G705" s="12" t="s">
        <v>1054</v>
      </c>
      <c r="H705" s="12" t="s">
        <v>1055</v>
      </c>
      <c r="I705" s="13"/>
      <c r="J705" s="12" t="s">
        <v>1056</v>
      </c>
      <c r="K705" s="12" t="s">
        <v>535</v>
      </c>
    </row>
    <row r="706" spans="1:11" ht="30" customHeight="1">
      <c r="A706" s="12" t="s">
        <v>135</v>
      </c>
      <c r="B706" s="12" t="s">
        <v>134</v>
      </c>
      <c r="C706" s="12" t="s">
        <v>109</v>
      </c>
      <c r="D706" s="12" t="s">
        <v>400</v>
      </c>
      <c r="E706" s="18">
        <v>0</v>
      </c>
      <c r="F706" s="13"/>
      <c r="G706" s="12" t="s">
        <v>1054</v>
      </c>
      <c r="H706" s="12" t="s">
        <v>1055</v>
      </c>
      <c r="I706" s="13"/>
      <c r="J706" s="12" t="s">
        <v>1056</v>
      </c>
      <c r="K706" s="12" t="s">
        <v>535</v>
      </c>
    </row>
    <row r="707" spans="1:11" ht="30" customHeight="1">
      <c r="A707" s="12" t="s">
        <v>125</v>
      </c>
      <c r="B707" s="12" t="s">
        <v>124</v>
      </c>
      <c r="C707" s="12" t="s">
        <v>109</v>
      </c>
      <c r="D707" s="12" t="s">
        <v>391</v>
      </c>
      <c r="E707" s="18">
        <v>3</v>
      </c>
      <c r="F707" s="13"/>
      <c r="G707" s="12" t="s">
        <v>1054</v>
      </c>
      <c r="H707" s="12" t="s">
        <v>1055</v>
      </c>
      <c r="I707" s="13"/>
      <c r="J707" s="12" t="s">
        <v>1056</v>
      </c>
      <c r="K707" s="12" t="s">
        <v>535</v>
      </c>
    </row>
    <row r="708" spans="1:11" ht="30" customHeight="1">
      <c r="A708" s="12" t="s">
        <v>125</v>
      </c>
      <c r="B708" s="12" t="s">
        <v>124</v>
      </c>
      <c r="C708" s="12" t="s">
        <v>109</v>
      </c>
      <c r="D708" s="12" t="s">
        <v>392</v>
      </c>
      <c r="E708" s="18">
        <v>0</v>
      </c>
      <c r="F708" s="13"/>
      <c r="G708" s="12" t="s">
        <v>1054</v>
      </c>
      <c r="H708" s="12" t="s">
        <v>1055</v>
      </c>
      <c r="I708" s="13"/>
      <c r="J708" s="12" t="s">
        <v>1056</v>
      </c>
      <c r="K708" s="12" t="s">
        <v>535</v>
      </c>
    </row>
    <row r="709" spans="1:11" ht="30" customHeight="1">
      <c r="A709" s="12" t="s">
        <v>125</v>
      </c>
      <c r="B709" s="12" t="s">
        <v>124</v>
      </c>
      <c r="C709" s="12" t="s">
        <v>109</v>
      </c>
      <c r="D709" s="12" t="s">
        <v>393</v>
      </c>
      <c r="E709" s="18">
        <v>0</v>
      </c>
      <c r="F709" s="13"/>
      <c r="G709" s="12" t="s">
        <v>1054</v>
      </c>
      <c r="H709" s="12" t="s">
        <v>1055</v>
      </c>
      <c r="I709" s="13"/>
      <c r="J709" s="12" t="s">
        <v>1056</v>
      </c>
      <c r="K709" s="12" t="s">
        <v>535</v>
      </c>
    </row>
    <row r="710" spans="1:11" ht="30" customHeight="1">
      <c r="A710" s="12" t="s">
        <v>125</v>
      </c>
      <c r="B710" s="12" t="s">
        <v>124</v>
      </c>
      <c r="C710" s="12" t="s">
        <v>109</v>
      </c>
      <c r="D710" s="12" t="s">
        <v>394</v>
      </c>
      <c r="E710" s="18">
        <v>0</v>
      </c>
      <c r="F710" s="13"/>
      <c r="G710" s="12" t="s">
        <v>1054</v>
      </c>
      <c r="H710" s="12" t="s">
        <v>1055</v>
      </c>
      <c r="I710" s="13"/>
      <c r="J710" s="12" t="s">
        <v>1056</v>
      </c>
      <c r="K710" s="12" t="s">
        <v>535</v>
      </c>
    </row>
    <row r="711" spans="1:11" ht="30" customHeight="1">
      <c r="A711" s="12" t="s">
        <v>125</v>
      </c>
      <c r="B711" s="12" t="s">
        <v>124</v>
      </c>
      <c r="C711" s="12" t="s">
        <v>109</v>
      </c>
      <c r="D711" s="12" t="s">
        <v>395</v>
      </c>
      <c r="E711" s="18">
        <v>0</v>
      </c>
      <c r="F711" s="13"/>
      <c r="G711" s="12" t="s">
        <v>1054</v>
      </c>
      <c r="H711" s="12" t="s">
        <v>1055</v>
      </c>
      <c r="I711" s="13"/>
      <c r="J711" s="12" t="s">
        <v>1056</v>
      </c>
      <c r="K711" s="12" t="s">
        <v>535</v>
      </c>
    </row>
    <row r="712" spans="1:11" ht="30" customHeight="1">
      <c r="A712" s="12" t="s">
        <v>125</v>
      </c>
      <c r="B712" s="12" t="s">
        <v>124</v>
      </c>
      <c r="C712" s="12" t="s">
        <v>109</v>
      </c>
      <c r="D712" s="12" t="s">
        <v>396</v>
      </c>
      <c r="E712" s="18">
        <v>0</v>
      </c>
      <c r="F712" s="13"/>
      <c r="G712" s="12" t="s">
        <v>1054</v>
      </c>
      <c r="H712" s="12" t="s">
        <v>1055</v>
      </c>
      <c r="I712" s="13"/>
      <c r="J712" s="12" t="s">
        <v>1056</v>
      </c>
      <c r="K712" s="12" t="s">
        <v>535</v>
      </c>
    </row>
    <row r="713" spans="1:11" ht="30" customHeight="1">
      <c r="A713" s="12" t="s">
        <v>125</v>
      </c>
      <c r="B713" s="12" t="s">
        <v>124</v>
      </c>
      <c r="C713" s="12" t="s">
        <v>109</v>
      </c>
      <c r="D713" s="12" t="s">
        <v>397</v>
      </c>
      <c r="E713" s="18">
        <v>2</v>
      </c>
      <c r="F713" s="13"/>
      <c r="G713" s="12" t="s">
        <v>1054</v>
      </c>
      <c r="H713" s="12" t="s">
        <v>1055</v>
      </c>
      <c r="I713" s="13"/>
      <c r="J713" s="12" t="s">
        <v>1056</v>
      </c>
      <c r="K713" s="12" t="s">
        <v>535</v>
      </c>
    </row>
    <row r="714" spans="1:11" ht="30" customHeight="1">
      <c r="A714" s="12" t="s">
        <v>125</v>
      </c>
      <c r="B714" s="12" t="s">
        <v>124</v>
      </c>
      <c r="C714" s="12" t="s">
        <v>109</v>
      </c>
      <c r="D714" s="12" t="s">
        <v>398</v>
      </c>
      <c r="E714" s="18">
        <v>2</v>
      </c>
      <c r="F714" s="13"/>
      <c r="G714" s="12" t="s">
        <v>1054</v>
      </c>
      <c r="H714" s="12" t="s">
        <v>1055</v>
      </c>
      <c r="I714" s="13"/>
      <c r="J714" s="12" t="s">
        <v>1056</v>
      </c>
      <c r="K714" s="12" t="s">
        <v>535</v>
      </c>
    </row>
    <row r="715" spans="1:11" ht="30" customHeight="1">
      <c r="A715" s="12" t="s">
        <v>125</v>
      </c>
      <c r="B715" s="12" t="s">
        <v>124</v>
      </c>
      <c r="C715" s="12" t="s">
        <v>109</v>
      </c>
      <c r="D715" s="12" t="s">
        <v>399</v>
      </c>
      <c r="E715" s="18">
        <v>2</v>
      </c>
      <c r="F715" s="13"/>
      <c r="G715" s="12" t="s">
        <v>1054</v>
      </c>
      <c r="H715" s="12" t="s">
        <v>1055</v>
      </c>
      <c r="I715" s="13"/>
      <c r="J715" s="12" t="s">
        <v>1056</v>
      </c>
      <c r="K715" s="12" t="s">
        <v>535</v>
      </c>
    </row>
    <row r="716" spans="1:11" ht="30" customHeight="1">
      <c r="A716" s="12" t="s">
        <v>125</v>
      </c>
      <c r="B716" s="12" t="s">
        <v>124</v>
      </c>
      <c r="C716" s="12" t="s">
        <v>109</v>
      </c>
      <c r="D716" s="12" t="s">
        <v>400</v>
      </c>
      <c r="E716" s="18">
        <v>0</v>
      </c>
      <c r="F716" s="13"/>
      <c r="G716" s="12" t="s">
        <v>1054</v>
      </c>
      <c r="H716" s="12" t="s">
        <v>1055</v>
      </c>
      <c r="I716" s="13"/>
      <c r="J716" s="12" t="s">
        <v>1056</v>
      </c>
      <c r="K716" s="12" t="s">
        <v>535</v>
      </c>
    </row>
    <row r="717" spans="1:11" ht="30" customHeight="1">
      <c r="A717" s="12" t="s">
        <v>146</v>
      </c>
      <c r="B717" s="12" t="s">
        <v>144</v>
      </c>
      <c r="C717" s="12" t="s">
        <v>109</v>
      </c>
      <c r="D717" s="12" t="s">
        <v>391</v>
      </c>
      <c r="E717" s="18">
        <v>3</v>
      </c>
      <c r="F717" s="13"/>
      <c r="G717" s="12" t="s">
        <v>1054</v>
      </c>
      <c r="H717" s="12" t="s">
        <v>1055</v>
      </c>
      <c r="I717" s="13"/>
      <c r="J717" s="12" t="s">
        <v>1056</v>
      </c>
      <c r="K717" s="12" t="s">
        <v>535</v>
      </c>
    </row>
    <row r="718" spans="1:11" ht="30" customHeight="1">
      <c r="A718" s="12" t="s">
        <v>146</v>
      </c>
      <c r="B718" s="12" t="s">
        <v>144</v>
      </c>
      <c r="C718" s="12" t="s">
        <v>109</v>
      </c>
      <c r="D718" s="12" t="s">
        <v>392</v>
      </c>
      <c r="E718" s="18">
        <v>0</v>
      </c>
      <c r="F718" s="13"/>
      <c r="G718" s="12" t="s">
        <v>1054</v>
      </c>
      <c r="H718" s="12" t="s">
        <v>1055</v>
      </c>
      <c r="I718" s="13"/>
      <c r="J718" s="12" t="s">
        <v>1056</v>
      </c>
      <c r="K718" s="12" t="s">
        <v>535</v>
      </c>
    </row>
    <row r="719" spans="1:11" ht="30" customHeight="1">
      <c r="A719" s="12" t="s">
        <v>146</v>
      </c>
      <c r="B719" s="12" t="s">
        <v>144</v>
      </c>
      <c r="C719" s="12" t="s">
        <v>109</v>
      </c>
      <c r="D719" s="12" t="s">
        <v>393</v>
      </c>
      <c r="E719" s="18">
        <v>0</v>
      </c>
      <c r="F719" s="13"/>
      <c r="G719" s="12" t="s">
        <v>1054</v>
      </c>
      <c r="H719" s="12" t="s">
        <v>1055</v>
      </c>
      <c r="I719" s="13"/>
      <c r="J719" s="12" t="s">
        <v>1056</v>
      </c>
      <c r="K719" s="12" t="s">
        <v>535</v>
      </c>
    </row>
    <row r="720" spans="1:11" ht="30" customHeight="1">
      <c r="A720" s="12" t="s">
        <v>146</v>
      </c>
      <c r="B720" s="12" t="s">
        <v>144</v>
      </c>
      <c r="C720" s="12" t="s">
        <v>109</v>
      </c>
      <c r="D720" s="12" t="s">
        <v>394</v>
      </c>
      <c r="E720" s="18">
        <v>0</v>
      </c>
      <c r="F720" s="13"/>
      <c r="G720" s="12" t="s">
        <v>1054</v>
      </c>
      <c r="H720" s="12" t="s">
        <v>1055</v>
      </c>
      <c r="I720" s="13"/>
      <c r="J720" s="12" t="s">
        <v>1056</v>
      </c>
      <c r="K720" s="12" t="s">
        <v>535</v>
      </c>
    </row>
    <row r="721" spans="1:11" ht="30" customHeight="1">
      <c r="A721" s="12" t="s">
        <v>146</v>
      </c>
      <c r="B721" s="12" t="s">
        <v>144</v>
      </c>
      <c r="C721" s="12" t="s">
        <v>109</v>
      </c>
      <c r="D721" s="12" t="s">
        <v>395</v>
      </c>
      <c r="E721" s="18">
        <v>0</v>
      </c>
      <c r="F721" s="13"/>
      <c r="G721" s="12" t="s">
        <v>1054</v>
      </c>
      <c r="H721" s="12" t="s">
        <v>1055</v>
      </c>
      <c r="I721" s="13"/>
      <c r="J721" s="12" t="s">
        <v>1056</v>
      </c>
      <c r="K721" s="12" t="s">
        <v>535</v>
      </c>
    </row>
    <row r="722" spans="1:11" ht="30" customHeight="1">
      <c r="A722" s="12" t="s">
        <v>146</v>
      </c>
      <c r="B722" s="12" t="s">
        <v>144</v>
      </c>
      <c r="C722" s="12" t="s">
        <v>109</v>
      </c>
      <c r="D722" s="12" t="s">
        <v>396</v>
      </c>
      <c r="E722" s="18">
        <v>0</v>
      </c>
      <c r="F722" s="13"/>
      <c r="G722" s="12" t="s">
        <v>1054</v>
      </c>
      <c r="H722" s="12" t="s">
        <v>1055</v>
      </c>
      <c r="I722" s="13"/>
      <c r="J722" s="12" t="s">
        <v>1056</v>
      </c>
      <c r="K722" s="12" t="s">
        <v>535</v>
      </c>
    </row>
    <row r="723" spans="1:11" ht="30" customHeight="1">
      <c r="A723" s="12" t="s">
        <v>146</v>
      </c>
      <c r="B723" s="12" t="s">
        <v>144</v>
      </c>
      <c r="C723" s="12" t="s">
        <v>109</v>
      </c>
      <c r="D723" s="12" t="s">
        <v>397</v>
      </c>
      <c r="E723" s="18">
        <v>2</v>
      </c>
      <c r="F723" s="13"/>
      <c r="G723" s="12" t="s">
        <v>1054</v>
      </c>
      <c r="H723" s="12" t="s">
        <v>1055</v>
      </c>
      <c r="I723" s="13"/>
      <c r="J723" s="12" t="s">
        <v>1056</v>
      </c>
      <c r="K723" s="12" t="s">
        <v>535</v>
      </c>
    </row>
    <row r="724" spans="1:11" ht="30" customHeight="1">
      <c r="A724" s="12" t="s">
        <v>146</v>
      </c>
      <c r="B724" s="12" t="s">
        <v>144</v>
      </c>
      <c r="C724" s="12" t="s">
        <v>109</v>
      </c>
      <c r="D724" s="12" t="s">
        <v>398</v>
      </c>
      <c r="E724" s="18">
        <v>2</v>
      </c>
      <c r="F724" s="13"/>
      <c r="G724" s="12" t="s">
        <v>1054</v>
      </c>
      <c r="H724" s="12" t="s">
        <v>1055</v>
      </c>
      <c r="I724" s="13"/>
      <c r="J724" s="12" t="s">
        <v>1056</v>
      </c>
      <c r="K724" s="12" t="s">
        <v>535</v>
      </c>
    </row>
    <row r="725" spans="1:11" ht="30" customHeight="1">
      <c r="A725" s="12" t="s">
        <v>146</v>
      </c>
      <c r="B725" s="12" t="s">
        <v>144</v>
      </c>
      <c r="C725" s="12" t="s">
        <v>109</v>
      </c>
      <c r="D725" s="12" t="s">
        <v>399</v>
      </c>
      <c r="E725" s="18">
        <v>2</v>
      </c>
      <c r="F725" s="13"/>
      <c r="G725" s="12" t="s">
        <v>1054</v>
      </c>
      <c r="H725" s="12" t="s">
        <v>1055</v>
      </c>
      <c r="I725" s="13"/>
      <c r="J725" s="12" t="s">
        <v>1056</v>
      </c>
      <c r="K725" s="12" t="s">
        <v>535</v>
      </c>
    </row>
    <row r="726" spans="1:11" ht="30" customHeight="1">
      <c r="A726" s="12" t="s">
        <v>146</v>
      </c>
      <c r="B726" s="12" t="s">
        <v>144</v>
      </c>
      <c r="C726" s="12" t="s">
        <v>109</v>
      </c>
      <c r="D726" s="12" t="s">
        <v>400</v>
      </c>
      <c r="E726" s="18">
        <v>0</v>
      </c>
      <c r="F726" s="13"/>
      <c r="G726" s="12" t="s">
        <v>1054</v>
      </c>
      <c r="H726" s="12" t="s">
        <v>1055</v>
      </c>
      <c r="I726" s="13"/>
      <c r="J726" s="12" t="s">
        <v>1056</v>
      </c>
      <c r="K726" s="12" t="s">
        <v>535</v>
      </c>
    </row>
    <row r="727" spans="1:11" ht="30" customHeight="1">
      <c r="A727" s="12" t="s">
        <v>138</v>
      </c>
      <c r="B727" s="12" t="s">
        <v>137</v>
      </c>
      <c r="C727" s="12" t="s">
        <v>109</v>
      </c>
      <c r="D727" s="12" t="s">
        <v>391</v>
      </c>
      <c r="E727" s="18">
        <v>3</v>
      </c>
      <c r="F727" s="13"/>
      <c r="G727" s="12" t="s">
        <v>1054</v>
      </c>
      <c r="H727" s="12" t="s">
        <v>1055</v>
      </c>
      <c r="I727" s="13"/>
      <c r="J727" s="12" t="s">
        <v>1056</v>
      </c>
      <c r="K727" s="12" t="s">
        <v>535</v>
      </c>
    </row>
    <row r="728" spans="1:11" ht="30" customHeight="1">
      <c r="A728" s="12" t="s">
        <v>138</v>
      </c>
      <c r="B728" s="12" t="s">
        <v>137</v>
      </c>
      <c r="C728" s="12" t="s">
        <v>109</v>
      </c>
      <c r="D728" s="12" t="s">
        <v>392</v>
      </c>
      <c r="E728" s="18">
        <v>0</v>
      </c>
      <c r="F728" s="13"/>
      <c r="G728" s="12" t="s">
        <v>1054</v>
      </c>
      <c r="H728" s="12" t="s">
        <v>1055</v>
      </c>
      <c r="I728" s="13"/>
      <c r="J728" s="12" t="s">
        <v>1056</v>
      </c>
      <c r="K728" s="12" t="s">
        <v>535</v>
      </c>
    </row>
    <row r="729" spans="1:11" ht="30" customHeight="1">
      <c r="A729" s="12" t="s">
        <v>138</v>
      </c>
      <c r="B729" s="12" t="s">
        <v>137</v>
      </c>
      <c r="C729" s="12" t="s">
        <v>109</v>
      </c>
      <c r="D729" s="12" t="s">
        <v>393</v>
      </c>
      <c r="E729" s="18">
        <v>0</v>
      </c>
      <c r="F729" s="13"/>
      <c r="G729" s="12" t="s">
        <v>1054</v>
      </c>
      <c r="H729" s="12" t="s">
        <v>1055</v>
      </c>
      <c r="I729" s="13"/>
      <c r="J729" s="12" t="s">
        <v>1056</v>
      </c>
      <c r="K729" s="12" t="s">
        <v>535</v>
      </c>
    </row>
    <row r="730" spans="1:11" ht="30" customHeight="1">
      <c r="A730" s="12" t="s">
        <v>138</v>
      </c>
      <c r="B730" s="12" t="s">
        <v>137</v>
      </c>
      <c r="C730" s="12" t="s">
        <v>109</v>
      </c>
      <c r="D730" s="12" t="s">
        <v>394</v>
      </c>
      <c r="E730" s="18">
        <v>0</v>
      </c>
      <c r="F730" s="13"/>
      <c r="G730" s="12" t="s">
        <v>1054</v>
      </c>
      <c r="H730" s="12" t="s">
        <v>1055</v>
      </c>
      <c r="I730" s="13"/>
      <c r="J730" s="12" t="s">
        <v>1056</v>
      </c>
      <c r="K730" s="12" t="s">
        <v>535</v>
      </c>
    </row>
    <row r="731" spans="1:11" ht="30" customHeight="1">
      <c r="A731" s="12" t="s">
        <v>138</v>
      </c>
      <c r="B731" s="12" t="s">
        <v>137</v>
      </c>
      <c r="C731" s="12" t="s">
        <v>109</v>
      </c>
      <c r="D731" s="12" t="s">
        <v>395</v>
      </c>
      <c r="E731" s="18">
        <v>0</v>
      </c>
      <c r="F731" s="13"/>
      <c r="G731" s="12" t="s">
        <v>1054</v>
      </c>
      <c r="H731" s="12" t="s">
        <v>1055</v>
      </c>
      <c r="I731" s="13"/>
      <c r="J731" s="12" t="s">
        <v>1056</v>
      </c>
      <c r="K731" s="12" t="s">
        <v>535</v>
      </c>
    </row>
    <row r="732" spans="1:11" ht="30" customHeight="1">
      <c r="A732" s="12" t="s">
        <v>138</v>
      </c>
      <c r="B732" s="12" t="s">
        <v>137</v>
      </c>
      <c r="C732" s="12" t="s">
        <v>109</v>
      </c>
      <c r="D732" s="12" t="s">
        <v>396</v>
      </c>
      <c r="E732" s="18">
        <v>0</v>
      </c>
      <c r="F732" s="13"/>
      <c r="G732" s="12" t="s">
        <v>1054</v>
      </c>
      <c r="H732" s="12" t="s">
        <v>1055</v>
      </c>
      <c r="I732" s="13"/>
      <c r="J732" s="12" t="s">
        <v>1056</v>
      </c>
      <c r="K732" s="12" t="s">
        <v>535</v>
      </c>
    </row>
    <row r="733" spans="1:11" ht="30" customHeight="1">
      <c r="A733" s="12" t="s">
        <v>138</v>
      </c>
      <c r="B733" s="12" t="s">
        <v>137</v>
      </c>
      <c r="C733" s="12" t="s">
        <v>109</v>
      </c>
      <c r="D733" s="12" t="s">
        <v>397</v>
      </c>
      <c r="E733" s="18">
        <v>2</v>
      </c>
      <c r="F733" s="13"/>
      <c r="G733" s="12" t="s">
        <v>1054</v>
      </c>
      <c r="H733" s="12" t="s">
        <v>1055</v>
      </c>
      <c r="I733" s="13"/>
      <c r="J733" s="12" t="s">
        <v>1056</v>
      </c>
      <c r="K733" s="12" t="s">
        <v>535</v>
      </c>
    </row>
    <row r="734" spans="1:11" ht="30" customHeight="1">
      <c r="A734" s="12" t="s">
        <v>138</v>
      </c>
      <c r="B734" s="12" t="s">
        <v>137</v>
      </c>
      <c r="C734" s="12" t="s">
        <v>109</v>
      </c>
      <c r="D734" s="12" t="s">
        <v>398</v>
      </c>
      <c r="E734" s="18">
        <v>1</v>
      </c>
      <c r="F734" s="13"/>
      <c r="G734" s="12" t="s">
        <v>1054</v>
      </c>
      <c r="H734" s="12" t="s">
        <v>1055</v>
      </c>
      <c r="I734" s="13"/>
      <c r="J734" s="12" t="s">
        <v>1056</v>
      </c>
      <c r="K734" s="12" t="s">
        <v>535</v>
      </c>
    </row>
    <row r="735" spans="1:11" ht="30" customHeight="1">
      <c r="A735" s="12" t="s">
        <v>138</v>
      </c>
      <c r="B735" s="12" t="s">
        <v>137</v>
      </c>
      <c r="C735" s="12" t="s">
        <v>109</v>
      </c>
      <c r="D735" s="12" t="s">
        <v>399</v>
      </c>
      <c r="E735" s="18">
        <v>2</v>
      </c>
      <c r="F735" s="13"/>
      <c r="G735" s="12" t="s">
        <v>1054</v>
      </c>
      <c r="H735" s="12" t="s">
        <v>1055</v>
      </c>
      <c r="I735" s="13"/>
      <c r="J735" s="12" t="s">
        <v>1056</v>
      </c>
      <c r="K735" s="12" t="s">
        <v>535</v>
      </c>
    </row>
    <row r="736" spans="1:11" ht="30" customHeight="1">
      <c r="A736" s="12" t="s">
        <v>138</v>
      </c>
      <c r="B736" s="12" t="s">
        <v>137</v>
      </c>
      <c r="C736" s="12" t="s">
        <v>109</v>
      </c>
      <c r="D736" s="12" t="s">
        <v>400</v>
      </c>
      <c r="E736" s="18">
        <v>0</v>
      </c>
      <c r="F736" s="13"/>
      <c r="G736" s="12" t="s">
        <v>1054</v>
      </c>
      <c r="H736" s="12" t="s">
        <v>1055</v>
      </c>
      <c r="I736" s="13"/>
      <c r="J736" s="12" t="s">
        <v>1056</v>
      </c>
      <c r="K736" s="12" t="s">
        <v>535</v>
      </c>
    </row>
    <row r="737" spans="1:11" ht="30" customHeight="1">
      <c r="A737" s="12" t="s">
        <v>112</v>
      </c>
      <c r="B737" s="12" t="s">
        <v>108</v>
      </c>
      <c r="C737" s="12" t="s">
        <v>109</v>
      </c>
      <c r="D737" s="12" t="s">
        <v>391</v>
      </c>
      <c r="E737" s="18">
        <v>3</v>
      </c>
      <c r="F737" s="13"/>
      <c r="G737" s="12" t="s">
        <v>1054</v>
      </c>
      <c r="H737" s="12" t="s">
        <v>1055</v>
      </c>
      <c r="I737" s="13"/>
      <c r="J737" s="12" t="s">
        <v>1056</v>
      </c>
      <c r="K737" s="12" t="s">
        <v>535</v>
      </c>
    </row>
    <row r="738" spans="1:11" ht="30" customHeight="1">
      <c r="A738" s="12" t="s">
        <v>112</v>
      </c>
      <c r="B738" s="12" t="s">
        <v>108</v>
      </c>
      <c r="C738" s="12" t="s">
        <v>109</v>
      </c>
      <c r="D738" s="12" t="s">
        <v>392</v>
      </c>
      <c r="E738" s="18">
        <v>0</v>
      </c>
      <c r="F738" s="13"/>
      <c r="G738" s="12" t="s">
        <v>1054</v>
      </c>
      <c r="H738" s="12" t="s">
        <v>1055</v>
      </c>
      <c r="I738" s="13"/>
      <c r="J738" s="12" t="s">
        <v>1056</v>
      </c>
      <c r="K738" s="12" t="s">
        <v>535</v>
      </c>
    </row>
    <row r="739" spans="1:11" ht="30" customHeight="1">
      <c r="A739" s="12" t="s">
        <v>112</v>
      </c>
      <c r="B739" s="12" t="s">
        <v>108</v>
      </c>
      <c r="C739" s="12" t="s">
        <v>109</v>
      </c>
      <c r="D739" s="12" t="s">
        <v>393</v>
      </c>
      <c r="E739" s="18">
        <v>0</v>
      </c>
      <c r="F739" s="13"/>
      <c r="G739" s="12" t="s">
        <v>1054</v>
      </c>
      <c r="H739" s="12" t="s">
        <v>1055</v>
      </c>
      <c r="I739" s="13"/>
      <c r="J739" s="12" t="s">
        <v>1056</v>
      </c>
      <c r="K739" s="12" t="s">
        <v>535</v>
      </c>
    </row>
    <row r="740" spans="1:11" ht="30" customHeight="1">
      <c r="A740" s="12" t="s">
        <v>112</v>
      </c>
      <c r="B740" s="12" t="s">
        <v>108</v>
      </c>
      <c r="C740" s="12" t="s">
        <v>109</v>
      </c>
      <c r="D740" s="12" t="s">
        <v>394</v>
      </c>
      <c r="E740" s="18">
        <v>0</v>
      </c>
      <c r="F740" s="13"/>
      <c r="G740" s="12" t="s">
        <v>1054</v>
      </c>
      <c r="H740" s="12" t="s">
        <v>1055</v>
      </c>
      <c r="I740" s="13"/>
      <c r="J740" s="12" t="s">
        <v>1056</v>
      </c>
      <c r="K740" s="12" t="s">
        <v>535</v>
      </c>
    </row>
    <row r="741" spans="1:11" ht="30" customHeight="1">
      <c r="A741" s="12" t="s">
        <v>112</v>
      </c>
      <c r="B741" s="12" t="s">
        <v>108</v>
      </c>
      <c r="C741" s="12" t="s">
        <v>109</v>
      </c>
      <c r="D741" s="12" t="s">
        <v>395</v>
      </c>
      <c r="E741" s="18">
        <v>0</v>
      </c>
      <c r="F741" s="13"/>
      <c r="G741" s="12" t="s">
        <v>1054</v>
      </c>
      <c r="H741" s="12" t="s">
        <v>1055</v>
      </c>
      <c r="I741" s="13"/>
      <c r="J741" s="12" t="s">
        <v>1056</v>
      </c>
      <c r="K741" s="12" t="s">
        <v>535</v>
      </c>
    </row>
    <row r="742" spans="1:11" ht="30" customHeight="1">
      <c r="A742" s="12" t="s">
        <v>112</v>
      </c>
      <c r="B742" s="12" t="s">
        <v>108</v>
      </c>
      <c r="C742" s="12" t="s">
        <v>109</v>
      </c>
      <c r="D742" s="12" t="s">
        <v>396</v>
      </c>
      <c r="E742" s="18">
        <v>0</v>
      </c>
      <c r="F742" s="13"/>
      <c r="G742" s="12" t="s">
        <v>1054</v>
      </c>
      <c r="H742" s="12" t="s">
        <v>1055</v>
      </c>
      <c r="I742" s="13"/>
      <c r="J742" s="12" t="s">
        <v>1056</v>
      </c>
      <c r="K742" s="12" t="s">
        <v>535</v>
      </c>
    </row>
    <row r="743" spans="1:11" ht="30" customHeight="1">
      <c r="A743" s="12" t="s">
        <v>112</v>
      </c>
      <c r="B743" s="12" t="s">
        <v>108</v>
      </c>
      <c r="C743" s="12" t="s">
        <v>109</v>
      </c>
      <c r="D743" s="12" t="s">
        <v>397</v>
      </c>
      <c r="E743" s="18">
        <v>2</v>
      </c>
      <c r="F743" s="13"/>
      <c r="G743" s="12" t="s">
        <v>1054</v>
      </c>
      <c r="H743" s="12" t="s">
        <v>1055</v>
      </c>
      <c r="I743" s="13"/>
      <c r="J743" s="12" t="s">
        <v>1056</v>
      </c>
      <c r="K743" s="12" t="s">
        <v>535</v>
      </c>
    </row>
    <row r="744" spans="1:11" ht="30" customHeight="1">
      <c r="A744" s="12" t="s">
        <v>112</v>
      </c>
      <c r="B744" s="12" t="s">
        <v>108</v>
      </c>
      <c r="C744" s="12" t="s">
        <v>109</v>
      </c>
      <c r="D744" s="12" t="s">
        <v>398</v>
      </c>
      <c r="E744" s="18">
        <v>1</v>
      </c>
      <c r="F744" s="13"/>
      <c r="G744" s="12" t="s">
        <v>1054</v>
      </c>
      <c r="H744" s="12" t="s">
        <v>1055</v>
      </c>
      <c r="I744" s="13"/>
      <c r="J744" s="12" t="s">
        <v>1056</v>
      </c>
      <c r="K744" s="12" t="s">
        <v>535</v>
      </c>
    </row>
    <row r="745" spans="1:11" ht="30" customHeight="1">
      <c r="A745" s="12" t="s">
        <v>112</v>
      </c>
      <c r="B745" s="12" t="s">
        <v>108</v>
      </c>
      <c r="C745" s="12" t="s">
        <v>109</v>
      </c>
      <c r="D745" s="12" t="s">
        <v>399</v>
      </c>
      <c r="E745" s="18">
        <v>2</v>
      </c>
      <c r="F745" s="13"/>
      <c r="G745" s="12" t="s">
        <v>1054</v>
      </c>
      <c r="H745" s="12" t="s">
        <v>1055</v>
      </c>
      <c r="I745" s="13"/>
      <c r="J745" s="12" t="s">
        <v>1056</v>
      </c>
      <c r="K745" s="12" t="s">
        <v>535</v>
      </c>
    </row>
    <row r="746" spans="1:11" ht="30" customHeight="1">
      <c r="A746" s="12" t="s">
        <v>112</v>
      </c>
      <c r="B746" s="12" t="s">
        <v>108</v>
      </c>
      <c r="C746" s="12" t="s">
        <v>109</v>
      </c>
      <c r="D746" s="12" t="s">
        <v>400</v>
      </c>
      <c r="E746" s="18">
        <v>0</v>
      </c>
      <c r="F746" s="13"/>
      <c r="G746" s="12" t="s">
        <v>1054</v>
      </c>
      <c r="H746" s="12" t="s">
        <v>1055</v>
      </c>
      <c r="I746" s="13"/>
      <c r="J746" s="12" t="s">
        <v>1056</v>
      </c>
      <c r="K746" s="12" t="s">
        <v>535</v>
      </c>
    </row>
    <row r="747" spans="1:11" ht="30" customHeight="1">
      <c r="A747" s="12" t="s">
        <v>128</v>
      </c>
      <c r="B747" s="12" t="s">
        <v>127</v>
      </c>
      <c r="C747" s="12" t="s">
        <v>109</v>
      </c>
      <c r="D747" s="12" t="s">
        <v>391</v>
      </c>
      <c r="E747" s="18">
        <v>3</v>
      </c>
      <c r="F747" s="13"/>
      <c r="G747" s="12" t="s">
        <v>1054</v>
      </c>
      <c r="H747" s="12" t="s">
        <v>1055</v>
      </c>
      <c r="I747" s="13"/>
      <c r="J747" s="12" t="s">
        <v>1056</v>
      </c>
      <c r="K747" s="12" t="s">
        <v>535</v>
      </c>
    </row>
    <row r="748" spans="1:11" ht="30" customHeight="1">
      <c r="A748" s="12" t="s">
        <v>128</v>
      </c>
      <c r="B748" s="12" t="s">
        <v>127</v>
      </c>
      <c r="C748" s="12" t="s">
        <v>109</v>
      </c>
      <c r="D748" s="12" t="s">
        <v>392</v>
      </c>
      <c r="E748" s="18">
        <v>0</v>
      </c>
      <c r="F748" s="13"/>
      <c r="G748" s="12" t="s">
        <v>1054</v>
      </c>
      <c r="H748" s="12" t="s">
        <v>1055</v>
      </c>
      <c r="I748" s="13"/>
      <c r="J748" s="12" t="s">
        <v>1056</v>
      </c>
      <c r="K748" s="12" t="s">
        <v>535</v>
      </c>
    </row>
    <row r="749" spans="1:11" ht="30" customHeight="1">
      <c r="A749" s="12" t="s">
        <v>128</v>
      </c>
      <c r="B749" s="12" t="s">
        <v>127</v>
      </c>
      <c r="C749" s="12" t="s">
        <v>109</v>
      </c>
      <c r="D749" s="12" t="s">
        <v>393</v>
      </c>
      <c r="E749" s="18">
        <v>0</v>
      </c>
      <c r="F749" s="13"/>
      <c r="G749" s="12" t="s">
        <v>1054</v>
      </c>
      <c r="H749" s="12" t="s">
        <v>1055</v>
      </c>
      <c r="I749" s="13"/>
      <c r="J749" s="12" t="s">
        <v>1056</v>
      </c>
      <c r="K749" s="12" t="s">
        <v>535</v>
      </c>
    </row>
    <row r="750" spans="1:11" ht="30" customHeight="1">
      <c r="A750" s="12" t="s">
        <v>128</v>
      </c>
      <c r="B750" s="12" t="s">
        <v>127</v>
      </c>
      <c r="C750" s="12" t="s">
        <v>109</v>
      </c>
      <c r="D750" s="12" t="s">
        <v>394</v>
      </c>
      <c r="E750" s="18">
        <v>0</v>
      </c>
      <c r="F750" s="13"/>
      <c r="G750" s="12" t="s">
        <v>1054</v>
      </c>
      <c r="H750" s="12" t="s">
        <v>1055</v>
      </c>
      <c r="I750" s="13"/>
      <c r="J750" s="12" t="s">
        <v>1056</v>
      </c>
      <c r="K750" s="12" t="s">
        <v>535</v>
      </c>
    </row>
    <row r="751" spans="1:11" ht="30" customHeight="1">
      <c r="A751" s="12" t="s">
        <v>128</v>
      </c>
      <c r="B751" s="12" t="s">
        <v>127</v>
      </c>
      <c r="C751" s="12" t="s">
        <v>109</v>
      </c>
      <c r="D751" s="12" t="s">
        <v>395</v>
      </c>
      <c r="E751" s="18">
        <v>0</v>
      </c>
      <c r="F751" s="13"/>
      <c r="G751" s="12" t="s">
        <v>1054</v>
      </c>
      <c r="H751" s="12" t="s">
        <v>1055</v>
      </c>
      <c r="I751" s="13"/>
      <c r="J751" s="12" t="s">
        <v>1056</v>
      </c>
      <c r="K751" s="12" t="s">
        <v>535</v>
      </c>
    </row>
    <row r="752" spans="1:11" ht="30" customHeight="1">
      <c r="A752" s="12" t="s">
        <v>128</v>
      </c>
      <c r="B752" s="12" t="s">
        <v>127</v>
      </c>
      <c r="C752" s="12" t="s">
        <v>109</v>
      </c>
      <c r="D752" s="12" t="s">
        <v>396</v>
      </c>
      <c r="E752" s="18">
        <v>0</v>
      </c>
      <c r="F752" s="13"/>
      <c r="G752" s="12" t="s">
        <v>1054</v>
      </c>
      <c r="H752" s="12" t="s">
        <v>1055</v>
      </c>
      <c r="I752" s="13"/>
      <c r="J752" s="12" t="s">
        <v>1056</v>
      </c>
      <c r="K752" s="12" t="s">
        <v>535</v>
      </c>
    </row>
    <row r="753" spans="1:11" ht="30" customHeight="1">
      <c r="A753" s="12" t="s">
        <v>128</v>
      </c>
      <c r="B753" s="12" t="s">
        <v>127</v>
      </c>
      <c r="C753" s="12" t="s">
        <v>109</v>
      </c>
      <c r="D753" s="12" t="s">
        <v>397</v>
      </c>
      <c r="E753" s="18">
        <v>1</v>
      </c>
      <c r="F753" s="13"/>
      <c r="G753" s="12" t="s">
        <v>1054</v>
      </c>
      <c r="H753" s="12" t="s">
        <v>1055</v>
      </c>
      <c r="I753" s="13"/>
      <c r="J753" s="12" t="s">
        <v>1056</v>
      </c>
      <c r="K753" s="12" t="s">
        <v>535</v>
      </c>
    </row>
    <row r="754" spans="1:11" ht="30" customHeight="1">
      <c r="A754" s="12" t="s">
        <v>128</v>
      </c>
      <c r="B754" s="12" t="s">
        <v>127</v>
      </c>
      <c r="C754" s="12" t="s">
        <v>109</v>
      </c>
      <c r="D754" s="12" t="s">
        <v>398</v>
      </c>
      <c r="E754" s="18">
        <v>1</v>
      </c>
      <c r="F754" s="13"/>
      <c r="G754" s="12" t="s">
        <v>1054</v>
      </c>
      <c r="H754" s="12" t="s">
        <v>1055</v>
      </c>
      <c r="I754" s="13"/>
      <c r="J754" s="12" t="s">
        <v>1056</v>
      </c>
      <c r="K754" s="12" t="s">
        <v>535</v>
      </c>
    </row>
    <row r="755" spans="1:11" ht="30" customHeight="1">
      <c r="A755" s="12" t="s">
        <v>128</v>
      </c>
      <c r="B755" s="12" t="s">
        <v>127</v>
      </c>
      <c r="C755" s="12" t="s">
        <v>109</v>
      </c>
      <c r="D755" s="12" t="s">
        <v>399</v>
      </c>
      <c r="E755" s="18">
        <v>2</v>
      </c>
      <c r="F755" s="13"/>
      <c r="G755" s="12" t="s">
        <v>1054</v>
      </c>
      <c r="H755" s="12" t="s">
        <v>1055</v>
      </c>
      <c r="I755" s="13"/>
      <c r="J755" s="12" t="s">
        <v>1056</v>
      </c>
      <c r="K755" s="12" t="s">
        <v>535</v>
      </c>
    </row>
    <row r="756" spans="1:11" ht="30" customHeight="1">
      <c r="A756" s="12" t="s">
        <v>128</v>
      </c>
      <c r="B756" s="12" t="s">
        <v>127</v>
      </c>
      <c r="C756" s="12" t="s">
        <v>109</v>
      </c>
      <c r="D756" s="12" t="s">
        <v>400</v>
      </c>
      <c r="E756" s="18">
        <v>0</v>
      </c>
      <c r="F756" s="13"/>
      <c r="G756" s="12" t="s">
        <v>1054</v>
      </c>
      <c r="H756" s="12" t="s">
        <v>1055</v>
      </c>
      <c r="I756" s="13"/>
      <c r="J756" s="12" t="s">
        <v>1056</v>
      </c>
      <c r="K756" s="12" t="s">
        <v>535</v>
      </c>
    </row>
    <row r="757" spans="1:11" ht="30" customHeight="1">
      <c r="A757" s="12" t="s">
        <v>371</v>
      </c>
      <c r="B757" s="12" t="s">
        <v>368</v>
      </c>
      <c r="C757" s="12" t="s">
        <v>347</v>
      </c>
      <c r="D757" s="12" t="s">
        <v>391</v>
      </c>
      <c r="E757" s="18">
        <v>3</v>
      </c>
      <c r="F757" s="13"/>
      <c r="G757" s="12" t="s">
        <v>376</v>
      </c>
      <c r="H757" s="12" t="s">
        <v>1057</v>
      </c>
      <c r="I757" s="13"/>
      <c r="J757" s="12" t="s">
        <v>1056</v>
      </c>
      <c r="K757" s="12" t="s">
        <v>535</v>
      </c>
    </row>
    <row r="758" spans="1:11" ht="30" customHeight="1">
      <c r="A758" s="12" t="s">
        <v>371</v>
      </c>
      <c r="B758" s="12" t="s">
        <v>368</v>
      </c>
      <c r="C758" s="12" t="s">
        <v>347</v>
      </c>
      <c r="D758" s="12" t="s">
        <v>392</v>
      </c>
      <c r="E758" s="18">
        <v>3</v>
      </c>
      <c r="F758" s="13"/>
      <c r="G758" s="12" t="s">
        <v>376</v>
      </c>
      <c r="H758" s="12" t="s">
        <v>1057</v>
      </c>
      <c r="I758" s="13"/>
      <c r="J758" s="12" t="s">
        <v>1056</v>
      </c>
      <c r="K758" s="12" t="s">
        <v>535</v>
      </c>
    </row>
    <row r="759" spans="1:11" ht="30" customHeight="1">
      <c r="A759" s="12" t="s">
        <v>371</v>
      </c>
      <c r="B759" s="12" t="s">
        <v>368</v>
      </c>
      <c r="C759" s="12" t="s">
        <v>347</v>
      </c>
      <c r="D759" s="12" t="s">
        <v>393</v>
      </c>
      <c r="E759" s="18">
        <v>3</v>
      </c>
      <c r="F759" s="13"/>
      <c r="G759" s="12" t="s">
        <v>376</v>
      </c>
      <c r="H759" s="12" t="s">
        <v>1057</v>
      </c>
      <c r="I759" s="13"/>
      <c r="J759" s="12" t="s">
        <v>1056</v>
      </c>
      <c r="K759" s="12" t="s">
        <v>535</v>
      </c>
    </row>
    <row r="760" spans="1:11" ht="30" customHeight="1">
      <c r="A760" s="12" t="s">
        <v>371</v>
      </c>
      <c r="B760" s="12" t="s">
        <v>368</v>
      </c>
      <c r="C760" s="12" t="s">
        <v>347</v>
      </c>
      <c r="D760" s="12" t="s">
        <v>394</v>
      </c>
      <c r="E760" s="18">
        <v>3</v>
      </c>
      <c r="F760" s="13"/>
      <c r="G760" s="12" t="s">
        <v>376</v>
      </c>
      <c r="H760" s="12" t="s">
        <v>1057</v>
      </c>
      <c r="I760" s="13"/>
      <c r="J760" s="12" t="s">
        <v>1056</v>
      </c>
      <c r="K760" s="12" t="s">
        <v>535</v>
      </c>
    </row>
    <row r="761" spans="1:11" ht="30" customHeight="1">
      <c r="A761" s="12" t="s">
        <v>371</v>
      </c>
      <c r="B761" s="12" t="s">
        <v>368</v>
      </c>
      <c r="C761" s="12" t="s">
        <v>347</v>
      </c>
      <c r="D761" s="12" t="s">
        <v>395</v>
      </c>
      <c r="E761" s="18">
        <v>3</v>
      </c>
      <c r="F761" s="13"/>
      <c r="G761" s="12" t="s">
        <v>376</v>
      </c>
      <c r="H761" s="12" t="s">
        <v>1057</v>
      </c>
      <c r="I761" s="13"/>
      <c r="J761" s="12" t="s">
        <v>1056</v>
      </c>
      <c r="K761" s="12" t="s">
        <v>535</v>
      </c>
    </row>
    <row r="762" spans="1:11" ht="30" customHeight="1">
      <c r="A762" s="12" t="s">
        <v>371</v>
      </c>
      <c r="B762" s="12" t="s">
        <v>368</v>
      </c>
      <c r="C762" s="12" t="s">
        <v>347</v>
      </c>
      <c r="D762" s="12" t="s">
        <v>396</v>
      </c>
      <c r="E762" s="18">
        <v>3</v>
      </c>
      <c r="F762" s="13"/>
      <c r="G762" s="12" t="s">
        <v>376</v>
      </c>
      <c r="H762" s="12" t="s">
        <v>1057</v>
      </c>
      <c r="I762" s="13"/>
      <c r="J762" s="12" t="s">
        <v>1056</v>
      </c>
      <c r="K762" s="12" t="s">
        <v>535</v>
      </c>
    </row>
    <row r="763" spans="1:11" ht="30" customHeight="1">
      <c r="A763" s="12" t="s">
        <v>371</v>
      </c>
      <c r="B763" s="12" t="s">
        <v>368</v>
      </c>
      <c r="C763" s="12" t="s">
        <v>347</v>
      </c>
      <c r="D763" s="12" t="s">
        <v>397</v>
      </c>
      <c r="E763" s="18">
        <v>2</v>
      </c>
      <c r="F763" s="13"/>
      <c r="G763" s="12" t="s">
        <v>376</v>
      </c>
      <c r="H763" s="12" t="s">
        <v>1057</v>
      </c>
      <c r="I763" s="13"/>
      <c r="J763" s="12" t="s">
        <v>1056</v>
      </c>
      <c r="K763" s="12" t="s">
        <v>535</v>
      </c>
    </row>
    <row r="764" spans="1:11" ht="30" customHeight="1">
      <c r="A764" s="12" t="s">
        <v>371</v>
      </c>
      <c r="B764" s="12" t="s">
        <v>368</v>
      </c>
      <c r="C764" s="12" t="s">
        <v>347</v>
      </c>
      <c r="D764" s="12" t="s">
        <v>398</v>
      </c>
      <c r="E764" s="18">
        <v>3</v>
      </c>
      <c r="F764" s="13"/>
      <c r="G764" s="12" t="s">
        <v>376</v>
      </c>
      <c r="H764" s="12" t="s">
        <v>1057</v>
      </c>
      <c r="I764" s="13"/>
      <c r="J764" s="12" t="s">
        <v>1056</v>
      </c>
      <c r="K764" s="12" t="s">
        <v>535</v>
      </c>
    </row>
    <row r="765" spans="1:11" ht="30" customHeight="1">
      <c r="A765" s="12" t="s">
        <v>371</v>
      </c>
      <c r="B765" s="12" t="s">
        <v>368</v>
      </c>
      <c r="C765" s="12" t="s">
        <v>347</v>
      </c>
      <c r="D765" s="12" t="s">
        <v>399</v>
      </c>
      <c r="E765" s="18">
        <v>3</v>
      </c>
      <c r="F765" s="13"/>
      <c r="G765" s="12" t="s">
        <v>376</v>
      </c>
      <c r="H765" s="12" t="s">
        <v>1057</v>
      </c>
      <c r="I765" s="13"/>
      <c r="J765" s="12" t="s">
        <v>1056</v>
      </c>
      <c r="K765" s="12" t="s">
        <v>535</v>
      </c>
    </row>
    <row r="766" spans="1:11" ht="30" customHeight="1">
      <c r="A766" s="12" t="s">
        <v>371</v>
      </c>
      <c r="B766" s="12" t="s">
        <v>368</v>
      </c>
      <c r="C766" s="12" t="s">
        <v>347</v>
      </c>
      <c r="D766" s="12" t="s">
        <v>400</v>
      </c>
      <c r="E766" s="18">
        <v>3</v>
      </c>
      <c r="F766" s="13"/>
      <c r="G766" s="12" t="s">
        <v>376</v>
      </c>
      <c r="H766" s="12" t="s">
        <v>1057</v>
      </c>
      <c r="I766" s="13"/>
      <c r="J766" s="12" t="s">
        <v>1056</v>
      </c>
      <c r="K766" s="12" t="s">
        <v>535</v>
      </c>
    </row>
    <row r="767" spans="1:11" ht="30" customHeight="1">
      <c r="A767" s="12" t="s">
        <v>366</v>
      </c>
      <c r="B767" s="12" t="s">
        <v>363</v>
      </c>
      <c r="C767" s="12" t="s">
        <v>347</v>
      </c>
      <c r="D767" s="12" t="s">
        <v>391</v>
      </c>
      <c r="E767" s="18">
        <v>3</v>
      </c>
      <c r="F767" s="13"/>
      <c r="G767" s="12" t="s">
        <v>376</v>
      </c>
      <c r="H767" s="12" t="s">
        <v>1057</v>
      </c>
      <c r="I767" s="13"/>
      <c r="J767" s="12" t="s">
        <v>1056</v>
      </c>
      <c r="K767" s="12" t="s">
        <v>535</v>
      </c>
    </row>
    <row r="768" spans="1:11" ht="30" customHeight="1">
      <c r="A768" s="12" t="s">
        <v>366</v>
      </c>
      <c r="B768" s="12" t="s">
        <v>363</v>
      </c>
      <c r="C768" s="12" t="s">
        <v>347</v>
      </c>
      <c r="D768" s="12" t="s">
        <v>392</v>
      </c>
      <c r="E768" s="18">
        <v>3</v>
      </c>
      <c r="F768" s="13"/>
      <c r="G768" s="12" t="s">
        <v>376</v>
      </c>
      <c r="H768" s="12" t="s">
        <v>1057</v>
      </c>
      <c r="I768" s="13"/>
      <c r="J768" s="12" t="s">
        <v>1056</v>
      </c>
      <c r="K768" s="12" t="s">
        <v>535</v>
      </c>
    </row>
    <row r="769" spans="1:11" ht="30" customHeight="1">
      <c r="A769" s="12" t="s">
        <v>366</v>
      </c>
      <c r="B769" s="12" t="s">
        <v>363</v>
      </c>
      <c r="C769" s="12" t="s">
        <v>347</v>
      </c>
      <c r="D769" s="12" t="s">
        <v>393</v>
      </c>
      <c r="E769" s="18">
        <v>3</v>
      </c>
      <c r="F769" s="13"/>
      <c r="G769" s="12" t="s">
        <v>376</v>
      </c>
      <c r="H769" s="12" t="s">
        <v>1057</v>
      </c>
      <c r="I769" s="13"/>
      <c r="J769" s="12" t="s">
        <v>1056</v>
      </c>
      <c r="K769" s="12" t="s">
        <v>535</v>
      </c>
    </row>
    <row r="770" spans="1:11" ht="30" customHeight="1">
      <c r="A770" s="12" t="s">
        <v>366</v>
      </c>
      <c r="B770" s="12" t="s">
        <v>363</v>
      </c>
      <c r="C770" s="12" t="s">
        <v>347</v>
      </c>
      <c r="D770" s="12" t="s">
        <v>394</v>
      </c>
      <c r="E770" s="18">
        <v>3</v>
      </c>
      <c r="F770" s="13"/>
      <c r="G770" s="12" t="s">
        <v>376</v>
      </c>
      <c r="H770" s="12" t="s">
        <v>1057</v>
      </c>
      <c r="I770" s="13"/>
      <c r="J770" s="12" t="s">
        <v>1056</v>
      </c>
      <c r="K770" s="12" t="s">
        <v>535</v>
      </c>
    </row>
    <row r="771" spans="1:11" ht="30" customHeight="1">
      <c r="A771" s="12" t="s">
        <v>366</v>
      </c>
      <c r="B771" s="12" t="s">
        <v>363</v>
      </c>
      <c r="C771" s="12" t="s">
        <v>347</v>
      </c>
      <c r="D771" s="12" t="s">
        <v>395</v>
      </c>
      <c r="E771" s="18">
        <v>3</v>
      </c>
      <c r="F771" s="13"/>
      <c r="G771" s="12" t="s">
        <v>376</v>
      </c>
      <c r="H771" s="12" t="s">
        <v>1057</v>
      </c>
      <c r="I771" s="13"/>
      <c r="J771" s="12" t="s">
        <v>1056</v>
      </c>
      <c r="K771" s="12" t="s">
        <v>535</v>
      </c>
    </row>
    <row r="772" spans="1:11" ht="30" customHeight="1">
      <c r="A772" s="12" t="s">
        <v>366</v>
      </c>
      <c r="B772" s="12" t="s">
        <v>363</v>
      </c>
      <c r="C772" s="12" t="s">
        <v>347</v>
      </c>
      <c r="D772" s="12" t="s">
        <v>396</v>
      </c>
      <c r="E772" s="18">
        <v>3</v>
      </c>
      <c r="F772" s="13"/>
      <c r="G772" s="12" t="s">
        <v>376</v>
      </c>
      <c r="H772" s="12" t="s">
        <v>1057</v>
      </c>
      <c r="I772" s="13"/>
      <c r="J772" s="12" t="s">
        <v>1056</v>
      </c>
      <c r="K772" s="12" t="s">
        <v>535</v>
      </c>
    </row>
    <row r="773" spans="1:11" ht="30" customHeight="1">
      <c r="A773" s="12" t="s">
        <v>366</v>
      </c>
      <c r="B773" s="12" t="s">
        <v>363</v>
      </c>
      <c r="C773" s="12" t="s">
        <v>347</v>
      </c>
      <c r="D773" s="12" t="s">
        <v>397</v>
      </c>
      <c r="E773" s="18">
        <v>0</v>
      </c>
      <c r="F773" s="13"/>
      <c r="G773" s="12" t="s">
        <v>376</v>
      </c>
      <c r="H773" s="12" t="s">
        <v>1057</v>
      </c>
      <c r="I773" s="13"/>
      <c r="J773" s="12" t="s">
        <v>1056</v>
      </c>
      <c r="K773" s="12" t="s">
        <v>535</v>
      </c>
    </row>
    <row r="774" spans="1:11" ht="30" customHeight="1">
      <c r="A774" s="12" t="s">
        <v>366</v>
      </c>
      <c r="B774" s="12" t="s">
        <v>363</v>
      </c>
      <c r="C774" s="12" t="s">
        <v>347</v>
      </c>
      <c r="D774" s="12" t="s">
        <v>398</v>
      </c>
      <c r="E774" s="18">
        <v>3</v>
      </c>
      <c r="F774" s="13"/>
      <c r="G774" s="12" t="s">
        <v>376</v>
      </c>
      <c r="H774" s="12" t="s">
        <v>1057</v>
      </c>
      <c r="I774" s="13"/>
      <c r="J774" s="12" t="s">
        <v>1056</v>
      </c>
      <c r="K774" s="12" t="s">
        <v>535</v>
      </c>
    </row>
    <row r="775" spans="1:11" ht="30" customHeight="1">
      <c r="A775" s="12" t="s">
        <v>366</v>
      </c>
      <c r="B775" s="12" t="s">
        <v>363</v>
      </c>
      <c r="C775" s="12" t="s">
        <v>347</v>
      </c>
      <c r="D775" s="12" t="s">
        <v>399</v>
      </c>
      <c r="E775" s="18">
        <v>3</v>
      </c>
      <c r="F775" s="13"/>
      <c r="G775" s="12" t="s">
        <v>376</v>
      </c>
      <c r="H775" s="12" t="s">
        <v>1057</v>
      </c>
      <c r="I775" s="13"/>
      <c r="J775" s="12" t="s">
        <v>1056</v>
      </c>
      <c r="K775" s="12" t="s">
        <v>535</v>
      </c>
    </row>
    <row r="776" spans="1:11" ht="30" customHeight="1">
      <c r="A776" s="12" t="s">
        <v>366</v>
      </c>
      <c r="B776" s="12" t="s">
        <v>363</v>
      </c>
      <c r="C776" s="12" t="s">
        <v>347</v>
      </c>
      <c r="D776" s="12" t="s">
        <v>400</v>
      </c>
      <c r="E776" s="18">
        <v>3</v>
      </c>
      <c r="F776" s="13"/>
      <c r="G776" s="12" t="s">
        <v>376</v>
      </c>
      <c r="H776" s="12" t="s">
        <v>1057</v>
      </c>
      <c r="I776" s="13"/>
      <c r="J776" s="12" t="s">
        <v>1056</v>
      </c>
      <c r="K776" s="12" t="s">
        <v>535</v>
      </c>
    </row>
    <row r="777" spans="1:11" ht="30" customHeight="1">
      <c r="A777" s="12" t="s">
        <v>361</v>
      </c>
      <c r="B777" s="12" t="s">
        <v>358</v>
      </c>
      <c r="C777" s="12" t="s">
        <v>347</v>
      </c>
      <c r="D777" s="12" t="s">
        <v>391</v>
      </c>
      <c r="E777" s="18">
        <v>3</v>
      </c>
      <c r="F777" s="13"/>
      <c r="G777" s="12" t="s">
        <v>376</v>
      </c>
      <c r="H777" s="12" t="s">
        <v>1057</v>
      </c>
      <c r="I777" s="13"/>
      <c r="J777" s="12" t="s">
        <v>1056</v>
      </c>
      <c r="K777" s="12" t="s">
        <v>535</v>
      </c>
    </row>
    <row r="778" spans="1:11" ht="30" customHeight="1">
      <c r="A778" s="12" t="s">
        <v>361</v>
      </c>
      <c r="B778" s="12" t="s">
        <v>358</v>
      </c>
      <c r="C778" s="12" t="s">
        <v>347</v>
      </c>
      <c r="D778" s="12" t="s">
        <v>392</v>
      </c>
      <c r="E778" s="18">
        <v>3</v>
      </c>
      <c r="F778" s="13"/>
      <c r="G778" s="12" t="s">
        <v>376</v>
      </c>
      <c r="H778" s="12" t="s">
        <v>1057</v>
      </c>
      <c r="I778" s="13"/>
      <c r="J778" s="12" t="s">
        <v>1056</v>
      </c>
      <c r="K778" s="12" t="s">
        <v>535</v>
      </c>
    </row>
    <row r="779" spans="1:11" ht="30" customHeight="1">
      <c r="A779" s="12" t="s">
        <v>361</v>
      </c>
      <c r="B779" s="12" t="s">
        <v>358</v>
      </c>
      <c r="C779" s="12" t="s">
        <v>347</v>
      </c>
      <c r="D779" s="12" t="s">
        <v>393</v>
      </c>
      <c r="E779" s="18">
        <v>3</v>
      </c>
      <c r="F779" s="13"/>
      <c r="G779" s="12" t="s">
        <v>376</v>
      </c>
      <c r="H779" s="12" t="s">
        <v>1057</v>
      </c>
      <c r="I779" s="13"/>
      <c r="J779" s="12" t="s">
        <v>1056</v>
      </c>
      <c r="K779" s="12" t="s">
        <v>535</v>
      </c>
    </row>
    <row r="780" spans="1:11" ht="30" customHeight="1">
      <c r="A780" s="12" t="s">
        <v>361</v>
      </c>
      <c r="B780" s="12" t="s">
        <v>358</v>
      </c>
      <c r="C780" s="12" t="s">
        <v>347</v>
      </c>
      <c r="D780" s="12" t="s">
        <v>394</v>
      </c>
      <c r="E780" s="18">
        <v>3</v>
      </c>
      <c r="F780" s="13"/>
      <c r="G780" s="12" t="s">
        <v>376</v>
      </c>
      <c r="H780" s="12" t="s">
        <v>1057</v>
      </c>
      <c r="I780" s="13"/>
      <c r="J780" s="12" t="s">
        <v>1056</v>
      </c>
      <c r="K780" s="12" t="s">
        <v>535</v>
      </c>
    </row>
    <row r="781" spans="1:11" ht="30" customHeight="1">
      <c r="A781" s="12" t="s">
        <v>361</v>
      </c>
      <c r="B781" s="12" t="s">
        <v>358</v>
      </c>
      <c r="C781" s="12" t="s">
        <v>347</v>
      </c>
      <c r="D781" s="12" t="s">
        <v>395</v>
      </c>
      <c r="E781" s="18">
        <v>3</v>
      </c>
      <c r="F781" s="13"/>
      <c r="G781" s="12" t="s">
        <v>376</v>
      </c>
      <c r="H781" s="12" t="s">
        <v>1057</v>
      </c>
      <c r="I781" s="13"/>
      <c r="J781" s="12" t="s">
        <v>1056</v>
      </c>
      <c r="K781" s="12" t="s">
        <v>535</v>
      </c>
    </row>
    <row r="782" spans="1:11" ht="30" customHeight="1">
      <c r="A782" s="12" t="s">
        <v>361</v>
      </c>
      <c r="B782" s="12" t="s">
        <v>358</v>
      </c>
      <c r="C782" s="12" t="s">
        <v>347</v>
      </c>
      <c r="D782" s="12" t="s">
        <v>396</v>
      </c>
      <c r="E782" s="18">
        <v>3</v>
      </c>
      <c r="F782" s="13"/>
      <c r="G782" s="12" t="s">
        <v>376</v>
      </c>
      <c r="H782" s="12" t="s">
        <v>1057</v>
      </c>
      <c r="I782" s="13"/>
      <c r="J782" s="12" t="s">
        <v>1056</v>
      </c>
      <c r="K782" s="12" t="s">
        <v>535</v>
      </c>
    </row>
    <row r="783" spans="1:11" ht="30" customHeight="1">
      <c r="A783" s="12" t="s">
        <v>361</v>
      </c>
      <c r="B783" s="12" t="s">
        <v>358</v>
      </c>
      <c r="C783" s="12" t="s">
        <v>347</v>
      </c>
      <c r="D783" s="12" t="s">
        <v>397</v>
      </c>
      <c r="E783" s="18">
        <v>3</v>
      </c>
      <c r="F783" s="13"/>
      <c r="G783" s="12" t="s">
        <v>376</v>
      </c>
      <c r="H783" s="12" t="s">
        <v>1057</v>
      </c>
      <c r="I783" s="13"/>
      <c r="J783" s="12" t="s">
        <v>1056</v>
      </c>
      <c r="K783" s="12" t="s">
        <v>535</v>
      </c>
    </row>
    <row r="784" spans="1:11" ht="30" customHeight="1">
      <c r="A784" s="12" t="s">
        <v>361</v>
      </c>
      <c r="B784" s="12" t="s">
        <v>358</v>
      </c>
      <c r="C784" s="12" t="s">
        <v>347</v>
      </c>
      <c r="D784" s="12" t="s">
        <v>398</v>
      </c>
      <c r="E784" s="18">
        <v>3</v>
      </c>
      <c r="F784" s="13"/>
      <c r="G784" s="12" t="s">
        <v>376</v>
      </c>
      <c r="H784" s="12" t="s">
        <v>1057</v>
      </c>
      <c r="I784" s="13"/>
      <c r="J784" s="12" t="s">
        <v>1056</v>
      </c>
      <c r="K784" s="12" t="s">
        <v>535</v>
      </c>
    </row>
    <row r="785" spans="1:11" ht="30" customHeight="1">
      <c r="A785" s="12" t="s">
        <v>361</v>
      </c>
      <c r="B785" s="12" t="s">
        <v>358</v>
      </c>
      <c r="C785" s="12" t="s">
        <v>347</v>
      </c>
      <c r="D785" s="12" t="s">
        <v>399</v>
      </c>
      <c r="E785" s="18">
        <v>3</v>
      </c>
      <c r="F785" s="13"/>
      <c r="G785" s="12" t="s">
        <v>376</v>
      </c>
      <c r="H785" s="12" t="s">
        <v>1057</v>
      </c>
      <c r="I785" s="13"/>
      <c r="J785" s="12" t="s">
        <v>1056</v>
      </c>
      <c r="K785" s="12" t="s">
        <v>535</v>
      </c>
    </row>
    <row r="786" spans="1:11" ht="30" customHeight="1">
      <c r="A786" s="12" t="s">
        <v>361</v>
      </c>
      <c r="B786" s="12" t="s">
        <v>358</v>
      </c>
      <c r="C786" s="12" t="s">
        <v>347</v>
      </c>
      <c r="D786" s="12" t="s">
        <v>400</v>
      </c>
      <c r="E786" s="18">
        <v>3</v>
      </c>
      <c r="F786" s="13"/>
      <c r="G786" s="12" t="s">
        <v>376</v>
      </c>
      <c r="H786" s="12" t="s">
        <v>1057</v>
      </c>
      <c r="I786" s="13"/>
      <c r="J786" s="12" t="s">
        <v>1056</v>
      </c>
      <c r="K786" s="12" t="s">
        <v>535</v>
      </c>
    </row>
    <row r="787" spans="1:11" ht="30" customHeight="1">
      <c r="A787" s="12" t="s">
        <v>351</v>
      </c>
      <c r="B787" s="12" t="s">
        <v>346</v>
      </c>
      <c r="C787" s="12" t="s">
        <v>347</v>
      </c>
      <c r="D787" s="12" t="s">
        <v>391</v>
      </c>
      <c r="E787" s="18">
        <v>3</v>
      </c>
      <c r="F787" s="13"/>
      <c r="G787" s="12" t="s">
        <v>376</v>
      </c>
      <c r="H787" s="12" t="s">
        <v>1057</v>
      </c>
      <c r="I787" s="13"/>
      <c r="J787" s="12" t="s">
        <v>1056</v>
      </c>
      <c r="K787" s="12" t="s">
        <v>535</v>
      </c>
    </row>
    <row r="788" spans="1:11" ht="30" customHeight="1">
      <c r="A788" s="12" t="s">
        <v>351</v>
      </c>
      <c r="B788" s="12" t="s">
        <v>346</v>
      </c>
      <c r="C788" s="12" t="s">
        <v>347</v>
      </c>
      <c r="D788" s="12" t="s">
        <v>392</v>
      </c>
      <c r="E788" s="18">
        <v>3</v>
      </c>
      <c r="F788" s="13"/>
      <c r="G788" s="12" t="s">
        <v>376</v>
      </c>
      <c r="H788" s="12" t="s">
        <v>1057</v>
      </c>
      <c r="I788" s="13"/>
      <c r="J788" s="12" t="s">
        <v>1056</v>
      </c>
      <c r="K788" s="12" t="s">
        <v>535</v>
      </c>
    </row>
    <row r="789" spans="1:11" ht="30" customHeight="1">
      <c r="A789" s="12" t="s">
        <v>351</v>
      </c>
      <c r="B789" s="12" t="s">
        <v>346</v>
      </c>
      <c r="C789" s="12" t="s">
        <v>347</v>
      </c>
      <c r="D789" s="12" t="s">
        <v>393</v>
      </c>
      <c r="E789" s="18">
        <v>3</v>
      </c>
      <c r="F789" s="13"/>
      <c r="G789" s="12" t="s">
        <v>376</v>
      </c>
      <c r="H789" s="12" t="s">
        <v>1057</v>
      </c>
      <c r="I789" s="13"/>
      <c r="J789" s="12" t="s">
        <v>1056</v>
      </c>
      <c r="K789" s="12" t="s">
        <v>535</v>
      </c>
    </row>
    <row r="790" spans="1:11" ht="30" customHeight="1">
      <c r="A790" s="12" t="s">
        <v>351</v>
      </c>
      <c r="B790" s="12" t="s">
        <v>346</v>
      </c>
      <c r="C790" s="12" t="s">
        <v>347</v>
      </c>
      <c r="D790" s="12" t="s">
        <v>394</v>
      </c>
      <c r="E790" s="18">
        <v>3</v>
      </c>
      <c r="F790" s="13"/>
      <c r="G790" s="12" t="s">
        <v>376</v>
      </c>
      <c r="H790" s="12" t="s">
        <v>1057</v>
      </c>
      <c r="I790" s="13"/>
      <c r="J790" s="12" t="s">
        <v>1056</v>
      </c>
      <c r="K790" s="12" t="s">
        <v>535</v>
      </c>
    </row>
    <row r="791" spans="1:11" ht="30" customHeight="1">
      <c r="A791" s="12" t="s">
        <v>351</v>
      </c>
      <c r="B791" s="12" t="s">
        <v>346</v>
      </c>
      <c r="C791" s="12" t="s">
        <v>347</v>
      </c>
      <c r="D791" s="12" t="s">
        <v>395</v>
      </c>
      <c r="E791" s="18">
        <v>3</v>
      </c>
      <c r="F791" s="13"/>
      <c r="G791" s="12" t="s">
        <v>376</v>
      </c>
      <c r="H791" s="12" t="s">
        <v>1057</v>
      </c>
      <c r="I791" s="13"/>
      <c r="J791" s="12" t="s">
        <v>1056</v>
      </c>
      <c r="K791" s="12" t="s">
        <v>535</v>
      </c>
    </row>
    <row r="792" spans="1:11" ht="30" customHeight="1">
      <c r="A792" s="12" t="s">
        <v>351</v>
      </c>
      <c r="B792" s="12" t="s">
        <v>346</v>
      </c>
      <c r="C792" s="12" t="s">
        <v>347</v>
      </c>
      <c r="D792" s="12" t="s">
        <v>396</v>
      </c>
      <c r="E792" s="18">
        <v>3</v>
      </c>
      <c r="F792" s="13"/>
      <c r="G792" s="12" t="s">
        <v>376</v>
      </c>
      <c r="H792" s="12" t="s">
        <v>1057</v>
      </c>
      <c r="I792" s="13"/>
      <c r="J792" s="12" t="s">
        <v>1056</v>
      </c>
      <c r="K792" s="12" t="s">
        <v>535</v>
      </c>
    </row>
    <row r="793" spans="1:11" ht="30" customHeight="1">
      <c r="A793" s="12" t="s">
        <v>351</v>
      </c>
      <c r="B793" s="12" t="s">
        <v>346</v>
      </c>
      <c r="C793" s="12" t="s">
        <v>347</v>
      </c>
      <c r="D793" s="12" t="s">
        <v>397</v>
      </c>
      <c r="E793" s="18">
        <v>3</v>
      </c>
      <c r="F793" s="13"/>
      <c r="G793" s="12" t="s">
        <v>376</v>
      </c>
      <c r="H793" s="12" t="s">
        <v>1057</v>
      </c>
      <c r="I793" s="13"/>
      <c r="J793" s="12" t="s">
        <v>1056</v>
      </c>
      <c r="K793" s="12" t="s">
        <v>535</v>
      </c>
    </row>
    <row r="794" spans="1:11" ht="30" customHeight="1">
      <c r="A794" s="12" t="s">
        <v>351</v>
      </c>
      <c r="B794" s="12" t="s">
        <v>346</v>
      </c>
      <c r="C794" s="12" t="s">
        <v>347</v>
      </c>
      <c r="D794" s="12" t="s">
        <v>398</v>
      </c>
      <c r="E794" s="18">
        <v>3</v>
      </c>
      <c r="F794" s="13"/>
      <c r="G794" s="12" t="s">
        <v>376</v>
      </c>
      <c r="H794" s="12" t="s">
        <v>1057</v>
      </c>
      <c r="I794" s="13"/>
      <c r="J794" s="12" t="s">
        <v>1056</v>
      </c>
      <c r="K794" s="12" t="s">
        <v>535</v>
      </c>
    </row>
    <row r="795" spans="1:11" ht="30" customHeight="1">
      <c r="A795" s="12" t="s">
        <v>351</v>
      </c>
      <c r="B795" s="12" t="s">
        <v>346</v>
      </c>
      <c r="C795" s="12" t="s">
        <v>347</v>
      </c>
      <c r="D795" s="12" t="s">
        <v>399</v>
      </c>
      <c r="E795" s="18">
        <v>3</v>
      </c>
      <c r="F795" s="13"/>
      <c r="G795" s="12" t="s">
        <v>376</v>
      </c>
      <c r="H795" s="12" t="s">
        <v>1057</v>
      </c>
      <c r="I795" s="13"/>
      <c r="J795" s="12" t="s">
        <v>1056</v>
      </c>
      <c r="K795" s="12" t="s">
        <v>535</v>
      </c>
    </row>
    <row r="796" spans="1:11" ht="30" customHeight="1">
      <c r="A796" s="12" t="s">
        <v>351</v>
      </c>
      <c r="B796" s="12" t="s">
        <v>346</v>
      </c>
      <c r="C796" s="12" t="s">
        <v>347</v>
      </c>
      <c r="D796" s="12" t="s">
        <v>400</v>
      </c>
      <c r="E796" s="18">
        <v>3</v>
      </c>
      <c r="F796" s="13"/>
      <c r="G796" s="12" t="s">
        <v>376</v>
      </c>
      <c r="H796" s="12" t="s">
        <v>1057</v>
      </c>
      <c r="I796" s="13"/>
      <c r="J796" s="12" t="s">
        <v>1056</v>
      </c>
      <c r="K796" s="12" t="s">
        <v>535</v>
      </c>
    </row>
    <row r="797" spans="1:11" ht="30" customHeight="1">
      <c r="A797" s="12" t="s">
        <v>382</v>
      </c>
      <c r="B797" s="12" t="s">
        <v>379</v>
      </c>
      <c r="C797" s="12" t="s">
        <v>347</v>
      </c>
      <c r="D797" s="12" t="s">
        <v>391</v>
      </c>
      <c r="E797" s="18">
        <v>3</v>
      </c>
      <c r="F797" s="13"/>
      <c r="G797" s="12" t="s">
        <v>376</v>
      </c>
      <c r="H797" s="12" t="s">
        <v>1057</v>
      </c>
      <c r="I797" s="13"/>
      <c r="J797" s="12" t="s">
        <v>1056</v>
      </c>
      <c r="K797" s="12" t="s">
        <v>535</v>
      </c>
    </row>
    <row r="798" spans="1:11" ht="30" customHeight="1">
      <c r="A798" s="12" t="s">
        <v>382</v>
      </c>
      <c r="B798" s="12" t="s">
        <v>379</v>
      </c>
      <c r="C798" s="12" t="s">
        <v>347</v>
      </c>
      <c r="D798" s="12" t="s">
        <v>392</v>
      </c>
      <c r="E798" s="18">
        <v>0</v>
      </c>
      <c r="F798" s="13"/>
      <c r="G798" s="12" t="s">
        <v>376</v>
      </c>
      <c r="H798" s="12" t="s">
        <v>1057</v>
      </c>
      <c r="I798" s="13"/>
      <c r="J798" s="12" t="s">
        <v>1056</v>
      </c>
      <c r="K798" s="12" t="s">
        <v>535</v>
      </c>
    </row>
    <row r="799" spans="1:11" ht="30" customHeight="1">
      <c r="A799" s="12" t="s">
        <v>382</v>
      </c>
      <c r="B799" s="12" t="s">
        <v>379</v>
      </c>
      <c r="C799" s="12" t="s">
        <v>347</v>
      </c>
      <c r="D799" s="12" t="s">
        <v>393</v>
      </c>
      <c r="E799" s="18">
        <v>3</v>
      </c>
      <c r="F799" s="13"/>
      <c r="G799" s="12" t="s">
        <v>376</v>
      </c>
      <c r="H799" s="12" t="s">
        <v>1057</v>
      </c>
      <c r="I799" s="13"/>
      <c r="J799" s="12" t="s">
        <v>1056</v>
      </c>
      <c r="K799" s="12" t="s">
        <v>535</v>
      </c>
    </row>
    <row r="800" spans="1:11" ht="30" customHeight="1">
      <c r="A800" s="12" t="s">
        <v>382</v>
      </c>
      <c r="B800" s="12" t="s">
        <v>379</v>
      </c>
      <c r="C800" s="12" t="s">
        <v>347</v>
      </c>
      <c r="D800" s="12" t="s">
        <v>394</v>
      </c>
      <c r="E800" s="18">
        <v>3</v>
      </c>
      <c r="F800" s="13"/>
      <c r="G800" s="12" t="s">
        <v>376</v>
      </c>
      <c r="H800" s="12" t="s">
        <v>1057</v>
      </c>
      <c r="I800" s="13"/>
      <c r="J800" s="12" t="s">
        <v>1056</v>
      </c>
      <c r="K800" s="12" t="s">
        <v>535</v>
      </c>
    </row>
    <row r="801" spans="1:11" ht="30" customHeight="1">
      <c r="A801" s="12" t="s">
        <v>382</v>
      </c>
      <c r="B801" s="12" t="s">
        <v>379</v>
      </c>
      <c r="C801" s="12" t="s">
        <v>347</v>
      </c>
      <c r="D801" s="12" t="s">
        <v>395</v>
      </c>
      <c r="E801" s="18">
        <v>3</v>
      </c>
      <c r="F801" s="13"/>
      <c r="G801" s="12" t="s">
        <v>376</v>
      </c>
      <c r="H801" s="12" t="s">
        <v>1057</v>
      </c>
      <c r="I801" s="13"/>
      <c r="J801" s="12" t="s">
        <v>1056</v>
      </c>
      <c r="K801" s="12" t="s">
        <v>535</v>
      </c>
    </row>
    <row r="802" spans="1:11" ht="30" customHeight="1">
      <c r="A802" s="12" t="s">
        <v>382</v>
      </c>
      <c r="B802" s="12" t="s">
        <v>379</v>
      </c>
      <c r="C802" s="12" t="s">
        <v>347</v>
      </c>
      <c r="D802" s="12" t="s">
        <v>396</v>
      </c>
      <c r="E802" s="18">
        <v>3</v>
      </c>
      <c r="F802" s="13"/>
      <c r="G802" s="12" t="s">
        <v>376</v>
      </c>
      <c r="H802" s="12" t="s">
        <v>1057</v>
      </c>
      <c r="I802" s="13"/>
      <c r="J802" s="12" t="s">
        <v>1056</v>
      </c>
      <c r="K802" s="12" t="s">
        <v>535</v>
      </c>
    </row>
    <row r="803" spans="1:11" ht="30" customHeight="1">
      <c r="A803" s="12" t="s">
        <v>382</v>
      </c>
      <c r="B803" s="12" t="s">
        <v>379</v>
      </c>
      <c r="C803" s="12" t="s">
        <v>347</v>
      </c>
      <c r="D803" s="12" t="s">
        <v>397</v>
      </c>
      <c r="E803" s="18">
        <v>3</v>
      </c>
      <c r="F803" s="13"/>
      <c r="G803" s="12" t="s">
        <v>376</v>
      </c>
      <c r="H803" s="12" t="s">
        <v>1057</v>
      </c>
      <c r="I803" s="13"/>
      <c r="J803" s="12" t="s">
        <v>1056</v>
      </c>
      <c r="K803" s="12" t="s">
        <v>535</v>
      </c>
    </row>
    <row r="804" spans="1:11" ht="30" customHeight="1">
      <c r="A804" s="12" t="s">
        <v>382</v>
      </c>
      <c r="B804" s="12" t="s">
        <v>379</v>
      </c>
      <c r="C804" s="12" t="s">
        <v>347</v>
      </c>
      <c r="D804" s="12" t="s">
        <v>398</v>
      </c>
      <c r="E804" s="18">
        <v>3</v>
      </c>
      <c r="F804" s="13"/>
      <c r="G804" s="12" t="s">
        <v>376</v>
      </c>
      <c r="H804" s="12" t="s">
        <v>1057</v>
      </c>
      <c r="I804" s="13"/>
      <c r="J804" s="12" t="s">
        <v>1056</v>
      </c>
      <c r="K804" s="12" t="s">
        <v>535</v>
      </c>
    </row>
    <row r="805" spans="1:11" ht="30" customHeight="1">
      <c r="A805" s="12" t="s">
        <v>382</v>
      </c>
      <c r="B805" s="12" t="s">
        <v>379</v>
      </c>
      <c r="C805" s="12" t="s">
        <v>347</v>
      </c>
      <c r="D805" s="12" t="s">
        <v>399</v>
      </c>
      <c r="E805" s="18">
        <v>3</v>
      </c>
      <c r="F805" s="13"/>
      <c r="G805" s="12" t="s">
        <v>376</v>
      </c>
      <c r="H805" s="12" t="s">
        <v>1057</v>
      </c>
      <c r="I805" s="13"/>
      <c r="J805" s="12" t="s">
        <v>1056</v>
      </c>
      <c r="K805" s="12" t="s">
        <v>535</v>
      </c>
    </row>
    <row r="806" spans="1:11" ht="30" customHeight="1">
      <c r="A806" s="12" t="s">
        <v>382</v>
      </c>
      <c r="B806" s="12" t="s">
        <v>379</v>
      </c>
      <c r="C806" s="12" t="s">
        <v>347</v>
      </c>
      <c r="D806" s="12" t="s">
        <v>400</v>
      </c>
      <c r="E806" s="18">
        <v>3</v>
      </c>
      <c r="F806" s="13"/>
      <c r="G806" s="12" t="s">
        <v>376</v>
      </c>
      <c r="H806" s="12" t="s">
        <v>1057</v>
      </c>
      <c r="I806" s="13"/>
      <c r="J806" s="12" t="s">
        <v>1056</v>
      </c>
      <c r="K806" s="12" t="s">
        <v>535</v>
      </c>
    </row>
    <row r="807" spans="1:11" ht="30" customHeight="1">
      <c r="A807" s="12" t="s">
        <v>374</v>
      </c>
      <c r="B807" s="12" t="s">
        <v>373</v>
      </c>
      <c r="C807" s="12" t="s">
        <v>347</v>
      </c>
      <c r="D807" s="12" t="s">
        <v>391</v>
      </c>
      <c r="E807" s="18">
        <v>3</v>
      </c>
      <c r="F807" s="13"/>
      <c r="G807" s="12" t="s">
        <v>376</v>
      </c>
      <c r="H807" s="12" t="s">
        <v>1057</v>
      </c>
      <c r="I807" s="13"/>
      <c r="J807" s="12" t="s">
        <v>1056</v>
      </c>
      <c r="K807" s="12" t="s">
        <v>535</v>
      </c>
    </row>
    <row r="808" spans="1:11" ht="30" customHeight="1">
      <c r="A808" s="12" t="s">
        <v>374</v>
      </c>
      <c r="B808" s="12" t="s">
        <v>373</v>
      </c>
      <c r="C808" s="12" t="s">
        <v>347</v>
      </c>
      <c r="D808" s="12" t="s">
        <v>392</v>
      </c>
      <c r="E808" s="18">
        <v>3</v>
      </c>
      <c r="F808" s="13"/>
      <c r="G808" s="12" t="s">
        <v>376</v>
      </c>
      <c r="H808" s="12" t="s">
        <v>1057</v>
      </c>
      <c r="I808" s="13"/>
      <c r="J808" s="12" t="s">
        <v>1056</v>
      </c>
      <c r="K808" s="12" t="s">
        <v>535</v>
      </c>
    </row>
    <row r="809" spans="1:11" ht="30" customHeight="1">
      <c r="A809" s="12" t="s">
        <v>374</v>
      </c>
      <c r="B809" s="12" t="s">
        <v>373</v>
      </c>
      <c r="C809" s="12" t="s">
        <v>347</v>
      </c>
      <c r="D809" s="12" t="s">
        <v>393</v>
      </c>
      <c r="E809" s="18">
        <v>3</v>
      </c>
      <c r="F809" s="13"/>
      <c r="G809" s="12" t="s">
        <v>376</v>
      </c>
      <c r="H809" s="12" t="s">
        <v>1057</v>
      </c>
      <c r="I809" s="13"/>
      <c r="J809" s="12" t="s">
        <v>1056</v>
      </c>
      <c r="K809" s="12" t="s">
        <v>535</v>
      </c>
    </row>
    <row r="810" spans="1:11" ht="30" customHeight="1">
      <c r="A810" s="12" t="s">
        <v>374</v>
      </c>
      <c r="B810" s="12" t="s">
        <v>373</v>
      </c>
      <c r="C810" s="12" t="s">
        <v>347</v>
      </c>
      <c r="D810" s="12" t="s">
        <v>394</v>
      </c>
      <c r="E810" s="18">
        <v>3</v>
      </c>
      <c r="F810" s="13"/>
      <c r="G810" s="12" t="s">
        <v>376</v>
      </c>
      <c r="H810" s="12" t="s">
        <v>1057</v>
      </c>
      <c r="I810" s="13"/>
      <c r="J810" s="12" t="s">
        <v>1056</v>
      </c>
      <c r="K810" s="12" t="s">
        <v>535</v>
      </c>
    </row>
    <row r="811" spans="1:11" ht="30" customHeight="1">
      <c r="A811" s="12" t="s">
        <v>374</v>
      </c>
      <c r="B811" s="12" t="s">
        <v>373</v>
      </c>
      <c r="C811" s="12" t="s">
        <v>347</v>
      </c>
      <c r="D811" s="12" t="s">
        <v>395</v>
      </c>
      <c r="E811" s="18">
        <v>3</v>
      </c>
      <c r="F811" s="13"/>
      <c r="G811" s="12" t="s">
        <v>376</v>
      </c>
      <c r="H811" s="12" t="s">
        <v>1057</v>
      </c>
      <c r="I811" s="13"/>
      <c r="J811" s="12" t="s">
        <v>1056</v>
      </c>
      <c r="K811" s="12" t="s">
        <v>535</v>
      </c>
    </row>
    <row r="812" spans="1:11" ht="30" customHeight="1">
      <c r="A812" s="12" t="s">
        <v>374</v>
      </c>
      <c r="B812" s="12" t="s">
        <v>373</v>
      </c>
      <c r="C812" s="12" t="s">
        <v>347</v>
      </c>
      <c r="D812" s="12" t="s">
        <v>396</v>
      </c>
      <c r="E812" s="18">
        <v>3</v>
      </c>
      <c r="F812" s="13"/>
      <c r="G812" s="12" t="s">
        <v>376</v>
      </c>
      <c r="H812" s="12" t="s">
        <v>1057</v>
      </c>
      <c r="I812" s="13"/>
      <c r="J812" s="12" t="s">
        <v>1056</v>
      </c>
      <c r="K812" s="12" t="s">
        <v>535</v>
      </c>
    </row>
    <row r="813" spans="1:11" ht="30" customHeight="1">
      <c r="A813" s="12" t="s">
        <v>374</v>
      </c>
      <c r="B813" s="12" t="s">
        <v>373</v>
      </c>
      <c r="C813" s="12" t="s">
        <v>347</v>
      </c>
      <c r="D813" s="12" t="s">
        <v>397</v>
      </c>
      <c r="E813" s="18">
        <v>1</v>
      </c>
      <c r="F813" s="13"/>
      <c r="G813" s="12" t="s">
        <v>376</v>
      </c>
      <c r="H813" s="12" t="s">
        <v>1057</v>
      </c>
      <c r="I813" s="13"/>
      <c r="J813" s="12" t="s">
        <v>1056</v>
      </c>
      <c r="K813" s="12" t="s">
        <v>535</v>
      </c>
    </row>
    <row r="814" spans="1:11" ht="30" customHeight="1">
      <c r="A814" s="12" t="s">
        <v>374</v>
      </c>
      <c r="B814" s="12" t="s">
        <v>373</v>
      </c>
      <c r="C814" s="12" t="s">
        <v>347</v>
      </c>
      <c r="D814" s="12" t="s">
        <v>398</v>
      </c>
      <c r="E814" s="18">
        <v>3</v>
      </c>
      <c r="F814" s="13"/>
      <c r="G814" s="12" t="s">
        <v>376</v>
      </c>
      <c r="H814" s="12" t="s">
        <v>1057</v>
      </c>
      <c r="I814" s="13"/>
      <c r="J814" s="12" t="s">
        <v>1056</v>
      </c>
      <c r="K814" s="12" t="s">
        <v>535</v>
      </c>
    </row>
    <row r="815" spans="1:11" ht="30" customHeight="1">
      <c r="A815" s="12" t="s">
        <v>374</v>
      </c>
      <c r="B815" s="12" t="s">
        <v>373</v>
      </c>
      <c r="C815" s="12" t="s">
        <v>347</v>
      </c>
      <c r="D815" s="12" t="s">
        <v>399</v>
      </c>
      <c r="E815" s="18">
        <v>3</v>
      </c>
      <c r="F815" s="13"/>
      <c r="G815" s="12" t="s">
        <v>376</v>
      </c>
      <c r="H815" s="12" t="s">
        <v>1057</v>
      </c>
      <c r="I815" s="13"/>
      <c r="J815" s="12" t="s">
        <v>1056</v>
      </c>
      <c r="K815" s="12" t="s">
        <v>535</v>
      </c>
    </row>
    <row r="816" spans="1:11" ht="30" customHeight="1">
      <c r="A816" s="12" t="s">
        <v>374</v>
      </c>
      <c r="B816" s="12" t="s">
        <v>373</v>
      </c>
      <c r="C816" s="12" t="s">
        <v>347</v>
      </c>
      <c r="D816" s="12" t="s">
        <v>400</v>
      </c>
      <c r="E816" s="18">
        <v>3</v>
      </c>
      <c r="F816" s="13"/>
      <c r="G816" s="12" t="s">
        <v>376</v>
      </c>
      <c r="H816" s="12" t="s">
        <v>1057</v>
      </c>
      <c r="I816" s="13"/>
      <c r="J816" s="12" t="s">
        <v>1056</v>
      </c>
      <c r="K816" s="12" t="s">
        <v>535</v>
      </c>
    </row>
    <row r="817" spans="1:11" ht="30" customHeight="1">
      <c r="A817" s="12" t="s">
        <v>356</v>
      </c>
      <c r="B817" s="12" t="s">
        <v>353</v>
      </c>
      <c r="C817" s="12" t="s">
        <v>347</v>
      </c>
      <c r="D817" s="12" t="s">
        <v>391</v>
      </c>
      <c r="E817" s="18">
        <v>3</v>
      </c>
      <c r="F817" s="13"/>
      <c r="G817" s="12" t="s">
        <v>376</v>
      </c>
      <c r="H817" s="12" t="s">
        <v>1057</v>
      </c>
      <c r="I817" s="13"/>
      <c r="J817" s="12" t="s">
        <v>1056</v>
      </c>
      <c r="K817" s="12" t="s">
        <v>535</v>
      </c>
    </row>
    <row r="818" spans="1:11" ht="30" customHeight="1">
      <c r="A818" s="12" t="s">
        <v>356</v>
      </c>
      <c r="B818" s="12" t="s">
        <v>353</v>
      </c>
      <c r="C818" s="12" t="s">
        <v>347</v>
      </c>
      <c r="D818" s="12" t="s">
        <v>392</v>
      </c>
      <c r="E818" s="18">
        <v>3</v>
      </c>
      <c r="F818" s="13"/>
      <c r="G818" s="12" t="s">
        <v>376</v>
      </c>
      <c r="H818" s="12" t="s">
        <v>1057</v>
      </c>
      <c r="I818" s="13"/>
      <c r="J818" s="12" t="s">
        <v>1056</v>
      </c>
      <c r="K818" s="12" t="s">
        <v>535</v>
      </c>
    </row>
    <row r="819" spans="1:11" ht="30" customHeight="1">
      <c r="A819" s="12" t="s">
        <v>356</v>
      </c>
      <c r="B819" s="12" t="s">
        <v>353</v>
      </c>
      <c r="C819" s="12" t="s">
        <v>347</v>
      </c>
      <c r="D819" s="12" t="s">
        <v>393</v>
      </c>
      <c r="E819" s="18">
        <v>3</v>
      </c>
      <c r="F819" s="13"/>
      <c r="G819" s="12" t="s">
        <v>376</v>
      </c>
      <c r="H819" s="12" t="s">
        <v>1057</v>
      </c>
      <c r="I819" s="13"/>
      <c r="J819" s="12" t="s">
        <v>1056</v>
      </c>
      <c r="K819" s="12" t="s">
        <v>535</v>
      </c>
    </row>
    <row r="820" spans="1:11" ht="30" customHeight="1">
      <c r="A820" s="12" t="s">
        <v>356</v>
      </c>
      <c r="B820" s="12" t="s">
        <v>353</v>
      </c>
      <c r="C820" s="12" t="s">
        <v>347</v>
      </c>
      <c r="D820" s="12" t="s">
        <v>394</v>
      </c>
      <c r="E820" s="18">
        <v>3</v>
      </c>
      <c r="F820" s="13"/>
      <c r="G820" s="12" t="s">
        <v>376</v>
      </c>
      <c r="H820" s="12" t="s">
        <v>1057</v>
      </c>
      <c r="I820" s="13"/>
      <c r="J820" s="12" t="s">
        <v>1056</v>
      </c>
      <c r="K820" s="12" t="s">
        <v>535</v>
      </c>
    </row>
    <row r="821" spans="1:11" ht="30" customHeight="1">
      <c r="A821" s="12" t="s">
        <v>356</v>
      </c>
      <c r="B821" s="12" t="s">
        <v>353</v>
      </c>
      <c r="C821" s="12" t="s">
        <v>347</v>
      </c>
      <c r="D821" s="12" t="s">
        <v>395</v>
      </c>
      <c r="E821" s="18">
        <v>3</v>
      </c>
      <c r="F821" s="13"/>
      <c r="G821" s="12" t="s">
        <v>376</v>
      </c>
      <c r="H821" s="12" t="s">
        <v>1057</v>
      </c>
      <c r="I821" s="13"/>
      <c r="J821" s="12" t="s">
        <v>1056</v>
      </c>
      <c r="K821" s="12" t="s">
        <v>535</v>
      </c>
    </row>
    <row r="822" spans="1:11" ht="30" customHeight="1">
      <c r="A822" s="12" t="s">
        <v>356</v>
      </c>
      <c r="B822" s="12" t="s">
        <v>353</v>
      </c>
      <c r="C822" s="12" t="s">
        <v>347</v>
      </c>
      <c r="D822" s="12" t="s">
        <v>396</v>
      </c>
      <c r="E822" s="18">
        <v>3</v>
      </c>
      <c r="F822" s="13"/>
      <c r="G822" s="12" t="s">
        <v>376</v>
      </c>
      <c r="H822" s="12" t="s">
        <v>1057</v>
      </c>
      <c r="I822" s="13"/>
      <c r="J822" s="12" t="s">
        <v>1056</v>
      </c>
      <c r="K822" s="12" t="s">
        <v>535</v>
      </c>
    </row>
    <row r="823" spans="1:11" ht="30" customHeight="1">
      <c r="A823" s="12" t="s">
        <v>356</v>
      </c>
      <c r="B823" s="12" t="s">
        <v>353</v>
      </c>
      <c r="C823" s="12" t="s">
        <v>347</v>
      </c>
      <c r="D823" s="12" t="s">
        <v>397</v>
      </c>
      <c r="E823" s="18">
        <v>3</v>
      </c>
      <c r="F823" s="13"/>
      <c r="G823" s="12" t="s">
        <v>376</v>
      </c>
      <c r="H823" s="12" t="s">
        <v>1057</v>
      </c>
      <c r="I823" s="13"/>
      <c r="J823" s="12" t="s">
        <v>1056</v>
      </c>
      <c r="K823" s="12" t="s">
        <v>535</v>
      </c>
    </row>
    <row r="824" spans="1:11" ht="30" customHeight="1">
      <c r="A824" s="12" t="s">
        <v>356</v>
      </c>
      <c r="B824" s="12" t="s">
        <v>353</v>
      </c>
      <c r="C824" s="12" t="s">
        <v>347</v>
      </c>
      <c r="D824" s="12" t="s">
        <v>398</v>
      </c>
      <c r="E824" s="18">
        <v>3</v>
      </c>
      <c r="F824" s="13"/>
      <c r="G824" s="12" t="s">
        <v>376</v>
      </c>
      <c r="H824" s="12" t="s">
        <v>1057</v>
      </c>
      <c r="I824" s="13"/>
      <c r="J824" s="12" t="s">
        <v>1056</v>
      </c>
      <c r="K824" s="12" t="s">
        <v>535</v>
      </c>
    </row>
    <row r="825" spans="1:11" ht="30" customHeight="1">
      <c r="A825" s="12" t="s">
        <v>356</v>
      </c>
      <c r="B825" s="12" t="s">
        <v>353</v>
      </c>
      <c r="C825" s="12" t="s">
        <v>347</v>
      </c>
      <c r="D825" s="12" t="s">
        <v>399</v>
      </c>
      <c r="E825" s="18">
        <v>3</v>
      </c>
      <c r="F825" s="13"/>
      <c r="G825" s="12" t="s">
        <v>376</v>
      </c>
      <c r="H825" s="12" t="s">
        <v>1057</v>
      </c>
      <c r="I825" s="13"/>
      <c r="J825" s="12" t="s">
        <v>1056</v>
      </c>
      <c r="K825" s="12" t="s">
        <v>535</v>
      </c>
    </row>
    <row r="826" spans="1:11" ht="30" customHeight="1">
      <c r="A826" s="12" t="s">
        <v>356</v>
      </c>
      <c r="B826" s="12" t="s">
        <v>353</v>
      </c>
      <c r="C826" s="12" t="s">
        <v>347</v>
      </c>
      <c r="D826" s="12" t="s">
        <v>400</v>
      </c>
      <c r="E826" s="18">
        <v>3</v>
      </c>
      <c r="F826" s="13"/>
      <c r="G826" s="12" t="s">
        <v>376</v>
      </c>
      <c r="H826" s="12" t="s">
        <v>1057</v>
      </c>
      <c r="I826" s="13"/>
      <c r="J826" s="12" t="s">
        <v>1056</v>
      </c>
      <c r="K826" s="12" t="s">
        <v>535</v>
      </c>
    </row>
    <row r="827" spans="1:11" ht="30" customHeight="1">
      <c r="A827" s="12" t="s">
        <v>212</v>
      </c>
      <c r="B827" s="12" t="s">
        <v>210</v>
      </c>
      <c r="C827" s="12" t="s">
        <v>347</v>
      </c>
      <c r="D827" s="12" t="s">
        <v>391</v>
      </c>
      <c r="E827" s="18">
        <v>3</v>
      </c>
      <c r="F827" s="13"/>
      <c r="G827" s="12" t="s">
        <v>376</v>
      </c>
      <c r="H827" s="12" t="s">
        <v>1057</v>
      </c>
      <c r="I827" s="13"/>
      <c r="J827" s="12" t="s">
        <v>1056</v>
      </c>
      <c r="K827" s="12" t="s">
        <v>535</v>
      </c>
    </row>
    <row r="828" spans="1:11" ht="30" customHeight="1">
      <c r="A828" s="12" t="s">
        <v>212</v>
      </c>
      <c r="B828" s="12" t="s">
        <v>210</v>
      </c>
      <c r="C828" s="12" t="s">
        <v>347</v>
      </c>
      <c r="D828" s="12" t="s">
        <v>392</v>
      </c>
      <c r="E828" s="18">
        <v>0</v>
      </c>
      <c r="F828" s="13"/>
      <c r="G828" s="12" t="s">
        <v>376</v>
      </c>
      <c r="H828" s="12" t="s">
        <v>1057</v>
      </c>
      <c r="I828" s="13"/>
      <c r="J828" s="12" t="s">
        <v>1056</v>
      </c>
      <c r="K828" s="12" t="s">
        <v>535</v>
      </c>
    </row>
    <row r="829" spans="1:11" ht="30" customHeight="1">
      <c r="A829" s="12" t="s">
        <v>212</v>
      </c>
      <c r="B829" s="12" t="s">
        <v>210</v>
      </c>
      <c r="C829" s="12" t="s">
        <v>347</v>
      </c>
      <c r="D829" s="12" t="s">
        <v>393</v>
      </c>
      <c r="E829" s="18">
        <v>3</v>
      </c>
      <c r="F829" s="13"/>
      <c r="G829" s="12" t="s">
        <v>376</v>
      </c>
      <c r="H829" s="12" t="s">
        <v>1057</v>
      </c>
      <c r="I829" s="13"/>
      <c r="J829" s="12" t="s">
        <v>1056</v>
      </c>
      <c r="K829" s="12" t="s">
        <v>535</v>
      </c>
    </row>
    <row r="830" spans="1:11" ht="30" customHeight="1">
      <c r="A830" s="12" t="s">
        <v>212</v>
      </c>
      <c r="B830" s="12" t="s">
        <v>210</v>
      </c>
      <c r="C830" s="12" t="s">
        <v>347</v>
      </c>
      <c r="D830" s="12" t="s">
        <v>394</v>
      </c>
      <c r="E830" s="18">
        <v>3</v>
      </c>
      <c r="F830" s="13"/>
      <c r="G830" s="12" t="s">
        <v>376</v>
      </c>
      <c r="H830" s="12" t="s">
        <v>1057</v>
      </c>
      <c r="I830" s="13"/>
      <c r="J830" s="12" t="s">
        <v>1056</v>
      </c>
      <c r="K830" s="12" t="s">
        <v>535</v>
      </c>
    </row>
    <row r="831" spans="1:11" ht="30" customHeight="1">
      <c r="A831" s="12" t="s">
        <v>212</v>
      </c>
      <c r="B831" s="12" t="s">
        <v>210</v>
      </c>
      <c r="C831" s="12" t="s">
        <v>347</v>
      </c>
      <c r="D831" s="12" t="s">
        <v>395</v>
      </c>
      <c r="E831" s="18">
        <v>3</v>
      </c>
      <c r="F831" s="13"/>
      <c r="G831" s="12" t="s">
        <v>376</v>
      </c>
      <c r="H831" s="12" t="s">
        <v>1057</v>
      </c>
      <c r="I831" s="13"/>
      <c r="J831" s="12" t="s">
        <v>1056</v>
      </c>
      <c r="K831" s="12" t="s">
        <v>535</v>
      </c>
    </row>
    <row r="832" spans="1:11" ht="30" customHeight="1">
      <c r="A832" s="12" t="s">
        <v>212</v>
      </c>
      <c r="B832" s="12" t="s">
        <v>210</v>
      </c>
      <c r="C832" s="12" t="s">
        <v>347</v>
      </c>
      <c r="D832" s="12" t="s">
        <v>396</v>
      </c>
      <c r="E832" s="18">
        <v>0</v>
      </c>
      <c r="F832" s="13"/>
      <c r="G832" s="12" t="s">
        <v>376</v>
      </c>
      <c r="H832" s="12" t="s">
        <v>1057</v>
      </c>
      <c r="I832" s="13"/>
      <c r="J832" s="12" t="s">
        <v>1056</v>
      </c>
      <c r="K832" s="12" t="s">
        <v>535</v>
      </c>
    </row>
    <row r="833" spans="1:11" ht="30" customHeight="1">
      <c r="A833" s="12" t="s">
        <v>212</v>
      </c>
      <c r="B833" s="12" t="s">
        <v>210</v>
      </c>
      <c r="C833" s="12" t="s">
        <v>347</v>
      </c>
      <c r="D833" s="12" t="s">
        <v>397</v>
      </c>
      <c r="E833" s="18">
        <v>0</v>
      </c>
      <c r="F833" s="13"/>
      <c r="G833" s="12" t="s">
        <v>376</v>
      </c>
      <c r="H833" s="12" t="s">
        <v>1057</v>
      </c>
      <c r="I833" s="13"/>
      <c r="J833" s="12" t="s">
        <v>1056</v>
      </c>
      <c r="K833" s="12" t="s">
        <v>535</v>
      </c>
    </row>
    <row r="834" spans="1:11" ht="30" customHeight="1">
      <c r="A834" s="12" t="s">
        <v>212</v>
      </c>
      <c r="B834" s="12" t="s">
        <v>210</v>
      </c>
      <c r="C834" s="12" t="s">
        <v>347</v>
      </c>
      <c r="D834" s="12" t="s">
        <v>398</v>
      </c>
      <c r="E834" s="18">
        <v>3</v>
      </c>
      <c r="F834" s="13"/>
      <c r="G834" s="12" t="s">
        <v>376</v>
      </c>
      <c r="H834" s="12" t="s">
        <v>1057</v>
      </c>
      <c r="I834" s="13"/>
      <c r="J834" s="12" t="s">
        <v>1056</v>
      </c>
      <c r="K834" s="12" t="s">
        <v>535</v>
      </c>
    </row>
    <row r="835" spans="1:11" ht="30" customHeight="1">
      <c r="A835" s="12" t="s">
        <v>212</v>
      </c>
      <c r="B835" s="12" t="s">
        <v>210</v>
      </c>
      <c r="C835" s="12" t="s">
        <v>347</v>
      </c>
      <c r="D835" s="12" t="s">
        <v>399</v>
      </c>
      <c r="E835" s="18">
        <v>1</v>
      </c>
      <c r="F835" s="13"/>
      <c r="G835" s="12" t="s">
        <v>376</v>
      </c>
      <c r="H835" s="12" t="s">
        <v>1057</v>
      </c>
      <c r="I835" s="13"/>
      <c r="J835" s="12" t="s">
        <v>1056</v>
      </c>
      <c r="K835" s="12" t="s">
        <v>535</v>
      </c>
    </row>
    <row r="836" spans="1:11" ht="30" customHeight="1">
      <c r="A836" s="12" t="s">
        <v>212</v>
      </c>
      <c r="B836" s="12" t="s">
        <v>210</v>
      </c>
      <c r="C836" s="12" t="s">
        <v>347</v>
      </c>
      <c r="D836" s="12" t="s">
        <v>400</v>
      </c>
      <c r="E836" s="18">
        <v>3</v>
      </c>
      <c r="F836" s="13"/>
      <c r="G836" s="12" t="s">
        <v>376</v>
      </c>
      <c r="H836" s="12" t="s">
        <v>1057</v>
      </c>
      <c r="I836" s="13"/>
      <c r="J836" s="12" t="s">
        <v>1056</v>
      </c>
      <c r="K836" s="12" t="s">
        <v>535</v>
      </c>
    </row>
    <row r="837" spans="1:11" ht="30" customHeight="1">
      <c r="A837" s="12" t="s">
        <v>76</v>
      </c>
      <c r="B837" s="12" t="s">
        <v>75</v>
      </c>
      <c r="C837" s="12" t="s">
        <v>28</v>
      </c>
      <c r="D837" s="12" t="s">
        <v>1058</v>
      </c>
      <c r="E837" s="18">
        <v>1</v>
      </c>
      <c r="F837" s="13"/>
      <c r="G837" s="12" t="s">
        <v>1059</v>
      </c>
      <c r="H837" s="12" t="s">
        <v>1060</v>
      </c>
      <c r="I837" s="13"/>
      <c r="J837" s="12" t="s">
        <v>1061</v>
      </c>
      <c r="K837" s="12" t="s">
        <v>1062</v>
      </c>
    </row>
    <row r="838" spans="1:11" ht="30" customHeight="1">
      <c r="A838" s="12" t="s">
        <v>76</v>
      </c>
      <c r="B838" s="12" t="s">
        <v>75</v>
      </c>
      <c r="C838" s="12" t="s">
        <v>28</v>
      </c>
      <c r="D838" s="12" t="s">
        <v>406</v>
      </c>
      <c r="E838" s="12" t="s">
        <v>31</v>
      </c>
      <c r="F838" s="13"/>
      <c r="G838" s="12" t="s">
        <v>1059</v>
      </c>
      <c r="H838" s="12" t="s">
        <v>1063</v>
      </c>
      <c r="I838" s="13"/>
      <c r="J838" s="12" t="s">
        <v>1064</v>
      </c>
      <c r="K838" s="12" t="s">
        <v>1065</v>
      </c>
    </row>
    <row r="839" spans="1:11" ht="30" customHeight="1">
      <c r="A839" s="12" t="s">
        <v>56</v>
      </c>
      <c r="B839" s="12" t="s">
        <v>55</v>
      </c>
      <c r="C839" s="12" t="s">
        <v>28</v>
      </c>
      <c r="D839" s="12" t="s">
        <v>1058</v>
      </c>
      <c r="E839" s="18">
        <v>1</v>
      </c>
      <c r="F839" s="13"/>
      <c r="G839" s="12" t="s">
        <v>1059</v>
      </c>
      <c r="H839" s="12" t="s">
        <v>1060</v>
      </c>
      <c r="I839" s="13"/>
      <c r="J839" s="12" t="s">
        <v>1066</v>
      </c>
      <c r="K839" s="12" t="s">
        <v>1062</v>
      </c>
    </row>
    <row r="840" spans="1:11" ht="30" customHeight="1">
      <c r="A840" s="12" t="s">
        <v>73</v>
      </c>
      <c r="B840" s="12" t="s">
        <v>72</v>
      </c>
      <c r="C840" s="12" t="s">
        <v>28</v>
      </c>
      <c r="D840" s="12" t="s">
        <v>1058</v>
      </c>
      <c r="E840" s="18">
        <v>1</v>
      </c>
      <c r="F840" s="13"/>
      <c r="G840" s="12" t="s">
        <v>1059</v>
      </c>
      <c r="H840" s="12" t="s">
        <v>1060</v>
      </c>
      <c r="I840" s="13"/>
      <c r="J840" s="12" t="s">
        <v>1067</v>
      </c>
      <c r="K840" s="12" t="s">
        <v>1062</v>
      </c>
    </row>
    <row r="841" spans="1:11" ht="30" customHeight="1">
      <c r="A841" s="12" t="s">
        <v>73</v>
      </c>
      <c r="B841" s="12" t="s">
        <v>72</v>
      </c>
      <c r="C841" s="12" t="s">
        <v>28</v>
      </c>
      <c r="D841" s="12" t="s">
        <v>406</v>
      </c>
      <c r="E841" s="12" t="s">
        <v>31</v>
      </c>
      <c r="F841" s="13"/>
      <c r="G841" s="12" t="s">
        <v>1059</v>
      </c>
      <c r="H841" s="12" t="s">
        <v>1063</v>
      </c>
      <c r="I841" s="13"/>
      <c r="J841" s="12" t="s">
        <v>1064</v>
      </c>
      <c r="K841" s="12" t="s">
        <v>1065</v>
      </c>
    </row>
    <row r="842" spans="1:11" ht="30" customHeight="1">
      <c r="A842" s="12" t="s">
        <v>52</v>
      </c>
      <c r="B842" s="12" t="s">
        <v>49</v>
      </c>
      <c r="C842" s="12" t="s">
        <v>28</v>
      </c>
      <c r="D842" s="12" t="s">
        <v>1058</v>
      </c>
      <c r="E842" s="18">
        <v>0</v>
      </c>
      <c r="F842" s="13"/>
      <c r="G842" s="12" t="s">
        <v>1059</v>
      </c>
      <c r="H842" s="12" t="s">
        <v>1060</v>
      </c>
      <c r="I842" s="13"/>
      <c r="J842" s="12" t="s">
        <v>1068</v>
      </c>
      <c r="K842" s="12" t="s">
        <v>1062</v>
      </c>
    </row>
    <row r="843" spans="1:11" ht="30" customHeight="1">
      <c r="A843" s="12" t="s">
        <v>47</v>
      </c>
      <c r="B843" s="12" t="s">
        <v>44</v>
      </c>
      <c r="C843" s="12" t="s">
        <v>28</v>
      </c>
      <c r="D843" s="12" t="s">
        <v>1058</v>
      </c>
      <c r="E843" s="18">
        <v>1</v>
      </c>
      <c r="F843" s="13"/>
      <c r="G843" s="12" t="s">
        <v>1059</v>
      </c>
      <c r="H843" s="12" t="s">
        <v>1060</v>
      </c>
      <c r="I843" s="13"/>
      <c r="J843" s="12" t="s">
        <v>1069</v>
      </c>
      <c r="K843" s="12" t="s">
        <v>1062</v>
      </c>
    </row>
    <row r="844" spans="1:11" ht="30" customHeight="1">
      <c r="A844" s="12" t="s">
        <v>47</v>
      </c>
      <c r="B844" s="12" t="s">
        <v>44</v>
      </c>
      <c r="C844" s="12" t="s">
        <v>28</v>
      </c>
      <c r="D844" s="12" t="s">
        <v>406</v>
      </c>
      <c r="E844" s="12" t="s">
        <v>31</v>
      </c>
      <c r="F844" s="13"/>
      <c r="G844" s="12" t="s">
        <v>1059</v>
      </c>
      <c r="H844" s="12" t="s">
        <v>1063</v>
      </c>
      <c r="I844" s="13"/>
      <c r="J844" s="12" t="s">
        <v>1064</v>
      </c>
      <c r="K844" s="12" t="s">
        <v>1065</v>
      </c>
    </row>
    <row r="845" spans="1:11" ht="30" customHeight="1">
      <c r="A845" s="12" t="s">
        <v>65</v>
      </c>
      <c r="B845" s="12" t="s">
        <v>62</v>
      </c>
      <c r="C845" s="12" t="s">
        <v>28</v>
      </c>
      <c r="D845" s="12" t="s">
        <v>1058</v>
      </c>
      <c r="E845" s="18">
        <v>0</v>
      </c>
      <c r="F845" s="13"/>
      <c r="G845" s="12" t="s">
        <v>1059</v>
      </c>
      <c r="H845" s="12" t="s">
        <v>1060</v>
      </c>
      <c r="I845" s="13"/>
      <c r="J845" s="12" t="s">
        <v>1070</v>
      </c>
      <c r="K845" s="12" t="s">
        <v>1062</v>
      </c>
    </row>
    <row r="846" spans="1:11" ht="30" customHeight="1">
      <c r="A846" s="12" t="s">
        <v>70</v>
      </c>
      <c r="B846" s="12" t="s">
        <v>68</v>
      </c>
      <c r="C846" s="12" t="s">
        <v>28</v>
      </c>
      <c r="D846" s="12" t="s">
        <v>1058</v>
      </c>
      <c r="E846" s="18">
        <v>1</v>
      </c>
      <c r="F846" s="13"/>
      <c r="G846" s="12" t="s">
        <v>1059</v>
      </c>
      <c r="H846" s="12" t="s">
        <v>1060</v>
      </c>
      <c r="I846" s="13"/>
      <c r="J846" s="12" t="s">
        <v>1071</v>
      </c>
      <c r="K846" s="12" t="s">
        <v>1062</v>
      </c>
    </row>
    <row r="847" spans="1:11" ht="30" customHeight="1">
      <c r="A847" s="12" t="s">
        <v>37</v>
      </c>
      <c r="B847" s="12" t="s">
        <v>27</v>
      </c>
      <c r="C847" s="12" t="s">
        <v>28</v>
      </c>
      <c r="D847" s="12" t="s">
        <v>1058</v>
      </c>
      <c r="E847" s="18">
        <v>0</v>
      </c>
      <c r="F847" s="13"/>
      <c r="G847" s="12" t="s">
        <v>1059</v>
      </c>
      <c r="H847" s="12" t="s">
        <v>1060</v>
      </c>
      <c r="I847" s="13"/>
      <c r="J847" s="12" t="s">
        <v>1072</v>
      </c>
      <c r="K847" s="12" t="s">
        <v>1062</v>
      </c>
    </row>
    <row r="848" spans="1:11" ht="30" customHeight="1">
      <c r="A848" s="12" t="s">
        <v>37</v>
      </c>
      <c r="B848" s="12" t="s">
        <v>27</v>
      </c>
      <c r="C848" s="12" t="s">
        <v>28</v>
      </c>
      <c r="D848" s="12" t="s">
        <v>406</v>
      </c>
      <c r="E848" s="12" t="s">
        <v>31</v>
      </c>
      <c r="F848" s="13"/>
      <c r="G848" s="12" t="s">
        <v>1059</v>
      </c>
      <c r="H848" s="12" t="s">
        <v>1063</v>
      </c>
      <c r="I848" s="13"/>
      <c r="J848" s="12" t="s">
        <v>1064</v>
      </c>
      <c r="K848" s="12" t="s">
        <v>1065</v>
      </c>
    </row>
    <row r="849" spans="1:11" ht="30" customHeight="1">
      <c r="A849" s="12" t="s">
        <v>59</v>
      </c>
      <c r="B849" s="12" t="s">
        <v>58</v>
      </c>
      <c r="C849" s="12" t="s">
        <v>28</v>
      </c>
      <c r="D849" s="12" t="s">
        <v>1058</v>
      </c>
      <c r="E849" s="18">
        <v>0</v>
      </c>
      <c r="F849" s="13"/>
      <c r="G849" s="12" t="s">
        <v>1059</v>
      </c>
      <c r="H849" s="12" t="s">
        <v>1060</v>
      </c>
      <c r="I849" s="13"/>
      <c r="J849" s="12" t="s">
        <v>1073</v>
      </c>
      <c r="K849" s="12" t="s">
        <v>1062</v>
      </c>
    </row>
    <row r="850" spans="1:11" ht="30" customHeight="1">
      <c r="A850" s="12" t="s">
        <v>76</v>
      </c>
      <c r="B850" s="12" t="s">
        <v>75</v>
      </c>
      <c r="C850" s="12" t="s">
        <v>28</v>
      </c>
      <c r="D850" s="12" t="s">
        <v>412</v>
      </c>
      <c r="E850" s="18">
        <v>1</v>
      </c>
      <c r="F850" s="13"/>
      <c r="G850" s="12" t="s">
        <v>1059</v>
      </c>
      <c r="H850" s="12" t="s">
        <v>1074</v>
      </c>
      <c r="I850" s="13"/>
      <c r="J850" s="12" t="s">
        <v>1075</v>
      </c>
      <c r="K850" s="12" t="s">
        <v>1076</v>
      </c>
    </row>
    <row r="851" spans="1:11" ht="30" customHeight="1">
      <c r="A851" s="12" t="s">
        <v>56</v>
      </c>
      <c r="B851" s="12" t="s">
        <v>55</v>
      </c>
      <c r="C851" s="12" t="s">
        <v>28</v>
      </c>
      <c r="D851" s="12" t="s">
        <v>412</v>
      </c>
      <c r="E851" s="18">
        <v>1</v>
      </c>
      <c r="F851" s="13"/>
      <c r="G851" s="12" t="s">
        <v>1059</v>
      </c>
      <c r="H851" s="12" t="s">
        <v>1074</v>
      </c>
      <c r="I851" s="13"/>
      <c r="J851" s="12" t="s">
        <v>1075</v>
      </c>
      <c r="K851" s="12" t="s">
        <v>1076</v>
      </c>
    </row>
    <row r="852" spans="1:11" ht="30" customHeight="1">
      <c r="A852" s="12" t="s">
        <v>76</v>
      </c>
      <c r="B852" s="12" t="s">
        <v>75</v>
      </c>
      <c r="C852" s="12" t="s">
        <v>28</v>
      </c>
      <c r="D852" s="12" t="s">
        <v>1077</v>
      </c>
      <c r="E852" s="18">
        <v>0.07743589202645541</v>
      </c>
      <c r="F852" s="13"/>
      <c r="G852" s="12" t="s">
        <v>1078</v>
      </c>
      <c r="H852" s="12" t="s">
        <v>1079</v>
      </c>
      <c r="I852" s="13"/>
      <c r="J852" s="12" t="s">
        <v>1080</v>
      </c>
      <c r="K852" s="12" t="s">
        <v>1081</v>
      </c>
    </row>
    <row r="853" spans="1:11" ht="30" customHeight="1">
      <c r="A853" s="12" t="s">
        <v>56</v>
      </c>
      <c r="B853" s="12" t="s">
        <v>55</v>
      </c>
      <c r="C853" s="12" t="s">
        <v>28</v>
      </c>
      <c r="D853" s="12" t="s">
        <v>1077</v>
      </c>
      <c r="E853" s="18">
        <v>0.08518308489954633</v>
      </c>
      <c r="F853" s="13"/>
      <c r="G853" s="12" t="s">
        <v>1078</v>
      </c>
      <c r="H853" s="12" t="s">
        <v>1082</v>
      </c>
      <c r="I853" s="13"/>
      <c r="J853" s="12" t="s">
        <v>1080</v>
      </c>
      <c r="K853" s="12" t="s">
        <v>1081</v>
      </c>
    </row>
    <row r="854" spans="1:11" ht="30" customHeight="1">
      <c r="A854" s="12" t="s">
        <v>73</v>
      </c>
      <c r="B854" s="12" t="s">
        <v>72</v>
      </c>
      <c r="C854" s="12" t="s">
        <v>28</v>
      </c>
      <c r="D854" s="12" t="s">
        <v>1077</v>
      </c>
      <c r="E854" s="18">
        <v>0.07562137867547518</v>
      </c>
      <c r="F854" s="13"/>
      <c r="G854" s="12" t="s">
        <v>1078</v>
      </c>
      <c r="H854" s="12" t="s">
        <v>1083</v>
      </c>
      <c r="I854" s="13"/>
      <c r="J854" s="12" t="s">
        <v>1080</v>
      </c>
      <c r="K854" s="12" t="s">
        <v>1081</v>
      </c>
    </row>
    <row r="855" spans="1:11" ht="30" customHeight="1">
      <c r="A855" s="12" t="s">
        <v>52</v>
      </c>
      <c r="B855" s="12" t="s">
        <v>49</v>
      </c>
      <c r="C855" s="12" t="s">
        <v>28</v>
      </c>
      <c r="D855" s="12" t="s">
        <v>1077</v>
      </c>
      <c r="E855" s="18">
        <v>0.07128110398783005</v>
      </c>
      <c r="F855" s="13"/>
      <c r="G855" s="12" t="s">
        <v>1078</v>
      </c>
      <c r="H855" s="12" t="s">
        <v>1084</v>
      </c>
      <c r="I855" s="13"/>
      <c r="J855" s="12" t="s">
        <v>1080</v>
      </c>
      <c r="K855" s="12" t="s">
        <v>1081</v>
      </c>
    </row>
    <row r="856" spans="1:11" ht="30" customHeight="1">
      <c r="A856" s="12" t="s">
        <v>47</v>
      </c>
      <c r="B856" s="12" t="s">
        <v>44</v>
      </c>
      <c r="C856" s="12" t="s">
        <v>28</v>
      </c>
      <c r="D856" s="12" t="s">
        <v>1077</v>
      </c>
      <c r="E856" s="18">
        <v>0.09559512652296158</v>
      </c>
      <c r="F856" s="13"/>
      <c r="G856" s="12" t="s">
        <v>1078</v>
      </c>
      <c r="H856" s="12" t="s">
        <v>1085</v>
      </c>
      <c r="I856" s="13"/>
      <c r="J856" s="12" t="s">
        <v>1080</v>
      </c>
      <c r="K856" s="12" t="s">
        <v>1081</v>
      </c>
    </row>
    <row r="857" spans="1:11" ht="30" customHeight="1">
      <c r="A857" s="12" t="s">
        <v>65</v>
      </c>
      <c r="B857" s="12" t="s">
        <v>62</v>
      </c>
      <c r="C857" s="12" t="s">
        <v>28</v>
      </c>
      <c r="D857" s="12" t="s">
        <v>1077</v>
      </c>
      <c r="E857" s="18">
        <v>0.1103401590793704</v>
      </c>
      <c r="F857" s="13"/>
      <c r="G857" s="12" t="s">
        <v>1078</v>
      </c>
      <c r="H857" s="12" t="s">
        <v>1086</v>
      </c>
      <c r="I857" s="13"/>
      <c r="J857" s="12" t="s">
        <v>1080</v>
      </c>
      <c r="K857" s="12" t="s">
        <v>1081</v>
      </c>
    </row>
    <row r="858" spans="1:11" ht="30" customHeight="1">
      <c r="A858" s="12" t="s">
        <v>70</v>
      </c>
      <c r="B858" s="12" t="s">
        <v>68</v>
      </c>
      <c r="C858" s="12" t="s">
        <v>28</v>
      </c>
      <c r="D858" s="12" t="s">
        <v>1077</v>
      </c>
      <c r="E858" s="18">
        <v>0.1825095057034221</v>
      </c>
      <c r="F858" s="13"/>
      <c r="G858" s="12" t="s">
        <v>1078</v>
      </c>
      <c r="H858" s="12" t="s">
        <v>1087</v>
      </c>
      <c r="I858" s="13"/>
      <c r="J858" s="12" t="s">
        <v>1080</v>
      </c>
      <c r="K858" s="12" t="s">
        <v>1081</v>
      </c>
    </row>
    <row r="859" spans="1:11" ht="30" customHeight="1">
      <c r="A859" s="12" t="s">
        <v>37</v>
      </c>
      <c r="B859" s="12" t="s">
        <v>27</v>
      </c>
      <c r="C859" s="12" t="s">
        <v>28</v>
      </c>
      <c r="D859" s="12" t="s">
        <v>1077</v>
      </c>
      <c r="E859" s="18">
        <v>0.1792556634304207</v>
      </c>
      <c r="F859" s="13"/>
      <c r="G859" s="12" t="s">
        <v>1078</v>
      </c>
      <c r="H859" s="12" t="s">
        <v>1088</v>
      </c>
      <c r="I859" s="13"/>
      <c r="J859" s="12" t="s">
        <v>1080</v>
      </c>
      <c r="K859" s="12" t="s">
        <v>1081</v>
      </c>
    </row>
    <row r="860" spans="1:11" ht="30" customHeight="1">
      <c r="A860" s="12" t="s">
        <v>59</v>
      </c>
      <c r="B860" s="12" t="s">
        <v>58</v>
      </c>
      <c r="C860" s="12" t="s">
        <v>28</v>
      </c>
      <c r="D860" s="12" t="s">
        <v>1077</v>
      </c>
      <c r="E860" s="18">
        <v>0.04337899543378995</v>
      </c>
      <c r="F860" s="13"/>
      <c r="G860" s="12" t="s">
        <v>1078</v>
      </c>
      <c r="H860" s="12" t="s">
        <v>1089</v>
      </c>
      <c r="I860" s="13"/>
      <c r="J860" s="12" t="s">
        <v>1080</v>
      </c>
      <c r="K860" s="12" t="s">
        <v>1081</v>
      </c>
    </row>
    <row r="861" spans="1:11" ht="30" customHeight="1">
      <c r="A861" s="12" t="s">
        <v>106</v>
      </c>
      <c r="B861" s="12" t="s">
        <v>104</v>
      </c>
      <c r="C861" s="12" t="s">
        <v>79</v>
      </c>
      <c r="D861" s="12" t="s">
        <v>411</v>
      </c>
      <c r="E861" s="18">
        <v>0.0025</v>
      </c>
      <c r="F861" s="13"/>
      <c r="G861" s="12" t="s">
        <v>1090</v>
      </c>
      <c r="H861" s="12" t="s">
        <v>1091</v>
      </c>
      <c r="I861" s="13"/>
      <c r="J861" s="12" t="s">
        <v>1092</v>
      </c>
      <c r="K861" s="12" t="s">
        <v>1093</v>
      </c>
    </row>
    <row r="862" spans="1:11" ht="30" customHeight="1">
      <c r="A862" s="12" t="s">
        <v>86</v>
      </c>
      <c r="B862" s="12" t="s">
        <v>84</v>
      </c>
      <c r="C862" s="12" t="s">
        <v>79</v>
      </c>
      <c r="D862" s="12" t="s">
        <v>411</v>
      </c>
      <c r="E862" s="18">
        <v>0</v>
      </c>
      <c r="F862" s="13"/>
      <c r="G862" s="12" t="s">
        <v>1090</v>
      </c>
      <c r="H862" s="12" t="s">
        <v>1091</v>
      </c>
      <c r="I862" s="13"/>
      <c r="J862" s="12" t="s">
        <v>1092</v>
      </c>
      <c r="K862" s="12" t="s">
        <v>1093</v>
      </c>
    </row>
    <row r="863" spans="1:11" ht="30" customHeight="1">
      <c r="A863" s="12" t="s">
        <v>81</v>
      </c>
      <c r="B863" s="12" t="s">
        <v>78</v>
      </c>
      <c r="C863" s="12" t="s">
        <v>79</v>
      </c>
      <c r="D863" s="12" t="s">
        <v>411</v>
      </c>
      <c r="E863" s="18">
        <v>0</v>
      </c>
      <c r="F863" s="13"/>
      <c r="G863" s="12" t="s">
        <v>1090</v>
      </c>
      <c r="H863" s="12" t="s">
        <v>1091</v>
      </c>
      <c r="I863" s="13"/>
      <c r="J863" s="12" t="s">
        <v>1092</v>
      </c>
      <c r="K863" s="12" t="s">
        <v>1093</v>
      </c>
    </row>
    <row r="864" spans="1:11" ht="30" customHeight="1">
      <c r="A864" s="12" t="s">
        <v>102</v>
      </c>
      <c r="B864" s="12" t="s">
        <v>100</v>
      </c>
      <c r="C864" s="12" t="s">
        <v>79</v>
      </c>
      <c r="D864" s="12" t="s">
        <v>411</v>
      </c>
      <c r="E864" s="18">
        <v>0</v>
      </c>
      <c r="F864" s="13"/>
      <c r="G864" s="12" t="s">
        <v>1090</v>
      </c>
      <c r="H864" s="12" t="s">
        <v>1091</v>
      </c>
      <c r="I864" s="13"/>
      <c r="J864" s="12" t="s">
        <v>1092</v>
      </c>
      <c r="K864" s="12" t="s">
        <v>1093</v>
      </c>
    </row>
    <row r="865" spans="1:11" ht="30" customHeight="1">
      <c r="A865" s="12" t="s">
        <v>98</v>
      </c>
      <c r="B865" s="12" t="s">
        <v>96</v>
      </c>
      <c r="C865" s="12" t="s">
        <v>79</v>
      </c>
      <c r="D865" s="12" t="s">
        <v>411</v>
      </c>
      <c r="E865" s="18">
        <v>0</v>
      </c>
      <c r="F865" s="13"/>
      <c r="G865" s="12" t="s">
        <v>1090</v>
      </c>
      <c r="H865" s="12" t="s">
        <v>1091</v>
      </c>
      <c r="I865" s="13"/>
      <c r="J865" s="12" t="s">
        <v>1092</v>
      </c>
      <c r="K865" s="12" t="s">
        <v>1093</v>
      </c>
    </row>
    <row r="866" spans="1:11" ht="30" customHeight="1">
      <c r="A866" s="12" t="s">
        <v>90</v>
      </c>
      <c r="B866" s="12" t="s">
        <v>88</v>
      </c>
      <c r="C866" s="12" t="s">
        <v>79</v>
      </c>
      <c r="D866" s="12" t="s">
        <v>410</v>
      </c>
      <c r="E866" s="18">
        <v>1</v>
      </c>
      <c r="F866" s="13"/>
      <c r="G866" s="12" t="s">
        <v>1090</v>
      </c>
      <c r="H866" s="12" t="s">
        <v>1094</v>
      </c>
      <c r="I866" s="13"/>
      <c r="J866" s="12" t="s">
        <v>1095</v>
      </c>
      <c r="K866" s="12" t="s">
        <v>1096</v>
      </c>
    </row>
    <row r="867" spans="1:11" ht="30" customHeight="1">
      <c r="A867" s="12" t="s">
        <v>102</v>
      </c>
      <c r="B867" s="12" t="s">
        <v>100</v>
      </c>
      <c r="C867" s="12" t="s">
        <v>79</v>
      </c>
      <c r="D867" s="12" t="s">
        <v>410</v>
      </c>
      <c r="E867" s="18">
        <v>1</v>
      </c>
      <c r="F867" s="13"/>
      <c r="G867" s="12" t="s">
        <v>1090</v>
      </c>
      <c r="H867" s="12" t="s">
        <v>1094</v>
      </c>
      <c r="I867" s="13"/>
      <c r="J867" s="12" t="s">
        <v>1095</v>
      </c>
      <c r="K867" s="12" t="s">
        <v>1096</v>
      </c>
    </row>
    <row r="868" spans="1:11" ht="30" customHeight="1">
      <c r="A868" s="12" t="s">
        <v>81</v>
      </c>
      <c r="B868" s="12" t="s">
        <v>78</v>
      </c>
      <c r="C868" s="12" t="s">
        <v>79</v>
      </c>
      <c r="D868" s="12" t="s">
        <v>410</v>
      </c>
      <c r="E868" s="18">
        <v>1</v>
      </c>
      <c r="F868" s="13"/>
      <c r="G868" s="12" t="s">
        <v>1090</v>
      </c>
      <c r="H868" s="12" t="s">
        <v>1094</v>
      </c>
      <c r="I868" s="13"/>
      <c r="J868" s="12" t="s">
        <v>1095</v>
      </c>
      <c r="K868" s="12" t="s">
        <v>1096</v>
      </c>
    </row>
    <row r="869" spans="1:11" ht="30" customHeight="1">
      <c r="A869" s="12" t="s">
        <v>94</v>
      </c>
      <c r="B869" s="12" t="s">
        <v>92</v>
      </c>
      <c r="C869" s="12" t="s">
        <v>79</v>
      </c>
      <c r="D869" s="12" t="s">
        <v>410</v>
      </c>
      <c r="E869" s="18">
        <v>1</v>
      </c>
      <c r="F869" s="13"/>
      <c r="G869" s="12" t="s">
        <v>1090</v>
      </c>
      <c r="H869" s="12" t="s">
        <v>1094</v>
      </c>
      <c r="I869" s="13"/>
      <c r="J869" s="12" t="s">
        <v>1095</v>
      </c>
      <c r="K869" s="12" t="s">
        <v>1096</v>
      </c>
    </row>
    <row r="870" spans="1:11" ht="30" customHeight="1">
      <c r="A870" s="12" t="s">
        <v>106</v>
      </c>
      <c r="B870" s="12" t="s">
        <v>104</v>
      </c>
      <c r="C870" s="12" t="s">
        <v>79</v>
      </c>
      <c r="D870" s="12" t="s">
        <v>410</v>
      </c>
      <c r="E870" s="18">
        <v>1</v>
      </c>
      <c r="F870" s="13"/>
      <c r="G870" s="12" t="s">
        <v>1090</v>
      </c>
      <c r="H870" s="12" t="s">
        <v>1094</v>
      </c>
      <c r="I870" s="13"/>
      <c r="J870" s="12" t="s">
        <v>1095</v>
      </c>
      <c r="K870" s="12" t="s">
        <v>1096</v>
      </c>
    </row>
    <row r="871" spans="1:11" ht="30" customHeight="1">
      <c r="A871" s="12" t="s">
        <v>86</v>
      </c>
      <c r="B871" s="12" t="s">
        <v>84</v>
      </c>
      <c r="C871" s="12" t="s">
        <v>79</v>
      </c>
      <c r="D871" s="12" t="s">
        <v>410</v>
      </c>
      <c r="E871" s="18">
        <v>1</v>
      </c>
      <c r="F871" s="13"/>
      <c r="G871" s="12" t="s">
        <v>1090</v>
      </c>
      <c r="H871" s="12" t="s">
        <v>1094</v>
      </c>
      <c r="I871" s="13"/>
      <c r="J871" s="12" t="s">
        <v>1095</v>
      </c>
      <c r="K871" s="12" t="s">
        <v>1096</v>
      </c>
    </row>
    <row r="872" spans="1:11" ht="30" customHeight="1">
      <c r="A872" s="12" t="s">
        <v>98</v>
      </c>
      <c r="B872" s="12" t="s">
        <v>96</v>
      </c>
      <c r="C872" s="12" t="s">
        <v>79</v>
      </c>
      <c r="D872" s="12" t="s">
        <v>410</v>
      </c>
      <c r="E872" s="18">
        <v>1</v>
      </c>
      <c r="F872" s="13"/>
      <c r="G872" s="12" t="s">
        <v>1090</v>
      </c>
      <c r="H872" s="12" t="s">
        <v>1094</v>
      </c>
      <c r="I872" s="13"/>
      <c r="J872" s="12" t="s">
        <v>1095</v>
      </c>
      <c r="K872" s="12" t="s">
        <v>1096</v>
      </c>
    </row>
    <row r="873" spans="1:11" ht="30" customHeight="1">
      <c r="A873" s="12" t="s">
        <v>90</v>
      </c>
      <c r="B873" s="12" t="s">
        <v>88</v>
      </c>
      <c r="C873" s="12" t="s">
        <v>79</v>
      </c>
      <c r="D873" s="12" t="s">
        <v>1097</v>
      </c>
      <c r="E873" s="18">
        <v>12</v>
      </c>
      <c r="F873" s="13"/>
      <c r="G873" s="12" t="s">
        <v>1090</v>
      </c>
      <c r="H873" s="12" t="s">
        <v>1098</v>
      </c>
      <c r="I873" s="13"/>
      <c r="J873" s="12" t="s">
        <v>1099</v>
      </c>
      <c r="K873" s="12" t="s">
        <v>1100</v>
      </c>
    </row>
    <row r="874" spans="1:11" ht="30" customHeight="1">
      <c r="A874" s="12" t="s">
        <v>106</v>
      </c>
      <c r="B874" s="12" t="s">
        <v>104</v>
      </c>
      <c r="C874" s="12" t="s">
        <v>79</v>
      </c>
      <c r="D874" s="12" t="s">
        <v>1097</v>
      </c>
      <c r="E874" s="18">
        <v>49</v>
      </c>
      <c r="F874" s="13"/>
      <c r="G874" s="12" t="s">
        <v>1090</v>
      </c>
      <c r="H874" s="12" t="s">
        <v>1098</v>
      </c>
      <c r="I874" s="13"/>
      <c r="J874" s="12" t="s">
        <v>1101</v>
      </c>
      <c r="K874" s="12" t="s">
        <v>1100</v>
      </c>
    </row>
    <row r="875" spans="1:11" ht="30" customHeight="1">
      <c r="A875" s="12" t="s">
        <v>102</v>
      </c>
      <c r="B875" s="12" t="s">
        <v>100</v>
      </c>
      <c r="C875" s="12" t="s">
        <v>79</v>
      </c>
      <c r="D875" s="12" t="s">
        <v>1097</v>
      </c>
      <c r="E875" s="18">
        <v>7</v>
      </c>
      <c r="F875" s="13"/>
      <c r="G875" s="12" t="s">
        <v>1102</v>
      </c>
      <c r="H875" s="12" t="s">
        <v>1103</v>
      </c>
      <c r="I875" s="13"/>
      <c r="J875" s="12" t="s">
        <v>1104</v>
      </c>
      <c r="K875" s="12" t="s">
        <v>1100</v>
      </c>
    </row>
    <row r="876" spans="1:11" ht="30" customHeight="1">
      <c r="A876" s="12" t="s">
        <v>86</v>
      </c>
      <c r="B876" s="12" t="s">
        <v>84</v>
      </c>
      <c r="C876" s="12" t="s">
        <v>79</v>
      </c>
      <c r="D876" s="12" t="s">
        <v>413</v>
      </c>
      <c r="E876" s="18">
        <v>1</v>
      </c>
      <c r="F876" s="13"/>
      <c r="G876" s="12" t="s">
        <v>1090</v>
      </c>
      <c r="H876" s="12" t="s">
        <v>1098</v>
      </c>
      <c r="I876" s="13"/>
      <c r="J876" s="12" t="s">
        <v>1105</v>
      </c>
      <c r="K876" s="12" t="s">
        <v>1106</v>
      </c>
    </row>
    <row r="877" spans="1:11" ht="30" customHeight="1">
      <c r="A877" s="12" t="s">
        <v>81</v>
      </c>
      <c r="B877" s="12" t="s">
        <v>78</v>
      </c>
      <c r="C877" s="12" t="s">
        <v>79</v>
      </c>
      <c r="D877" s="12" t="s">
        <v>413</v>
      </c>
      <c r="E877" s="18">
        <v>1</v>
      </c>
      <c r="F877" s="13"/>
      <c r="G877" s="12" t="s">
        <v>1090</v>
      </c>
      <c r="H877" s="12" t="s">
        <v>1098</v>
      </c>
      <c r="I877" s="13"/>
      <c r="J877" s="12" t="s">
        <v>1105</v>
      </c>
      <c r="K877" s="12" t="s">
        <v>1106</v>
      </c>
    </row>
    <row r="878" spans="1:11" ht="30" customHeight="1">
      <c r="A878" s="12" t="s">
        <v>90</v>
      </c>
      <c r="B878" s="12" t="s">
        <v>88</v>
      </c>
      <c r="C878" s="12" t="s">
        <v>79</v>
      </c>
      <c r="D878" s="12" t="s">
        <v>1107</v>
      </c>
      <c r="E878" s="12" t="s">
        <v>1108</v>
      </c>
      <c r="F878" s="13"/>
      <c r="G878" s="12" t="s">
        <v>1090</v>
      </c>
      <c r="H878" s="12" t="s">
        <v>1109</v>
      </c>
      <c r="I878" s="13"/>
      <c r="J878" s="12" t="s">
        <v>1110</v>
      </c>
      <c r="K878" s="12" t="s">
        <v>1111</v>
      </c>
    </row>
    <row r="879" spans="1:11" ht="30" customHeight="1">
      <c r="A879" s="12" t="s">
        <v>94</v>
      </c>
      <c r="B879" s="12" t="s">
        <v>92</v>
      </c>
      <c r="C879" s="12" t="s">
        <v>79</v>
      </c>
      <c r="D879" s="12" t="s">
        <v>1107</v>
      </c>
      <c r="E879" s="12" t="s">
        <v>1112</v>
      </c>
      <c r="F879" s="13"/>
      <c r="G879" s="12" t="s">
        <v>1090</v>
      </c>
      <c r="H879" s="12" t="s">
        <v>1109</v>
      </c>
      <c r="I879" s="13"/>
      <c r="J879" s="12" t="s">
        <v>1113</v>
      </c>
      <c r="K879" s="12" t="s">
        <v>1111</v>
      </c>
    </row>
    <row r="880" spans="1:11" ht="30" customHeight="1">
      <c r="A880" s="12" t="s">
        <v>274</v>
      </c>
      <c r="B880" s="12" t="s">
        <v>269</v>
      </c>
      <c r="C880" s="12" t="s">
        <v>270</v>
      </c>
      <c r="D880" s="12" t="s">
        <v>1114</v>
      </c>
      <c r="E880" s="18">
        <v>44.97</v>
      </c>
      <c r="F880" s="13"/>
      <c r="G880" s="12" t="s">
        <v>1115</v>
      </c>
      <c r="H880" s="12" t="s">
        <v>1116</v>
      </c>
      <c r="I880" s="13"/>
      <c r="J880" s="12" t="s">
        <v>1117</v>
      </c>
      <c r="K880" s="12" t="s">
        <v>1118</v>
      </c>
    </row>
    <row r="881" spans="1:11" ht="30" customHeight="1">
      <c r="A881" s="12" t="s">
        <v>278</v>
      </c>
      <c r="B881" s="12" t="s">
        <v>277</v>
      </c>
      <c r="C881" s="12" t="s">
        <v>270</v>
      </c>
      <c r="D881" s="12" t="s">
        <v>1114</v>
      </c>
      <c r="E881" s="18">
        <v>96.40000000000001</v>
      </c>
      <c r="F881" s="13"/>
      <c r="G881" s="12" t="s">
        <v>1115</v>
      </c>
      <c r="H881" s="12" t="s">
        <v>1119</v>
      </c>
      <c r="I881" s="13"/>
      <c r="J881" s="12" t="s">
        <v>1120</v>
      </c>
      <c r="K881" s="12" t="s">
        <v>1118</v>
      </c>
    </row>
    <row r="882" spans="1:11" ht="30" customHeight="1">
      <c r="A882" s="12" t="s">
        <v>310</v>
      </c>
      <c r="B882" s="12" t="s">
        <v>308</v>
      </c>
      <c r="C882" s="12" t="s">
        <v>270</v>
      </c>
      <c r="D882" s="12" t="s">
        <v>1114</v>
      </c>
      <c r="E882" s="18">
        <v>980.02</v>
      </c>
      <c r="F882" s="13"/>
      <c r="G882" s="12" t="s">
        <v>1115</v>
      </c>
      <c r="H882" s="12" t="s">
        <v>1121</v>
      </c>
      <c r="I882" s="13"/>
      <c r="J882" s="12" t="s">
        <v>1122</v>
      </c>
      <c r="K882" s="12" t="s">
        <v>1118</v>
      </c>
    </row>
    <row r="883" spans="1:11" ht="30" customHeight="1">
      <c r="A883" s="12" t="s">
        <v>291</v>
      </c>
      <c r="B883" s="12" t="s">
        <v>290</v>
      </c>
      <c r="C883" s="12" t="s">
        <v>270</v>
      </c>
      <c r="D883" s="12" t="s">
        <v>1114</v>
      </c>
      <c r="E883" s="18">
        <v>170.59</v>
      </c>
      <c r="F883" s="13"/>
      <c r="G883" s="12" t="s">
        <v>1115</v>
      </c>
      <c r="H883" s="12" t="s">
        <v>1123</v>
      </c>
      <c r="I883" s="13"/>
      <c r="J883" s="12" t="s">
        <v>1124</v>
      </c>
      <c r="K883" s="12" t="s">
        <v>1118</v>
      </c>
    </row>
    <row r="884" spans="1:11" ht="30" customHeight="1">
      <c r="A884" s="12" t="s">
        <v>295</v>
      </c>
      <c r="B884" s="12" t="s">
        <v>293</v>
      </c>
      <c r="C884" s="12" t="s">
        <v>270</v>
      </c>
      <c r="D884" s="12" t="s">
        <v>1114</v>
      </c>
      <c r="E884" s="18">
        <v>114039.77</v>
      </c>
      <c r="F884" s="13"/>
      <c r="G884" s="12" t="s">
        <v>1115</v>
      </c>
      <c r="H884" s="12" t="s">
        <v>1125</v>
      </c>
      <c r="I884" s="13"/>
      <c r="J884" s="12" t="s">
        <v>1126</v>
      </c>
      <c r="K884" s="12" t="s">
        <v>1118</v>
      </c>
    </row>
    <row r="885" spans="1:11" ht="30" customHeight="1">
      <c r="A885" s="12" t="s">
        <v>283</v>
      </c>
      <c r="B885" s="12" t="s">
        <v>280</v>
      </c>
      <c r="C885" s="12" t="s">
        <v>270</v>
      </c>
      <c r="D885" s="12" t="s">
        <v>1114</v>
      </c>
      <c r="E885" s="18">
        <v>4598.71</v>
      </c>
      <c r="F885" s="13"/>
      <c r="G885" s="12" t="s">
        <v>1115</v>
      </c>
      <c r="H885" s="12" t="s">
        <v>1127</v>
      </c>
      <c r="I885" s="13"/>
      <c r="J885" s="12" t="s">
        <v>1128</v>
      </c>
      <c r="K885" s="12" t="s">
        <v>1118</v>
      </c>
    </row>
    <row r="886" spans="1:11" ht="30" customHeight="1">
      <c r="A886" s="12" t="s">
        <v>299</v>
      </c>
      <c r="B886" s="12" t="s">
        <v>297</v>
      </c>
      <c r="C886" s="12" t="s">
        <v>270</v>
      </c>
      <c r="D886" s="12" t="s">
        <v>1114</v>
      </c>
      <c r="E886" s="18">
        <v>7679.9</v>
      </c>
      <c r="F886" s="13"/>
      <c r="G886" s="12" t="s">
        <v>1115</v>
      </c>
      <c r="H886" s="12" t="s">
        <v>1129</v>
      </c>
      <c r="I886" s="13"/>
      <c r="J886" s="12" t="s">
        <v>1130</v>
      </c>
      <c r="K886" s="12" t="s">
        <v>1118</v>
      </c>
    </row>
    <row r="887" spans="1:11" ht="30" customHeight="1">
      <c r="A887" s="12" t="s">
        <v>288</v>
      </c>
      <c r="B887" s="12" t="s">
        <v>286</v>
      </c>
      <c r="C887" s="12" t="s">
        <v>270</v>
      </c>
      <c r="D887" s="12" t="s">
        <v>1114</v>
      </c>
      <c r="E887" s="18">
        <v>10656.46</v>
      </c>
      <c r="F887" s="13"/>
      <c r="G887" s="12" t="s">
        <v>1115</v>
      </c>
      <c r="H887" s="12" t="s">
        <v>1131</v>
      </c>
      <c r="I887" s="13"/>
      <c r="J887" s="12" t="s">
        <v>1132</v>
      </c>
      <c r="K887" s="12" t="s">
        <v>1118</v>
      </c>
    </row>
    <row r="888" spans="1:11" ht="30" customHeight="1">
      <c r="A888" s="12" t="s">
        <v>302</v>
      </c>
      <c r="B888" s="12" t="s">
        <v>301</v>
      </c>
      <c r="C888" s="12" t="s">
        <v>270</v>
      </c>
      <c r="D888" s="12" t="s">
        <v>1114</v>
      </c>
      <c r="E888" s="18">
        <v>872.77</v>
      </c>
      <c r="F888" s="13"/>
      <c r="G888" s="12" t="s">
        <v>1115</v>
      </c>
      <c r="H888" s="12" t="s">
        <v>1133</v>
      </c>
      <c r="I888" s="13"/>
      <c r="J888" s="12" t="s">
        <v>1134</v>
      </c>
      <c r="K888" s="12" t="s">
        <v>1118</v>
      </c>
    </row>
    <row r="889" spans="1:11" ht="30" customHeight="1">
      <c r="A889" s="12" t="s">
        <v>274</v>
      </c>
      <c r="B889" s="12" t="s">
        <v>269</v>
      </c>
      <c r="C889" s="12" t="s">
        <v>270</v>
      </c>
      <c r="D889" s="12" t="s">
        <v>412</v>
      </c>
      <c r="E889" s="18">
        <v>0</v>
      </c>
      <c r="F889" s="13"/>
      <c r="G889" s="12" t="s">
        <v>1115</v>
      </c>
      <c r="H889" s="12" t="s">
        <v>1135</v>
      </c>
      <c r="I889" s="13"/>
      <c r="J889" s="12" t="s">
        <v>1136</v>
      </c>
      <c r="K889" s="12" t="s">
        <v>1137</v>
      </c>
    </row>
    <row r="890" spans="1:11" ht="30" customHeight="1">
      <c r="A890" s="12" t="s">
        <v>283</v>
      </c>
      <c r="B890" s="12" t="s">
        <v>280</v>
      </c>
      <c r="C890" s="12" t="s">
        <v>270</v>
      </c>
      <c r="D890" s="12" t="s">
        <v>412</v>
      </c>
      <c r="E890" s="18">
        <v>0</v>
      </c>
      <c r="F890" s="13"/>
      <c r="G890" s="12" t="s">
        <v>1115</v>
      </c>
      <c r="H890" s="12" t="s">
        <v>1138</v>
      </c>
      <c r="I890" s="13"/>
      <c r="J890" s="12" t="s">
        <v>1136</v>
      </c>
      <c r="K890" s="12" t="s">
        <v>1137</v>
      </c>
    </row>
    <row r="891" spans="1:11" ht="30" customHeight="1">
      <c r="A891" s="12" t="s">
        <v>299</v>
      </c>
      <c r="B891" s="12" t="s">
        <v>297</v>
      </c>
      <c r="C891" s="12" t="s">
        <v>270</v>
      </c>
      <c r="D891" s="12" t="s">
        <v>412</v>
      </c>
      <c r="E891" s="18">
        <v>0</v>
      </c>
      <c r="F891" s="13"/>
      <c r="G891" s="12" t="s">
        <v>1115</v>
      </c>
      <c r="H891" s="12" t="s">
        <v>1139</v>
      </c>
      <c r="I891" s="13"/>
      <c r="J891" s="12" t="s">
        <v>1136</v>
      </c>
      <c r="K891" s="12" t="s">
        <v>1137</v>
      </c>
    </row>
    <row r="892" spans="1:11" ht="30" customHeight="1">
      <c r="A892" s="12" t="s">
        <v>288</v>
      </c>
      <c r="B892" s="12" t="s">
        <v>286</v>
      </c>
      <c r="C892" s="12" t="s">
        <v>270</v>
      </c>
      <c r="D892" s="12" t="s">
        <v>412</v>
      </c>
      <c r="E892" s="18">
        <v>0</v>
      </c>
      <c r="F892" s="13"/>
      <c r="G892" s="12" t="s">
        <v>1115</v>
      </c>
      <c r="H892" s="12" t="s">
        <v>1140</v>
      </c>
      <c r="I892" s="13"/>
      <c r="J892" s="12" t="s">
        <v>1136</v>
      </c>
      <c r="K892" s="12" t="s">
        <v>1137</v>
      </c>
    </row>
    <row r="893" spans="1:11" ht="30" customHeight="1">
      <c r="A893" s="12" t="s">
        <v>302</v>
      </c>
      <c r="B893" s="12" t="s">
        <v>301</v>
      </c>
      <c r="C893" s="12" t="s">
        <v>270</v>
      </c>
      <c r="D893" s="12" t="s">
        <v>412</v>
      </c>
      <c r="E893" s="18">
        <v>0</v>
      </c>
      <c r="F893" s="13"/>
      <c r="G893" s="12" t="s">
        <v>1115</v>
      </c>
      <c r="H893" s="12" t="s">
        <v>1141</v>
      </c>
      <c r="I893" s="13"/>
      <c r="J893" s="12" t="s">
        <v>1136</v>
      </c>
      <c r="K893" s="12" t="s">
        <v>1137</v>
      </c>
    </row>
    <row r="894" spans="1:11" ht="30" customHeight="1">
      <c r="A894" s="12" t="s">
        <v>306</v>
      </c>
      <c r="B894" s="12" t="s">
        <v>304</v>
      </c>
      <c r="C894" s="12" t="s">
        <v>270</v>
      </c>
      <c r="D894" s="12" t="s">
        <v>413</v>
      </c>
      <c r="E894" s="18">
        <v>0</v>
      </c>
      <c r="F894" s="13"/>
      <c r="G894" s="12" t="s">
        <v>1142</v>
      </c>
      <c r="H894" s="12" t="s">
        <v>1143</v>
      </c>
      <c r="I894" s="13"/>
      <c r="J894" s="12" t="s">
        <v>877</v>
      </c>
      <c r="K894" s="12" t="s">
        <v>1144</v>
      </c>
    </row>
    <row r="895" spans="1:11" ht="30" customHeight="1">
      <c r="A895" s="12" t="s">
        <v>306</v>
      </c>
      <c r="B895" s="12" t="s">
        <v>304</v>
      </c>
      <c r="C895" s="12" t="s">
        <v>270</v>
      </c>
      <c r="D895" s="12" t="s">
        <v>411</v>
      </c>
      <c r="E895" s="18">
        <v>0.0459</v>
      </c>
      <c r="F895" s="13"/>
      <c r="G895" s="12" t="s">
        <v>1142</v>
      </c>
      <c r="H895" s="12" t="s">
        <v>1145</v>
      </c>
      <c r="I895" s="13"/>
      <c r="J895" s="12" t="s">
        <v>877</v>
      </c>
      <c r="K895" s="12" t="s">
        <v>1146</v>
      </c>
    </row>
    <row r="896" spans="1:11" ht="30" customHeight="1">
      <c r="A896" s="12" t="s">
        <v>306</v>
      </c>
      <c r="B896" s="12" t="s">
        <v>304</v>
      </c>
      <c r="C896" s="12" t="s">
        <v>270</v>
      </c>
      <c r="D896" s="12" t="s">
        <v>389</v>
      </c>
      <c r="E896" s="12" t="s">
        <v>1147</v>
      </c>
      <c r="F896" s="13"/>
      <c r="G896" s="12" t="s">
        <v>1142</v>
      </c>
      <c r="H896" s="12" t="s">
        <v>1148</v>
      </c>
      <c r="I896" s="13"/>
      <c r="J896" s="12" t="s">
        <v>1149</v>
      </c>
      <c r="K896" s="12" t="s">
        <v>1150</v>
      </c>
    </row>
    <row r="897" spans="1:11" ht="30" customHeight="1">
      <c r="A897" s="12" t="s">
        <v>291</v>
      </c>
      <c r="B897" s="12" t="s">
        <v>290</v>
      </c>
      <c r="C897" s="12" t="s">
        <v>270</v>
      </c>
      <c r="D897" s="12" t="s">
        <v>413</v>
      </c>
      <c r="E897" s="18">
        <v>0</v>
      </c>
      <c r="F897" s="13"/>
      <c r="G897" s="12" t="s">
        <v>1142</v>
      </c>
      <c r="H897" s="12" t="s">
        <v>1151</v>
      </c>
      <c r="I897" s="13"/>
      <c r="J897" s="12" t="s">
        <v>896</v>
      </c>
      <c r="K897" s="12" t="s">
        <v>1144</v>
      </c>
    </row>
    <row r="898" spans="1:11" ht="30" customHeight="1">
      <c r="A898" s="12" t="s">
        <v>302</v>
      </c>
      <c r="B898" s="12" t="s">
        <v>301</v>
      </c>
      <c r="C898" s="12" t="s">
        <v>270</v>
      </c>
      <c r="D898" s="12" t="s">
        <v>413</v>
      </c>
      <c r="E898" s="18">
        <v>0</v>
      </c>
      <c r="F898" s="13"/>
      <c r="G898" s="12" t="s">
        <v>1142</v>
      </c>
      <c r="H898" s="12" t="s">
        <v>1152</v>
      </c>
      <c r="I898" s="13"/>
      <c r="J898" s="12" t="s">
        <v>915</v>
      </c>
      <c r="K898" s="12" t="s">
        <v>1153</v>
      </c>
    </row>
    <row r="899" spans="1:11" ht="30" customHeight="1">
      <c r="A899" s="12" t="s">
        <v>283</v>
      </c>
      <c r="B899" s="12" t="s">
        <v>280</v>
      </c>
      <c r="C899" s="12" t="s">
        <v>270</v>
      </c>
      <c r="D899" s="12" t="s">
        <v>426</v>
      </c>
      <c r="E899" s="12" t="s">
        <v>282</v>
      </c>
      <c r="F899" s="13"/>
      <c r="G899" s="12" t="s">
        <v>1142</v>
      </c>
      <c r="H899" s="12" t="s">
        <v>1154</v>
      </c>
      <c r="I899" s="13"/>
      <c r="J899" s="12" t="s">
        <v>934</v>
      </c>
      <c r="K899" s="12" t="s">
        <v>1155</v>
      </c>
    </row>
    <row r="900" spans="1:11" ht="30" customHeight="1">
      <c r="A900" s="12" t="s">
        <v>295</v>
      </c>
      <c r="B900" s="12" t="s">
        <v>293</v>
      </c>
      <c r="C900" s="12" t="s">
        <v>270</v>
      </c>
      <c r="D900" s="12" t="s">
        <v>426</v>
      </c>
      <c r="E900" s="12" t="s">
        <v>294</v>
      </c>
      <c r="F900" s="13"/>
      <c r="G900" s="12" t="s">
        <v>1142</v>
      </c>
      <c r="H900" s="12" t="s">
        <v>1156</v>
      </c>
      <c r="I900" s="13"/>
      <c r="J900" s="12" t="s">
        <v>955</v>
      </c>
      <c r="K900" s="12" t="s">
        <v>1155</v>
      </c>
    </row>
    <row r="901" spans="1:11" ht="30" customHeight="1">
      <c r="A901" s="12" t="s">
        <v>299</v>
      </c>
      <c r="B901" s="12" t="s">
        <v>297</v>
      </c>
      <c r="C901" s="12" t="s">
        <v>270</v>
      </c>
      <c r="D901" s="12" t="s">
        <v>426</v>
      </c>
      <c r="E901" s="12" t="s">
        <v>298</v>
      </c>
      <c r="F901" s="13"/>
      <c r="G901" s="12" t="s">
        <v>1142</v>
      </c>
      <c r="H901" s="12" t="s">
        <v>1157</v>
      </c>
      <c r="I901" s="13"/>
      <c r="J901" s="12" t="s">
        <v>975</v>
      </c>
      <c r="K901" s="12" t="s">
        <v>1155</v>
      </c>
    </row>
    <row r="902" spans="1:11" ht="30" customHeight="1">
      <c r="A902" s="12" t="s">
        <v>288</v>
      </c>
      <c r="B902" s="12" t="s">
        <v>286</v>
      </c>
      <c r="C902" s="12" t="s">
        <v>270</v>
      </c>
      <c r="D902" s="12" t="s">
        <v>426</v>
      </c>
      <c r="E902" s="12" t="s">
        <v>287</v>
      </c>
      <c r="F902" s="13"/>
      <c r="G902" s="12" t="s">
        <v>1142</v>
      </c>
      <c r="H902" s="12" t="s">
        <v>1158</v>
      </c>
      <c r="I902" s="13"/>
      <c r="J902" s="12" t="s">
        <v>995</v>
      </c>
      <c r="K902" s="12" t="s">
        <v>1155</v>
      </c>
    </row>
    <row r="903" spans="1:11" ht="30" customHeight="1">
      <c r="A903" s="12" t="s">
        <v>310</v>
      </c>
      <c r="B903" s="12" t="s">
        <v>308</v>
      </c>
      <c r="C903" s="12" t="s">
        <v>270</v>
      </c>
      <c r="D903" s="12" t="s">
        <v>426</v>
      </c>
      <c r="E903" s="12" t="s">
        <v>309</v>
      </c>
      <c r="F903" s="13"/>
      <c r="G903" s="12" t="s">
        <v>1142</v>
      </c>
      <c r="H903" s="12" t="s">
        <v>1159</v>
      </c>
      <c r="I903" s="13"/>
      <c r="J903" s="12" t="s">
        <v>1014</v>
      </c>
      <c r="K903" s="12" t="s">
        <v>1155</v>
      </c>
    </row>
    <row r="904" spans="1:11" ht="30" customHeight="1">
      <c r="A904" s="12" t="s">
        <v>179</v>
      </c>
      <c r="B904" s="12" t="s">
        <v>175</v>
      </c>
      <c r="C904" s="12" t="s">
        <v>154</v>
      </c>
      <c r="D904" s="12" t="s">
        <v>422</v>
      </c>
      <c r="E904" s="12" t="s">
        <v>45</v>
      </c>
      <c r="F904" s="13"/>
      <c r="G904" s="12" t="s">
        <v>189</v>
      </c>
      <c r="H904" s="12" t="s">
        <v>1160</v>
      </c>
      <c r="I904" s="13"/>
      <c r="J904" s="12" t="s">
        <v>1161</v>
      </c>
      <c r="K904" s="12" t="s">
        <v>1162</v>
      </c>
    </row>
    <row r="905" spans="1:11" ht="30" customHeight="1">
      <c r="A905" s="12" t="s">
        <v>179</v>
      </c>
      <c r="B905" s="12" t="s">
        <v>175</v>
      </c>
      <c r="C905" s="12" t="s">
        <v>154</v>
      </c>
      <c r="D905" s="12" t="s">
        <v>1107</v>
      </c>
      <c r="E905" s="12" t="s">
        <v>1163</v>
      </c>
      <c r="F905" s="13"/>
      <c r="G905" s="12" t="s">
        <v>189</v>
      </c>
      <c r="H905" s="12" t="s">
        <v>1160</v>
      </c>
      <c r="I905" s="13"/>
      <c r="J905" s="12" t="s">
        <v>1161</v>
      </c>
      <c r="K905" s="12" t="s">
        <v>1164</v>
      </c>
    </row>
    <row r="906" spans="1:11" ht="30" customHeight="1">
      <c r="A906" s="12" t="s">
        <v>179</v>
      </c>
      <c r="B906" s="12" t="s">
        <v>175</v>
      </c>
      <c r="C906" s="12" t="s">
        <v>154</v>
      </c>
      <c r="D906" s="12" t="s">
        <v>1058</v>
      </c>
      <c r="E906" s="18">
        <v>1</v>
      </c>
      <c r="F906" s="13"/>
      <c r="G906" s="12" t="s">
        <v>189</v>
      </c>
      <c r="H906" s="12" t="s">
        <v>1160</v>
      </c>
      <c r="I906" s="13"/>
      <c r="J906" s="12" t="s">
        <v>1161</v>
      </c>
      <c r="K906" s="12" t="s">
        <v>1165</v>
      </c>
    </row>
    <row r="907" spans="1:11" ht="30" customHeight="1">
      <c r="A907" s="12" t="s">
        <v>168</v>
      </c>
      <c r="B907" s="12" t="s">
        <v>166</v>
      </c>
      <c r="C907" s="12" t="s">
        <v>154</v>
      </c>
      <c r="D907" s="12" t="s">
        <v>389</v>
      </c>
      <c r="E907" s="12" t="s">
        <v>1166</v>
      </c>
      <c r="F907" s="13"/>
      <c r="G907" s="12" t="s">
        <v>189</v>
      </c>
      <c r="H907" s="12" t="s">
        <v>1160</v>
      </c>
      <c r="I907" s="13"/>
      <c r="J907" s="12" t="s">
        <v>1167</v>
      </c>
      <c r="K907" s="12" t="s">
        <v>1168</v>
      </c>
    </row>
    <row r="908" spans="1:11" ht="30" customHeight="1">
      <c r="A908" s="12" t="s">
        <v>168</v>
      </c>
      <c r="B908" s="12" t="s">
        <v>166</v>
      </c>
      <c r="C908" s="12" t="s">
        <v>154</v>
      </c>
      <c r="D908" s="12" t="s">
        <v>387</v>
      </c>
      <c r="E908" s="18">
        <v>1</v>
      </c>
      <c r="F908" s="13"/>
      <c r="G908" s="12" t="s">
        <v>189</v>
      </c>
      <c r="H908" s="12" t="s">
        <v>1160</v>
      </c>
      <c r="I908" s="13"/>
      <c r="J908" s="12" t="s">
        <v>1167</v>
      </c>
      <c r="K908" s="12" t="s">
        <v>1169</v>
      </c>
    </row>
    <row r="909" spans="1:11" ht="30" customHeight="1">
      <c r="A909" s="12" t="s">
        <v>168</v>
      </c>
      <c r="B909" s="12" t="s">
        <v>166</v>
      </c>
      <c r="C909" s="12" t="s">
        <v>154</v>
      </c>
      <c r="D909" s="12" t="s">
        <v>422</v>
      </c>
      <c r="E909" s="12" t="s">
        <v>45</v>
      </c>
      <c r="F909" s="13"/>
      <c r="G909" s="12" t="s">
        <v>189</v>
      </c>
      <c r="H909" s="12" t="s">
        <v>1160</v>
      </c>
      <c r="I909" s="13"/>
      <c r="J909" s="12" t="s">
        <v>1167</v>
      </c>
      <c r="K909" s="12" t="s">
        <v>1162</v>
      </c>
    </row>
    <row r="910" spans="1:11" ht="30" customHeight="1">
      <c r="A910" s="12" t="s">
        <v>168</v>
      </c>
      <c r="B910" s="12" t="s">
        <v>166</v>
      </c>
      <c r="C910" s="12" t="s">
        <v>154</v>
      </c>
      <c r="D910" s="12" t="s">
        <v>1107</v>
      </c>
      <c r="E910" s="12" t="s">
        <v>1170</v>
      </c>
      <c r="F910" s="13"/>
      <c r="G910" s="12" t="s">
        <v>189</v>
      </c>
      <c r="H910" s="12" t="s">
        <v>1160</v>
      </c>
      <c r="I910" s="13"/>
      <c r="J910" s="12" t="s">
        <v>1167</v>
      </c>
      <c r="K910" s="12" t="s">
        <v>1164</v>
      </c>
    </row>
    <row r="911" spans="1:11" ht="30" customHeight="1">
      <c r="A911" s="12" t="s">
        <v>168</v>
      </c>
      <c r="B911" s="12" t="s">
        <v>166</v>
      </c>
      <c r="C911" s="12" t="s">
        <v>154</v>
      </c>
      <c r="D911" s="12" t="s">
        <v>1058</v>
      </c>
      <c r="E911" s="18">
        <v>1</v>
      </c>
      <c r="F911" s="13"/>
      <c r="G911" s="12" t="s">
        <v>189</v>
      </c>
      <c r="H911" s="12" t="s">
        <v>1160</v>
      </c>
      <c r="I911" s="13"/>
      <c r="J911" s="12" t="s">
        <v>1167</v>
      </c>
      <c r="K911" s="12" t="s">
        <v>1165</v>
      </c>
    </row>
    <row r="912" spans="1:11" ht="30" customHeight="1">
      <c r="A912" s="12" t="s">
        <v>207</v>
      </c>
      <c r="B912" s="12" t="s">
        <v>205</v>
      </c>
      <c r="C912" s="12" t="s">
        <v>154</v>
      </c>
      <c r="D912" s="12" t="s">
        <v>389</v>
      </c>
      <c r="E912" s="12" t="s">
        <v>1147</v>
      </c>
      <c r="F912" s="13"/>
      <c r="G912" s="12" t="s">
        <v>189</v>
      </c>
      <c r="H912" s="12" t="s">
        <v>1160</v>
      </c>
      <c r="I912" s="13"/>
      <c r="J912" s="12" t="s">
        <v>1171</v>
      </c>
      <c r="K912" s="12" t="s">
        <v>1168</v>
      </c>
    </row>
    <row r="913" spans="1:11" ht="30" customHeight="1">
      <c r="A913" s="12" t="s">
        <v>207</v>
      </c>
      <c r="B913" s="12" t="s">
        <v>205</v>
      </c>
      <c r="C913" s="12" t="s">
        <v>154</v>
      </c>
      <c r="D913" s="12" t="s">
        <v>422</v>
      </c>
      <c r="E913" s="12" t="s">
        <v>45</v>
      </c>
      <c r="F913" s="13"/>
      <c r="G913" s="12" t="s">
        <v>189</v>
      </c>
      <c r="H913" s="12" t="s">
        <v>1160</v>
      </c>
      <c r="I913" s="13"/>
      <c r="J913" s="12" t="s">
        <v>1171</v>
      </c>
      <c r="K913" s="12" t="s">
        <v>1162</v>
      </c>
    </row>
    <row r="914" spans="1:11" ht="30" customHeight="1">
      <c r="A914" s="12" t="s">
        <v>207</v>
      </c>
      <c r="B914" s="12" t="s">
        <v>205</v>
      </c>
      <c r="C914" s="12" t="s">
        <v>154</v>
      </c>
      <c r="D914" s="12" t="s">
        <v>1107</v>
      </c>
      <c r="E914" s="12" t="s">
        <v>1163</v>
      </c>
      <c r="F914" s="13"/>
      <c r="G914" s="12" t="s">
        <v>189</v>
      </c>
      <c r="H914" s="12" t="s">
        <v>1160</v>
      </c>
      <c r="I914" s="13"/>
      <c r="J914" s="12" t="s">
        <v>1171</v>
      </c>
      <c r="K914" s="12" t="s">
        <v>1164</v>
      </c>
    </row>
    <row r="915" spans="1:11" ht="30" customHeight="1">
      <c r="A915" s="12" t="s">
        <v>207</v>
      </c>
      <c r="B915" s="12" t="s">
        <v>205</v>
      </c>
      <c r="C915" s="12" t="s">
        <v>154</v>
      </c>
      <c r="D915" s="12" t="s">
        <v>1058</v>
      </c>
      <c r="E915" s="18">
        <v>1</v>
      </c>
      <c r="F915" s="13"/>
      <c r="G915" s="12" t="s">
        <v>189</v>
      </c>
      <c r="H915" s="12" t="s">
        <v>1160</v>
      </c>
      <c r="I915" s="13"/>
      <c r="J915" s="12" t="s">
        <v>1171</v>
      </c>
      <c r="K915" s="12" t="s">
        <v>1165</v>
      </c>
    </row>
    <row r="916" spans="1:11" ht="30" customHeight="1">
      <c r="A916" s="12" t="s">
        <v>158</v>
      </c>
      <c r="B916" s="12" t="s">
        <v>153</v>
      </c>
      <c r="C916" s="12" t="s">
        <v>154</v>
      </c>
      <c r="D916" s="12" t="s">
        <v>389</v>
      </c>
      <c r="E916" s="12" t="s">
        <v>1166</v>
      </c>
      <c r="F916" s="13"/>
      <c r="G916" s="12" t="s">
        <v>189</v>
      </c>
      <c r="H916" s="12" t="s">
        <v>1160</v>
      </c>
      <c r="I916" s="13"/>
      <c r="J916" s="12" t="s">
        <v>1172</v>
      </c>
      <c r="K916" s="12" t="s">
        <v>1168</v>
      </c>
    </row>
    <row r="917" spans="1:11" ht="30" customHeight="1">
      <c r="A917" s="12" t="s">
        <v>158</v>
      </c>
      <c r="B917" s="12" t="s">
        <v>153</v>
      </c>
      <c r="C917" s="12" t="s">
        <v>154</v>
      </c>
      <c r="D917" s="12" t="s">
        <v>422</v>
      </c>
      <c r="E917" s="12" t="s">
        <v>45</v>
      </c>
      <c r="F917" s="13"/>
      <c r="G917" s="12" t="s">
        <v>189</v>
      </c>
      <c r="H917" s="12" t="s">
        <v>1160</v>
      </c>
      <c r="I917" s="13"/>
      <c r="J917" s="12" t="s">
        <v>1172</v>
      </c>
      <c r="K917" s="12" t="s">
        <v>1162</v>
      </c>
    </row>
    <row r="918" spans="1:11" ht="30" customHeight="1">
      <c r="A918" s="12" t="s">
        <v>158</v>
      </c>
      <c r="B918" s="12" t="s">
        <v>153</v>
      </c>
      <c r="C918" s="12" t="s">
        <v>154</v>
      </c>
      <c r="D918" s="12" t="s">
        <v>1107</v>
      </c>
      <c r="E918" s="12" t="s">
        <v>1163</v>
      </c>
      <c r="F918" s="13"/>
      <c r="G918" s="12" t="s">
        <v>189</v>
      </c>
      <c r="H918" s="12" t="s">
        <v>1160</v>
      </c>
      <c r="I918" s="13"/>
      <c r="J918" s="12" t="s">
        <v>1172</v>
      </c>
      <c r="K918" s="12" t="s">
        <v>1164</v>
      </c>
    </row>
    <row r="919" spans="1:11" ht="30" customHeight="1">
      <c r="A919" s="12" t="s">
        <v>158</v>
      </c>
      <c r="B919" s="12" t="s">
        <v>153</v>
      </c>
      <c r="C919" s="12" t="s">
        <v>154</v>
      </c>
      <c r="D919" s="12" t="s">
        <v>1058</v>
      </c>
      <c r="E919" s="18">
        <v>1</v>
      </c>
      <c r="F919" s="13"/>
      <c r="G919" s="12" t="s">
        <v>189</v>
      </c>
      <c r="H919" s="12" t="s">
        <v>1160</v>
      </c>
      <c r="I919" s="13"/>
      <c r="J919" s="12" t="s">
        <v>1172</v>
      </c>
      <c r="K919" s="12" t="s">
        <v>1165</v>
      </c>
    </row>
    <row r="920" spans="1:11" ht="30" customHeight="1">
      <c r="A920" s="12" t="s">
        <v>203</v>
      </c>
      <c r="B920" s="12" t="s">
        <v>202</v>
      </c>
      <c r="C920" s="12" t="s">
        <v>154</v>
      </c>
      <c r="D920" s="12" t="s">
        <v>389</v>
      </c>
      <c r="E920" s="12" t="s">
        <v>1166</v>
      </c>
      <c r="F920" s="13"/>
      <c r="G920" s="12" t="s">
        <v>189</v>
      </c>
      <c r="H920" s="12" t="s">
        <v>1160</v>
      </c>
      <c r="I920" s="13"/>
      <c r="J920" s="12" t="s">
        <v>1173</v>
      </c>
      <c r="K920" s="12" t="s">
        <v>1168</v>
      </c>
    </row>
    <row r="921" spans="1:11" ht="30" customHeight="1">
      <c r="A921" s="12" t="s">
        <v>203</v>
      </c>
      <c r="B921" s="12" t="s">
        <v>202</v>
      </c>
      <c r="C921" s="12" t="s">
        <v>154</v>
      </c>
      <c r="D921" s="12" t="s">
        <v>422</v>
      </c>
      <c r="E921" s="12" t="s">
        <v>34</v>
      </c>
      <c r="F921" s="13"/>
      <c r="G921" s="12" t="s">
        <v>189</v>
      </c>
      <c r="H921" s="12" t="s">
        <v>1160</v>
      </c>
      <c r="I921" s="13"/>
      <c r="J921" s="12" t="s">
        <v>1173</v>
      </c>
      <c r="K921" s="12" t="s">
        <v>1162</v>
      </c>
    </row>
    <row r="922" spans="1:11" ht="30" customHeight="1">
      <c r="A922" s="12" t="s">
        <v>203</v>
      </c>
      <c r="B922" s="12" t="s">
        <v>202</v>
      </c>
      <c r="C922" s="12" t="s">
        <v>154</v>
      </c>
      <c r="D922" s="12" t="s">
        <v>1107</v>
      </c>
      <c r="E922" s="12" t="s">
        <v>1163</v>
      </c>
      <c r="F922" s="13"/>
      <c r="G922" s="12" t="s">
        <v>189</v>
      </c>
      <c r="H922" s="12" t="s">
        <v>1160</v>
      </c>
      <c r="I922" s="13"/>
      <c r="J922" s="12" t="s">
        <v>1173</v>
      </c>
      <c r="K922" s="12" t="s">
        <v>1164</v>
      </c>
    </row>
    <row r="923" spans="1:11" ht="30" customHeight="1">
      <c r="A923" s="12" t="s">
        <v>203</v>
      </c>
      <c r="B923" s="12" t="s">
        <v>202</v>
      </c>
      <c r="C923" s="12" t="s">
        <v>154</v>
      </c>
      <c r="D923" s="12" t="s">
        <v>1058</v>
      </c>
      <c r="E923" s="18">
        <v>1</v>
      </c>
      <c r="F923" s="13"/>
      <c r="G923" s="12" t="s">
        <v>189</v>
      </c>
      <c r="H923" s="12" t="s">
        <v>1160</v>
      </c>
      <c r="I923" s="13"/>
      <c r="J923" s="12" t="s">
        <v>1173</v>
      </c>
      <c r="K923" s="12" t="s">
        <v>1165</v>
      </c>
    </row>
    <row r="924" spans="1:11" ht="30" customHeight="1">
      <c r="A924" s="12" t="s">
        <v>218</v>
      </c>
      <c r="B924" s="12" t="s">
        <v>217</v>
      </c>
      <c r="C924" s="12" t="s">
        <v>154</v>
      </c>
      <c r="D924" s="12" t="s">
        <v>389</v>
      </c>
      <c r="E924" s="12" t="s">
        <v>1166</v>
      </c>
      <c r="F924" s="13"/>
      <c r="G924" s="12" t="s">
        <v>189</v>
      </c>
      <c r="H924" s="12" t="s">
        <v>1160</v>
      </c>
      <c r="I924" s="13"/>
      <c r="J924" s="12" t="s">
        <v>1174</v>
      </c>
      <c r="K924" s="12" t="s">
        <v>1168</v>
      </c>
    </row>
    <row r="925" spans="1:11" ht="30" customHeight="1">
      <c r="A925" s="12" t="s">
        <v>218</v>
      </c>
      <c r="B925" s="12" t="s">
        <v>217</v>
      </c>
      <c r="C925" s="12" t="s">
        <v>154</v>
      </c>
      <c r="D925" s="12" t="s">
        <v>422</v>
      </c>
      <c r="E925" s="12" t="s">
        <v>34</v>
      </c>
      <c r="F925" s="13"/>
      <c r="G925" s="12" t="s">
        <v>189</v>
      </c>
      <c r="H925" s="12" t="s">
        <v>1160</v>
      </c>
      <c r="I925" s="13"/>
      <c r="J925" s="12" t="s">
        <v>1174</v>
      </c>
      <c r="K925" s="12" t="s">
        <v>1162</v>
      </c>
    </row>
    <row r="926" spans="1:11" ht="30" customHeight="1">
      <c r="A926" s="12" t="s">
        <v>218</v>
      </c>
      <c r="B926" s="12" t="s">
        <v>217</v>
      </c>
      <c r="C926" s="12" t="s">
        <v>154</v>
      </c>
      <c r="D926" s="12" t="s">
        <v>1107</v>
      </c>
      <c r="E926" s="12" t="s">
        <v>1163</v>
      </c>
      <c r="F926" s="13"/>
      <c r="G926" s="12" t="s">
        <v>189</v>
      </c>
      <c r="H926" s="12" t="s">
        <v>1160</v>
      </c>
      <c r="I926" s="13"/>
      <c r="J926" s="12" t="s">
        <v>1174</v>
      </c>
      <c r="K926" s="12" t="s">
        <v>1164</v>
      </c>
    </row>
    <row r="927" spans="1:11" ht="30" customHeight="1">
      <c r="A927" s="12" t="s">
        <v>218</v>
      </c>
      <c r="B927" s="12" t="s">
        <v>217</v>
      </c>
      <c r="C927" s="12" t="s">
        <v>154</v>
      </c>
      <c r="D927" s="12" t="s">
        <v>1058</v>
      </c>
      <c r="E927" s="18">
        <v>1</v>
      </c>
      <c r="F927" s="13"/>
      <c r="G927" s="12" t="s">
        <v>189</v>
      </c>
      <c r="H927" s="12" t="s">
        <v>1160</v>
      </c>
      <c r="I927" s="13"/>
      <c r="J927" s="12" t="s">
        <v>1174</v>
      </c>
      <c r="K927" s="12" t="s">
        <v>1165</v>
      </c>
    </row>
    <row r="928" spans="1:11" ht="30" customHeight="1">
      <c r="A928" s="12" t="s">
        <v>212</v>
      </c>
      <c r="B928" s="12" t="s">
        <v>210</v>
      </c>
      <c r="C928" s="12" t="s">
        <v>154</v>
      </c>
      <c r="D928" s="12" t="s">
        <v>389</v>
      </c>
      <c r="E928" s="12" t="s">
        <v>1166</v>
      </c>
      <c r="F928" s="13"/>
      <c r="G928" s="12" t="s">
        <v>189</v>
      </c>
      <c r="H928" s="12" t="s">
        <v>1160</v>
      </c>
      <c r="I928" s="13"/>
      <c r="J928" s="12" t="s">
        <v>1175</v>
      </c>
      <c r="K928" s="12" t="s">
        <v>1168</v>
      </c>
    </row>
    <row r="929" spans="1:11" ht="30" customHeight="1">
      <c r="A929" s="12" t="s">
        <v>212</v>
      </c>
      <c r="B929" s="12" t="s">
        <v>210</v>
      </c>
      <c r="C929" s="12" t="s">
        <v>154</v>
      </c>
      <c r="D929" s="12" t="s">
        <v>422</v>
      </c>
      <c r="E929" s="12" t="s">
        <v>45</v>
      </c>
      <c r="F929" s="13"/>
      <c r="G929" s="12" t="s">
        <v>189</v>
      </c>
      <c r="H929" s="12" t="s">
        <v>1160</v>
      </c>
      <c r="I929" s="13"/>
      <c r="J929" s="12" t="s">
        <v>1175</v>
      </c>
      <c r="K929" s="12" t="s">
        <v>1162</v>
      </c>
    </row>
    <row r="930" spans="1:11" ht="30" customHeight="1">
      <c r="A930" s="12" t="s">
        <v>212</v>
      </c>
      <c r="B930" s="12" t="s">
        <v>210</v>
      </c>
      <c r="C930" s="12" t="s">
        <v>154</v>
      </c>
      <c r="D930" s="12" t="s">
        <v>1107</v>
      </c>
      <c r="E930" s="12" t="s">
        <v>1176</v>
      </c>
      <c r="F930" s="13"/>
      <c r="G930" s="12" t="s">
        <v>189</v>
      </c>
      <c r="H930" s="12" t="s">
        <v>1160</v>
      </c>
      <c r="I930" s="13"/>
      <c r="J930" s="12" t="s">
        <v>1175</v>
      </c>
      <c r="K930" s="12" t="s">
        <v>1164</v>
      </c>
    </row>
    <row r="931" spans="1:11" ht="30" customHeight="1">
      <c r="A931" s="12" t="s">
        <v>212</v>
      </c>
      <c r="B931" s="12" t="s">
        <v>210</v>
      </c>
      <c r="C931" s="12" t="s">
        <v>154</v>
      </c>
      <c r="D931" s="12" t="s">
        <v>1058</v>
      </c>
      <c r="E931" s="18">
        <v>0</v>
      </c>
      <c r="F931" s="13"/>
      <c r="G931" s="12" t="s">
        <v>189</v>
      </c>
      <c r="H931" s="12" t="s">
        <v>1160</v>
      </c>
      <c r="I931" s="13"/>
      <c r="J931" s="12" t="s">
        <v>1175</v>
      </c>
      <c r="K931" s="12" t="s">
        <v>1165</v>
      </c>
    </row>
    <row r="932" spans="1:11" ht="30" customHeight="1">
      <c r="A932" s="12" t="s">
        <v>200</v>
      </c>
      <c r="B932" s="12" t="s">
        <v>199</v>
      </c>
      <c r="C932" s="12" t="s">
        <v>154</v>
      </c>
      <c r="D932" s="12" t="s">
        <v>389</v>
      </c>
      <c r="E932" s="12" t="s">
        <v>1147</v>
      </c>
      <c r="F932" s="13"/>
      <c r="G932" s="12" t="s">
        <v>189</v>
      </c>
      <c r="H932" s="12" t="s">
        <v>1160</v>
      </c>
      <c r="I932" s="13"/>
      <c r="J932" s="12" t="s">
        <v>1177</v>
      </c>
      <c r="K932" s="12" t="s">
        <v>1168</v>
      </c>
    </row>
    <row r="933" spans="1:11" ht="30" customHeight="1">
      <c r="A933" s="12" t="s">
        <v>200</v>
      </c>
      <c r="B933" s="12" t="s">
        <v>199</v>
      </c>
      <c r="C933" s="12" t="s">
        <v>154</v>
      </c>
      <c r="D933" s="12" t="s">
        <v>422</v>
      </c>
      <c r="E933" s="12" t="s">
        <v>34</v>
      </c>
      <c r="F933" s="13"/>
      <c r="G933" s="12" t="s">
        <v>189</v>
      </c>
      <c r="H933" s="12" t="s">
        <v>1160</v>
      </c>
      <c r="I933" s="13"/>
      <c r="J933" s="12" t="s">
        <v>1177</v>
      </c>
      <c r="K933" s="12" t="s">
        <v>1162</v>
      </c>
    </row>
    <row r="934" spans="1:11" ht="30" customHeight="1">
      <c r="A934" s="12" t="s">
        <v>200</v>
      </c>
      <c r="B934" s="12" t="s">
        <v>199</v>
      </c>
      <c r="C934" s="12" t="s">
        <v>154</v>
      </c>
      <c r="D934" s="12" t="s">
        <v>1107</v>
      </c>
      <c r="E934" s="12" t="s">
        <v>1163</v>
      </c>
      <c r="F934" s="13"/>
      <c r="G934" s="12" t="s">
        <v>189</v>
      </c>
      <c r="H934" s="12" t="s">
        <v>1160</v>
      </c>
      <c r="I934" s="13"/>
      <c r="J934" s="12" t="s">
        <v>1177</v>
      </c>
      <c r="K934" s="12" t="s">
        <v>1164</v>
      </c>
    </row>
    <row r="935" spans="1:11" ht="30" customHeight="1">
      <c r="A935" s="12" t="s">
        <v>200</v>
      </c>
      <c r="B935" s="12" t="s">
        <v>199</v>
      </c>
      <c r="C935" s="12" t="s">
        <v>154</v>
      </c>
      <c r="D935" s="12" t="s">
        <v>1058</v>
      </c>
      <c r="E935" s="18">
        <v>1</v>
      </c>
      <c r="F935" s="13"/>
      <c r="G935" s="12" t="s">
        <v>189</v>
      </c>
      <c r="H935" s="12" t="s">
        <v>1160</v>
      </c>
      <c r="I935" s="13"/>
      <c r="J935" s="12" t="s">
        <v>1177</v>
      </c>
      <c r="K935" s="12" t="s">
        <v>1165</v>
      </c>
    </row>
    <row r="936" spans="1:11" ht="30" customHeight="1">
      <c r="A936" s="12" t="s">
        <v>185</v>
      </c>
      <c r="B936" s="12" t="s">
        <v>183</v>
      </c>
      <c r="C936" s="12" t="s">
        <v>154</v>
      </c>
      <c r="D936" s="12" t="s">
        <v>389</v>
      </c>
      <c r="E936" s="12" t="s">
        <v>1166</v>
      </c>
      <c r="F936" s="13"/>
      <c r="G936" s="12" t="s">
        <v>189</v>
      </c>
      <c r="H936" s="12" t="s">
        <v>1160</v>
      </c>
      <c r="I936" s="13"/>
      <c r="J936" s="12" t="s">
        <v>1178</v>
      </c>
      <c r="K936" s="12" t="s">
        <v>1168</v>
      </c>
    </row>
    <row r="937" spans="1:11" ht="30" customHeight="1">
      <c r="A937" s="12" t="s">
        <v>185</v>
      </c>
      <c r="B937" s="12" t="s">
        <v>183</v>
      </c>
      <c r="C937" s="12" t="s">
        <v>154</v>
      </c>
      <c r="D937" s="12" t="s">
        <v>422</v>
      </c>
      <c r="E937" s="12" t="s">
        <v>34</v>
      </c>
      <c r="F937" s="13"/>
      <c r="G937" s="12" t="s">
        <v>189</v>
      </c>
      <c r="H937" s="12" t="s">
        <v>1160</v>
      </c>
      <c r="I937" s="13"/>
      <c r="J937" s="12" t="s">
        <v>1178</v>
      </c>
      <c r="K937" s="12" t="s">
        <v>1162</v>
      </c>
    </row>
    <row r="938" spans="1:11" ht="30" customHeight="1">
      <c r="A938" s="12" t="s">
        <v>185</v>
      </c>
      <c r="B938" s="12" t="s">
        <v>183</v>
      </c>
      <c r="C938" s="12" t="s">
        <v>154</v>
      </c>
      <c r="D938" s="12" t="s">
        <v>1107</v>
      </c>
      <c r="E938" s="12" t="s">
        <v>1163</v>
      </c>
      <c r="F938" s="13"/>
      <c r="G938" s="12" t="s">
        <v>189</v>
      </c>
      <c r="H938" s="12" t="s">
        <v>1160</v>
      </c>
      <c r="I938" s="13"/>
      <c r="J938" s="12" t="s">
        <v>1178</v>
      </c>
      <c r="K938" s="12" t="s">
        <v>1164</v>
      </c>
    </row>
    <row r="939" spans="1:11" ht="30" customHeight="1">
      <c r="A939" s="12" t="s">
        <v>185</v>
      </c>
      <c r="B939" s="12" t="s">
        <v>183</v>
      </c>
      <c r="C939" s="12" t="s">
        <v>154</v>
      </c>
      <c r="D939" s="12" t="s">
        <v>1058</v>
      </c>
      <c r="E939" s="18">
        <v>0</v>
      </c>
      <c r="F939" s="13"/>
      <c r="G939" s="12" t="s">
        <v>189</v>
      </c>
      <c r="H939" s="12" t="s">
        <v>1160</v>
      </c>
      <c r="I939" s="13"/>
      <c r="J939" s="12" t="s">
        <v>1178</v>
      </c>
      <c r="K939" s="12" t="s">
        <v>1165</v>
      </c>
    </row>
    <row r="940" spans="1:11" ht="30" customHeight="1">
      <c r="A940" s="12" t="s">
        <v>197</v>
      </c>
      <c r="B940" s="12" t="s">
        <v>196</v>
      </c>
      <c r="C940" s="12" t="s">
        <v>154</v>
      </c>
      <c r="D940" s="12" t="s">
        <v>389</v>
      </c>
      <c r="E940" s="12" t="s">
        <v>1166</v>
      </c>
      <c r="F940" s="13"/>
      <c r="G940" s="12" t="s">
        <v>189</v>
      </c>
      <c r="H940" s="12" t="s">
        <v>1160</v>
      </c>
      <c r="I940" s="13"/>
      <c r="J940" s="12" t="s">
        <v>1179</v>
      </c>
      <c r="K940" s="12" t="s">
        <v>1168</v>
      </c>
    </row>
    <row r="941" spans="1:11" ht="30" customHeight="1">
      <c r="A941" s="12" t="s">
        <v>197</v>
      </c>
      <c r="B941" s="12" t="s">
        <v>196</v>
      </c>
      <c r="C941" s="12" t="s">
        <v>154</v>
      </c>
      <c r="D941" s="12" t="s">
        <v>387</v>
      </c>
      <c r="E941" s="18">
        <v>1</v>
      </c>
      <c r="F941" s="13"/>
      <c r="G941" s="12" t="s">
        <v>189</v>
      </c>
      <c r="H941" s="12" t="s">
        <v>1160</v>
      </c>
      <c r="I941" s="13"/>
      <c r="J941" s="12" t="s">
        <v>1179</v>
      </c>
      <c r="K941" s="12" t="s">
        <v>1169</v>
      </c>
    </row>
    <row r="942" spans="1:11" ht="30" customHeight="1">
      <c r="A942" s="12" t="s">
        <v>197</v>
      </c>
      <c r="B942" s="12" t="s">
        <v>196</v>
      </c>
      <c r="C942" s="12" t="s">
        <v>154</v>
      </c>
      <c r="D942" s="12" t="s">
        <v>422</v>
      </c>
      <c r="E942" s="12" t="s">
        <v>34</v>
      </c>
      <c r="F942" s="13"/>
      <c r="G942" s="12" t="s">
        <v>189</v>
      </c>
      <c r="H942" s="12" t="s">
        <v>1160</v>
      </c>
      <c r="I942" s="13"/>
      <c r="J942" s="12" t="s">
        <v>1179</v>
      </c>
      <c r="K942" s="12" t="s">
        <v>1162</v>
      </c>
    </row>
    <row r="943" spans="1:11" ht="30" customHeight="1">
      <c r="A943" s="12" t="s">
        <v>197</v>
      </c>
      <c r="B943" s="12" t="s">
        <v>196</v>
      </c>
      <c r="C943" s="12" t="s">
        <v>154</v>
      </c>
      <c r="D943" s="12" t="s">
        <v>1107</v>
      </c>
      <c r="E943" s="12" t="s">
        <v>1163</v>
      </c>
      <c r="F943" s="13"/>
      <c r="G943" s="12" t="s">
        <v>189</v>
      </c>
      <c r="H943" s="12" t="s">
        <v>1160</v>
      </c>
      <c r="I943" s="13"/>
      <c r="J943" s="12" t="s">
        <v>1179</v>
      </c>
      <c r="K943" s="12" t="s">
        <v>1164</v>
      </c>
    </row>
    <row r="944" spans="1:11" ht="30" customHeight="1">
      <c r="A944" s="12" t="s">
        <v>197</v>
      </c>
      <c r="B944" s="12" t="s">
        <v>196</v>
      </c>
      <c r="C944" s="12" t="s">
        <v>154</v>
      </c>
      <c r="D944" s="12" t="s">
        <v>1058</v>
      </c>
      <c r="E944" s="18">
        <v>1</v>
      </c>
      <c r="F944" s="13"/>
      <c r="G944" s="12" t="s">
        <v>189</v>
      </c>
      <c r="H944" s="12" t="s">
        <v>1160</v>
      </c>
      <c r="I944" s="13"/>
      <c r="J944" s="12" t="s">
        <v>1179</v>
      </c>
      <c r="K944" s="12" t="s">
        <v>1165</v>
      </c>
    </row>
    <row r="945" spans="1:11" ht="30" customHeight="1">
      <c r="A945" s="12" t="s">
        <v>191</v>
      </c>
      <c r="B945" s="12" t="s">
        <v>188</v>
      </c>
      <c r="C945" s="12" t="s">
        <v>154</v>
      </c>
      <c r="D945" s="12" t="s">
        <v>389</v>
      </c>
      <c r="E945" s="12" t="s">
        <v>1166</v>
      </c>
      <c r="F945" s="13"/>
      <c r="G945" s="12" t="s">
        <v>189</v>
      </c>
      <c r="H945" s="12" t="s">
        <v>1160</v>
      </c>
      <c r="I945" s="13"/>
      <c r="J945" s="12" t="s">
        <v>1180</v>
      </c>
      <c r="K945" s="12" t="s">
        <v>1168</v>
      </c>
    </row>
    <row r="946" spans="1:11" ht="30" customHeight="1">
      <c r="A946" s="12" t="s">
        <v>191</v>
      </c>
      <c r="B946" s="12" t="s">
        <v>188</v>
      </c>
      <c r="C946" s="12" t="s">
        <v>154</v>
      </c>
      <c r="D946" s="12" t="s">
        <v>387</v>
      </c>
      <c r="E946" s="18">
        <v>1</v>
      </c>
      <c r="F946" s="13"/>
      <c r="G946" s="12" t="s">
        <v>189</v>
      </c>
      <c r="H946" s="12" t="s">
        <v>1160</v>
      </c>
      <c r="I946" s="13"/>
      <c r="J946" s="12" t="s">
        <v>1180</v>
      </c>
      <c r="K946" s="12" t="s">
        <v>1169</v>
      </c>
    </row>
    <row r="947" spans="1:11" ht="30" customHeight="1">
      <c r="A947" s="12" t="s">
        <v>191</v>
      </c>
      <c r="B947" s="12" t="s">
        <v>188</v>
      </c>
      <c r="C947" s="12" t="s">
        <v>154</v>
      </c>
      <c r="D947" s="12" t="s">
        <v>422</v>
      </c>
      <c r="E947" s="12" t="s">
        <v>34</v>
      </c>
      <c r="F947" s="13"/>
      <c r="G947" s="12" t="s">
        <v>189</v>
      </c>
      <c r="H947" s="12" t="s">
        <v>1160</v>
      </c>
      <c r="I947" s="13"/>
      <c r="J947" s="12" t="s">
        <v>1180</v>
      </c>
      <c r="K947" s="12" t="s">
        <v>1162</v>
      </c>
    </row>
    <row r="948" spans="1:11" ht="30" customHeight="1">
      <c r="A948" s="12" t="s">
        <v>191</v>
      </c>
      <c r="B948" s="12" t="s">
        <v>188</v>
      </c>
      <c r="C948" s="12" t="s">
        <v>154</v>
      </c>
      <c r="D948" s="12" t="s">
        <v>1107</v>
      </c>
      <c r="E948" s="12" t="s">
        <v>1163</v>
      </c>
      <c r="F948" s="13"/>
      <c r="G948" s="12" t="s">
        <v>189</v>
      </c>
      <c r="H948" s="12" t="s">
        <v>1160</v>
      </c>
      <c r="I948" s="13"/>
      <c r="J948" s="12" t="s">
        <v>1180</v>
      </c>
      <c r="K948" s="12" t="s">
        <v>1164</v>
      </c>
    </row>
    <row r="949" spans="1:11" ht="30" customHeight="1">
      <c r="A949" s="12" t="s">
        <v>191</v>
      </c>
      <c r="B949" s="12" t="s">
        <v>188</v>
      </c>
      <c r="C949" s="12" t="s">
        <v>154</v>
      </c>
      <c r="D949" s="12" t="s">
        <v>1058</v>
      </c>
      <c r="E949" s="18">
        <v>1</v>
      </c>
      <c r="F949" s="13"/>
      <c r="G949" s="12" t="s">
        <v>189</v>
      </c>
      <c r="H949" s="12" t="s">
        <v>1160</v>
      </c>
      <c r="I949" s="13"/>
      <c r="J949" s="12" t="s">
        <v>1180</v>
      </c>
      <c r="K949" s="12" t="s">
        <v>1165</v>
      </c>
    </row>
    <row r="950" spans="1:11" ht="30" customHeight="1">
      <c r="A950" s="12" t="s">
        <v>222</v>
      </c>
      <c r="B950" s="12" t="s">
        <v>220</v>
      </c>
      <c r="C950" s="12" t="s">
        <v>154</v>
      </c>
      <c r="D950" s="12" t="s">
        <v>389</v>
      </c>
      <c r="E950" s="12" t="s">
        <v>1166</v>
      </c>
      <c r="F950" s="13"/>
      <c r="G950" s="12" t="s">
        <v>189</v>
      </c>
      <c r="H950" s="12" t="s">
        <v>1160</v>
      </c>
      <c r="I950" s="13"/>
      <c r="J950" s="12" t="s">
        <v>1181</v>
      </c>
      <c r="K950" s="12" t="s">
        <v>1168</v>
      </c>
    </row>
    <row r="951" spans="1:11" ht="30" customHeight="1">
      <c r="A951" s="12" t="s">
        <v>222</v>
      </c>
      <c r="B951" s="12" t="s">
        <v>220</v>
      </c>
      <c r="C951" s="12" t="s">
        <v>154</v>
      </c>
      <c r="D951" s="12" t="s">
        <v>387</v>
      </c>
      <c r="E951" s="18">
        <v>1</v>
      </c>
      <c r="F951" s="13"/>
      <c r="G951" s="12" t="s">
        <v>189</v>
      </c>
      <c r="H951" s="12" t="s">
        <v>1160</v>
      </c>
      <c r="I951" s="13"/>
      <c r="J951" s="12" t="s">
        <v>1181</v>
      </c>
      <c r="K951" s="12" t="s">
        <v>1169</v>
      </c>
    </row>
    <row r="952" spans="1:11" ht="30" customHeight="1">
      <c r="A952" s="12" t="s">
        <v>222</v>
      </c>
      <c r="B952" s="12" t="s">
        <v>220</v>
      </c>
      <c r="C952" s="12" t="s">
        <v>154</v>
      </c>
      <c r="D952" s="12" t="s">
        <v>422</v>
      </c>
      <c r="E952" s="12" t="s">
        <v>45</v>
      </c>
      <c r="F952" s="13"/>
      <c r="G952" s="12" t="s">
        <v>189</v>
      </c>
      <c r="H952" s="12" t="s">
        <v>1160</v>
      </c>
      <c r="I952" s="13"/>
      <c r="J952" s="12" t="s">
        <v>1181</v>
      </c>
      <c r="K952" s="12" t="s">
        <v>1162</v>
      </c>
    </row>
    <row r="953" spans="1:11" ht="30" customHeight="1">
      <c r="A953" s="12" t="s">
        <v>222</v>
      </c>
      <c r="B953" s="12" t="s">
        <v>220</v>
      </c>
      <c r="C953" s="12" t="s">
        <v>154</v>
      </c>
      <c r="D953" s="12" t="s">
        <v>1107</v>
      </c>
      <c r="E953" s="12" t="s">
        <v>1176</v>
      </c>
      <c r="F953" s="13"/>
      <c r="G953" s="12" t="s">
        <v>189</v>
      </c>
      <c r="H953" s="12" t="s">
        <v>1160</v>
      </c>
      <c r="I953" s="13"/>
      <c r="J953" s="12" t="s">
        <v>1181</v>
      </c>
      <c r="K953" s="12" t="s">
        <v>1164</v>
      </c>
    </row>
    <row r="954" spans="1:11" ht="30" customHeight="1">
      <c r="A954" s="12" t="s">
        <v>222</v>
      </c>
      <c r="B954" s="12" t="s">
        <v>220</v>
      </c>
      <c r="C954" s="12" t="s">
        <v>154</v>
      </c>
      <c r="D954" s="12" t="s">
        <v>1058</v>
      </c>
      <c r="E954" s="18">
        <v>0</v>
      </c>
      <c r="F954" s="13"/>
      <c r="G954" s="12" t="s">
        <v>189</v>
      </c>
      <c r="H954" s="12" t="s">
        <v>1160</v>
      </c>
      <c r="I954" s="13"/>
      <c r="J954" s="12" t="s">
        <v>1181</v>
      </c>
      <c r="K954" s="12" t="s">
        <v>1165</v>
      </c>
    </row>
    <row r="955" spans="1:11" ht="30" customHeight="1">
      <c r="A955" s="12" t="s">
        <v>212</v>
      </c>
      <c r="B955" s="12" t="s">
        <v>210</v>
      </c>
      <c r="C955" s="12" t="s">
        <v>154</v>
      </c>
      <c r="D955" s="12" t="s">
        <v>1182</v>
      </c>
      <c r="E955" s="12" t="s">
        <v>1183</v>
      </c>
      <c r="F955" s="13"/>
      <c r="G955" s="12" t="s">
        <v>1184</v>
      </c>
      <c r="H955" s="12" t="s">
        <v>1185</v>
      </c>
      <c r="I955" s="13"/>
      <c r="J955" s="12" t="s">
        <v>1186</v>
      </c>
      <c r="K955" s="12" t="s">
        <v>1187</v>
      </c>
    </row>
    <row r="956" spans="1:11" ht="30" customHeight="1">
      <c r="A956" s="12" t="s">
        <v>212</v>
      </c>
      <c r="B956" s="12" t="s">
        <v>210</v>
      </c>
      <c r="C956" s="12" t="s">
        <v>154</v>
      </c>
      <c r="D956" s="12" t="s">
        <v>1188</v>
      </c>
      <c r="E956" s="12" t="s">
        <v>1189</v>
      </c>
      <c r="F956" s="13"/>
      <c r="G956" s="12" t="s">
        <v>1184</v>
      </c>
      <c r="H956" s="12" t="s">
        <v>1190</v>
      </c>
      <c r="I956" s="13"/>
      <c r="J956" s="12" t="s">
        <v>1191</v>
      </c>
      <c r="K956" s="12" t="s">
        <v>1192</v>
      </c>
    </row>
    <row r="957" spans="1:11" ht="30" customHeight="1">
      <c r="A957" s="12" t="s">
        <v>179</v>
      </c>
      <c r="B957" s="12" t="s">
        <v>175</v>
      </c>
      <c r="C957" s="12" t="s">
        <v>154</v>
      </c>
      <c r="D957" s="12" t="s">
        <v>1182</v>
      </c>
      <c r="E957" s="12" t="s">
        <v>1193</v>
      </c>
      <c r="F957" s="13"/>
      <c r="G957" s="12" t="s">
        <v>1184</v>
      </c>
      <c r="H957" s="12" t="s">
        <v>1185</v>
      </c>
      <c r="I957" s="13"/>
      <c r="J957" s="12" t="s">
        <v>1194</v>
      </c>
      <c r="K957" s="12" t="s">
        <v>1187</v>
      </c>
    </row>
    <row r="958" spans="1:11" ht="30" customHeight="1">
      <c r="A958" s="12" t="s">
        <v>179</v>
      </c>
      <c r="B958" s="12" t="s">
        <v>175</v>
      </c>
      <c r="C958" s="12" t="s">
        <v>154</v>
      </c>
      <c r="D958" s="12" t="s">
        <v>1188</v>
      </c>
      <c r="E958" s="12" t="s">
        <v>1195</v>
      </c>
      <c r="F958" s="13"/>
      <c r="G958" s="12" t="s">
        <v>1184</v>
      </c>
      <c r="H958" s="12" t="s">
        <v>1190</v>
      </c>
      <c r="I958" s="13"/>
      <c r="J958" s="12" t="s">
        <v>1196</v>
      </c>
      <c r="K958" s="12" t="s">
        <v>1192</v>
      </c>
    </row>
    <row r="959" spans="1:11" ht="30" customHeight="1">
      <c r="A959" s="12" t="s">
        <v>168</v>
      </c>
      <c r="B959" s="12" t="s">
        <v>166</v>
      </c>
      <c r="C959" s="12" t="s">
        <v>154</v>
      </c>
      <c r="D959" s="12" t="s">
        <v>1182</v>
      </c>
      <c r="E959" s="12" t="s">
        <v>1197</v>
      </c>
      <c r="F959" s="13"/>
      <c r="G959" s="12" t="s">
        <v>1184</v>
      </c>
      <c r="H959" s="12" t="s">
        <v>1185</v>
      </c>
      <c r="I959" s="13"/>
      <c r="J959" s="12" t="s">
        <v>1198</v>
      </c>
      <c r="K959" s="12" t="s">
        <v>1187</v>
      </c>
    </row>
    <row r="960" spans="1:11" ht="30" customHeight="1">
      <c r="A960" s="12" t="s">
        <v>168</v>
      </c>
      <c r="B960" s="12" t="s">
        <v>166</v>
      </c>
      <c r="C960" s="12" t="s">
        <v>154</v>
      </c>
      <c r="D960" s="12" t="s">
        <v>1188</v>
      </c>
      <c r="E960" s="12" t="s">
        <v>1195</v>
      </c>
      <c r="F960" s="13"/>
      <c r="G960" s="12" t="s">
        <v>1184</v>
      </c>
      <c r="H960" s="12" t="s">
        <v>1190</v>
      </c>
      <c r="I960" s="13"/>
      <c r="J960" s="12" t="s">
        <v>1199</v>
      </c>
      <c r="K960" s="12" t="s">
        <v>1192</v>
      </c>
    </row>
    <row r="961" spans="1:11" ht="30" customHeight="1">
      <c r="A961" s="12" t="s">
        <v>207</v>
      </c>
      <c r="B961" s="12" t="s">
        <v>205</v>
      </c>
      <c r="C961" s="12" t="s">
        <v>154</v>
      </c>
      <c r="D961" s="12" t="s">
        <v>1182</v>
      </c>
      <c r="E961" s="12" t="s">
        <v>1197</v>
      </c>
      <c r="F961" s="13"/>
      <c r="G961" s="12" t="s">
        <v>1184</v>
      </c>
      <c r="H961" s="12" t="s">
        <v>1185</v>
      </c>
      <c r="I961" s="13"/>
      <c r="J961" s="12" t="s">
        <v>1200</v>
      </c>
      <c r="K961" s="12" t="s">
        <v>1187</v>
      </c>
    </row>
    <row r="962" spans="1:11" ht="30" customHeight="1">
      <c r="A962" s="12" t="s">
        <v>207</v>
      </c>
      <c r="B962" s="12" t="s">
        <v>205</v>
      </c>
      <c r="C962" s="12" t="s">
        <v>154</v>
      </c>
      <c r="D962" s="12" t="s">
        <v>1188</v>
      </c>
      <c r="E962" s="12" t="s">
        <v>1195</v>
      </c>
      <c r="F962" s="13"/>
      <c r="G962" s="12" t="s">
        <v>1184</v>
      </c>
      <c r="H962" s="12" t="s">
        <v>1190</v>
      </c>
      <c r="I962" s="13"/>
      <c r="J962" s="12" t="s">
        <v>1201</v>
      </c>
      <c r="K962" s="12" t="s">
        <v>1192</v>
      </c>
    </row>
    <row r="963" spans="1:11" ht="30" customHeight="1">
      <c r="A963" s="12" t="s">
        <v>158</v>
      </c>
      <c r="B963" s="12" t="s">
        <v>153</v>
      </c>
      <c r="C963" s="12" t="s">
        <v>154</v>
      </c>
      <c r="D963" s="12" t="s">
        <v>1182</v>
      </c>
      <c r="E963" s="12" t="s">
        <v>1197</v>
      </c>
      <c r="F963" s="13"/>
      <c r="G963" s="12" t="s">
        <v>1184</v>
      </c>
      <c r="H963" s="12" t="s">
        <v>1185</v>
      </c>
      <c r="I963" s="13"/>
      <c r="J963" s="12" t="s">
        <v>1202</v>
      </c>
      <c r="K963" s="12" t="s">
        <v>1187</v>
      </c>
    </row>
    <row r="964" spans="1:11" ht="30" customHeight="1">
      <c r="A964" s="12" t="s">
        <v>158</v>
      </c>
      <c r="B964" s="12" t="s">
        <v>153</v>
      </c>
      <c r="C964" s="12" t="s">
        <v>154</v>
      </c>
      <c r="D964" s="12" t="s">
        <v>1188</v>
      </c>
      <c r="E964" s="12" t="s">
        <v>1195</v>
      </c>
      <c r="F964" s="13"/>
      <c r="G964" s="12" t="s">
        <v>1184</v>
      </c>
      <c r="H964" s="12" t="s">
        <v>1190</v>
      </c>
      <c r="I964" s="13"/>
      <c r="J964" s="12" t="s">
        <v>1203</v>
      </c>
      <c r="K964" s="12" t="s">
        <v>1192</v>
      </c>
    </row>
    <row r="965" spans="1:11" ht="30" customHeight="1">
      <c r="A965" s="12" t="s">
        <v>222</v>
      </c>
      <c r="B965" s="12" t="s">
        <v>220</v>
      </c>
      <c r="C965" s="12" t="s">
        <v>154</v>
      </c>
      <c r="D965" s="12" t="s">
        <v>1182</v>
      </c>
      <c r="E965" s="12" t="s">
        <v>1204</v>
      </c>
      <c r="F965" s="13"/>
      <c r="G965" s="12" t="s">
        <v>1184</v>
      </c>
      <c r="H965" s="12" t="s">
        <v>1185</v>
      </c>
      <c r="I965" s="13"/>
      <c r="J965" s="12" t="s">
        <v>1205</v>
      </c>
      <c r="K965" s="12" t="s">
        <v>1187</v>
      </c>
    </row>
    <row r="966" spans="1:11" ht="30" customHeight="1">
      <c r="A966" s="12" t="s">
        <v>222</v>
      </c>
      <c r="B966" s="12" t="s">
        <v>220</v>
      </c>
      <c r="C966" s="12" t="s">
        <v>154</v>
      </c>
      <c r="D966" s="12" t="s">
        <v>1188</v>
      </c>
      <c r="E966" s="12" t="s">
        <v>1195</v>
      </c>
      <c r="F966" s="13"/>
      <c r="G966" s="12" t="s">
        <v>1184</v>
      </c>
      <c r="H966" s="12" t="s">
        <v>1190</v>
      </c>
      <c r="I966" s="13"/>
      <c r="J966" s="12" t="s">
        <v>1206</v>
      </c>
      <c r="K966" s="12" t="s">
        <v>1192</v>
      </c>
    </row>
    <row r="967" spans="1:11" ht="30" customHeight="1">
      <c r="A967" s="12" t="s">
        <v>203</v>
      </c>
      <c r="B967" s="12" t="s">
        <v>202</v>
      </c>
      <c r="C967" s="12" t="s">
        <v>154</v>
      </c>
      <c r="D967" s="12" t="s">
        <v>1182</v>
      </c>
      <c r="E967" s="12" t="s">
        <v>1207</v>
      </c>
      <c r="F967" s="13"/>
      <c r="G967" s="12" t="s">
        <v>1184</v>
      </c>
      <c r="H967" s="12" t="s">
        <v>1185</v>
      </c>
      <c r="I967" s="13"/>
      <c r="J967" s="12" t="s">
        <v>1208</v>
      </c>
      <c r="K967" s="12" t="s">
        <v>1187</v>
      </c>
    </row>
    <row r="968" spans="1:11" ht="30" customHeight="1">
      <c r="A968" s="12" t="s">
        <v>203</v>
      </c>
      <c r="B968" s="12" t="s">
        <v>202</v>
      </c>
      <c r="C968" s="12" t="s">
        <v>154</v>
      </c>
      <c r="D968" s="12" t="s">
        <v>1188</v>
      </c>
      <c r="E968" s="12" t="s">
        <v>1195</v>
      </c>
      <c r="F968" s="13"/>
      <c r="G968" s="12" t="s">
        <v>1184</v>
      </c>
      <c r="H968" s="12" t="s">
        <v>1190</v>
      </c>
      <c r="I968" s="13"/>
      <c r="J968" s="12" t="s">
        <v>1209</v>
      </c>
      <c r="K968" s="12" t="s">
        <v>1192</v>
      </c>
    </row>
    <row r="969" spans="1:11" ht="30" customHeight="1">
      <c r="A969" s="12" t="s">
        <v>218</v>
      </c>
      <c r="B969" s="12" t="s">
        <v>217</v>
      </c>
      <c r="C969" s="12" t="s">
        <v>154</v>
      </c>
      <c r="D969" s="12" t="s">
        <v>1182</v>
      </c>
      <c r="E969" s="12" t="s">
        <v>1207</v>
      </c>
      <c r="F969" s="13"/>
      <c r="G969" s="12" t="s">
        <v>1184</v>
      </c>
      <c r="H969" s="12" t="s">
        <v>1185</v>
      </c>
      <c r="I969" s="13"/>
      <c r="J969" s="12" t="s">
        <v>1210</v>
      </c>
      <c r="K969" s="12" t="s">
        <v>1187</v>
      </c>
    </row>
    <row r="970" spans="1:11" ht="30" customHeight="1">
      <c r="A970" s="12" t="s">
        <v>218</v>
      </c>
      <c r="B970" s="12" t="s">
        <v>217</v>
      </c>
      <c r="C970" s="12" t="s">
        <v>154</v>
      </c>
      <c r="D970" s="12" t="s">
        <v>1188</v>
      </c>
      <c r="E970" s="12" t="s">
        <v>1195</v>
      </c>
      <c r="F970" s="13"/>
      <c r="G970" s="12" t="s">
        <v>1184</v>
      </c>
      <c r="H970" s="12" t="s">
        <v>1190</v>
      </c>
      <c r="I970" s="13"/>
      <c r="J970" s="12" t="s">
        <v>1211</v>
      </c>
      <c r="K970" s="12" t="s">
        <v>1192</v>
      </c>
    </row>
    <row r="971" spans="1:11" ht="30" customHeight="1">
      <c r="A971" s="12" t="s">
        <v>200</v>
      </c>
      <c r="B971" s="12" t="s">
        <v>199</v>
      </c>
      <c r="C971" s="12" t="s">
        <v>154</v>
      </c>
      <c r="D971" s="12" t="s">
        <v>1182</v>
      </c>
      <c r="E971" s="12" t="s">
        <v>1207</v>
      </c>
      <c r="F971" s="13"/>
      <c r="G971" s="12" t="s">
        <v>1184</v>
      </c>
      <c r="H971" s="12" t="s">
        <v>1185</v>
      </c>
      <c r="I971" s="13"/>
      <c r="J971" s="12" t="s">
        <v>1212</v>
      </c>
      <c r="K971" s="12" t="s">
        <v>1187</v>
      </c>
    </row>
    <row r="972" spans="1:11" ht="30" customHeight="1">
      <c r="A972" s="12" t="s">
        <v>200</v>
      </c>
      <c r="B972" s="12" t="s">
        <v>199</v>
      </c>
      <c r="C972" s="12" t="s">
        <v>154</v>
      </c>
      <c r="D972" s="12" t="s">
        <v>1188</v>
      </c>
      <c r="E972" s="12" t="s">
        <v>1195</v>
      </c>
      <c r="F972" s="13"/>
      <c r="G972" s="12" t="s">
        <v>1184</v>
      </c>
      <c r="H972" s="12" t="s">
        <v>1190</v>
      </c>
      <c r="I972" s="13"/>
      <c r="J972" s="12" t="s">
        <v>1213</v>
      </c>
      <c r="K972" s="12" t="s">
        <v>1192</v>
      </c>
    </row>
    <row r="973" spans="1:11" ht="30" customHeight="1">
      <c r="A973" s="12" t="s">
        <v>185</v>
      </c>
      <c r="B973" s="12" t="s">
        <v>183</v>
      </c>
      <c r="C973" s="12" t="s">
        <v>154</v>
      </c>
      <c r="D973" s="12" t="s">
        <v>1182</v>
      </c>
      <c r="E973" s="12" t="s">
        <v>1207</v>
      </c>
      <c r="F973" s="13"/>
      <c r="G973" s="12" t="s">
        <v>1184</v>
      </c>
      <c r="H973" s="12" t="s">
        <v>1185</v>
      </c>
      <c r="I973" s="13"/>
      <c r="J973" s="12" t="s">
        <v>1214</v>
      </c>
      <c r="K973" s="12" t="s">
        <v>1187</v>
      </c>
    </row>
    <row r="974" spans="1:11" ht="30" customHeight="1">
      <c r="A974" s="12" t="s">
        <v>185</v>
      </c>
      <c r="B974" s="12" t="s">
        <v>183</v>
      </c>
      <c r="C974" s="12" t="s">
        <v>154</v>
      </c>
      <c r="D974" s="12" t="s">
        <v>1188</v>
      </c>
      <c r="E974" s="12" t="s">
        <v>1195</v>
      </c>
      <c r="F974" s="13"/>
      <c r="G974" s="12" t="s">
        <v>1184</v>
      </c>
      <c r="H974" s="12" t="s">
        <v>1190</v>
      </c>
      <c r="I974" s="13"/>
      <c r="J974" s="12" t="s">
        <v>1215</v>
      </c>
      <c r="K974" s="12" t="s">
        <v>1192</v>
      </c>
    </row>
    <row r="975" spans="1:11" ht="30" customHeight="1">
      <c r="A975" s="12" t="s">
        <v>197</v>
      </c>
      <c r="B975" s="12" t="s">
        <v>196</v>
      </c>
      <c r="C975" s="12" t="s">
        <v>154</v>
      </c>
      <c r="D975" s="12" t="s">
        <v>1182</v>
      </c>
      <c r="E975" s="12" t="s">
        <v>1207</v>
      </c>
      <c r="F975" s="13"/>
      <c r="G975" s="12" t="s">
        <v>1184</v>
      </c>
      <c r="H975" s="12" t="s">
        <v>1185</v>
      </c>
      <c r="I975" s="13"/>
      <c r="J975" s="12" t="s">
        <v>1216</v>
      </c>
      <c r="K975" s="12" t="s">
        <v>1187</v>
      </c>
    </row>
    <row r="976" spans="1:11" ht="30" customHeight="1">
      <c r="A976" s="12" t="s">
        <v>197</v>
      </c>
      <c r="B976" s="12" t="s">
        <v>196</v>
      </c>
      <c r="C976" s="12" t="s">
        <v>154</v>
      </c>
      <c r="D976" s="12" t="s">
        <v>1188</v>
      </c>
      <c r="E976" s="12" t="s">
        <v>1195</v>
      </c>
      <c r="F976" s="13"/>
      <c r="G976" s="12" t="s">
        <v>1184</v>
      </c>
      <c r="H976" s="12" t="s">
        <v>1190</v>
      </c>
      <c r="I976" s="13"/>
      <c r="J976" s="12" t="s">
        <v>1217</v>
      </c>
      <c r="K976" s="12" t="s">
        <v>1192</v>
      </c>
    </row>
    <row r="977" spans="1:11" ht="30" customHeight="1">
      <c r="A977" s="12" t="s">
        <v>191</v>
      </c>
      <c r="B977" s="12" t="s">
        <v>188</v>
      </c>
      <c r="C977" s="12" t="s">
        <v>154</v>
      </c>
      <c r="D977" s="12" t="s">
        <v>1182</v>
      </c>
      <c r="E977" s="12" t="s">
        <v>1207</v>
      </c>
      <c r="F977" s="13"/>
      <c r="G977" s="12" t="s">
        <v>1184</v>
      </c>
      <c r="H977" s="12" t="s">
        <v>1185</v>
      </c>
      <c r="I977" s="13"/>
      <c r="J977" s="12" t="s">
        <v>1218</v>
      </c>
      <c r="K977" s="12" t="s">
        <v>1187</v>
      </c>
    </row>
    <row r="978" spans="1:11" ht="30" customHeight="1">
      <c r="A978" s="12" t="s">
        <v>191</v>
      </c>
      <c r="B978" s="12" t="s">
        <v>188</v>
      </c>
      <c r="C978" s="12" t="s">
        <v>154</v>
      </c>
      <c r="D978" s="12" t="s">
        <v>1188</v>
      </c>
      <c r="E978" s="12" t="s">
        <v>1195</v>
      </c>
      <c r="F978" s="13"/>
      <c r="G978" s="12" t="s">
        <v>1184</v>
      </c>
      <c r="H978" s="12" t="s">
        <v>1190</v>
      </c>
      <c r="I978" s="13"/>
      <c r="J978" s="12" t="s">
        <v>1219</v>
      </c>
      <c r="K978" s="12" t="s">
        <v>1192</v>
      </c>
    </row>
    <row r="979" spans="1:11" ht="30" customHeight="1">
      <c r="A979" s="12" t="s">
        <v>158</v>
      </c>
      <c r="B979" s="12" t="s">
        <v>153</v>
      </c>
      <c r="C979" s="12" t="s">
        <v>154</v>
      </c>
      <c r="D979" s="12" t="s">
        <v>1220</v>
      </c>
      <c r="E979" s="18">
        <v>10</v>
      </c>
      <c r="F979" s="13"/>
      <c r="G979" s="12" t="s">
        <v>189</v>
      </c>
      <c r="H979" s="12" t="s">
        <v>1221</v>
      </c>
      <c r="I979" s="13"/>
      <c r="J979" s="12" t="s">
        <v>1222</v>
      </c>
      <c r="K979" s="12" t="s">
        <v>1223</v>
      </c>
    </row>
    <row r="980" spans="1:11" ht="30" customHeight="1">
      <c r="A980" s="12" t="s">
        <v>158</v>
      </c>
      <c r="B980" s="12" t="s">
        <v>153</v>
      </c>
      <c r="C980" s="12" t="s">
        <v>154</v>
      </c>
      <c r="D980" s="12" t="s">
        <v>1224</v>
      </c>
      <c r="E980" s="12" t="s">
        <v>1225</v>
      </c>
      <c r="F980" s="13"/>
      <c r="G980" s="12" t="s">
        <v>189</v>
      </c>
      <c r="H980" s="12" t="s">
        <v>1221</v>
      </c>
      <c r="I980" s="13"/>
      <c r="J980" s="12" t="s">
        <v>1226</v>
      </c>
      <c r="K980" s="12" t="s">
        <v>1227</v>
      </c>
    </row>
    <row r="981" spans="1:11" ht="30" customHeight="1">
      <c r="A981" s="12" t="s">
        <v>203</v>
      </c>
      <c r="B981" s="12" t="s">
        <v>202</v>
      </c>
      <c r="C981" s="12" t="s">
        <v>154</v>
      </c>
      <c r="D981" s="12" t="s">
        <v>1220</v>
      </c>
      <c r="E981" s="18">
        <v>10</v>
      </c>
      <c r="F981" s="13"/>
      <c r="G981" s="12" t="s">
        <v>189</v>
      </c>
      <c r="H981" s="12" t="s">
        <v>1221</v>
      </c>
      <c r="I981" s="13"/>
      <c r="J981" s="12" t="s">
        <v>1228</v>
      </c>
      <c r="K981" s="12" t="s">
        <v>1223</v>
      </c>
    </row>
    <row r="982" spans="1:11" ht="30" customHeight="1">
      <c r="A982" s="12" t="s">
        <v>203</v>
      </c>
      <c r="B982" s="12" t="s">
        <v>202</v>
      </c>
      <c r="C982" s="12" t="s">
        <v>154</v>
      </c>
      <c r="D982" s="12" t="s">
        <v>1224</v>
      </c>
      <c r="E982" s="12" t="s">
        <v>1229</v>
      </c>
      <c r="F982" s="13"/>
      <c r="G982" s="12" t="s">
        <v>189</v>
      </c>
      <c r="H982" s="12" t="s">
        <v>1221</v>
      </c>
      <c r="I982" s="13"/>
      <c r="J982" s="12" t="s">
        <v>1230</v>
      </c>
      <c r="K982" s="12" t="s">
        <v>1227</v>
      </c>
    </row>
    <row r="983" spans="1:11" ht="30" customHeight="1">
      <c r="A983" s="12" t="s">
        <v>218</v>
      </c>
      <c r="B983" s="12" t="s">
        <v>217</v>
      </c>
      <c r="C983" s="12" t="s">
        <v>154</v>
      </c>
      <c r="D983" s="12" t="s">
        <v>1220</v>
      </c>
      <c r="E983" s="18">
        <v>10</v>
      </c>
      <c r="F983" s="13"/>
      <c r="G983" s="12" t="s">
        <v>189</v>
      </c>
      <c r="H983" s="12" t="s">
        <v>1221</v>
      </c>
      <c r="I983" s="13"/>
      <c r="J983" s="12" t="s">
        <v>1231</v>
      </c>
      <c r="K983" s="12" t="s">
        <v>1223</v>
      </c>
    </row>
    <row r="984" spans="1:11" ht="30" customHeight="1">
      <c r="A984" s="12" t="s">
        <v>218</v>
      </c>
      <c r="B984" s="12" t="s">
        <v>217</v>
      </c>
      <c r="C984" s="12" t="s">
        <v>154</v>
      </c>
      <c r="D984" s="12" t="s">
        <v>1224</v>
      </c>
      <c r="E984" s="12" t="s">
        <v>1229</v>
      </c>
      <c r="F984" s="13"/>
      <c r="G984" s="12" t="s">
        <v>189</v>
      </c>
      <c r="H984" s="12" t="s">
        <v>1221</v>
      </c>
      <c r="I984" s="13"/>
      <c r="J984" s="12" t="s">
        <v>1232</v>
      </c>
      <c r="K984" s="12" t="s">
        <v>1227</v>
      </c>
    </row>
    <row r="985" spans="1:11" ht="30" customHeight="1">
      <c r="A985" s="12" t="s">
        <v>185</v>
      </c>
      <c r="B985" s="12" t="s">
        <v>183</v>
      </c>
      <c r="C985" s="12" t="s">
        <v>154</v>
      </c>
      <c r="D985" s="12" t="s">
        <v>1220</v>
      </c>
      <c r="E985" s="18">
        <v>10</v>
      </c>
      <c r="F985" s="13"/>
      <c r="G985" s="12" t="s">
        <v>189</v>
      </c>
      <c r="H985" s="12" t="s">
        <v>1221</v>
      </c>
      <c r="I985" s="13"/>
      <c r="J985" s="12" t="s">
        <v>1233</v>
      </c>
      <c r="K985" s="12" t="s">
        <v>1223</v>
      </c>
    </row>
    <row r="986" spans="1:11" ht="30" customHeight="1">
      <c r="A986" s="12" t="s">
        <v>185</v>
      </c>
      <c r="B986" s="12" t="s">
        <v>183</v>
      </c>
      <c r="C986" s="12" t="s">
        <v>154</v>
      </c>
      <c r="D986" s="12" t="s">
        <v>1224</v>
      </c>
      <c r="E986" s="12" t="s">
        <v>1229</v>
      </c>
      <c r="F986" s="13"/>
      <c r="G986" s="12" t="s">
        <v>189</v>
      </c>
      <c r="H986" s="12" t="s">
        <v>1221</v>
      </c>
      <c r="I986" s="13"/>
      <c r="J986" s="12" t="s">
        <v>1234</v>
      </c>
      <c r="K986" s="12" t="s">
        <v>1227</v>
      </c>
    </row>
    <row r="987" spans="1:11" ht="30" customHeight="1">
      <c r="A987" s="12" t="s">
        <v>168</v>
      </c>
      <c r="B987" s="12" t="s">
        <v>166</v>
      </c>
      <c r="C987" s="12" t="s">
        <v>154</v>
      </c>
      <c r="D987" s="12" t="s">
        <v>1220</v>
      </c>
      <c r="E987" s="18">
        <v>2</v>
      </c>
      <c r="F987" s="13"/>
      <c r="G987" s="12" t="s">
        <v>189</v>
      </c>
      <c r="H987" s="12" t="s">
        <v>1221</v>
      </c>
      <c r="I987" s="13"/>
      <c r="J987" s="12" t="s">
        <v>1235</v>
      </c>
      <c r="K987" s="12" t="s">
        <v>1223</v>
      </c>
    </row>
    <row r="988" spans="1:11" ht="30" customHeight="1">
      <c r="A988" s="12" t="s">
        <v>168</v>
      </c>
      <c r="B988" s="12" t="s">
        <v>166</v>
      </c>
      <c r="C988" s="12" t="s">
        <v>154</v>
      </c>
      <c r="D988" s="12" t="s">
        <v>1224</v>
      </c>
      <c r="E988" s="12" t="s">
        <v>1236</v>
      </c>
      <c r="F988" s="13"/>
      <c r="G988" s="12" t="s">
        <v>189</v>
      </c>
      <c r="H988" s="12" t="s">
        <v>1221</v>
      </c>
      <c r="I988" s="13"/>
      <c r="J988" s="12" t="s">
        <v>1237</v>
      </c>
      <c r="K988" s="12" t="s">
        <v>1227</v>
      </c>
    </row>
    <row r="989" spans="1:11" ht="30" customHeight="1">
      <c r="A989" s="12" t="s">
        <v>212</v>
      </c>
      <c r="B989" s="12" t="s">
        <v>210</v>
      </c>
      <c r="C989" s="12" t="s">
        <v>154</v>
      </c>
      <c r="D989" s="12" t="s">
        <v>1220</v>
      </c>
      <c r="E989" s="18">
        <v>2</v>
      </c>
      <c r="F989" s="13"/>
      <c r="G989" s="12" t="s">
        <v>189</v>
      </c>
      <c r="H989" s="12" t="s">
        <v>1221</v>
      </c>
      <c r="I989" s="13"/>
      <c r="J989" s="12" t="s">
        <v>1238</v>
      </c>
      <c r="K989" s="12" t="s">
        <v>1223</v>
      </c>
    </row>
    <row r="990" spans="1:11" ht="30" customHeight="1">
      <c r="A990" s="12" t="s">
        <v>212</v>
      </c>
      <c r="B990" s="12" t="s">
        <v>210</v>
      </c>
      <c r="C990" s="12" t="s">
        <v>154</v>
      </c>
      <c r="D990" s="12" t="s">
        <v>1224</v>
      </c>
      <c r="E990" s="12" t="s">
        <v>1239</v>
      </c>
      <c r="F990" s="13"/>
      <c r="G990" s="12" t="s">
        <v>189</v>
      </c>
      <c r="H990" s="12" t="s">
        <v>1221</v>
      </c>
      <c r="I990" s="13"/>
      <c r="J990" s="12" t="s">
        <v>1240</v>
      </c>
      <c r="K990" s="12" t="s">
        <v>1227</v>
      </c>
    </row>
    <row r="991" spans="1:11" ht="30" customHeight="1">
      <c r="A991" s="12" t="s">
        <v>191</v>
      </c>
      <c r="B991" s="12" t="s">
        <v>188</v>
      </c>
      <c r="C991" s="12" t="s">
        <v>154</v>
      </c>
      <c r="D991" s="12" t="s">
        <v>1220</v>
      </c>
      <c r="E991" s="18">
        <v>3</v>
      </c>
      <c r="F991" s="13"/>
      <c r="G991" s="12" t="s">
        <v>189</v>
      </c>
      <c r="H991" s="12" t="s">
        <v>1221</v>
      </c>
      <c r="I991" s="13"/>
      <c r="J991" s="12" t="s">
        <v>1241</v>
      </c>
      <c r="K991" s="12" t="s">
        <v>1223</v>
      </c>
    </row>
    <row r="992" spans="1:11" ht="30" customHeight="1">
      <c r="A992" s="12" t="s">
        <v>222</v>
      </c>
      <c r="B992" s="12" t="s">
        <v>220</v>
      </c>
      <c r="C992" s="12" t="s">
        <v>154</v>
      </c>
      <c r="D992" s="12" t="s">
        <v>1220</v>
      </c>
      <c r="E992" s="18">
        <v>1</v>
      </c>
      <c r="F992" s="13"/>
      <c r="G992" s="12" t="s">
        <v>189</v>
      </c>
      <c r="H992" s="12" t="s">
        <v>1221</v>
      </c>
      <c r="I992" s="13"/>
      <c r="J992" s="12" t="s">
        <v>1242</v>
      </c>
      <c r="K992" s="12" t="s">
        <v>1223</v>
      </c>
    </row>
    <row r="993" spans="1:11" ht="30" customHeight="1">
      <c r="A993" s="12" t="s">
        <v>222</v>
      </c>
      <c r="B993" s="12" t="s">
        <v>220</v>
      </c>
      <c r="C993" s="12" t="s">
        <v>154</v>
      </c>
      <c r="D993" s="12" t="s">
        <v>1224</v>
      </c>
      <c r="E993" s="12" t="s">
        <v>1243</v>
      </c>
      <c r="F993" s="13"/>
      <c r="G993" s="12" t="s">
        <v>189</v>
      </c>
      <c r="H993" s="12" t="s">
        <v>1221</v>
      </c>
      <c r="I993" s="13"/>
      <c r="J993" s="12" t="s">
        <v>1244</v>
      </c>
      <c r="K993" s="12" t="s">
        <v>1227</v>
      </c>
    </row>
    <row r="994" spans="1:11" ht="30" customHeight="1">
      <c r="A994" s="12" t="s">
        <v>207</v>
      </c>
      <c r="B994" s="12" t="s">
        <v>205</v>
      </c>
      <c r="C994" s="12" t="s">
        <v>154</v>
      </c>
      <c r="D994" s="12" t="s">
        <v>1220</v>
      </c>
      <c r="E994" s="18">
        <v>0</v>
      </c>
      <c r="F994" s="13"/>
      <c r="G994" s="12" t="s">
        <v>189</v>
      </c>
      <c r="H994" s="12" t="s">
        <v>1221</v>
      </c>
      <c r="I994" s="13"/>
      <c r="J994" s="12" t="s">
        <v>1245</v>
      </c>
      <c r="K994" s="12" t="s">
        <v>1223</v>
      </c>
    </row>
    <row r="995" spans="1:11" ht="30" customHeight="1">
      <c r="A995" s="12" t="s">
        <v>200</v>
      </c>
      <c r="B995" s="12" t="s">
        <v>199</v>
      </c>
      <c r="C995" s="12" t="s">
        <v>154</v>
      </c>
      <c r="D995" s="12" t="s">
        <v>1220</v>
      </c>
      <c r="E995" s="18">
        <v>0</v>
      </c>
      <c r="F995" s="13"/>
      <c r="G995" s="12" t="s">
        <v>189</v>
      </c>
      <c r="H995" s="12" t="s">
        <v>1221</v>
      </c>
      <c r="I995" s="13"/>
      <c r="J995" s="12" t="s">
        <v>1246</v>
      </c>
      <c r="K995" s="12" t="s">
        <v>1223</v>
      </c>
    </row>
    <row r="996" spans="1:11" ht="30" customHeight="1">
      <c r="A996" s="12" t="s">
        <v>197</v>
      </c>
      <c r="B996" s="12" t="s">
        <v>196</v>
      </c>
      <c r="C996" s="12" t="s">
        <v>154</v>
      </c>
      <c r="D996" s="12" t="s">
        <v>1220</v>
      </c>
      <c r="E996" s="18">
        <v>0</v>
      </c>
      <c r="F996" s="13"/>
      <c r="G996" s="12" t="s">
        <v>189</v>
      </c>
      <c r="H996" s="12" t="s">
        <v>1221</v>
      </c>
      <c r="I996" s="13"/>
      <c r="J996" s="12" t="s">
        <v>1247</v>
      </c>
      <c r="K996" s="12" t="s">
        <v>1223</v>
      </c>
    </row>
    <row r="997" spans="1:11" ht="30" customHeight="1">
      <c r="A997" s="12" t="s">
        <v>179</v>
      </c>
      <c r="B997" s="12" t="s">
        <v>175</v>
      </c>
      <c r="C997" s="12" t="s">
        <v>154</v>
      </c>
      <c r="D997" s="12" t="s">
        <v>1220</v>
      </c>
      <c r="E997" s="18">
        <v>0</v>
      </c>
      <c r="F997" s="13"/>
      <c r="G997" s="12" t="s">
        <v>189</v>
      </c>
      <c r="H997" s="12" t="s">
        <v>1221</v>
      </c>
      <c r="I997" s="13"/>
      <c r="J997" s="12" t="s">
        <v>1248</v>
      </c>
      <c r="K997" s="12" t="s">
        <v>1223</v>
      </c>
    </row>
    <row r="998" spans="1:11" ht="30" customHeight="1">
      <c r="A998" s="12" t="s">
        <v>179</v>
      </c>
      <c r="B998" s="12" t="s">
        <v>175</v>
      </c>
      <c r="C998" s="12" t="s">
        <v>154</v>
      </c>
      <c r="D998" s="12" t="s">
        <v>1224</v>
      </c>
      <c r="E998" s="12" t="s">
        <v>1249</v>
      </c>
      <c r="F998" s="13"/>
      <c r="G998" s="12" t="s">
        <v>189</v>
      </c>
      <c r="H998" s="12" t="s">
        <v>1221</v>
      </c>
      <c r="I998" s="13"/>
      <c r="J998" s="12" t="s">
        <v>1250</v>
      </c>
      <c r="K998" s="12" t="s">
        <v>1227</v>
      </c>
    </row>
    <row r="999" spans="1:11" ht="30" customHeight="1">
      <c r="A999" s="12" t="s">
        <v>168</v>
      </c>
      <c r="B999" s="12" t="s">
        <v>166</v>
      </c>
      <c r="C999" s="12" t="s">
        <v>154</v>
      </c>
      <c r="D999" s="12" t="s">
        <v>414</v>
      </c>
      <c r="E999" s="18">
        <v>13538</v>
      </c>
      <c r="F999" s="13"/>
      <c r="G999" s="12" t="s">
        <v>189</v>
      </c>
      <c r="H999" s="12" t="s">
        <v>1251</v>
      </c>
      <c r="I999" s="13"/>
      <c r="J999" s="12" t="s">
        <v>1252</v>
      </c>
      <c r="K999" s="12" t="s">
        <v>1253</v>
      </c>
    </row>
    <row r="1000" spans="1:11" ht="30" customHeight="1">
      <c r="A1000" s="12" t="s">
        <v>168</v>
      </c>
      <c r="B1000" s="12" t="s">
        <v>166</v>
      </c>
      <c r="C1000" s="12" t="s">
        <v>154</v>
      </c>
      <c r="D1000" s="12" t="s">
        <v>424</v>
      </c>
      <c r="E1000" s="12" t="s">
        <v>50</v>
      </c>
      <c r="F1000" s="13"/>
      <c r="G1000" s="12" t="s">
        <v>189</v>
      </c>
      <c r="H1000" s="12" t="s">
        <v>1251</v>
      </c>
      <c r="I1000" s="13"/>
      <c r="J1000" s="12" t="s">
        <v>1252</v>
      </c>
      <c r="K1000" s="12" t="s">
        <v>1253</v>
      </c>
    </row>
    <row r="1001" spans="1:11" ht="30" customHeight="1">
      <c r="A1001" s="12" t="s">
        <v>168</v>
      </c>
      <c r="B1001" s="12" t="s">
        <v>166</v>
      </c>
      <c r="C1001" s="12" t="s">
        <v>154</v>
      </c>
      <c r="D1001" s="12" t="s">
        <v>1254</v>
      </c>
      <c r="E1001" s="18">
        <v>856</v>
      </c>
      <c r="F1001" s="13"/>
      <c r="G1001" s="12" t="s">
        <v>189</v>
      </c>
      <c r="H1001" s="12" t="s">
        <v>1251</v>
      </c>
      <c r="I1001" s="13"/>
      <c r="J1001" s="12" t="s">
        <v>1252</v>
      </c>
      <c r="K1001" s="12" t="s">
        <v>1255</v>
      </c>
    </row>
    <row r="1002" spans="1:11" ht="30" customHeight="1">
      <c r="A1002" s="12" t="s">
        <v>168</v>
      </c>
      <c r="B1002" s="12" t="s">
        <v>166</v>
      </c>
      <c r="C1002" s="12" t="s">
        <v>154</v>
      </c>
      <c r="D1002" s="12" t="s">
        <v>1256</v>
      </c>
      <c r="E1002" s="18">
        <v>1767</v>
      </c>
      <c r="F1002" s="13"/>
      <c r="G1002" s="12" t="s">
        <v>189</v>
      </c>
      <c r="H1002" s="12" t="s">
        <v>1251</v>
      </c>
      <c r="I1002" s="13"/>
      <c r="J1002" s="12" t="s">
        <v>1252</v>
      </c>
      <c r="K1002" s="12" t="s">
        <v>1255</v>
      </c>
    </row>
    <row r="1003" spans="1:11" ht="30" customHeight="1">
      <c r="A1003" s="12" t="s">
        <v>168</v>
      </c>
      <c r="B1003" s="12" t="s">
        <v>166</v>
      </c>
      <c r="C1003" s="12" t="s">
        <v>154</v>
      </c>
      <c r="D1003" s="12" t="s">
        <v>1257</v>
      </c>
      <c r="E1003" s="12" t="s">
        <v>1258</v>
      </c>
      <c r="F1003" s="13"/>
      <c r="G1003" s="12" t="s">
        <v>189</v>
      </c>
      <c r="H1003" s="12" t="s">
        <v>1251</v>
      </c>
      <c r="I1003" s="13"/>
      <c r="J1003" s="12" t="s">
        <v>1252</v>
      </c>
      <c r="K1003" s="12" t="s">
        <v>1259</v>
      </c>
    </row>
    <row r="1004" spans="1:11" ht="30" customHeight="1">
      <c r="A1004" s="12" t="s">
        <v>207</v>
      </c>
      <c r="B1004" s="12" t="s">
        <v>205</v>
      </c>
      <c r="C1004" s="12" t="s">
        <v>154</v>
      </c>
      <c r="D1004" s="12" t="s">
        <v>414</v>
      </c>
      <c r="E1004" s="18">
        <v>21567.9</v>
      </c>
      <c r="F1004" s="13"/>
      <c r="G1004" s="12" t="s">
        <v>189</v>
      </c>
      <c r="H1004" s="12" t="s">
        <v>1260</v>
      </c>
      <c r="I1004" s="13"/>
      <c r="J1004" s="12" t="s">
        <v>1261</v>
      </c>
      <c r="K1004" s="12" t="s">
        <v>1262</v>
      </c>
    </row>
    <row r="1005" spans="1:11" ht="30" customHeight="1">
      <c r="A1005" s="12" t="s">
        <v>207</v>
      </c>
      <c r="B1005" s="12" t="s">
        <v>205</v>
      </c>
      <c r="C1005" s="12" t="s">
        <v>154</v>
      </c>
      <c r="D1005" s="12" t="s">
        <v>416</v>
      </c>
      <c r="E1005" s="18">
        <v>169.7</v>
      </c>
      <c r="F1005" s="13"/>
      <c r="G1005" s="12" t="s">
        <v>189</v>
      </c>
      <c r="H1005" s="12" t="s">
        <v>1260</v>
      </c>
      <c r="I1005" s="13"/>
      <c r="J1005" s="12" t="s">
        <v>1261</v>
      </c>
      <c r="K1005" s="12" t="s">
        <v>1262</v>
      </c>
    </row>
    <row r="1006" spans="1:11" ht="30" customHeight="1">
      <c r="A1006" s="12" t="s">
        <v>207</v>
      </c>
      <c r="B1006" s="12" t="s">
        <v>205</v>
      </c>
      <c r="C1006" s="12" t="s">
        <v>154</v>
      </c>
      <c r="D1006" s="12" t="s">
        <v>424</v>
      </c>
      <c r="E1006" s="12" t="s">
        <v>50</v>
      </c>
      <c r="F1006" s="13"/>
      <c r="G1006" s="12" t="s">
        <v>189</v>
      </c>
      <c r="H1006" s="12" t="s">
        <v>1260</v>
      </c>
      <c r="I1006" s="13"/>
      <c r="J1006" s="12" t="s">
        <v>1261</v>
      </c>
      <c r="K1006" s="12" t="s">
        <v>1262</v>
      </c>
    </row>
    <row r="1007" spans="1:11" ht="30" customHeight="1">
      <c r="A1007" s="12" t="s">
        <v>207</v>
      </c>
      <c r="B1007" s="12" t="s">
        <v>205</v>
      </c>
      <c r="C1007" s="12" t="s">
        <v>154</v>
      </c>
      <c r="D1007" s="12" t="s">
        <v>1263</v>
      </c>
      <c r="E1007" s="18">
        <v>211.5</v>
      </c>
      <c r="F1007" s="13"/>
      <c r="G1007" s="12" t="s">
        <v>189</v>
      </c>
      <c r="H1007" s="12" t="s">
        <v>1260</v>
      </c>
      <c r="I1007" s="13"/>
      <c r="J1007" s="12" t="s">
        <v>1261</v>
      </c>
      <c r="K1007" s="12" t="s">
        <v>1264</v>
      </c>
    </row>
    <row r="1008" spans="1:11" ht="30" customHeight="1">
      <c r="A1008" s="12" t="s">
        <v>207</v>
      </c>
      <c r="B1008" s="12" t="s">
        <v>205</v>
      </c>
      <c r="C1008" s="12" t="s">
        <v>154</v>
      </c>
      <c r="D1008" s="12" t="s">
        <v>1257</v>
      </c>
      <c r="E1008" s="12" t="s">
        <v>1265</v>
      </c>
      <c r="F1008" s="13"/>
      <c r="G1008" s="12" t="s">
        <v>189</v>
      </c>
      <c r="H1008" s="12" t="s">
        <v>1260</v>
      </c>
      <c r="I1008" s="13"/>
      <c r="J1008" s="12" t="s">
        <v>1261</v>
      </c>
      <c r="K1008" s="12" t="s">
        <v>1266</v>
      </c>
    </row>
    <row r="1009" spans="1:11" ht="30" customHeight="1">
      <c r="A1009" s="12" t="s">
        <v>185</v>
      </c>
      <c r="B1009" s="12" t="s">
        <v>183</v>
      </c>
      <c r="C1009" s="12" t="s">
        <v>154</v>
      </c>
      <c r="D1009" s="12" t="s">
        <v>414</v>
      </c>
      <c r="E1009" s="18">
        <v>1001.6</v>
      </c>
      <c r="F1009" s="13"/>
      <c r="G1009" s="12" t="s">
        <v>189</v>
      </c>
      <c r="H1009" s="12" t="s">
        <v>1260</v>
      </c>
      <c r="I1009" s="13"/>
      <c r="J1009" s="12" t="s">
        <v>1267</v>
      </c>
      <c r="K1009" s="12" t="s">
        <v>1268</v>
      </c>
    </row>
    <row r="1010" spans="1:11" ht="30" customHeight="1">
      <c r="A1010" s="12" t="s">
        <v>185</v>
      </c>
      <c r="B1010" s="12" t="s">
        <v>183</v>
      </c>
      <c r="C1010" s="12" t="s">
        <v>154</v>
      </c>
      <c r="D1010" s="12" t="s">
        <v>416</v>
      </c>
      <c r="E1010" s="18">
        <v>68.8</v>
      </c>
      <c r="F1010" s="13"/>
      <c r="G1010" s="12" t="s">
        <v>189</v>
      </c>
      <c r="H1010" s="12" t="s">
        <v>1260</v>
      </c>
      <c r="I1010" s="13"/>
      <c r="J1010" s="12" t="s">
        <v>1267</v>
      </c>
      <c r="K1010" s="12" t="s">
        <v>1268</v>
      </c>
    </row>
    <row r="1011" spans="1:11" ht="30" customHeight="1">
      <c r="A1011" s="12" t="s">
        <v>185</v>
      </c>
      <c r="B1011" s="12" t="s">
        <v>183</v>
      </c>
      <c r="C1011" s="12" t="s">
        <v>154</v>
      </c>
      <c r="D1011" s="12" t="s">
        <v>424</v>
      </c>
      <c r="E1011" s="12" t="s">
        <v>50</v>
      </c>
      <c r="F1011" s="13"/>
      <c r="G1011" s="12" t="s">
        <v>189</v>
      </c>
      <c r="H1011" s="12" t="s">
        <v>1260</v>
      </c>
      <c r="I1011" s="13"/>
      <c r="J1011" s="12" t="s">
        <v>1267</v>
      </c>
      <c r="K1011" s="12" t="s">
        <v>1268</v>
      </c>
    </row>
    <row r="1012" spans="1:11" ht="30" customHeight="1">
      <c r="A1012" s="12" t="s">
        <v>185</v>
      </c>
      <c r="B1012" s="12" t="s">
        <v>183</v>
      </c>
      <c r="C1012" s="12" t="s">
        <v>154</v>
      </c>
      <c r="D1012" s="12" t="s">
        <v>1257</v>
      </c>
      <c r="E1012" s="12" t="s">
        <v>1269</v>
      </c>
      <c r="F1012" s="13"/>
      <c r="G1012" s="12" t="s">
        <v>189</v>
      </c>
      <c r="H1012" s="12" t="s">
        <v>1260</v>
      </c>
      <c r="I1012" s="13"/>
      <c r="J1012" s="12" t="s">
        <v>1267</v>
      </c>
      <c r="K1012" s="12" t="s">
        <v>1270</v>
      </c>
    </row>
    <row r="1013" spans="1:11" ht="30" customHeight="1">
      <c r="A1013" s="12" t="s">
        <v>197</v>
      </c>
      <c r="B1013" s="12" t="s">
        <v>196</v>
      </c>
      <c r="C1013" s="12" t="s">
        <v>154</v>
      </c>
      <c r="D1013" s="12" t="s">
        <v>414</v>
      </c>
      <c r="E1013" s="18">
        <v>1867</v>
      </c>
      <c r="F1013" s="13"/>
      <c r="G1013" s="12" t="s">
        <v>189</v>
      </c>
      <c r="H1013" s="12" t="s">
        <v>1260</v>
      </c>
      <c r="I1013" s="13"/>
      <c r="J1013" s="12" t="s">
        <v>1271</v>
      </c>
      <c r="K1013" s="12" t="s">
        <v>1268</v>
      </c>
    </row>
    <row r="1014" spans="1:11" ht="30" customHeight="1">
      <c r="A1014" s="12" t="s">
        <v>197</v>
      </c>
      <c r="B1014" s="12" t="s">
        <v>196</v>
      </c>
      <c r="C1014" s="12" t="s">
        <v>154</v>
      </c>
      <c r="D1014" s="12" t="s">
        <v>416</v>
      </c>
      <c r="E1014" s="18">
        <v>150.2</v>
      </c>
      <c r="F1014" s="13"/>
      <c r="G1014" s="12" t="s">
        <v>189</v>
      </c>
      <c r="H1014" s="12" t="s">
        <v>1260</v>
      </c>
      <c r="I1014" s="13"/>
      <c r="J1014" s="12" t="s">
        <v>1271</v>
      </c>
      <c r="K1014" s="12" t="s">
        <v>1268</v>
      </c>
    </row>
    <row r="1015" spans="1:11" ht="30" customHeight="1">
      <c r="A1015" s="12" t="s">
        <v>197</v>
      </c>
      <c r="B1015" s="12" t="s">
        <v>196</v>
      </c>
      <c r="C1015" s="12" t="s">
        <v>154</v>
      </c>
      <c r="D1015" s="12" t="s">
        <v>424</v>
      </c>
      <c r="E1015" s="12" t="s">
        <v>50</v>
      </c>
      <c r="F1015" s="13"/>
      <c r="G1015" s="12" t="s">
        <v>189</v>
      </c>
      <c r="H1015" s="12" t="s">
        <v>1260</v>
      </c>
      <c r="I1015" s="13"/>
      <c r="J1015" s="12" t="s">
        <v>1271</v>
      </c>
      <c r="K1015" s="12" t="s">
        <v>1268</v>
      </c>
    </row>
    <row r="1016" spans="1:11" ht="30" customHeight="1">
      <c r="A1016" s="12" t="s">
        <v>197</v>
      </c>
      <c r="B1016" s="12" t="s">
        <v>196</v>
      </c>
      <c r="C1016" s="12" t="s">
        <v>154</v>
      </c>
      <c r="D1016" s="12" t="s">
        <v>1257</v>
      </c>
      <c r="E1016" s="12" t="s">
        <v>1269</v>
      </c>
      <c r="F1016" s="13"/>
      <c r="G1016" s="12" t="s">
        <v>189</v>
      </c>
      <c r="H1016" s="12" t="s">
        <v>1260</v>
      </c>
      <c r="I1016" s="13"/>
      <c r="J1016" s="12" t="s">
        <v>1271</v>
      </c>
      <c r="K1016" s="12" t="s">
        <v>1270</v>
      </c>
    </row>
    <row r="1017" spans="1:11" ht="30" customHeight="1">
      <c r="A1017" s="12" t="s">
        <v>191</v>
      </c>
      <c r="B1017" s="12" t="s">
        <v>188</v>
      </c>
      <c r="C1017" s="12" t="s">
        <v>154</v>
      </c>
      <c r="D1017" s="12" t="s">
        <v>414</v>
      </c>
      <c r="E1017" s="18">
        <v>2418</v>
      </c>
      <c r="F1017" s="13"/>
      <c r="G1017" s="12" t="s">
        <v>189</v>
      </c>
      <c r="H1017" s="12" t="s">
        <v>1260</v>
      </c>
      <c r="I1017" s="13"/>
      <c r="J1017" s="12" t="s">
        <v>1272</v>
      </c>
      <c r="K1017" s="12" t="s">
        <v>1268</v>
      </c>
    </row>
    <row r="1018" spans="1:11" ht="30" customHeight="1">
      <c r="A1018" s="12" t="s">
        <v>191</v>
      </c>
      <c r="B1018" s="12" t="s">
        <v>188</v>
      </c>
      <c r="C1018" s="12" t="s">
        <v>154</v>
      </c>
      <c r="D1018" s="12" t="s">
        <v>416</v>
      </c>
      <c r="E1018" s="18">
        <v>180.1</v>
      </c>
      <c r="F1018" s="13"/>
      <c r="G1018" s="12" t="s">
        <v>189</v>
      </c>
      <c r="H1018" s="12" t="s">
        <v>1260</v>
      </c>
      <c r="I1018" s="13"/>
      <c r="J1018" s="12" t="s">
        <v>1272</v>
      </c>
      <c r="K1018" s="12" t="s">
        <v>1268</v>
      </c>
    </row>
    <row r="1019" spans="1:11" ht="30" customHeight="1">
      <c r="A1019" s="12" t="s">
        <v>191</v>
      </c>
      <c r="B1019" s="12" t="s">
        <v>188</v>
      </c>
      <c r="C1019" s="12" t="s">
        <v>154</v>
      </c>
      <c r="D1019" s="12" t="s">
        <v>424</v>
      </c>
      <c r="E1019" s="12" t="s">
        <v>50</v>
      </c>
      <c r="F1019" s="13"/>
      <c r="G1019" s="12" t="s">
        <v>189</v>
      </c>
      <c r="H1019" s="12" t="s">
        <v>1260</v>
      </c>
      <c r="I1019" s="13"/>
      <c r="J1019" s="12" t="s">
        <v>1272</v>
      </c>
      <c r="K1019" s="12" t="s">
        <v>1268</v>
      </c>
    </row>
    <row r="1020" spans="1:11" ht="30" customHeight="1">
      <c r="A1020" s="12" t="s">
        <v>191</v>
      </c>
      <c r="B1020" s="12" t="s">
        <v>188</v>
      </c>
      <c r="C1020" s="12" t="s">
        <v>154</v>
      </c>
      <c r="D1020" s="12" t="s">
        <v>1257</v>
      </c>
      <c r="E1020" s="12" t="s">
        <v>1269</v>
      </c>
      <c r="F1020" s="13"/>
      <c r="G1020" s="12" t="s">
        <v>189</v>
      </c>
      <c r="H1020" s="12" t="s">
        <v>1260</v>
      </c>
      <c r="I1020" s="13"/>
      <c r="J1020" s="12" t="s">
        <v>1272</v>
      </c>
      <c r="K1020" s="12" t="s">
        <v>1270</v>
      </c>
    </row>
    <row r="1021" spans="1:11" ht="30" customHeight="1">
      <c r="A1021" s="12" t="s">
        <v>222</v>
      </c>
      <c r="B1021" s="12" t="s">
        <v>220</v>
      </c>
      <c r="C1021" s="12" t="s">
        <v>154</v>
      </c>
      <c r="D1021" s="12" t="s">
        <v>418</v>
      </c>
      <c r="E1021" s="18">
        <v>4527</v>
      </c>
      <c r="F1021" s="13"/>
      <c r="G1021" s="12" t="s">
        <v>189</v>
      </c>
      <c r="H1021" s="12" t="s">
        <v>1260</v>
      </c>
      <c r="I1021" s="13"/>
      <c r="J1021" s="12" t="s">
        <v>1273</v>
      </c>
      <c r="K1021" s="12" t="s">
        <v>1274</v>
      </c>
    </row>
    <row r="1022" spans="1:11" ht="30" customHeight="1">
      <c r="A1022" s="12" t="s">
        <v>222</v>
      </c>
      <c r="B1022" s="12" t="s">
        <v>220</v>
      </c>
      <c r="C1022" s="12" t="s">
        <v>154</v>
      </c>
      <c r="D1022" s="12" t="s">
        <v>415</v>
      </c>
      <c r="E1022" s="18">
        <v>22261</v>
      </c>
      <c r="F1022" s="13"/>
      <c r="G1022" s="12" t="s">
        <v>189</v>
      </c>
      <c r="H1022" s="12" t="s">
        <v>1260</v>
      </c>
      <c r="I1022" s="13"/>
      <c r="J1022" s="12" t="s">
        <v>1273</v>
      </c>
      <c r="K1022" s="12" t="s">
        <v>1274</v>
      </c>
    </row>
    <row r="1023" spans="1:11" ht="30" customHeight="1">
      <c r="A1023" s="12" t="s">
        <v>222</v>
      </c>
      <c r="B1023" s="12" t="s">
        <v>220</v>
      </c>
      <c r="C1023" s="12" t="s">
        <v>154</v>
      </c>
      <c r="D1023" s="12" t="s">
        <v>424</v>
      </c>
      <c r="E1023" s="12" t="s">
        <v>31</v>
      </c>
      <c r="F1023" s="13"/>
      <c r="G1023" s="12" t="s">
        <v>189</v>
      </c>
      <c r="H1023" s="12" t="s">
        <v>1260</v>
      </c>
      <c r="I1023" s="13"/>
      <c r="J1023" s="12" t="s">
        <v>1273</v>
      </c>
      <c r="K1023" s="12" t="s">
        <v>1274</v>
      </c>
    </row>
    <row r="1024" spans="1:11" ht="30" customHeight="1">
      <c r="A1024" s="12" t="s">
        <v>222</v>
      </c>
      <c r="B1024" s="12" t="s">
        <v>220</v>
      </c>
      <c r="C1024" s="12" t="s">
        <v>154</v>
      </c>
      <c r="D1024" s="12" t="s">
        <v>1275</v>
      </c>
      <c r="E1024" s="18">
        <v>89730</v>
      </c>
      <c r="F1024" s="13"/>
      <c r="G1024" s="12" t="s">
        <v>189</v>
      </c>
      <c r="H1024" s="12" t="s">
        <v>1260</v>
      </c>
      <c r="I1024" s="13"/>
      <c r="J1024" s="12" t="s">
        <v>1273</v>
      </c>
      <c r="K1024" s="12" t="s">
        <v>1276</v>
      </c>
    </row>
    <row r="1025" spans="1:11" ht="30" customHeight="1">
      <c r="A1025" s="12" t="s">
        <v>222</v>
      </c>
      <c r="B1025" s="12" t="s">
        <v>220</v>
      </c>
      <c r="C1025" s="12" t="s">
        <v>154</v>
      </c>
      <c r="D1025" s="12" t="s">
        <v>1277</v>
      </c>
      <c r="E1025" s="18">
        <v>13264</v>
      </c>
      <c r="F1025" s="13"/>
      <c r="G1025" s="12" t="s">
        <v>189</v>
      </c>
      <c r="H1025" s="12" t="s">
        <v>1260</v>
      </c>
      <c r="I1025" s="13"/>
      <c r="J1025" s="12" t="s">
        <v>1273</v>
      </c>
      <c r="K1025" s="12" t="s">
        <v>1276</v>
      </c>
    </row>
    <row r="1026" spans="1:11" ht="30" customHeight="1">
      <c r="A1026" s="12" t="s">
        <v>222</v>
      </c>
      <c r="B1026" s="12" t="s">
        <v>220</v>
      </c>
      <c r="C1026" s="12" t="s">
        <v>154</v>
      </c>
      <c r="D1026" s="12" t="s">
        <v>1278</v>
      </c>
      <c r="E1026" s="18">
        <v>6.76</v>
      </c>
      <c r="F1026" s="13"/>
      <c r="G1026" s="12" t="s">
        <v>189</v>
      </c>
      <c r="H1026" s="12" t="s">
        <v>1260</v>
      </c>
      <c r="I1026" s="13"/>
      <c r="J1026" s="12" t="s">
        <v>1273</v>
      </c>
      <c r="K1026" s="12" t="s">
        <v>1279</v>
      </c>
    </row>
    <row r="1027" spans="1:11" ht="30" customHeight="1">
      <c r="A1027" s="12" t="s">
        <v>222</v>
      </c>
      <c r="B1027" s="12" t="s">
        <v>220</v>
      </c>
      <c r="C1027" s="12" t="s">
        <v>154</v>
      </c>
      <c r="D1027" s="12" t="s">
        <v>1257</v>
      </c>
      <c r="E1027" s="12" t="s">
        <v>1269</v>
      </c>
      <c r="F1027" s="13"/>
      <c r="G1027" s="12" t="s">
        <v>189</v>
      </c>
      <c r="H1027" s="12" t="s">
        <v>1260</v>
      </c>
      <c r="I1027" s="13"/>
      <c r="J1027" s="12" t="s">
        <v>1273</v>
      </c>
      <c r="K1027" s="12" t="s">
        <v>1270</v>
      </c>
    </row>
    <row r="1028" spans="1:11" ht="30" customHeight="1">
      <c r="A1028" s="12" t="s">
        <v>158</v>
      </c>
      <c r="B1028" s="12" t="s">
        <v>153</v>
      </c>
      <c r="C1028" s="12" t="s">
        <v>154</v>
      </c>
      <c r="D1028" s="12" t="s">
        <v>1280</v>
      </c>
      <c r="E1028" s="18">
        <v>82.3</v>
      </c>
      <c r="F1028" s="13"/>
      <c r="G1028" s="12" t="s">
        <v>189</v>
      </c>
      <c r="H1028" s="12" t="s">
        <v>1260</v>
      </c>
      <c r="I1028" s="13"/>
      <c r="J1028" s="12" t="s">
        <v>1281</v>
      </c>
      <c r="K1028" s="12" t="s">
        <v>1282</v>
      </c>
    </row>
    <row r="1029" spans="1:11" ht="30" customHeight="1">
      <c r="A1029" s="12" t="s">
        <v>158</v>
      </c>
      <c r="B1029" s="12" t="s">
        <v>153</v>
      </c>
      <c r="C1029" s="12" t="s">
        <v>154</v>
      </c>
      <c r="D1029" s="12" t="s">
        <v>424</v>
      </c>
      <c r="E1029" s="12" t="s">
        <v>31</v>
      </c>
      <c r="F1029" s="13"/>
      <c r="G1029" s="12" t="s">
        <v>189</v>
      </c>
      <c r="H1029" s="12" t="s">
        <v>1260</v>
      </c>
      <c r="I1029" s="13"/>
      <c r="J1029" s="12" t="s">
        <v>1281</v>
      </c>
      <c r="K1029" s="12" t="s">
        <v>1283</v>
      </c>
    </row>
    <row r="1030" spans="1:11" ht="30" customHeight="1">
      <c r="A1030" s="12" t="s">
        <v>158</v>
      </c>
      <c r="B1030" s="12" t="s">
        <v>153</v>
      </c>
      <c r="C1030" s="12" t="s">
        <v>154</v>
      </c>
      <c r="D1030" s="12" t="s">
        <v>1284</v>
      </c>
      <c r="E1030" s="18">
        <v>0.099</v>
      </c>
      <c r="F1030" s="13"/>
      <c r="G1030" s="12" t="s">
        <v>189</v>
      </c>
      <c r="H1030" s="12" t="s">
        <v>1260</v>
      </c>
      <c r="I1030" s="13"/>
      <c r="J1030" s="12" t="s">
        <v>1281</v>
      </c>
      <c r="K1030" s="12" t="s">
        <v>1282</v>
      </c>
    </row>
    <row r="1031" spans="1:11" ht="30" customHeight="1">
      <c r="A1031" s="12" t="s">
        <v>158</v>
      </c>
      <c r="B1031" s="12" t="s">
        <v>153</v>
      </c>
      <c r="C1031" s="12" t="s">
        <v>154</v>
      </c>
      <c r="D1031" s="12" t="s">
        <v>1257</v>
      </c>
      <c r="E1031" s="12" t="s">
        <v>1285</v>
      </c>
      <c r="F1031" s="13"/>
      <c r="G1031" s="12" t="s">
        <v>189</v>
      </c>
      <c r="H1031" s="12" t="s">
        <v>1260</v>
      </c>
      <c r="I1031" s="13"/>
      <c r="J1031" s="12" t="s">
        <v>1281</v>
      </c>
      <c r="K1031" s="12" t="s">
        <v>1286</v>
      </c>
    </row>
    <row r="1032" spans="1:11" ht="30" customHeight="1">
      <c r="A1032" s="12" t="s">
        <v>191</v>
      </c>
      <c r="B1032" s="12" t="s">
        <v>188</v>
      </c>
      <c r="C1032" s="12" t="s">
        <v>154</v>
      </c>
      <c r="D1032" s="12" t="s">
        <v>1287</v>
      </c>
      <c r="E1032" s="12" t="s">
        <v>495</v>
      </c>
      <c r="F1032" s="13"/>
      <c r="G1032" s="12" t="s">
        <v>189</v>
      </c>
      <c r="H1032" s="12" t="s">
        <v>1260</v>
      </c>
      <c r="I1032" s="13"/>
      <c r="J1032" s="12" t="s">
        <v>1288</v>
      </c>
      <c r="K1032" s="12" t="s">
        <v>1289</v>
      </c>
    </row>
    <row r="1033" spans="1:11" ht="30" customHeight="1">
      <c r="A1033" s="12" t="s">
        <v>191</v>
      </c>
      <c r="B1033" s="12" t="s">
        <v>188</v>
      </c>
      <c r="C1033" s="12" t="s">
        <v>154</v>
      </c>
      <c r="D1033" s="12" t="s">
        <v>423</v>
      </c>
      <c r="E1033" s="12" t="s">
        <v>189</v>
      </c>
      <c r="F1033" s="13"/>
      <c r="G1033" s="12" t="s">
        <v>189</v>
      </c>
      <c r="H1033" s="12" t="s">
        <v>1290</v>
      </c>
      <c r="I1033" s="13"/>
      <c r="J1033" s="12" t="s">
        <v>1291</v>
      </c>
      <c r="K1033" s="12" t="s">
        <v>1292</v>
      </c>
    </row>
    <row r="1034" spans="1:11" ht="30" customHeight="1">
      <c r="A1034" s="12" t="s">
        <v>191</v>
      </c>
      <c r="B1034" s="12" t="s">
        <v>188</v>
      </c>
      <c r="C1034" s="12" t="s">
        <v>154</v>
      </c>
      <c r="D1034" s="12" t="s">
        <v>425</v>
      </c>
      <c r="E1034" s="12" t="s">
        <v>190</v>
      </c>
      <c r="F1034" s="13"/>
      <c r="G1034" s="12" t="s">
        <v>189</v>
      </c>
      <c r="H1034" s="12" t="s">
        <v>1293</v>
      </c>
      <c r="I1034" s="13"/>
      <c r="J1034" s="12" t="s">
        <v>1294</v>
      </c>
      <c r="K1034" s="12" t="s">
        <v>1295</v>
      </c>
    </row>
    <row r="1035" spans="1:11" ht="30" customHeight="1">
      <c r="A1035" s="12" t="s">
        <v>200</v>
      </c>
      <c r="B1035" s="12" t="s">
        <v>199</v>
      </c>
      <c r="C1035" s="12" t="s">
        <v>154</v>
      </c>
      <c r="D1035" s="12" t="s">
        <v>423</v>
      </c>
      <c r="E1035" s="12" t="s">
        <v>189</v>
      </c>
      <c r="F1035" s="13"/>
      <c r="G1035" s="12" t="s">
        <v>189</v>
      </c>
      <c r="H1035" s="12" t="s">
        <v>1290</v>
      </c>
      <c r="I1035" s="13"/>
      <c r="J1035" s="12" t="s">
        <v>1291</v>
      </c>
      <c r="K1035" s="12" t="s">
        <v>1292</v>
      </c>
    </row>
    <row r="1036" spans="1:11" ht="30" customHeight="1">
      <c r="A1036" s="12" t="s">
        <v>200</v>
      </c>
      <c r="B1036" s="12" t="s">
        <v>199</v>
      </c>
      <c r="C1036" s="12" t="s">
        <v>154</v>
      </c>
      <c r="D1036" s="12" t="s">
        <v>425</v>
      </c>
      <c r="E1036" s="12" t="s">
        <v>190</v>
      </c>
      <c r="F1036" s="13"/>
      <c r="G1036" s="12" t="s">
        <v>189</v>
      </c>
      <c r="H1036" s="12" t="s">
        <v>1293</v>
      </c>
      <c r="I1036" s="13"/>
      <c r="J1036" s="12" t="s">
        <v>1294</v>
      </c>
      <c r="K1036" s="12" t="s">
        <v>1295</v>
      </c>
    </row>
    <row r="1037" spans="1:11" ht="30" customHeight="1">
      <c r="A1037" s="12" t="s">
        <v>197</v>
      </c>
      <c r="B1037" s="12" t="s">
        <v>196</v>
      </c>
      <c r="C1037" s="12" t="s">
        <v>154</v>
      </c>
      <c r="D1037" s="12" t="s">
        <v>423</v>
      </c>
      <c r="E1037" s="12" t="s">
        <v>189</v>
      </c>
      <c r="F1037" s="13"/>
      <c r="G1037" s="12" t="s">
        <v>189</v>
      </c>
      <c r="H1037" s="12" t="s">
        <v>1290</v>
      </c>
      <c r="I1037" s="13"/>
      <c r="J1037" s="12" t="s">
        <v>1291</v>
      </c>
      <c r="K1037" s="12" t="s">
        <v>1292</v>
      </c>
    </row>
    <row r="1038" spans="1:11" ht="30" customHeight="1">
      <c r="A1038" s="12" t="s">
        <v>197</v>
      </c>
      <c r="B1038" s="12" t="s">
        <v>196</v>
      </c>
      <c r="C1038" s="12" t="s">
        <v>154</v>
      </c>
      <c r="D1038" s="12" t="s">
        <v>425</v>
      </c>
      <c r="E1038" s="12" t="s">
        <v>190</v>
      </c>
      <c r="F1038" s="13"/>
      <c r="G1038" s="12" t="s">
        <v>189</v>
      </c>
      <c r="H1038" s="12" t="s">
        <v>1293</v>
      </c>
      <c r="I1038" s="13"/>
      <c r="J1038" s="12" t="s">
        <v>1294</v>
      </c>
      <c r="K1038" s="12" t="s">
        <v>1295</v>
      </c>
    </row>
    <row r="1039" spans="1:11" ht="30" customHeight="1">
      <c r="A1039" s="12" t="s">
        <v>237</v>
      </c>
      <c r="B1039" s="12" t="s">
        <v>236</v>
      </c>
      <c r="C1039" s="12" t="s">
        <v>226</v>
      </c>
      <c r="D1039" s="12" t="s">
        <v>423</v>
      </c>
      <c r="E1039" s="12" t="s">
        <v>1296</v>
      </c>
      <c r="F1039" s="13"/>
      <c r="G1039" s="12" t="s">
        <v>1297</v>
      </c>
      <c r="H1039" s="12" t="s">
        <v>1298</v>
      </c>
      <c r="I1039" s="13"/>
      <c r="J1039" s="12" t="s">
        <v>1299</v>
      </c>
      <c r="K1039" s="12" t="s">
        <v>1300</v>
      </c>
    </row>
    <row r="1040" spans="1:11" ht="30" customHeight="1">
      <c r="A1040" s="12" t="s">
        <v>237</v>
      </c>
      <c r="B1040" s="12" t="s">
        <v>236</v>
      </c>
      <c r="C1040" s="12" t="s">
        <v>226</v>
      </c>
      <c r="D1040" s="12" t="s">
        <v>425</v>
      </c>
      <c r="E1040" s="12" t="s">
        <v>228</v>
      </c>
      <c r="F1040" s="13"/>
      <c r="G1040" s="12" t="s">
        <v>1297</v>
      </c>
      <c r="H1040" s="12" t="s">
        <v>1298</v>
      </c>
      <c r="I1040" s="13"/>
      <c r="J1040" s="12" t="s">
        <v>1301</v>
      </c>
      <c r="K1040" s="12" t="s">
        <v>1302</v>
      </c>
    </row>
    <row r="1041" spans="1:11" ht="30" customHeight="1">
      <c r="A1041" s="12" t="s">
        <v>237</v>
      </c>
      <c r="B1041" s="12" t="s">
        <v>236</v>
      </c>
      <c r="C1041" s="12" t="s">
        <v>226</v>
      </c>
      <c r="D1041" s="12" t="s">
        <v>1303</v>
      </c>
      <c r="E1041" s="12" t="s">
        <v>1304</v>
      </c>
      <c r="F1041" s="13"/>
      <c r="G1041" s="12" t="s">
        <v>1297</v>
      </c>
      <c r="H1041" s="12" t="s">
        <v>1298</v>
      </c>
      <c r="I1041" s="13"/>
      <c r="J1041" s="12" t="s">
        <v>1305</v>
      </c>
      <c r="K1041" s="12" t="s">
        <v>1306</v>
      </c>
    </row>
    <row r="1042" spans="1:11" ht="30" customHeight="1">
      <c r="A1042" s="12" t="s">
        <v>229</v>
      </c>
      <c r="B1042" s="12" t="s">
        <v>225</v>
      </c>
      <c r="C1042" s="12" t="s">
        <v>226</v>
      </c>
      <c r="D1042" s="12" t="s">
        <v>423</v>
      </c>
      <c r="E1042" s="12" t="s">
        <v>1296</v>
      </c>
      <c r="F1042" s="13"/>
      <c r="G1042" s="12" t="s">
        <v>1297</v>
      </c>
      <c r="H1042" s="12" t="s">
        <v>1298</v>
      </c>
      <c r="I1042" s="13"/>
      <c r="J1042" s="12" t="s">
        <v>1299</v>
      </c>
      <c r="K1042" s="12" t="s">
        <v>1300</v>
      </c>
    </row>
    <row r="1043" spans="1:11" ht="30" customHeight="1">
      <c r="A1043" s="12" t="s">
        <v>229</v>
      </c>
      <c r="B1043" s="12" t="s">
        <v>225</v>
      </c>
      <c r="C1043" s="12" t="s">
        <v>226</v>
      </c>
      <c r="D1043" s="12" t="s">
        <v>425</v>
      </c>
      <c r="E1043" s="12" t="s">
        <v>228</v>
      </c>
      <c r="F1043" s="13"/>
      <c r="G1043" s="12" t="s">
        <v>1297</v>
      </c>
      <c r="H1043" s="12" t="s">
        <v>1298</v>
      </c>
      <c r="I1043" s="13"/>
      <c r="J1043" s="12" t="s">
        <v>1301</v>
      </c>
      <c r="K1043" s="12" t="s">
        <v>1302</v>
      </c>
    </row>
    <row r="1044" spans="1:11" ht="30" customHeight="1">
      <c r="A1044" s="12" t="s">
        <v>229</v>
      </c>
      <c r="B1044" s="12" t="s">
        <v>225</v>
      </c>
      <c r="C1044" s="12" t="s">
        <v>226</v>
      </c>
      <c r="D1044" s="12" t="s">
        <v>1303</v>
      </c>
      <c r="E1044" s="12" t="s">
        <v>1304</v>
      </c>
      <c r="F1044" s="13"/>
      <c r="G1044" s="12" t="s">
        <v>1297</v>
      </c>
      <c r="H1044" s="12" t="s">
        <v>1298</v>
      </c>
      <c r="I1044" s="13"/>
      <c r="J1044" s="12" t="s">
        <v>1305</v>
      </c>
      <c r="K1044" s="12" t="s">
        <v>1306</v>
      </c>
    </row>
    <row r="1045" spans="1:11" ht="30" customHeight="1">
      <c r="A1045" s="12" t="s">
        <v>267</v>
      </c>
      <c r="B1045" s="12" t="s">
        <v>266</v>
      </c>
      <c r="C1045" s="12" t="s">
        <v>226</v>
      </c>
      <c r="D1045" s="12" t="s">
        <v>423</v>
      </c>
      <c r="E1045" s="12" t="s">
        <v>1296</v>
      </c>
      <c r="F1045" s="13"/>
      <c r="G1045" s="12" t="s">
        <v>1297</v>
      </c>
      <c r="H1045" s="12" t="s">
        <v>1298</v>
      </c>
      <c r="I1045" s="13"/>
      <c r="J1045" s="12" t="s">
        <v>1299</v>
      </c>
      <c r="K1045" s="12" t="s">
        <v>1300</v>
      </c>
    </row>
    <row r="1046" spans="1:11" ht="30" customHeight="1">
      <c r="A1046" s="12" t="s">
        <v>267</v>
      </c>
      <c r="B1046" s="12" t="s">
        <v>266</v>
      </c>
      <c r="C1046" s="12" t="s">
        <v>226</v>
      </c>
      <c r="D1046" s="12" t="s">
        <v>425</v>
      </c>
      <c r="E1046" s="12" t="s">
        <v>228</v>
      </c>
      <c r="F1046" s="13"/>
      <c r="G1046" s="12" t="s">
        <v>1297</v>
      </c>
      <c r="H1046" s="12" t="s">
        <v>1298</v>
      </c>
      <c r="I1046" s="13"/>
      <c r="J1046" s="12" t="s">
        <v>1301</v>
      </c>
      <c r="K1046" s="12" t="s">
        <v>1302</v>
      </c>
    </row>
    <row r="1047" spans="1:11" ht="30" customHeight="1">
      <c r="A1047" s="12" t="s">
        <v>267</v>
      </c>
      <c r="B1047" s="12" t="s">
        <v>266</v>
      </c>
      <c r="C1047" s="12" t="s">
        <v>226</v>
      </c>
      <c r="D1047" s="12" t="s">
        <v>1303</v>
      </c>
      <c r="E1047" s="12" t="s">
        <v>1304</v>
      </c>
      <c r="F1047" s="13"/>
      <c r="G1047" s="12" t="s">
        <v>1297</v>
      </c>
      <c r="H1047" s="12" t="s">
        <v>1298</v>
      </c>
      <c r="I1047" s="13"/>
      <c r="J1047" s="12" t="s">
        <v>1305</v>
      </c>
      <c r="K1047" s="12" t="s">
        <v>1306</v>
      </c>
    </row>
    <row r="1048" spans="1:11" ht="30" customHeight="1">
      <c r="A1048" s="12" t="s">
        <v>261</v>
      </c>
      <c r="B1048" s="12" t="s">
        <v>260</v>
      </c>
      <c r="C1048" s="12" t="s">
        <v>226</v>
      </c>
      <c r="D1048" s="12" t="s">
        <v>423</v>
      </c>
      <c r="E1048" s="12" t="s">
        <v>1296</v>
      </c>
      <c r="F1048" s="13"/>
      <c r="G1048" s="12" t="s">
        <v>1297</v>
      </c>
      <c r="H1048" s="12" t="s">
        <v>1298</v>
      </c>
      <c r="I1048" s="13"/>
      <c r="J1048" s="12" t="s">
        <v>1299</v>
      </c>
      <c r="K1048" s="12" t="s">
        <v>1300</v>
      </c>
    </row>
    <row r="1049" spans="1:11" ht="30" customHeight="1">
      <c r="A1049" s="12" t="s">
        <v>261</v>
      </c>
      <c r="B1049" s="12" t="s">
        <v>260</v>
      </c>
      <c r="C1049" s="12" t="s">
        <v>226</v>
      </c>
      <c r="D1049" s="12" t="s">
        <v>425</v>
      </c>
      <c r="E1049" s="12" t="s">
        <v>228</v>
      </c>
      <c r="F1049" s="13"/>
      <c r="G1049" s="12" t="s">
        <v>1297</v>
      </c>
      <c r="H1049" s="12" t="s">
        <v>1298</v>
      </c>
      <c r="I1049" s="13"/>
      <c r="J1049" s="12" t="s">
        <v>1301</v>
      </c>
      <c r="K1049" s="12" t="s">
        <v>1302</v>
      </c>
    </row>
    <row r="1050" spans="1:11" ht="30" customHeight="1">
      <c r="A1050" s="12" t="s">
        <v>261</v>
      </c>
      <c r="B1050" s="12" t="s">
        <v>260</v>
      </c>
      <c r="C1050" s="12" t="s">
        <v>226</v>
      </c>
      <c r="D1050" s="12" t="s">
        <v>1303</v>
      </c>
      <c r="E1050" s="12" t="s">
        <v>1304</v>
      </c>
      <c r="F1050" s="13"/>
      <c r="G1050" s="12" t="s">
        <v>1297</v>
      </c>
      <c r="H1050" s="12" t="s">
        <v>1298</v>
      </c>
      <c r="I1050" s="13"/>
      <c r="J1050" s="12" t="s">
        <v>1305</v>
      </c>
      <c r="K1050" s="12" t="s">
        <v>1306</v>
      </c>
    </row>
    <row r="1051" spans="1:11" ht="30" customHeight="1">
      <c r="A1051" s="12" t="s">
        <v>240</v>
      </c>
      <c r="B1051" s="12" t="s">
        <v>239</v>
      </c>
      <c r="C1051" s="12" t="s">
        <v>226</v>
      </c>
      <c r="D1051" s="12" t="s">
        <v>423</v>
      </c>
      <c r="E1051" s="12" t="s">
        <v>1296</v>
      </c>
      <c r="F1051" s="13"/>
      <c r="G1051" s="12" t="s">
        <v>1297</v>
      </c>
      <c r="H1051" s="12" t="s">
        <v>1298</v>
      </c>
      <c r="I1051" s="13"/>
      <c r="J1051" s="12" t="s">
        <v>1299</v>
      </c>
      <c r="K1051" s="12" t="s">
        <v>1300</v>
      </c>
    </row>
    <row r="1052" spans="1:11" ht="30" customHeight="1">
      <c r="A1052" s="12" t="s">
        <v>240</v>
      </c>
      <c r="B1052" s="12" t="s">
        <v>239</v>
      </c>
      <c r="C1052" s="12" t="s">
        <v>226</v>
      </c>
      <c r="D1052" s="12" t="s">
        <v>425</v>
      </c>
      <c r="E1052" s="12" t="s">
        <v>228</v>
      </c>
      <c r="F1052" s="13"/>
      <c r="G1052" s="12" t="s">
        <v>1297</v>
      </c>
      <c r="H1052" s="12" t="s">
        <v>1298</v>
      </c>
      <c r="I1052" s="13"/>
      <c r="J1052" s="12" t="s">
        <v>1301</v>
      </c>
      <c r="K1052" s="12" t="s">
        <v>1302</v>
      </c>
    </row>
    <row r="1053" spans="1:11" ht="30" customHeight="1">
      <c r="A1053" s="12" t="s">
        <v>240</v>
      </c>
      <c r="B1053" s="12" t="s">
        <v>239</v>
      </c>
      <c r="C1053" s="12" t="s">
        <v>226</v>
      </c>
      <c r="D1053" s="12" t="s">
        <v>1303</v>
      </c>
      <c r="E1053" s="12" t="s">
        <v>1304</v>
      </c>
      <c r="F1053" s="13"/>
      <c r="G1053" s="12" t="s">
        <v>1297</v>
      </c>
      <c r="H1053" s="12" t="s">
        <v>1298</v>
      </c>
      <c r="I1053" s="13"/>
      <c r="J1053" s="12" t="s">
        <v>1305</v>
      </c>
      <c r="K1053" s="12" t="s">
        <v>1306</v>
      </c>
    </row>
    <row r="1054" spans="1:11" ht="30" customHeight="1">
      <c r="A1054" s="12" t="s">
        <v>264</v>
      </c>
      <c r="B1054" s="12" t="s">
        <v>263</v>
      </c>
      <c r="C1054" s="12" t="s">
        <v>226</v>
      </c>
      <c r="D1054" s="12" t="s">
        <v>423</v>
      </c>
      <c r="E1054" s="12" t="s">
        <v>1296</v>
      </c>
      <c r="F1054" s="13"/>
      <c r="G1054" s="12" t="s">
        <v>1297</v>
      </c>
      <c r="H1054" s="12" t="s">
        <v>1298</v>
      </c>
      <c r="I1054" s="13"/>
      <c r="J1054" s="12" t="s">
        <v>1299</v>
      </c>
      <c r="K1054" s="12" t="s">
        <v>1300</v>
      </c>
    </row>
    <row r="1055" spans="1:11" ht="30" customHeight="1">
      <c r="A1055" s="12" t="s">
        <v>264</v>
      </c>
      <c r="B1055" s="12" t="s">
        <v>263</v>
      </c>
      <c r="C1055" s="12" t="s">
        <v>226</v>
      </c>
      <c r="D1055" s="12" t="s">
        <v>425</v>
      </c>
      <c r="E1055" s="12" t="s">
        <v>228</v>
      </c>
      <c r="F1055" s="13"/>
      <c r="G1055" s="12" t="s">
        <v>1297</v>
      </c>
      <c r="H1055" s="12" t="s">
        <v>1298</v>
      </c>
      <c r="I1055" s="13"/>
      <c r="J1055" s="12" t="s">
        <v>1301</v>
      </c>
      <c r="K1055" s="12" t="s">
        <v>1302</v>
      </c>
    </row>
    <row r="1056" spans="1:11" ht="30" customHeight="1">
      <c r="A1056" s="12" t="s">
        <v>264</v>
      </c>
      <c r="B1056" s="12" t="s">
        <v>263</v>
      </c>
      <c r="C1056" s="12" t="s">
        <v>226</v>
      </c>
      <c r="D1056" s="12" t="s">
        <v>1303</v>
      </c>
      <c r="E1056" s="12" t="s">
        <v>1304</v>
      </c>
      <c r="F1056" s="13"/>
      <c r="G1056" s="12" t="s">
        <v>1297</v>
      </c>
      <c r="H1056" s="12" t="s">
        <v>1298</v>
      </c>
      <c r="I1056" s="13"/>
      <c r="J1056" s="12" t="s">
        <v>1305</v>
      </c>
      <c r="K1056" s="12" t="s">
        <v>1306</v>
      </c>
    </row>
    <row r="1057" spans="1:11" ht="30" customHeight="1">
      <c r="A1057" s="12" t="s">
        <v>255</v>
      </c>
      <c r="B1057" s="12" t="s">
        <v>254</v>
      </c>
      <c r="C1057" s="12" t="s">
        <v>226</v>
      </c>
      <c r="D1057" s="12" t="s">
        <v>423</v>
      </c>
      <c r="E1057" s="12" t="s">
        <v>1296</v>
      </c>
      <c r="F1057" s="13"/>
      <c r="G1057" s="12" t="s">
        <v>1297</v>
      </c>
      <c r="H1057" s="12" t="s">
        <v>1298</v>
      </c>
      <c r="I1057" s="13"/>
      <c r="J1057" s="12" t="s">
        <v>1299</v>
      </c>
      <c r="K1057" s="12" t="s">
        <v>1300</v>
      </c>
    </row>
    <row r="1058" spans="1:11" ht="30" customHeight="1">
      <c r="A1058" s="12" t="s">
        <v>255</v>
      </c>
      <c r="B1058" s="12" t="s">
        <v>254</v>
      </c>
      <c r="C1058" s="12" t="s">
        <v>226</v>
      </c>
      <c r="D1058" s="12" t="s">
        <v>425</v>
      </c>
      <c r="E1058" s="12" t="s">
        <v>228</v>
      </c>
      <c r="F1058" s="13"/>
      <c r="G1058" s="12" t="s">
        <v>1297</v>
      </c>
      <c r="H1058" s="12" t="s">
        <v>1298</v>
      </c>
      <c r="I1058" s="13"/>
      <c r="J1058" s="12" t="s">
        <v>1301</v>
      </c>
      <c r="K1058" s="12" t="s">
        <v>1302</v>
      </c>
    </row>
    <row r="1059" spans="1:11" ht="30" customHeight="1">
      <c r="A1059" s="12" t="s">
        <v>255</v>
      </c>
      <c r="B1059" s="12" t="s">
        <v>254</v>
      </c>
      <c r="C1059" s="12" t="s">
        <v>226</v>
      </c>
      <c r="D1059" s="12" t="s">
        <v>1303</v>
      </c>
      <c r="E1059" s="12" t="s">
        <v>1304</v>
      </c>
      <c r="F1059" s="13"/>
      <c r="G1059" s="12" t="s">
        <v>1297</v>
      </c>
      <c r="H1059" s="12" t="s">
        <v>1298</v>
      </c>
      <c r="I1059" s="13"/>
      <c r="J1059" s="12" t="s">
        <v>1305</v>
      </c>
      <c r="K1059" s="12" t="s">
        <v>1306</v>
      </c>
    </row>
    <row r="1060" spans="1:11" ht="30" customHeight="1">
      <c r="A1060" s="12" t="s">
        <v>252</v>
      </c>
      <c r="B1060" s="12" t="s">
        <v>251</v>
      </c>
      <c r="C1060" s="12" t="s">
        <v>226</v>
      </c>
      <c r="D1060" s="12" t="s">
        <v>423</v>
      </c>
      <c r="E1060" s="12" t="s">
        <v>1296</v>
      </c>
      <c r="F1060" s="13"/>
      <c r="G1060" s="12" t="s">
        <v>1297</v>
      </c>
      <c r="H1060" s="12" t="s">
        <v>1298</v>
      </c>
      <c r="I1060" s="13"/>
      <c r="J1060" s="12" t="s">
        <v>1299</v>
      </c>
      <c r="K1060" s="12" t="s">
        <v>1300</v>
      </c>
    </row>
    <row r="1061" spans="1:11" ht="30" customHeight="1">
      <c r="A1061" s="12" t="s">
        <v>252</v>
      </c>
      <c r="B1061" s="12" t="s">
        <v>251</v>
      </c>
      <c r="C1061" s="12" t="s">
        <v>226</v>
      </c>
      <c r="D1061" s="12" t="s">
        <v>425</v>
      </c>
      <c r="E1061" s="12" t="s">
        <v>228</v>
      </c>
      <c r="F1061" s="13"/>
      <c r="G1061" s="12" t="s">
        <v>1297</v>
      </c>
      <c r="H1061" s="12" t="s">
        <v>1298</v>
      </c>
      <c r="I1061" s="13"/>
      <c r="J1061" s="12" t="s">
        <v>1301</v>
      </c>
      <c r="K1061" s="12" t="s">
        <v>1302</v>
      </c>
    </row>
    <row r="1062" spans="1:11" ht="30" customHeight="1">
      <c r="A1062" s="12" t="s">
        <v>252</v>
      </c>
      <c r="B1062" s="12" t="s">
        <v>251</v>
      </c>
      <c r="C1062" s="12" t="s">
        <v>226</v>
      </c>
      <c r="D1062" s="12" t="s">
        <v>1303</v>
      </c>
      <c r="E1062" s="12" t="s">
        <v>1304</v>
      </c>
      <c r="F1062" s="13"/>
      <c r="G1062" s="12" t="s">
        <v>1297</v>
      </c>
      <c r="H1062" s="12" t="s">
        <v>1298</v>
      </c>
      <c r="I1062" s="13"/>
      <c r="J1062" s="12" t="s">
        <v>1305</v>
      </c>
      <c r="K1062" s="12" t="s">
        <v>1306</v>
      </c>
    </row>
    <row r="1063" spans="1:11" ht="30" customHeight="1">
      <c r="A1063" s="12" t="s">
        <v>249</v>
      </c>
      <c r="B1063" s="12" t="s">
        <v>248</v>
      </c>
      <c r="C1063" s="12" t="s">
        <v>226</v>
      </c>
      <c r="D1063" s="12" t="s">
        <v>423</v>
      </c>
      <c r="E1063" s="12" t="s">
        <v>1296</v>
      </c>
      <c r="F1063" s="13"/>
      <c r="G1063" s="12" t="s">
        <v>1297</v>
      </c>
      <c r="H1063" s="12" t="s">
        <v>1298</v>
      </c>
      <c r="I1063" s="13"/>
      <c r="J1063" s="12" t="s">
        <v>1299</v>
      </c>
      <c r="K1063" s="12" t="s">
        <v>1300</v>
      </c>
    </row>
    <row r="1064" spans="1:11" ht="30" customHeight="1">
      <c r="A1064" s="12" t="s">
        <v>249</v>
      </c>
      <c r="B1064" s="12" t="s">
        <v>248</v>
      </c>
      <c r="C1064" s="12" t="s">
        <v>226</v>
      </c>
      <c r="D1064" s="12" t="s">
        <v>425</v>
      </c>
      <c r="E1064" s="12" t="s">
        <v>228</v>
      </c>
      <c r="F1064" s="13"/>
      <c r="G1064" s="12" t="s">
        <v>1297</v>
      </c>
      <c r="H1064" s="12" t="s">
        <v>1298</v>
      </c>
      <c r="I1064" s="13"/>
      <c r="J1064" s="12" t="s">
        <v>1301</v>
      </c>
      <c r="K1064" s="12" t="s">
        <v>1302</v>
      </c>
    </row>
    <row r="1065" spans="1:11" ht="30" customHeight="1">
      <c r="A1065" s="12" t="s">
        <v>249</v>
      </c>
      <c r="B1065" s="12" t="s">
        <v>248</v>
      </c>
      <c r="C1065" s="12" t="s">
        <v>226</v>
      </c>
      <c r="D1065" s="12" t="s">
        <v>1303</v>
      </c>
      <c r="E1065" s="12" t="s">
        <v>1304</v>
      </c>
      <c r="F1065" s="13"/>
      <c r="G1065" s="12" t="s">
        <v>1297</v>
      </c>
      <c r="H1065" s="12" t="s">
        <v>1298</v>
      </c>
      <c r="I1065" s="13"/>
      <c r="J1065" s="12" t="s">
        <v>1305</v>
      </c>
      <c r="K1065" s="12" t="s">
        <v>1306</v>
      </c>
    </row>
    <row r="1066" spans="1:11" ht="30" customHeight="1">
      <c r="A1066" s="12" t="s">
        <v>243</v>
      </c>
      <c r="B1066" s="12" t="s">
        <v>242</v>
      </c>
      <c r="C1066" s="12" t="s">
        <v>226</v>
      </c>
      <c r="D1066" s="12" t="s">
        <v>423</v>
      </c>
      <c r="E1066" s="12" t="s">
        <v>1296</v>
      </c>
      <c r="F1066" s="13"/>
      <c r="G1066" s="12" t="s">
        <v>1297</v>
      </c>
      <c r="H1066" s="12" t="s">
        <v>1298</v>
      </c>
      <c r="I1066" s="13"/>
      <c r="J1066" s="12" t="s">
        <v>1299</v>
      </c>
      <c r="K1066" s="12" t="s">
        <v>1300</v>
      </c>
    </row>
    <row r="1067" spans="1:11" ht="30" customHeight="1">
      <c r="A1067" s="12" t="s">
        <v>243</v>
      </c>
      <c r="B1067" s="12" t="s">
        <v>242</v>
      </c>
      <c r="C1067" s="12" t="s">
        <v>226</v>
      </c>
      <c r="D1067" s="12" t="s">
        <v>425</v>
      </c>
      <c r="E1067" s="12" t="s">
        <v>228</v>
      </c>
      <c r="F1067" s="13"/>
      <c r="G1067" s="12" t="s">
        <v>1297</v>
      </c>
      <c r="H1067" s="12" t="s">
        <v>1298</v>
      </c>
      <c r="I1067" s="13"/>
      <c r="J1067" s="12" t="s">
        <v>1301</v>
      </c>
      <c r="K1067" s="12" t="s">
        <v>1302</v>
      </c>
    </row>
    <row r="1068" spans="1:11" ht="30" customHeight="1">
      <c r="A1068" s="12" t="s">
        <v>243</v>
      </c>
      <c r="B1068" s="12" t="s">
        <v>242</v>
      </c>
      <c r="C1068" s="12" t="s">
        <v>226</v>
      </c>
      <c r="D1068" s="12" t="s">
        <v>1303</v>
      </c>
      <c r="E1068" s="12" t="s">
        <v>1304</v>
      </c>
      <c r="F1068" s="13"/>
      <c r="G1068" s="12" t="s">
        <v>1297</v>
      </c>
      <c r="H1068" s="12" t="s">
        <v>1298</v>
      </c>
      <c r="I1068" s="13"/>
      <c r="J1068" s="12" t="s">
        <v>1305</v>
      </c>
      <c r="K1068" s="12" t="s">
        <v>1306</v>
      </c>
    </row>
    <row r="1069" spans="1:11" ht="30" customHeight="1">
      <c r="A1069" s="12" t="s">
        <v>234</v>
      </c>
      <c r="B1069" s="12" t="s">
        <v>233</v>
      </c>
      <c r="C1069" s="12" t="s">
        <v>226</v>
      </c>
      <c r="D1069" s="12" t="s">
        <v>423</v>
      </c>
      <c r="E1069" s="12" t="s">
        <v>1296</v>
      </c>
      <c r="F1069" s="13"/>
      <c r="G1069" s="12" t="s">
        <v>1297</v>
      </c>
      <c r="H1069" s="12" t="s">
        <v>1298</v>
      </c>
      <c r="I1069" s="13"/>
      <c r="J1069" s="12" t="s">
        <v>1299</v>
      </c>
      <c r="K1069" s="12" t="s">
        <v>1300</v>
      </c>
    </row>
    <row r="1070" spans="1:11" ht="30" customHeight="1">
      <c r="A1070" s="12" t="s">
        <v>234</v>
      </c>
      <c r="B1070" s="12" t="s">
        <v>233</v>
      </c>
      <c r="C1070" s="12" t="s">
        <v>226</v>
      </c>
      <c r="D1070" s="12" t="s">
        <v>425</v>
      </c>
      <c r="E1070" s="12" t="s">
        <v>228</v>
      </c>
      <c r="F1070" s="13"/>
      <c r="G1070" s="12" t="s">
        <v>1297</v>
      </c>
      <c r="H1070" s="12" t="s">
        <v>1298</v>
      </c>
      <c r="I1070" s="13"/>
      <c r="J1070" s="12" t="s">
        <v>1301</v>
      </c>
      <c r="K1070" s="12" t="s">
        <v>1302</v>
      </c>
    </row>
    <row r="1071" spans="1:11" ht="30" customHeight="1">
      <c r="A1071" s="12" t="s">
        <v>234</v>
      </c>
      <c r="B1071" s="12" t="s">
        <v>233</v>
      </c>
      <c r="C1071" s="12" t="s">
        <v>226</v>
      </c>
      <c r="D1071" s="12" t="s">
        <v>1303</v>
      </c>
      <c r="E1071" s="12" t="s">
        <v>1304</v>
      </c>
      <c r="F1071" s="13"/>
      <c r="G1071" s="12" t="s">
        <v>1297</v>
      </c>
      <c r="H1071" s="12" t="s">
        <v>1298</v>
      </c>
      <c r="I1071" s="13"/>
      <c r="J1071" s="12" t="s">
        <v>1305</v>
      </c>
      <c r="K1071" s="12" t="s">
        <v>1306</v>
      </c>
    </row>
    <row r="1072" spans="1:11" ht="30" customHeight="1">
      <c r="A1072" s="12" t="s">
        <v>246</v>
      </c>
      <c r="B1072" s="12" t="s">
        <v>245</v>
      </c>
      <c r="C1072" s="12" t="s">
        <v>226</v>
      </c>
      <c r="D1072" s="12" t="s">
        <v>423</v>
      </c>
      <c r="E1072" s="12" t="s">
        <v>1296</v>
      </c>
      <c r="F1072" s="13"/>
      <c r="G1072" s="12" t="s">
        <v>1297</v>
      </c>
      <c r="H1072" s="12" t="s">
        <v>1298</v>
      </c>
      <c r="I1072" s="13"/>
      <c r="J1072" s="12" t="s">
        <v>1299</v>
      </c>
      <c r="K1072" s="12" t="s">
        <v>1300</v>
      </c>
    </row>
    <row r="1073" spans="1:11" ht="30" customHeight="1">
      <c r="A1073" s="12" t="s">
        <v>246</v>
      </c>
      <c r="B1073" s="12" t="s">
        <v>245</v>
      </c>
      <c r="C1073" s="12" t="s">
        <v>226</v>
      </c>
      <c r="D1073" s="12" t="s">
        <v>425</v>
      </c>
      <c r="E1073" s="12" t="s">
        <v>228</v>
      </c>
      <c r="F1073" s="13"/>
      <c r="G1073" s="12" t="s">
        <v>1297</v>
      </c>
      <c r="H1073" s="12" t="s">
        <v>1298</v>
      </c>
      <c r="I1073" s="13"/>
      <c r="J1073" s="12" t="s">
        <v>1301</v>
      </c>
      <c r="K1073" s="12" t="s">
        <v>1302</v>
      </c>
    </row>
    <row r="1074" spans="1:11" ht="30" customHeight="1">
      <c r="A1074" s="12" t="s">
        <v>246</v>
      </c>
      <c r="B1074" s="12" t="s">
        <v>245</v>
      </c>
      <c r="C1074" s="12" t="s">
        <v>226</v>
      </c>
      <c r="D1074" s="12" t="s">
        <v>1303</v>
      </c>
      <c r="E1074" s="12" t="s">
        <v>1304</v>
      </c>
      <c r="F1074" s="13"/>
      <c r="G1074" s="12" t="s">
        <v>1297</v>
      </c>
      <c r="H1074" s="12" t="s">
        <v>1298</v>
      </c>
      <c r="I1074" s="13"/>
      <c r="J1074" s="12" t="s">
        <v>1305</v>
      </c>
      <c r="K1074" s="12" t="s">
        <v>1306</v>
      </c>
    </row>
    <row r="1075" spans="1:11" ht="30" customHeight="1">
      <c r="A1075" s="12" t="s">
        <v>258</v>
      </c>
      <c r="B1075" s="12" t="s">
        <v>257</v>
      </c>
      <c r="C1075" s="12" t="s">
        <v>226</v>
      </c>
      <c r="D1075" s="12" t="s">
        <v>423</v>
      </c>
      <c r="E1075" s="12" t="s">
        <v>1296</v>
      </c>
      <c r="F1075" s="13"/>
      <c r="G1075" s="12" t="s">
        <v>1297</v>
      </c>
      <c r="H1075" s="12" t="s">
        <v>1298</v>
      </c>
      <c r="I1075" s="13"/>
      <c r="J1075" s="12" t="s">
        <v>1299</v>
      </c>
      <c r="K1075" s="12" t="s">
        <v>1300</v>
      </c>
    </row>
    <row r="1076" spans="1:11" ht="30" customHeight="1">
      <c r="A1076" s="12" t="s">
        <v>258</v>
      </c>
      <c r="B1076" s="12" t="s">
        <v>257</v>
      </c>
      <c r="C1076" s="12" t="s">
        <v>226</v>
      </c>
      <c r="D1076" s="12" t="s">
        <v>425</v>
      </c>
      <c r="E1076" s="12" t="s">
        <v>228</v>
      </c>
      <c r="F1076" s="13"/>
      <c r="G1076" s="12" t="s">
        <v>1297</v>
      </c>
      <c r="H1076" s="12" t="s">
        <v>1298</v>
      </c>
      <c r="I1076" s="13"/>
      <c r="J1076" s="12" t="s">
        <v>1301</v>
      </c>
      <c r="K1076" s="12" t="s">
        <v>1302</v>
      </c>
    </row>
    <row r="1077" spans="1:11" ht="30" customHeight="1">
      <c r="A1077" s="12" t="s">
        <v>258</v>
      </c>
      <c r="B1077" s="12" t="s">
        <v>257</v>
      </c>
      <c r="C1077" s="12" t="s">
        <v>226</v>
      </c>
      <c r="D1077" s="12" t="s">
        <v>1303</v>
      </c>
      <c r="E1077" s="12" t="s">
        <v>1304</v>
      </c>
      <c r="F1077" s="13"/>
      <c r="G1077" s="12" t="s">
        <v>1297</v>
      </c>
      <c r="H1077" s="12" t="s">
        <v>1298</v>
      </c>
      <c r="I1077" s="13"/>
      <c r="J1077" s="12" t="s">
        <v>1305</v>
      </c>
      <c r="K1077" s="12" t="s">
        <v>1306</v>
      </c>
    </row>
    <row r="1078" spans="1:11" ht="30" customHeight="1">
      <c r="A1078" s="12" t="s">
        <v>316</v>
      </c>
      <c r="B1078" s="12" t="s">
        <v>312</v>
      </c>
      <c r="C1078" s="12" t="s">
        <v>313</v>
      </c>
      <c r="D1078" s="12" t="s">
        <v>424</v>
      </c>
      <c r="E1078" s="12" t="s">
        <v>31</v>
      </c>
      <c r="F1078" s="13"/>
      <c r="G1078" s="12" t="s">
        <v>1307</v>
      </c>
      <c r="H1078" s="12" t="s">
        <v>1308</v>
      </c>
      <c r="I1078" s="13"/>
      <c r="J1078" s="12" t="s">
        <v>1309</v>
      </c>
      <c r="K1078" s="12" t="s">
        <v>1310</v>
      </c>
    </row>
    <row r="1079" spans="1:11" ht="30" customHeight="1">
      <c r="A1079" s="12" t="s">
        <v>316</v>
      </c>
      <c r="B1079" s="12" t="s">
        <v>312</v>
      </c>
      <c r="C1079" s="12" t="s">
        <v>313</v>
      </c>
      <c r="D1079" s="12" t="s">
        <v>423</v>
      </c>
      <c r="E1079" s="12" t="s">
        <v>1311</v>
      </c>
      <c r="F1079" s="13"/>
      <c r="G1079" s="12" t="s">
        <v>1307</v>
      </c>
      <c r="H1079" s="12" t="s">
        <v>1308</v>
      </c>
      <c r="I1079" s="13"/>
      <c r="J1079" s="12" t="s">
        <v>1312</v>
      </c>
      <c r="K1079" s="12" t="s">
        <v>1313</v>
      </c>
    </row>
    <row r="1080" spans="1:11" ht="30" customHeight="1">
      <c r="A1080" s="12" t="s">
        <v>316</v>
      </c>
      <c r="B1080" s="12" t="s">
        <v>312</v>
      </c>
      <c r="C1080" s="12" t="s">
        <v>313</v>
      </c>
      <c r="D1080" s="12" t="s">
        <v>425</v>
      </c>
      <c r="E1080" s="12" t="s">
        <v>315</v>
      </c>
      <c r="F1080" s="13"/>
      <c r="G1080" s="12" t="s">
        <v>1307</v>
      </c>
      <c r="H1080" s="12" t="s">
        <v>1308</v>
      </c>
      <c r="I1080" s="13"/>
      <c r="J1080" s="12" t="s">
        <v>1314</v>
      </c>
      <c r="K1080" s="12" t="s">
        <v>1315</v>
      </c>
    </row>
    <row r="1081" spans="1:11" ht="30" customHeight="1">
      <c r="A1081" s="12" t="s">
        <v>316</v>
      </c>
      <c r="B1081" s="12" t="s">
        <v>312</v>
      </c>
      <c r="C1081" s="12" t="s">
        <v>313</v>
      </c>
      <c r="D1081" s="12" t="s">
        <v>1257</v>
      </c>
      <c r="E1081" s="12" t="s">
        <v>1316</v>
      </c>
      <c r="F1081" s="13"/>
      <c r="G1081" s="12" t="s">
        <v>1307</v>
      </c>
      <c r="H1081" s="12" t="s">
        <v>1308</v>
      </c>
      <c r="I1081" s="13"/>
      <c r="J1081" s="12" t="s">
        <v>1317</v>
      </c>
      <c r="K1081" s="12" t="s">
        <v>1318</v>
      </c>
    </row>
    <row r="1082" spans="1:11" ht="30" customHeight="1">
      <c r="A1082" s="12" t="s">
        <v>316</v>
      </c>
      <c r="B1082" s="12" t="s">
        <v>312</v>
      </c>
      <c r="C1082" s="12" t="s">
        <v>313</v>
      </c>
      <c r="D1082" s="12" t="s">
        <v>1303</v>
      </c>
      <c r="E1082" s="12" t="s">
        <v>1319</v>
      </c>
      <c r="F1082" s="13"/>
      <c r="G1082" s="12" t="s">
        <v>1307</v>
      </c>
      <c r="H1082" s="12" t="s">
        <v>1308</v>
      </c>
      <c r="I1082" s="13"/>
      <c r="J1082" s="12" t="s">
        <v>1320</v>
      </c>
      <c r="K1082" s="12" t="s">
        <v>1321</v>
      </c>
    </row>
    <row r="1083" spans="1:11" ht="30" customHeight="1">
      <c r="A1083" s="12" t="s">
        <v>338</v>
      </c>
      <c r="B1083" s="12" t="s">
        <v>337</v>
      </c>
      <c r="C1083" s="12" t="s">
        <v>313</v>
      </c>
      <c r="D1083" s="12" t="s">
        <v>424</v>
      </c>
      <c r="E1083" s="12" t="s">
        <v>31</v>
      </c>
      <c r="F1083" s="13"/>
      <c r="G1083" s="12" t="s">
        <v>1307</v>
      </c>
      <c r="H1083" s="12" t="s">
        <v>1308</v>
      </c>
      <c r="I1083" s="13"/>
      <c r="J1083" s="12" t="s">
        <v>1309</v>
      </c>
      <c r="K1083" s="12" t="s">
        <v>1310</v>
      </c>
    </row>
    <row r="1084" spans="1:11" ht="30" customHeight="1">
      <c r="A1084" s="12" t="s">
        <v>338</v>
      </c>
      <c r="B1084" s="12" t="s">
        <v>337</v>
      </c>
      <c r="C1084" s="12" t="s">
        <v>313</v>
      </c>
      <c r="D1084" s="12" t="s">
        <v>423</v>
      </c>
      <c r="E1084" s="12" t="s">
        <v>1311</v>
      </c>
      <c r="F1084" s="13"/>
      <c r="G1084" s="12" t="s">
        <v>1307</v>
      </c>
      <c r="H1084" s="12" t="s">
        <v>1308</v>
      </c>
      <c r="I1084" s="13"/>
      <c r="J1084" s="12" t="s">
        <v>1312</v>
      </c>
      <c r="K1084" s="12" t="s">
        <v>1313</v>
      </c>
    </row>
    <row r="1085" spans="1:11" ht="30" customHeight="1">
      <c r="A1085" s="12" t="s">
        <v>338</v>
      </c>
      <c r="B1085" s="12" t="s">
        <v>337</v>
      </c>
      <c r="C1085" s="12" t="s">
        <v>313</v>
      </c>
      <c r="D1085" s="12" t="s">
        <v>425</v>
      </c>
      <c r="E1085" s="12" t="s">
        <v>315</v>
      </c>
      <c r="F1085" s="13"/>
      <c r="G1085" s="12" t="s">
        <v>1307</v>
      </c>
      <c r="H1085" s="12" t="s">
        <v>1308</v>
      </c>
      <c r="I1085" s="13"/>
      <c r="J1085" s="12" t="s">
        <v>1314</v>
      </c>
      <c r="K1085" s="12" t="s">
        <v>1315</v>
      </c>
    </row>
    <row r="1086" spans="1:11" ht="30" customHeight="1">
      <c r="A1086" s="12" t="s">
        <v>338</v>
      </c>
      <c r="B1086" s="12" t="s">
        <v>337</v>
      </c>
      <c r="C1086" s="12" t="s">
        <v>313</v>
      </c>
      <c r="D1086" s="12" t="s">
        <v>1257</v>
      </c>
      <c r="E1086" s="12" t="s">
        <v>1316</v>
      </c>
      <c r="F1086" s="13"/>
      <c r="G1086" s="12" t="s">
        <v>1307</v>
      </c>
      <c r="H1086" s="12" t="s">
        <v>1308</v>
      </c>
      <c r="I1086" s="13"/>
      <c r="J1086" s="12" t="s">
        <v>1317</v>
      </c>
      <c r="K1086" s="12" t="s">
        <v>1318</v>
      </c>
    </row>
    <row r="1087" spans="1:11" ht="30" customHeight="1">
      <c r="A1087" s="12" t="s">
        <v>338</v>
      </c>
      <c r="B1087" s="12" t="s">
        <v>337</v>
      </c>
      <c r="C1087" s="12" t="s">
        <v>313</v>
      </c>
      <c r="D1087" s="12" t="s">
        <v>1303</v>
      </c>
      <c r="E1087" s="12" t="s">
        <v>1319</v>
      </c>
      <c r="F1087" s="13"/>
      <c r="G1087" s="12" t="s">
        <v>1307</v>
      </c>
      <c r="H1087" s="12" t="s">
        <v>1308</v>
      </c>
      <c r="I1087" s="13"/>
      <c r="J1087" s="12" t="s">
        <v>1320</v>
      </c>
      <c r="K1087" s="12" t="s">
        <v>1321</v>
      </c>
    </row>
    <row r="1088" spans="1:11" ht="30" customHeight="1">
      <c r="A1088" s="12" t="s">
        <v>320</v>
      </c>
      <c r="B1088" s="12" t="s">
        <v>319</v>
      </c>
      <c r="C1088" s="12" t="s">
        <v>313</v>
      </c>
      <c r="D1088" s="12" t="s">
        <v>424</v>
      </c>
      <c r="E1088" s="12" t="s">
        <v>31</v>
      </c>
      <c r="F1088" s="13"/>
      <c r="G1088" s="12" t="s">
        <v>1307</v>
      </c>
      <c r="H1088" s="12" t="s">
        <v>1308</v>
      </c>
      <c r="I1088" s="13"/>
      <c r="J1088" s="12" t="s">
        <v>1309</v>
      </c>
      <c r="K1088" s="12" t="s">
        <v>1310</v>
      </c>
    </row>
    <row r="1089" spans="1:11" ht="30" customHeight="1">
      <c r="A1089" s="12" t="s">
        <v>320</v>
      </c>
      <c r="B1089" s="12" t="s">
        <v>319</v>
      </c>
      <c r="C1089" s="12" t="s">
        <v>313</v>
      </c>
      <c r="D1089" s="12" t="s">
        <v>423</v>
      </c>
      <c r="E1089" s="12" t="s">
        <v>1311</v>
      </c>
      <c r="F1089" s="13"/>
      <c r="G1089" s="12" t="s">
        <v>1307</v>
      </c>
      <c r="H1089" s="12" t="s">
        <v>1308</v>
      </c>
      <c r="I1089" s="13"/>
      <c r="J1089" s="12" t="s">
        <v>1312</v>
      </c>
      <c r="K1089" s="12" t="s">
        <v>1313</v>
      </c>
    </row>
    <row r="1090" spans="1:11" ht="30" customHeight="1">
      <c r="A1090" s="12" t="s">
        <v>320</v>
      </c>
      <c r="B1090" s="12" t="s">
        <v>319</v>
      </c>
      <c r="C1090" s="12" t="s">
        <v>313</v>
      </c>
      <c r="D1090" s="12" t="s">
        <v>425</v>
      </c>
      <c r="E1090" s="12" t="s">
        <v>315</v>
      </c>
      <c r="F1090" s="13"/>
      <c r="G1090" s="12" t="s">
        <v>1307</v>
      </c>
      <c r="H1090" s="12" t="s">
        <v>1308</v>
      </c>
      <c r="I1090" s="13"/>
      <c r="J1090" s="12" t="s">
        <v>1314</v>
      </c>
      <c r="K1090" s="12" t="s">
        <v>1315</v>
      </c>
    </row>
    <row r="1091" spans="1:11" ht="30" customHeight="1">
      <c r="A1091" s="12" t="s">
        <v>320</v>
      </c>
      <c r="B1091" s="12" t="s">
        <v>319</v>
      </c>
      <c r="C1091" s="12" t="s">
        <v>313</v>
      </c>
      <c r="D1091" s="12" t="s">
        <v>1257</v>
      </c>
      <c r="E1091" s="12" t="s">
        <v>1316</v>
      </c>
      <c r="F1091" s="13"/>
      <c r="G1091" s="12" t="s">
        <v>1307</v>
      </c>
      <c r="H1091" s="12" t="s">
        <v>1308</v>
      </c>
      <c r="I1091" s="13"/>
      <c r="J1091" s="12" t="s">
        <v>1317</v>
      </c>
      <c r="K1091" s="12" t="s">
        <v>1318</v>
      </c>
    </row>
    <row r="1092" spans="1:11" ht="30" customHeight="1">
      <c r="A1092" s="12" t="s">
        <v>320</v>
      </c>
      <c r="B1092" s="12" t="s">
        <v>319</v>
      </c>
      <c r="C1092" s="12" t="s">
        <v>313</v>
      </c>
      <c r="D1092" s="12" t="s">
        <v>1303</v>
      </c>
      <c r="E1092" s="12" t="s">
        <v>1319</v>
      </c>
      <c r="F1092" s="13"/>
      <c r="G1092" s="12" t="s">
        <v>1307</v>
      </c>
      <c r="H1092" s="12" t="s">
        <v>1308</v>
      </c>
      <c r="I1092" s="13"/>
      <c r="J1092" s="12" t="s">
        <v>1320</v>
      </c>
      <c r="K1092" s="12" t="s">
        <v>1321</v>
      </c>
    </row>
    <row r="1093" spans="1:11" ht="30" customHeight="1">
      <c r="A1093" s="12" t="s">
        <v>335</v>
      </c>
      <c r="B1093" s="12" t="s">
        <v>334</v>
      </c>
      <c r="C1093" s="12" t="s">
        <v>313</v>
      </c>
      <c r="D1093" s="12" t="s">
        <v>424</v>
      </c>
      <c r="E1093" s="12" t="s">
        <v>31</v>
      </c>
      <c r="F1093" s="13"/>
      <c r="G1093" s="12" t="s">
        <v>1307</v>
      </c>
      <c r="H1093" s="12" t="s">
        <v>1308</v>
      </c>
      <c r="I1093" s="13"/>
      <c r="J1093" s="12" t="s">
        <v>1309</v>
      </c>
      <c r="K1093" s="12" t="s">
        <v>1310</v>
      </c>
    </row>
    <row r="1094" spans="1:11" ht="30" customHeight="1">
      <c r="A1094" s="12" t="s">
        <v>335</v>
      </c>
      <c r="B1094" s="12" t="s">
        <v>334</v>
      </c>
      <c r="C1094" s="12" t="s">
        <v>313</v>
      </c>
      <c r="D1094" s="12" t="s">
        <v>423</v>
      </c>
      <c r="E1094" s="12" t="s">
        <v>1311</v>
      </c>
      <c r="F1094" s="13"/>
      <c r="G1094" s="12" t="s">
        <v>1307</v>
      </c>
      <c r="H1094" s="12" t="s">
        <v>1308</v>
      </c>
      <c r="I1094" s="13"/>
      <c r="J1094" s="12" t="s">
        <v>1312</v>
      </c>
      <c r="K1094" s="12" t="s">
        <v>1313</v>
      </c>
    </row>
    <row r="1095" spans="1:11" ht="30" customHeight="1">
      <c r="A1095" s="12" t="s">
        <v>335</v>
      </c>
      <c r="B1095" s="12" t="s">
        <v>334</v>
      </c>
      <c r="C1095" s="12" t="s">
        <v>313</v>
      </c>
      <c r="D1095" s="12" t="s">
        <v>425</v>
      </c>
      <c r="E1095" s="12" t="s">
        <v>315</v>
      </c>
      <c r="F1095" s="13"/>
      <c r="G1095" s="12" t="s">
        <v>1307</v>
      </c>
      <c r="H1095" s="12" t="s">
        <v>1308</v>
      </c>
      <c r="I1095" s="13"/>
      <c r="J1095" s="12" t="s">
        <v>1314</v>
      </c>
      <c r="K1095" s="12" t="s">
        <v>1315</v>
      </c>
    </row>
    <row r="1096" spans="1:11" ht="30" customHeight="1">
      <c r="A1096" s="12" t="s">
        <v>335</v>
      </c>
      <c r="B1096" s="12" t="s">
        <v>334</v>
      </c>
      <c r="C1096" s="12" t="s">
        <v>313</v>
      </c>
      <c r="D1096" s="12" t="s">
        <v>1257</v>
      </c>
      <c r="E1096" s="12" t="s">
        <v>1322</v>
      </c>
      <c r="F1096" s="13"/>
      <c r="G1096" s="12" t="s">
        <v>1307</v>
      </c>
      <c r="H1096" s="12" t="s">
        <v>1308</v>
      </c>
      <c r="I1096" s="13"/>
      <c r="J1096" s="12" t="s">
        <v>1317</v>
      </c>
      <c r="K1096" s="12" t="s">
        <v>1318</v>
      </c>
    </row>
    <row r="1097" spans="1:11" ht="30" customHeight="1">
      <c r="A1097" s="12" t="s">
        <v>335</v>
      </c>
      <c r="B1097" s="12" t="s">
        <v>334</v>
      </c>
      <c r="C1097" s="12" t="s">
        <v>313</v>
      </c>
      <c r="D1097" s="12" t="s">
        <v>1303</v>
      </c>
      <c r="E1097" s="12" t="s">
        <v>1323</v>
      </c>
      <c r="F1097" s="13"/>
      <c r="G1097" s="12" t="s">
        <v>1307</v>
      </c>
      <c r="H1097" s="12" t="s">
        <v>1308</v>
      </c>
      <c r="I1097" s="13"/>
      <c r="J1097" s="12" t="s">
        <v>1320</v>
      </c>
      <c r="K1097" s="12" t="s">
        <v>1321</v>
      </c>
    </row>
    <row r="1098" spans="1:11" ht="30" customHeight="1">
      <c r="A1098" s="12" t="s">
        <v>329</v>
      </c>
      <c r="B1098" s="12" t="s">
        <v>328</v>
      </c>
      <c r="C1098" s="12" t="s">
        <v>313</v>
      </c>
      <c r="D1098" s="12" t="s">
        <v>424</v>
      </c>
      <c r="E1098" s="12" t="s">
        <v>31</v>
      </c>
      <c r="F1098" s="13"/>
      <c r="G1098" s="12" t="s">
        <v>1307</v>
      </c>
      <c r="H1098" s="12" t="s">
        <v>1308</v>
      </c>
      <c r="I1098" s="13"/>
      <c r="J1098" s="12" t="s">
        <v>1309</v>
      </c>
      <c r="K1098" s="12" t="s">
        <v>1310</v>
      </c>
    </row>
    <row r="1099" spans="1:11" ht="30" customHeight="1">
      <c r="A1099" s="12" t="s">
        <v>329</v>
      </c>
      <c r="B1099" s="12" t="s">
        <v>328</v>
      </c>
      <c r="C1099" s="12" t="s">
        <v>313</v>
      </c>
      <c r="D1099" s="12" t="s">
        <v>423</v>
      </c>
      <c r="E1099" s="12" t="s">
        <v>1311</v>
      </c>
      <c r="F1099" s="13"/>
      <c r="G1099" s="12" t="s">
        <v>1307</v>
      </c>
      <c r="H1099" s="12" t="s">
        <v>1308</v>
      </c>
      <c r="I1099" s="13"/>
      <c r="J1099" s="12" t="s">
        <v>1312</v>
      </c>
      <c r="K1099" s="12" t="s">
        <v>1313</v>
      </c>
    </row>
    <row r="1100" spans="1:11" ht="30" customHeight="1">
      <c r="A1100" s="12" t="s">
        <v>329</v>
      </c>
      <c r="B1100" s="12" t="s">
        <v>328</v>
      </c>
      <c r="C1100" s="12" t="s">
        <v>313</v>
      </c>
      <c r="D1100" s="12" t="s">
        <v>425</v>
      </c>
      <c r="E1100" s="12" t="s">
        <v>315</v>
      </c>
      <c r="F1100" s="13"/>
      <c r="G1100" s="12" t="s">
        <v>1307</v>
      </c>
      <c r="H1100" s="12" t="s">
        <v>1308</v>
      </c>
      <c r="I1100" s="13"/>
      <c r="J1100" s="12" t="s">
        <v>1314</v>
      </c>
      <c r="K1100" s="12" t="s">
        <v>1315</v>
      </c>
    </row>
    <row r="1101" spans="1:11" ht="30" customHeight="1">
      <c r="A1101" s="12" t="s">
        <v>329</v>
      </c>
      <c r="B1101" s="12" t="s">
        <v>328</v>
      </c>
      <c r="C1101" s="12" t="s">
        <v>313</v>
      </c>
      <c r="D1101" s="12" t="s">
        <v>1257</v>
      </c>
      <c r="E1101" s="12" t="s">
        <v>1316</v>
      </c>
      <c r="F1101" s="13"/>
      <c r="G1101" s="12" t="s">
        <v>1307</v>
      </c>
      <c r="H1101" s="12" t="s">
        <v>1308</v>
      </c>
      <c r="I1101" s="13"/>
      <c r="J1101" s="12" t="s">
        <v>1317</v>
      </c>
      <c r="K1101" s="12" t="s">
        <v>1318</v>
      </c>
    </row>
    <row r="1102" spans="1:11" ht="30" customHeight="1">
      <c r="A1102" s="12" t="s">
        <v>329</v>
      </c>
      <c r="B1102" s="12" t="s">
        <v>328</v>
      </c>
      <c r="C1102" s="12" t="s">
        <v>313</v>
      </c>
      <c r="D1102" s="12" t="s">
        <v>1303</v>
      </c>
      <c r="E1102" s="12" t="s">
        <v>1324</v>
      </c>
      <c r="F1102" s="13"/>
      <c r="G1102" s="12" t="s">
        <v>1307</v>
      </c>
      <c r="H1102" s="12" t="s">
        <v>1308</v>
      </c>
      <c r="I1102" s="13"/>
      <c r="J1102" s="12" t="s">
        <v>1320</v>
      </c>
      <c r="K1102" s="12" t="s">
        <v>1321</v>
      </c>
    </row>
    <row r="1103" spans="1:11" ht="30" customHeight="1">
      <c r="A1103" s="12" t="s">
        <v>323</v>
      </c>
      <c r="B1103" s="12" t="s">
        <v>322</v>
      </c>
      <c r="C1103" s="12" t="s">
        <v>313</v>
      </c>
      <c r="D1103" s="12" t="s">
        <v>424</v>
      </c>
      <c r="E1103" s="12" t="s">
        <v>31</v>
      </c>
      <c r="F1103" s="13"/>
      <c r="G1103" s="12" t="s">
        <v>1307</v>
      </c>
      <c r="H1103" s="12" t="s">
        <v>1308</v>
      </c>
      <c r="I1103" s="13"/>
      <c r="J1103" s="12" t="s">
        <v>1309</v>
      </c>
      <c r="K1103" s="12" t="s">
        <v>1310</v>
      </c>
    </row>
    <row r="1104" spans="1:11" ht="30" customHeight="1">
      <c r="A1104" s="12" t="s">
        <v>323</v>
      </c>
      <c r="B1104" s="12" t="s">
        <v>322</v>
      </c>
      <c r="C1104" s="12" t="s">
        <v>313</v>
      </c>
      <c r="D1104" s="12" t="s">
        <v>423</v>
      </c>
      <c r="E1104" s="12" t="s">
        <v>1311</v>
      </c>
      <c r="F1104" s="13"/>
      <c r="G1104" s="12" t="s">
        <v>1307</v>
      </c>
      <c r="H1104" s="12" t="s">
        <v>1308</v>
      </c>
      <c r="I1104" s="13"/>
      <c r="J1104" s="12" t="s">
        <v>1312</v>
      </c>
      <c r="K1104" s="12" t="s">
        <v>1313</v>
      </c>
    </row>
    <row r="1105" spans="1:11" ht="30" customHeight="1">
      <c r="A1105" s="12" t="s">
        <v>323</v>
      </c>
      <c r="B1105" s="12" t="s">
        <v>322</v>
      </c>
      <c r="C1105" s="12" t="s">
        <v>313</v>
      </c>
      <c r="D1105" s="12" t="s">
        <v>425</v>
      </c>
      <c r="E1105" s="12" t="s">
        <v>315</v>
      </c>
      <c r="F1105" s="13"/>
      <c r="G1105" s="12" t="s">
        <v>1307</v>
      </c>
      <c r="H1105" s="12" t="s">
        <v>1308</v>
      </c>
      <c r="I1105" s="13"/>
      <c r="J1105" s="12" t="s">
        <v>1314</v>
      </c>
      <c r="K1105" s="12" t="s">
        <v>1315</v>
      </c>
    </row>
    <row r="1106" spans="1:11" ht="30" customHeight="1">
      <c r="A1106" s="12" t="s">
        <v>323</v>
      </c>
      <c r="B1106" s="12" t="s">
        <v>322</v>
      </c>
      <c r="C1106" s="12" t="s">
        <v>313</v>
      </c>
      <c r="D1106" s="12" t="s">
        <v>1257</v>
      </c>
      <c r="E1106" s="12" t="s">
        <v>1325</v>
      </c>
      <c r="F1106" s="13"/>
      <c r="G1106" s="12" t="s">
        <v>1307</v>
      </c>
      <c r="H1106" s="12" t="s">
        <v>1308</v>
      </c>
      <c r="I1106" s="13"/>
      <c r="J1106" s="12" t="s">
        <v>1317</v>
      </c>
      <c r="K1106" s="12" t="s">
        <v>1318</v>
      </c>
    </row>
    <row r="1107" spans="1:11" ht="30" customHeight="1">
      <c r="A1107" s="12" t="s">
        <v>323</v>
      </c>
      <c r="B1107" s="12" t="s">
        <v>322</v>
      </c>
      <c r="C1107" s="12" t="s">
        <v>313</v>
      </c>
      <c r="D1107" s="12" t="s">
        <v>1303</v>
      </c>
      <c r="E1107" s="12" t="s">
        <v>1326</v>
      </c>
      <c r="F1107" s="13"/>
      <c r="G1107" s="12" t="s">
        <v>1307</v>
      </c>
      <c r="H1107" s="12" t="s">
        <v>1308</v>
      </c>
      <c r="I1107" s="13"/>
      <c r="J1107" s="12" t="s">
        <v>1320</v>
      </c>
      <c r="K1107" s="12" t="s">
        <v>1321</v>
      </c>
    </row>
    <row r="1108" spans="1:11" ht="30" customHeight="1">
      <c r="A1108" s="12" t="s">
        <v>326</v>
      </c>
      <c r="B1108" s="12" t="s">
        <v>325</v>
      </c>
      <c r="C1108" s="12" t="s">
        <v>313</v>
      </c>
      <c r="D1108" s="12" t="s">
        <v>424</v>
      </c>
      <c r="E1108" s="12" t="s">
        <v>31</v>
      </c>
      <c r="F1108" s="13"/>
      <c r="G1108" s="12" t="s">
        <v>1307</v>
      </c>
      <c r="H1108" s="12" t="s">
        <v>1308</v>
      </c>
      <c r="I1108" s="13"/>
      <c r="J1108" s="12" t="s">
        <v>1309</v>
      </c>
      <c r="K1108" s="12" t="s">
        <v>1310</v>
      </c>
    </row>
    <row r="1109" spans="1:11" ht="30" customHeight="1">
      <c r="A1109" s="12" t="s">
        <v>326</v>
      </c>
      <c r="B1109" s="12" t="s">
        <v>325</v>
      </c>
      <c r="C1109" s="12" t="s">
        <v>313</v>
      </c>
      <c r="D1109" s="12" t="s">
        <v>423</v>
      </c>
      <c r="E1109" s="12" t="s">
        <v>1311</v>
      </c>
      <c r="F1109" s="13"/>
      <c r="G1109" s="12" t="s">
        <v>1307</v>
      </c>
      <c r="H1109" s="12" t="s">
        <v>1308</v>
      </c>
      <c r="I1109" s="13"/>
      <c r="J1109" s="12" t="s">
        <v>1312</v>
      </c>
      <c r="K1109" s="12" t="s">
        <v>1313</v>
      </c>
    </row>
    <row r="1110" spans="1:11" ht="30" customHeight="1">
      <c r="A1110" s="12" t="s">
        <v>326</v>
      </c>
      <c r="B1110" s="12" t="s">
        <v>325</v>
      </c>
      <c r="C1110" s="12" t="s">
        <v>313</v>
      </c>
      <c r="D1110" s="12" t="s">
        <v>425</v>
      </c>
      <c r="E1110" s="12" t="s">
        <v>315</v>
      </c>
      <c r="F1110" s="13"/>
      <c r="G1110" s="12" t="s">
        <v>1307</v>
      </c>
      <c r="H1110" s="12" t="s">
        <v>1308</v>
      </c>
      <c r="I1110" s="13"/>
      <c r="J1110" s="12" t="s">
        <v>1314</v>
      </c>
      <c r="K1110" s="12" t="s">
        <v>1315</v>
      </c>
    </row>
    <row r="1111" spans="1:11" ht="30" customHeight="1">
      <c r="A1111" s="12" t="s">
        <v>326</v>
      </c>
      <c r="B1111" s="12" t="s">
        <v>325</v>
      </c>
      <c r="C1111" s="12" t="s">
        <v>313</v>
      </c>
      <c r="D1111" s="12" t="s">
        <v>1257</v>
      </c>
      <c r="E1111" s="12" t="s">
        <v>1327</v>
      </c>
      <c r="F1111" s="13"/>
      <c r="G1111" s="12" t="s">
        <v>1307</v>
      </c>
      <c r="H1111" s="12" t="s">
        <v>1308</v>
      </c>
      <c r="I1111" s="13"/>
      <c r="J1111" s="12" t="s">
        <v>1317</v>
      </c>
      <c r="K1111" s="12" t="s">
        <v>1318</v>
      </c>
    </row>
    <row r="1112" spans="1:11" ht="30" customHeight="1">
      <c r="A1112" s="12" t="s">
        <v>326</v>
      </c>
      <c r="B1112" s="12" t="s">
        <v>325</v>
      </c>
      <c r="C1112" s="12" t="s">
        <v>313</v>
      </c>
      <c r="D1112" s="12" t="s">
        <v>1303</v>
      </c>
      <c r="E1112" s="12" t="s">
        <v>1328</v>
      </c>
      <c r="F1112" s="13"/>
      <c r="G1112" s="12" t="s">
        <v>1307</v>
      </c>
      <c r="H1112" s="12" t="s">
        <v>1308</v>
      </c>
      <c r="I1112" s="13"/>
      <c r="J1112" s="12" t="s">
        <v>1320</v>
      </c>
      <c r="K1112" s="12" t="s">
        <v>1321</v>
      </c>
    </row>
    <row r="1113" spans="1:11" ht="30" customHeight="1">
      <c r="A1113" s="12" t="s">
        <v>341</v>
      </c>
      <c r="B1113" s="12" t="s">
        <v>340</v>
      </c>
      <c r="C1113" s="12" t="s">
        <v>313</v>
      </c>
      <c r="D1113" s="12" t="s">
        <v>424</v>
      </c>
      <c r="E1113" s="12" t="s">
        <v>31</v>
      </c>
      <c r="F1113" s="13"/>
      <c r="G1113" s="12" t="s">
        <v>1307</v>
      </c>
      <c r="H1113" s="12" t="s">
        <v>1308</v>
      </c>
      <c r="I1113" s="13"/>
      <c r="J1113" s="12" t="s">
        <v>1309</v>
      </c>
      <c r="K1113" s="12" t="s">
        <v>1310</v>
      </c>
    </row>
    <row r="1114" spans="1:11" ht="30" customHeight="1">
      <c r="A1114" s="12" t="s">
        <v>341</v>
      </c>
      <c r="B1114" s="12" t="s">
        <v>340</v>
      </c>
      <c r="C1114" s="12" t="s">
        <v>313</v>
      </c>
      <c r="D1114" s="12" t="s">
        <v>423</v>
      </c>
      <c r="E1114" s="12" t="s">
        <v>1311</v>
      </c>
      <c r="F1114" s="13"/>
      <c r="G1114" s="12" t="s">
        <v>1307</v>
      </c>
      <c r="H1114" s="12" t="s">
        <v>1308</v>
      </c>
      <c r="I1114" s="13"/>
      <c r="J1114" s="12" t="s">
        <v>1312</v>
      </c>
      <c r="K1114" s="12" t="s">
        <v>1313</v>
      </c>
    </row>
    <row r="1115" spans="1:11" ht="30" customHeight="1">
      <c r="A1115" s="12" t="s">
        <v>341</v>
      </c>
      <c r="B1115" s="12" t="s">
        <v>340</v>
      </c>
      <c r="C1115" s="12" t="s">
        <v>313</v>
      </c>
      <c r="D1115" s="12" t="s">
        <v>425</v>
      </c>
      <c r="E1115" s="12" t="s">
        <v>315</v>
      </c>
      <c r="F1115" s="13"/>
      <c r="G1115" s="12" t="s">
        <v>1307</v>
      </c>
      <c r="H1115" s="12" t="s">
        <v>1308</v>
      </c>
      <c r="I1115" s="13"/>
      <c r="J1115" s="12" t="s">
        <v>1314</v>
      </c>
      <c r="K1115" s="12" t="s">
        <v>1315</v>
      </c>
    </row>
    <row r="1116" spans="1:11" ht="30" customHeight="1">
      <c r="A1116" s="12" t="s">
        <v>341</v>
      </c>
      <c r="B1116" s="12" t="s">
        <v>340</v>
      </c>
      <c r="C1116" s="12" t="s">
        <v>313</v>
      </c>
      <c r="D1116" s="12" t="s">
        <v>1257</v>
      </c>
      <c r="E1116" s="12" t="s">
        <v>1316</v>
      </c>
      <c r="F1116" s="13"/>
      <c r="G1116" s="12" t="s">
        <v>1307</v>
      </c>
      <c r="H1116" s="12" t="s">
        <v>1308</v>
      </c>
      <c r="I1116" s="13"/>
      <c r="J1116" s="12" t="s">
        <v>1317</v>
      </c>
      <c r="K1116" s="12" t="s">
        <v>1318</v>
      </c>
    </row>
    <row r="1117" spans="1:11" ht="30" customHeight="1">
      <c r="A1117" s="12" t="s">
        <v>341</v>
      </c>
      <c r="B1117" s="12" t="s">
        <v>340</v>
      </c>
      <c r="C1117" s="12" t="s">
        <v>313</v>
      </c>
      <c r="D1117" s="12" t="s">
        <v>1303</v>
      </c>
      <c r="E1117" s="12" t="s">
        <v>1319</v>
      </c>
      <c r="F1117" s="13"/>
      <c r="G1117" s="12" t="s">
        <v>1307</v>
      </c>
      <c r="H1117" s="12" t="s">
        <v>1308</v>
      </c>
      <c r="I1117" s="13"/>
      <c r="J1117" s="12" t="s">
        <v>1320</v>
      </c>
      <c r="K1117" s="12" t="s">
        <v>1321</v>
      </c>
    </row>
    <row r="1118" spans="1:11" ht="30" customHeight="1">
      <c r="A1118" s="12" t="s">
        <v>344</v>
      </c>
      <c r="B1118" s="12" t="s">
        <v>343</v>
      </c>
      <c r="C1118" s="12" t="s">
        <v>313</v>
      </c>
      <c r="D1118" s="12" t="s">
        <v>424</v>
      </c>
      <c r="E1118" s="12" t="s">
        <v>31</v>
      </c>
      <c r="F1118" s="13"/>
      <c r="G1118" s="12" t="s">
        <v>1307</v>
      </c>
      <c r="H1118" s="12" t="s">
        <v>1308</v>
      </c>
      <c r="I1118" s="13"/>
      <c r="J1118" s="12" t="s">
        <v>1309</v>
      </c>
      <c r="K1118" s="12" t="s">
        <v>1310</v>
      </c>
    </row>
    <row r="1119" spans="1:11" ht="30" customHeight="1">
      <c r="A1119" s="12" t="s">
        <v>344</v>
      </c>
      <c r="B1119" s="12" t="s">
        <v>343</v>
      </c>
      <c r="C1119" s="12" t="s">
        <v>313</v>
      </c>
      <c r="D1119" s="12" t="s">
        <v>423</v>
      </c>
      <c r="E1119" s="12" t="s">
        <v>1311</v>
      </c>
      <c r="F1119" s="13"/>
      <c r="G1119" s="12" t="s">
        <v>1307</v>
      </c>
      <c r="H1119" s="12" t="s">
        <v>1308</v>
      </c>
      <c r="I1119" s="13"/>
      <c r="J1119" s="12" t="s">
        <v>1312</v>
      </c>
      <c r="K1119" s="12" t="s">
        <v>1313</v>
      </c>
    </row>
    <row r="1120" spans="1:11" ht="30" customHeight="1">
      <c r="A1120" s="12" t="s">
        <v>344</v>
      </c>
      <c r="B1120" s="12" t="s">
        <v>343</v>
      </c>
      <c r="C1120" s="12" t="s">
        <v>313</v>
      </c>
      <c r="D1120" s="12" t="s">
        <v>425</v>
      </c>
      <c r="E1120" s="12" t="s">
        <v>315</v>
      </c>
      <c r="F1120" s="13"/>
      <c r="G1120" s="12" t="s">
        <v>1307</v>
      </c>
      <c r="H1120" s="12" t="s">
        <v>1308</v>
      </c>
      <c r="I1120" s="13"/>
      <c r="J1120" s="12" t="s">
        <v>1314</v>
      </c>
      <c r="K1120" s="12" t="s">
        <v>1315</v>
      </c>
    </row>
    <row r="1121" spans="1:11" ht="30" customHeight="1">
      <c r="A1121" s="12" t="s">
        <v>344</v>
      </c>
      <c r="B1121" s="12" t="s">
        <v>343</v>
      </c>
      <c r="C1121" s="12" t="s">
        <v>313</v>
      </c>
      <c r="D1121" s="12" t="s">
        <v>1257</v>
      </c>
      <c r="E1121" s="12" t="s">
        <v>1316</v>
      </c>
      <c r="F1121" s="13"/>
      <c r="G1121" s="12" t="s">
        <v>1307</v>
      </c>
      <c r="H1121" s="12" t="s">
        <v>1308</v>
      </c>
      <c r="I1121" s="13"/>
      <c r="J1121" s="12" t="s">
        <v>1317</v>
      </c>
      <c r="K1121" s="12" t="s">
        <v>1318</v>
      </c>
    </row>
    <row r="1122" spans="1:11" ht="30" customHeight="1">
      <c r="A1122" s="12" t="s">
        <v>344</v>
      </c>
      <c r="B1122" s="12" t="s">
        <v>343</v>
      </c>
      <c r="C1122" s="12" t="s">
        <v>313</v>
      </c>
      <c r="D1122" s="12" t="s">
        <v>1303</v>
      </c>
      <c r="E1122" s="12" t="s">
        <v>1319</v>
      </c>
      <c r="F1122" s="13"/>
      <c r="G1122" s="12" t="s">
        <v>1307</v>
      </c>
      <c r="H1122" s="12" t="s">
        <v>1308</v>
      </c>
      <c r="I1122" s="13"/>
      <c r="J1122" s="12" t="s">
        <v>1320</v>
      </c>
      <c r="K1122" s="12" t="s">
        <v>1321</v>
      </c>
    </row>
    <row r="1123" spans="1:11" ht="30" customHeight="1">
      <c r="A1123" s="12" t="s">
        <v>332</v>
      </c>
      <c r="B1123" s="12" t="s">
        <v>331</v>
      </c>
      <c r="C1123" s="12" t="s">
        <v>313</v>
      </c>
      <c r="D1123" s="12" t="s">
        <v>424</v>
      </c>
      <c r="E1123" s="12" t="s">
        <v>31</v>
      </c>
      <c r="F1123" s="13"/>
      <c r="G1123" s="12" t="s">
        <v>1307</v>
      </c>
      <c r="H1123" s="12" t="s">
        <v>1308</v>
      </c>
      <c r="I1123" s="13"/>
      <c r="J1123" s="12" t="s">
        <v>1309</v>
      </c>
      <c r="K1123" s="12" t="s">
        <v>1310</v>
      </c>
    </row>
    <row r="1124" spans="1:11" ht="30" customHeight="1">
      <c r="A1124" s="12" t="s">
        <v>332</v>
      </c>
      <c r="B1124" s="12" t="s">
        <v>331</v>
      </c>
      <c r="C1124" s="12" t="s">
        <v>313</v>
      </c>
      <c r="D1124" s="12" t="s">
        <v>423</v>
      </c>
      <c r="E1124" s="12" t="s">
        <v>1311</v>
      </c>
      <c r="F1124" s="13"/>
      <c r="G1124" s="12" t="s">
        <v>1307</v>
      </c>
      <c r="H1124" s="12" t="s">
        <v>1308</v>
      </c>
      <c r="I1124" s="13"/>
      <c r="J1124" s="12" t="s">
        <v>1312</v>
      </c>
      <c r="K1124" s="12" t="s">
        <v>1313</v>
      </c>
    </row>
    <row r="1125" spans="1:11" ht="30" customHeight="1">
      <c r="A1125" s="12" t="s">
        <v>332</v>
      </c>
      <c r="B1125" s="12" t="s">
        <v>331</v>
      </c>
      <c r="C1125" s="12" t="s">
        <v>313</v>
      </c>
      <c r="D1125" s="12" t="s">
        <v>425</v>
      </c>
      <c r="E1125" s="12" t="s">
        <v>315</v>
      </c>
      <c r="F1125" s="13"/>
      <c r="G1125" s="12" t="s">
        <v>1307</v>
      </c>
      <c r="H1125" s="12" t="s">
        <v>1308</v>
      </c>
      <c r="I1125" s="13"/>
      <c r="J1125" s="12" t="s">
        <v>1314</v>
      </c>
      <c r="K1125" s="12" t="s">
        <v>1315</v>
      </c>
    </row>
    <row r="1126" spans="1:11" ht="30" customHeight="1">
      <c r="A1126" s="12" t="s">
        <v>332</v>
      </c>
      <c r="B1126" s="12" t="s">
        <v>331</v>
      </c>
      <c r="C1126" s="12" t="s">
        <v>313</v>
      </c>
      <c r="D1126" s="12" t="s">
        <v>1257</v>
      </c>
      <c r="E1126" s="12" t="s">
        <v>1316</v>
      </c>
      <c r="F1126" s="13"/>
      <c r="G1126" s="12" t="s">
        <v>1307</v>
      </c>
      <c r="H1126" s="12" t="s">
        <v>1308</v>
      </c>
      <c r="I1126" s="13"/>
      <c r="J1126" s="12" t="s">
        <v>1317</v>
      </c>
      <c r="K1126" s="12" t="s">
        <v>1318</v>
      </c>
    </row>
    <row r="1127" spans="1:11" ht="30" customHeight="1">
      <c r="A1127" s="12" t="s">
        <v>332</v>
      </c>
      <c r="B1127" s="12" t="s">
        <v>331</v>
      </c>
      <c r="C1127" s="12" t="s">
        <v>313</v>
      </c>
      <c r="D1127" s="12" t="s">
        <v>1303</v>
      </c>
      <c r="E1127" s="12" t="s">
        <v>1319</v>
      </c>
      <c r="F1127" s="13"/>
      <c r="G1127" s="12" t="s">
        <v>1307</v>
      </c>
      <c r="H1127" s="12" t="s">
        <v>1308</v>
      </c>
      <c r="I1127" s="13"/>
      <c r="J1127" s="12" t="s">
        <v>1320</v>
      </c>
      <c r="K1127" s="12" t="s">
        <v>1321</v>
      </c>
    </row>
    <row r="1128" spans="1:11" ht="30" customHeight="1">
      <c r="A1128" s="12" t="s">
        <v>132</v>
      </c>
      <c r="B1128" s="12" t="s">
        <v>130</v>
      </c>
      <c r="C1128" s="12" t="s">
        <v>109</v>
      </c>
      <c r="D1128" s="12" t="s">
        <v>425</v>
      </c>
      <c r="E1128" s="12" t="s">
        <v>1329</v>
      </c>
      <c r="F1128" s="13"/>
      <c r="G1128" s="12" t="s">
        <v>1330</v>
      </c>
      <c r="H1128" s="12" t="s">
        <v>1329</v>
      </c>
      <c r="I1128" s="13"/>
      <c r="J1128" s="12" t="s">
        <v>1331</v>
      </c>
      <c r="K1128" s="12" t="s">
        <v>1332</v>
      </c>
    </row>
    <row r="1129" spans="1:11" ht="30" customHeight="1">
      <c r="A1129" s="12" t="s">
        <v>132</v>
      </c>
      <c r="B1129" s="12" t="s">
        <v>130</v>
      </c>
      <c r="C1129" s="12" t="s">
        <v>109</v>
      </c>
      <c r="D1129" s="12" t="s">
        <v>1333</v>
      </c>
      <c r="E1129" s="12" t="s">
        <v>1334</v>
      </c>
      <c r="F1129" s="13"/>
      <c r="G1129" s="12" t="s">
        <v>1330</v>
      </c>
      <c r="H1129" s="12" t="s">
        <v>1335</v>
      </c>
      <c r="I1129" s="13"/>
      <c r="J1129" s="12" t="s">
        <v>1336</v>
      </c>
      <c r="K1129" s="12" t="s">
        <v>1337</v>
      </c>
    </row>
    <row r="1130" spans="1:11" ht="30" customHeight="1">
      <c r="A1130" s="12" t="s">
        <v>151</v>
      </c>
      <c r="B1130" s="12" t="s">
        <v>148</v>
      </c>
      <c r="C1130" s="12" t="s">
        <v>109</v>
      </c>
      <c r="D1130" s="12" t="s">
        <v>425</v>
      </c>
      <c r="E1130" s="12" t="s">
        <v>1338</v>
      </c>
      <c r="F1130" s="13"/>
      <c r="G1130" s="12" t="s">
        <v>1330</v>
      </c>
      <c r="H1130" s="12" t="s">
        <v>1338</v>
      </c>
      <c r="I1130" s="13"/>
      <c r="J1130" s="12" t="s">
        <v>1331</v>
      </c>
      <c r="K1130" s="12" t="s">
        <v>1332</v>
      </c>
    </row>
    <row r="1131" spans="1:11" ht="30" customHeight="1">
      <c r="A1131" s="12" t="s">
        <v>151</v>
      </c>
      <c r="B1131" s="12" t="s">
        <v>148</v>
      </c>
      <c r="C1131" s="12" t="s">
        <v>109</v>
      </c>
      <c r="D1131" s="12" t="s">
        <v>1333</v>
      </c>
      <c r="E1131" s="12" t="s">
        <v>1334</v>
      </c>
      <c r="F1131" s="13"/>
      <c r="G1131" s="12" t="s">
        <v>1330</v>
      </c>
      <c r="H1131" s="12" t="s">
        <v>1335</v>
      </c>
      <c r="I1131" s="13"/>
      <c r="J1131" s="12" t="s">
        <v>1336</v>
      </c>
      <c r="K1131" s="12" t="s">
        <v>1337</v>
      </c>
    </row>
    <row r="1132" spans="1:11" ht="30" customHeight="1">
      <c r="A1132" s="12" t="s">
        <v>142</v>
      </c>
      <c r="B1132" s="12" t="s">
        <v>140</v>
      </c>
      <c r="C1132" s="12" t="s">
        <v>109</v>
      </c>
      <c r="D1132" s="12" t="s">
        <v>425</v>
      </c>
      <c r="E1132" s="12" t="s">
        <v>1329</v>
      </c>
      <c r="F1132" s="13"/>
      <c r="G1132" s="12" t="s">
        <v>1330</v>
      </c>
      <c r="H1132" s="12" t="s">
        <v>1329</v>
      </c>
      <c r="I1132" s="13"/>
      <c r="J1132" s="12" t="s">
        <v>1331</v>
      </c>
      <c r="K1132" s="12" t="s">
        <v>1332</v>
      </c>
    </row>
    <row r="1133" spans="1:11" ht="30" customHeight="1">
      <c r="A1133" s="12" t="s">
        <v>142</v>
      </c>
      <c r="B1133" s="12" t="s">
        <v>140</v>
      </c>
      <c r="C1133" s="12" t="s">
        <v>109</v>
      </c>
      <c r="D1133" s="12" t="s">
        <v>1333</v>
      </c>
      <c r="E1133" s="12" t="s">
        <v>1334</v>
      </c>
      <c r="F1133" s="13"/>
      <c r="G1133" s="12" t="s">
        <v>1330</v>
      </c>
      <c r="H1133" s="12" t="s">
        <v>1335</v>
      </c>
      <c r="I1133" s="13"/>
      <c r="J1133" s="12" t="s">
        <v>1336</v>
      </c>
      <c r="K1133" s="12" t="s">
        <v>1337</v>
      </c>
    </row>
    <row r="1134" spans="1:11" ht="30" customHeight="1">
      <c r="A1134" s="12" t="s">
        <v>122</v>
      </c>
      <c r="B1134" s="12" t="s">
        <v>118</v>
      </c>
      <c r="C1134" s="12" t="s">
        <v>109</v>
      </c>
      <c r="D1134" s="12" t="s">
        <v>425</v>
      </c>
      <c r="E1134" s="12" t="s">
        <v>1338</v>
      </c>
      <c r="F1134" s="13"/>
      <c r="G1134" s="12" t="s">
        <v>1330</v>
      </c>
      <c r="H1134" s="12" t="s">
        <v>1338</v>
      </c>
      <c r="I1134" s="13"/>
      <c r="J1134" s="12" t="s">
        <v>1331</v>
      </c>
      <c r="K1134" s="12" t="s">
        <v>1332</v>
      </c>
    </row>
    <row r="1135" spans="1:11" ht="30" customHeight="1">
      <c r="A1135" s="12" t="s">
        <v>122</v>
      </c>
      <c r="B1135" s="12" t="s">
        <v>118</v>
      </c>
      <c r="C1135" s="12" t="s">
        <v>109</v>
      </c>
      <c r="D1135" s="12" t="s">
        <v>1333</v>
      </c>
      <c r="E1135" s="12" t="s">
        <v>1334</v>
      </c>
      <c r="F1135" s="13"/>
      <c r="G1135" s="12" t="s">
        <v>1330</v>
      </c>
      <c r="H1135" s="12" t="s">
        <v>1335</v>
      </c>
      <c r="I1135" s="13"/>
      <c r="J1135" s="12" t="s">
        <v>1336</v>
      </c>
      <c r="K1135" s="12" t="s">
        <v>1337</v>
      </c>
    </row>
    <row r="1136" spans="1:11" ht="30" customHeight="1">
      <c r="A1136" s="12" t="s">
        <v>135</v>
      </c>
      <c r="B1136" s="12" t="s">
        <v>134</v>
      </c>
      <c r="C1136" s="12" t="s">
        <v>109</v>
      </c>
      <c r="D1136" s="12" t="s">
        <v>425</v>
      </c>
      <c r="E1136" s="12" t="s">
        <v>1329</v>
      </c>
      <c r="F1136" s="13"/>
      <c r="G1136" s="12" t="s">
        <v>1330</v>
      </c>
      <c r="H1136" s="12" t="s">
        <v>1329</v>
      </c>
      <c r="I1136" s="13"/>
      <c r="J1136" s="12" t="s">
        <v>1331</v>
      </c>
      <c r="K1136" s="12" t="s">
        <v>1332</v>
      </c>
    </row>
    <row r="1137" spans="1:11" ht="30" customHeight="1">
      <c r="A1137" s="12" t="s">
        <v>135</v>
      </c>
      <c r="B1137" s="12" t="s">
        <v>134</v>
      </c>
      <c r="C1137" s="12" t="s">
        <v>109</v>
      </c>
      <c r="D1137" s="12" t="s">
        <v>1333</v>
      </c>
      <c r="E1137" s="12" t="s">
        <v>1339</v>
      </c>
      <c r="F1137" s="13"/>
      <c r="G1137" s="12" t="s">
        <v>1330</v>
      </c>
      <c r="H1137" s="12" t="s">
        <v>1335</v>
      </c>
      <c r="I1137" s="13"/>
      <c r="J1137" s="12" t="s">
        <v>1336</v>
      </c>
      <c r="K1137" s="12" t="s">
        <v>1337</v>
      </c>
    </row>
    <row r="1138" spans="1:11" ht="30" customHeight="1">
      <c r="A1138" s="12" t="s">
        <v>125</v>
      </c>
      <c r="B1138" s="12" t="s">
        <v>124</v>
      </c>
      <c r="C1138" s="12" t="s">
        <v>109</v>
      </c>
      <c r="D1138" s="12" t="s">
        <v>425</v>
      </c>
      <c r="E1138" s="12" t="s">
        <v>1329</v>
      </c>
      <c r="F1138" s="13"/>
      <c r="G1138" s="12" t="s">
        <v>1330</v>
      </c>
      <c r="H1138" s="12" t="s">
        <v>1329</v>
      </c>
      <c r="I1138" s="13"/>
      <c r="J1138" s="12" t="s">
        <v>1331</v>
      </c>
      <c r="K1138" s="12" t="s">
        <v>1332</v>
      </c>
    </row>
    <row r="1139" spans="1:11" ht="30" customHeight="1">
      <c r="A1139" s="12" t="s">
        <v>125</v>
      </c>
      <c r="B1139" s="12" t="s">
        <v>124</v>
      </c>
      <c r="C1139" s="12" t="s">
        <v>109</v>
      </c>
      <c r="D1139" s="12" t="s">
        <v>1333</v>
      </c>
      <c r="E1139" s="12" t="s">
        <v>1339</v>
      </c>
      <c r="F1139" s="13"/>
      <c r="G1139" s="12" t="s">
        <v>1330</v>
      </c>
      <c r="H1139" s="12" t="s">
        <v>1335</v>
      </c>
      <c r="I1139" s="13"/>
      <c r="J1139" s="12" t="s">
        <v>1336</v>
      </c>
      <c r="K1139" s="12" t="s">
        <v>1337</v>
      </c>
    </row>
    <row r="1140" spans="1:11" ht="30" customHeight="1">
      <c r="A1140" s="12" t="s">
        <v>146</v>
      </c>
      <c r="B1140" s="12" t="s">
        <v>144</v>
      </c>
      <c r="C1140" s="12" t="s">
        <v>109</v>
      </c>
      <c r="D1140" s="12" t="s">
        <v>425</v>
      </c>
      <c r="E1140" s="12" t="s">
        <v>1329</v>
      </c>
      <c r="F1140" s="13"/>
      <c r="G1140" s="12" t="s">
        <v>1330</v>
      </c>
      <c r="H1140" s="12" t="s">
        <v>1329</v>
      </c>
      <c r="I1140" s="13"/>
      <c r="J1140" s="12" t="s">
        <v>1331</v>
      </c>
      <c r="K1140" s="12" t="s">
        <v>1332</v>
      </c>
    </row>
    <row r="1141" spans="1:11" ht="30" customHeight="1">
      <c r="A1141" s="12" t="s">
        <v>146</v>
      </c>
      <c r="B1141" s="12" t="s">
        <v>144</v>
      </c>
      <c r="C1141" s="12" t="s">
        <v>109</v>
      </c>
      <c r="D1141" s="12" t="s">
        <v>1333</v>
      </c>
      <c r="E1141" s="12" t="s">
        <v>1339</v>
      </c>
      <c r="F1141" s="13"/>
      <c r="G1141" s="12" t="s">
        <v>1330</v>
      </c>
      <c r="H1141" s="12" t="s">
        <v>1335</v>
      </c>
      <c r="I1141" s="13"/>
      <c r="J1141" s="12" t="s">
        <v>1336</v>
      </c>
      <c r="K1141" s="12" t="s">
        <v>1337</v>
      </c>
    </row>
    <row r="1142" spans="1:11" ht="30" customHeight="1">
      <c r="A1142" s="12" t="s">
        <v>138</v>
      </c>
      <c r="B1142" s="12" t="s">
        <v>137</v>
      </c>
      <c r="C1142" s="12" t="s">
        <v>109</v>
      </c>
      <c r="D1142" s="12" t="s">
        <v>425</v>
      </c>
      <c r="E1142" s="12" t="s">
        <v>1329</v>
      </c>
      <c r="F1142" s="13"/>
      <c r="G1142" s="12" t="s">
        <v>1330</v>
      </c>
      <c r="H1142" s="12" t="s">
        <v>1329</v>
      </c>
      <c r="I1142" s="13"/>
      <c r="J1142" s="12" t="s">
        <v>1331</v>
      </c>
      <c r="K1142" s="12" t="s">
        <v>1332</v>
      </c>
    </row>
    <row r="1143" spans="1:11" ht="30" customHeight="1">
      <c r="A1143" s="12" t="s">
        <v>138</v>
      </c>
      <c r="B1143" s="12" t="s">
        <v>137</v>
      </c>
      <c r="C1143" s="12" t="s">
        <v>109</v>
      </c>
      <c r="D1143" s="12" t="s">
        <v>1333</v>
      </c>
      <c r="E1143" s="12" t="s">
        <v>1339</v>
      </c>
      <c r="F1143" s="13"/>
      <c r="G1143" s="12" t="s">
        <v>1330</v>
      </c>
      <c r="H1143" s="12" t="s">
        <v>1335</v>
      </c>
      <c r="I1143" s="13"/>
      <c r="J1143" s="12" t="s">
        <v>1336</v>
      </c>
      <c r="K1143" s="12" t="s">
        <v>1337</v>
      </c>
    </row>
    <row r="1144" spans="1:11" ht="30" customHeight="1">
      <c r="A1144" s="12" t="s">
        <v>112</v>
      </c>
      <c r="B1144" s="12" t="s">
        <v>108</v>
      </c>
      <c r="C1144" s="12" t="s">
        <v>109</v>
      </c>
      <c r="D1144" s="12" t="s">
        <v>425</v>
      </c>
      <c r="E1144" s="12" t="s">
        <v>1329</v>
      </c>
      <c r="F1144" s="13"/>
      <c r="G1144" s="12" t="s">
        <v>1330</v>
      </c>
      <c r="H1144" s="12" t="s">
        <v>1329</v>
      </c>
      <c r="I1144" s="13"/>
      <c r="J1144" s="12" t="s">
        <v>1331</v>
      </c>
      <c r="K1144" s="12" t="s">
        <v>1332</v>
      </c>
    </row>
    <row r="1145" spans="1:11" ht="30" customHeight="1">
      <c r="A1145" s="12" t="s">
        <v>112</v>
      </c>
      <c r="B1145" s="12" t="s">
        <v>108</v>
      </c>
      <c r="C1145" s="12" t="s">
        <v>109</v>
      </c>
      <c r="D1145" s="12" t="s">
        <v>1333</v>
      </c>
      <c r="E1145" s="12" t="s">
        <v>1339</v>
      </c>
      <c r="F1145" s="13"/>
      <c r="G1145" s="12" t="s">
        <v>1330</v>
      </c>
      <c r="H1145" s="12" t="s">
        <v>1335</v>
      </c>
      <c r="I1145" s="13"/>
      <c r="J1145" s="12" t="s">
        <v>1336</v>
      </c>
      <c r="K1145" s="12" t="s">
        <v>1337</v>
      </c>
    </row>
    <row r="1146" spans="1:11" ht="30" customHeight="1">
      <c r="A1146" s="12" t="s">
        <v>128</v>
      </c>
      <c r="B1146" s="12" t="s">
        <v>127</v>
      </c>
      <c r="C1146" s="12" t="s">
        <v>109</v>
      </c>
      <c r="D1146" s="12" t="s">
        <v>425</v>
      </c>
      <c r="E1146" s="12" t="s">
        <v>1338</v>
      </c>
      <c r="F1146" s="13"/>
      <c r="G1146" s="12" t="s">
        <v>1330</v>
      </c>
      <c r="H1146" s="12" t="s">
        <v>1338</v>
      </c>
      <c r="I1146" s="13"/>
      <c r="J1146" s="12" t="s">
        <v>1331</v>
      </c>
      <c r="K1146" s="12" t="s">
        <v>1332</v>
      </c>
    </row>
    <row r="1147" spans="1:11" ht="30" customHeight="1">
      <c r="A1147" s="12" t="s">
        <v>128</v>
      </c>
      <c r="B1147" s="12" t="s">
        <v>127</v>
      </c>
      <c r="C1147" s="12" t="s">
        <v>109</v>
      </c>
      <c r="D1147" s="12" t="s">
        <v>1333</v>
      </c>
      <c r="E1147" s="12" t="s">
        <v>1339</v>
      </c>
      <c r="F1147" s="13"/>
      <c r="G1147" s="12" t="s">
        <v>1330</v>
      </c>
      <c r="H1147" s="12" t="s">
        <v>1335</v>
      </c>
      <c r="I1147" s="13"/>
      <c r="J1147" s="12" t="s">
        <v>1336</v>
      </c>
      <c r="K1147" s="12" t="s">
        <v>1337</v>
      </c>
    </row>
    <row r="1148" spans="1:11" ht="30" customHeight="1">
      <c r="A1148" s="12" t="s">
        <v>122</v>
      </c>
      <c r="B1148" s="12" t="s">
        <v>118</v>
      </c>
      <c r="C1148" s="12" t="s">
        <v>109</v>
      </c>
      <c r="D1148" s="12" t="s">
        <v>389</v>
      </c>
      <c r="E1148" s="12" t="s">
        <v>119</v>
      </c>
      <c r="F1148" s="13"/>
      <c r="G1148" s="12" t="s">
        <v>1330</v>
      </c>
      <c r="H1148" s="12" t="s">
        <v>1340</v>
      </c>
      <c r="I1148" s="13"/>
      <c r="J1148" s="12" t="s">
        <v>1341</v>
      </c>
      <c r="K1148" s="12" t="s">
        <v>1342</v>
      </c>
    </row>
    <row r="1149" spans="1:11" ht="30" customHeight="1">
      <c r="A1149" s="12" t="s">
        <v>371</v>
      </c>
      <c r="B1149" s="12" t="s">
        <v>368</v>
      </c>
      <c r="C1149" s="12" t="s">
        <v>347</v>
      </c>
      <c r="D1149" s="12" t="s">
        <v>425</v>
      </c>
      <c r="E1149" s="12" t="s">
        <v>1343</v>
      </c>
      <c r="F1149" s="13"/>
      <c r="G1149" s="12" t="s">
        <v>1344</v>
      </c>
      <c r="H1149" s="12" t="s">
        <v>1345</v>
      </c>
      <c r="I1149" s="13"/>
      <c r="J1149" s="12" t="s">
        <v>1346</v>
      </c>
      <c r="K1149" s="12" t="s">
        <v>1347</v>
      </c>
    </row>
    <row r="1150" spans="1:11" ht="30" customHeight="1">
      <c r="A1150" s="12" t="s">
        <v>371</v>
      </c>
      <c r="B1150" s="12" t="s">
        <v>368</v>
      </c>
      <c r="C1150" s="12" t="s">
        <v>347</v>
      </c>
      <c r="D1150" s="12" t="s">
        <v>1348</v>
      </c>
      <c r="E1150" s="12" t="s">
        <v>1349</v>
      </c>
      <c r="F1150" s="13"/>
      <c r="G1150" s="12" t="s">
        <v>1344</v>
      </c>
      <c r="H1150" s="12" t="s">
        <v>1350</v>
      </c>
      <c r="I1150" s="13"/>
      <c r="J1150" s="12" t="s">
        <v>1349</v>
      </c>
      <c r="K1150" s="12" t="s">
        <v>1351</v>
      </c>
    </row>
    <row r="1151" spans="1:11" ht="30" customHeight="1">
      <c r="A1151" s="12" t="s">
        <v>366</v>
      </c>
      <c r="B1151" s="12" t="s">
        <v>363</v>
      </c>
      <c r="C1151" s="12" t="s">
        <v>347</v>
      </c>
      <c r="D1151" s="12" t="s">
        <v>425</v>
      </c>
      <c r="E1151" s="12" t="s">
        <v>1343</v>
      </c>
      <c r="F1151" s="13"/>
      <c r="G1151" s="12" t="s">
        <v>1344</v>
      </c>
      <c r="H1151" s="12" t="s">
        <v>1345</v>
      </c>
      <c r="I1151" s="13"/>
      <c r="J1151" s="12" t="s">
        <v>1352</v>
      </c>
      <c r="K1151" s="12" t="s">
        <v>1347</v>
      </c>
    </row>
    <row r="1152" spans="1:11" ht="30" customHeight="1">
      <c r="A1152" s="12" t="s">
        <v>366</v>
      </c>
      <c r="B1152" s="12" t="s">
        <v>363</v>
      </c>
      <c r="C1152" s="12" t="s">
        <v>347</v>
      </c>
      <c r="D1152" s="12" t="s">
        <v>1348</v>
      </c>
      <c r="E1152" s="12" t="s">
        <v>1349</v>
      </c>
      <c r="F1152" s="13"/>
      <c r="G1152" s="12" t="s">
        <v>1344</v>
      </c>
      <c r="H1152" s="12" t="s">
        <v>1350</v>
      </c>
      <c r="I1152" s="13"/>
      <c r="J1152" s="12" t="s">
        <v>1349</v>
      </c>
      <c r="K1152" s="12" t="s">
        <v>1351</v>
      </c>
    </row>
    <row r="1153" spans="1:11" ht="30" customHeight="1">
      <c r="A1153" s="12" t="s">
        <v>361</v>
      </c>
      <c r="B1153" s="12" t="s">
        <v>358</v>
      </c>
      <c r="C1153" s="12" t="s">
        <v>347</v>
      </c>
      <c r="D1153" s="12" t="s">
        <v>425</v>
      </c>
      <c r="E1153" s="12" t="s">
        <v>1343</v>
      </c>
      <c r="F1153" s="13"/>
      <c r="G1153" s="12" t="s">
        <v>1344</v>
      </c>
      <c r="H1153" s="12" t="s">
        <v>1345</v>
      </c>
      <c r="I1153" s="13"/>
      <c r="J1153" s="12" t="s">
        <v>1353</v>
      </c>
      <c r="K1153" s="12" t="s">
        <v>1347</v>
      </c>
    </row>
    <row r="1154" spans="1:11" ht="30" customHeight="1">
      <c r="A1154" s="12" t="s">
        <v>361</v>
      </c>
      <c r="B1154" s="12" t="s">
        <v>358</v>
      </c>
      <c r="C1154" s="12" t="s">
        <v>347</v>
      </c>
      <c r="D1154" s="12" t="s">
        <v>1348</v>
      </c>
      <c r="E1154" s="12" t="s">
        <v>1349</v>
      </c>
      <c r="F1154" s="13"/>
      <c r="G1154" s="12" t="s">
        <v>1344</v>
      </c>
      <c r="H1154" s="12" t="s">
        <v>1350</v>
      </c>
      <c r="I1154" s="13"/>
      <c r="J1154" s="12" t="s">
        <v>1349</v>
      </c>
      <c r="K1154" s="12" t="s">
        <v>1351</v>
      </c>
    </row>
    <row r="1155" spans="1:11" ht="30" customHeight="1">
      <c r="A1155" s="12" t="s">
        <v>351</v>
      </c>
      <c r="B1155" s="12" t="s">
        <v>346</v>
      </c>
      <c r="C1155" s="12" t="s">
        <v>347</v>
      </c>
      <c r="D1155" s="12" t="s">
        <v>425</v>
      </c>
      <c r="E1155" s="12" t="s">
        <v>1343</v>
      </c>
      <c r="F1155" s="13"/>
      <c r="G1155" s="12" t="s">
        <v>1344</v>
      </c>
      <c r="H1155" s="12" t="s">
        <v>1345</v>
      </c>
      <c r="I1155" s="13"/>
      <c r="J1155" s="12" t="s">
        <v>1354</v>
      </c>
      <c r="K1155" s="12" t="s">
        <v>1347</v>
      </c>
    </row>
    <row r="1156" spans="1:11" ht="30" customHeight="1">
      <c r="A1156" s="12" t="s">
        <v>351</v>
      </c>
      <c r="B1156" s="12" t="s">
        <v>346</v>
      </c>
      <c r="C1156" s="12" t="s">
        <v>347</v>
      </c>
      <c r="D1156" s="12" t="s">
        <v>1348</v>
      </c>
      <c r="E1156" s="12" t="s">
        <v>1355</v>
      </c>
      <c r="F1156" s="13"/>
      <c r="G1156" s="12" t="s">
        <v>1344</v>
      </c>
      <c r="H1156" s="12" t="s">
        <v>1350</v>
      </c>
      <c r="I1156" s="13"/>
      <c r="J1156" s="12" t="s">
        <v>1355</v>
      </c>
      <c r="K1156" s="12" t="s">
        <v>1351</v>
      </c>
    </row>
    <row r="1157" spans="1:11" ht="30" customHeight="1">
      <c r="A1157" s="12" t="s">
        <v>382</v>
      </c>
      <c r="B1157" s="12" t="s">
        <v>379</v>
      </c>
      <c r="C1157" s="12" t="s">
        <v>347</v>
      </c>
      <c r="D1157" s="12" t="s">
        <v>425</v>
      </c>
      <c r="E1157" s="12" t="s">
        <v>1343</v>
      </c>
      <c r="F1157" s="13"/>
      <c r="G1157" s="12" t="s">
        <v>1344</v>
      </c>
      <c r="H1157" s="12" t="s">
        <v>1345</v>
      </c>
      <c r="I1157" s="13"/>
      <c r="J1157" s="12" t="s">
        <v>1356</v>
      </c>
      <c r="K1157" s="12" t="s">
        <v>1347</v>
      </c>
    </row>
    <row r="1158" spans="1:11" ht="30" customHeight="1">
      <c r="A1158" s="12" t="s">
        <v>382</v>
      </c>
      <c r="B1158" s="12" t="s">
        <v>379</v>
      </c>
      <c r="C1158" s="12" t="s">
        <v>347</v>
      </c>
      <c r="D1158" s="12" t="s">
        <v>1348</v>
      </c>
      <c r="E1158" s="12" t="s">
        <v>1349</v>
      </c>
      <c r="F1158" s="13"/>
      <c r="G1158" s="12" t="s">
        <v>1344</v>
      </c>
      <c r="H1158" s="12" t="s">
        <v>1350</v>
      </c>
      <c r="I1158" s="13"/>
      <c r="J1158" s="12" t="s">
        <v>1349</v>
      </c>
      <c r="K1158" s="12" t="s">
        <v>1351</v>
      </c>
    </row>
    <row r="1159" spans="1:11" ht="30" customHeight="1">
      <c r="A1159" s="12" t="s">
        <v>374</v>
      </c>
      <c r="B1159" s="12" t="s">
        <v>373</v>
      </c>
      <c r="C1159" s="12" t="s">
        <v>347</v>
      </c>
      <c r="D1159" s="12" t="s">
        <v>425</v>
      </c>
      <c r="E1159" s="12" t="s">
        <v>1343</v>
      </c>
      <c r="F1159" s="13"/>
      <c r="G1159" s="12" t="s">
        <v>1344</v>
      </c>
      <c r="H1159" s="12" t="s">
        <v>1345</v>
      </c>
      <c r="I1159" s="13"/>
      <c r="J1159" s="12" t="s">
        <v>1357</v>
      </c>
      <c r="K1159" s="12" t="s">
        <v>1347</v>
      </c>
    </row>
    <row r="1160" spans="1:11" ht="30" customHeight="1">
      <c r="A1160" s="12" t="s">
        <v>374</v>
      </c>
      <c r="B1160" s="12" t="s">
        <v>373</v>
      </c>
      <c r="C1160" s="12" t="s">
        <v>347</v>
      </c>
      <c r="D1160" s="12" t="s">
        <v>1348</v>
      </c>
      <c r="E1160" s="12" t="s">
        <v>1358</v>
      </c>
      <c r="F1160" s="13"/>
      <c r="G1160" s="12" t="s">
        <v>1344</v>
      </c>
      <c r="H1160" s="12" t="s">
        <v>1350</v>
      </c>
      <c r="I1160" s="13"/>
      <c r="J1160" s="12" t="s">
        <v>1358</v>
      </c>
      <c r="K1160" s="12" t="s">
        <v>1351</v>
      </c>
    </row>
    <row r="1161" spans="1:11" ht="30" customHeight="1">
      <c r="A1161" s="12" t="s">
        <v>356</v>
      </c>
      <c r="B1161" s="12" t="s">
        <v>353</v>
      </c>
      <c r="C1161" s="12" t="s">
        <v>347</v>
      </c>
      <c r="D1161" s="12" t="s">
        <v>425</v>
      </c>
      <c r="E1161" s="12" t="s">
        <v>1343</v>
      </c>
      <c r="F1161" s="13"/>
      <c r="G1161" s="12" t="s">
        <v>1344</v>
      </c>
      <c r="H1161" s="12" t="s">
        <v>1345</v>
      </c>
      <c r="I1161" s="13"/>
      <c r="J1161" s="12" t="s">
        <v>1359</v>
      </c>
      <c r="K1161" s="12" t="s">
        <v>1347</v>
      </c>
    </row>
    <row r="1162" spans="1:11" ht="30" customHeight="1">
      <c r="A1162" s="12" t="s">
        <v>356</v>
      </c>
      <c r="B1162" s="12" t="s">
        <v>353</v>
      </c>
      <c r="C1162" s="12" t="s">
        <v>347</v>
      </c>
      <c r="D1162" s="12" t="s">
        <v>1348</v>
      </c>
      <c r="E1162" s="12" t="s">
        <v>1349</v>
      </c>
      <c r="F1162" s="13"/>
      <c r="G1162" s="12" t="s">
        <v>1344</v>
      </c>
      <c r="H1162" s="12" t="s">
        <v>1350</v>
      </c>
      <c r="I1162" s="13"/>
      <c r="J1162" s="12" t="s">
        <v>1349</v>
      </c>
      <c r="K1162" s="12" t="s">
        <v>1351</v>
      </c>
    </row>
    <row r="1163" spans="1:11" ht="30" customHeight="1">
      <c r="A1163" s="12" t="s">
        <v>212</v>
      </c>
      <c r="B1163" s="12" t="s">
        <v>210</v>
      </c>
      <c r="C1163" s="12" t="s">
        <v>347</v>
      </c>
      <c r="D1163" s="12" t="s">
        <v>425</v>
      </c>
      <c r="E1163" s="12" t="s">
        <v>1343</v>
      </c>
      <c r="F1163" s="13"/>
      <c r="G1163" s="12" t="s">
        <v>1344</v>
      </c>
      <c r="H1163" s="12" t="s">
        <v>1345</v>
      </c>
      <c r="I1163" s="13"/>
      <c r="J1163" s="12" t="s">
        <v>1360</v>
      </c>
      <c r="K1163" s="12" t="s">
        <v>1347</v>
      </c>
    </row>
    <row r="1164" spans="1:11" ht="30" customHeight="1">
      <c r="A1164" s="12" t="s">
        <v>212</v>
      </c>
      <c r="B1164" s="12" t="s">
        <v>210</v>
      </c>
      <c r="C1164" s="12" t="s">
        <v>347</v>
      </c>
      <c r="D1164" s="12" t="s">
        <v>1348</v>
      </c>
      <c r="E1164" s="12" t="s">
        <v>1361</v>
      </c>
      <c r="F1164" s="13"/>
      <c r="G1164" s="12" t="s">
        <v>1344</v>
      </c>
      <c r="H1164" s="12" t="s">
        <v>1350</v>
      </c>
      <c r="I1164" s="13"/>
      <c r="J1164" s="12" t="s">
        <v>1361</v>
      </c>
      <c r="K1164" s="12" t="s">
        <v>1351</v>
      </c>
    </row>
    <row r="1165" spans="1:11" ht="30" customHeight="1">
      <c r="A1165" s="12" t="s">
        <v>278</v>
      </c>
      <c r="B1165" s="12" t="s">
        <v>277</v>
      </c>
      <c r="C1165" s="12" t="s">
        <v>270</v>
      </c>
      <c r="D1165" s="12" t="s">
        <v>1362</v>
      </c>
      <c r="E1165" s="12" t="s">
        <v>50</v>
      </c>
      <c r="F1165" s="12" t="s">
        <v>50</v>
      </c>
      <c r="G1165" s="12" t="s">
        <v>446</v>
      </c>
      <c r="H1165" s="12" t="s">
        <v>1363</v>
      </c>
      <c r="I1165" s="13"/>
      <c r="J1165" s="12" t="s">
        <v>1364</v>
      </c>
      <c r="K1165" s="12" t="s">
        <v>1365</v>
      </c>
    </row>
    <row r="1166" spans="1:11" ht="30" customHeight="1">
      <c r="A1166" s="12" t="s">
        <v>302</v>
      </c>
      <c r="B1166" s="12" t="s">
        <v>301</v>
      </c>
      <c r="C1166" s="12" t="s">
        <v>270</v>
      </c>
      <c r="D1166" s="12" t="s">
        <v>1362</v>
      </c>
      <c r="E1166" s="12" t="s">
        <v>50</v>
      </c>
      <c r="F1166" s="12" t="s">
        <v>50</v>
      </c>
      <c r="G1166" s="12" t="s">
        <v>446</v>
      </c>
      <c r="H1166" s="12" t="s">
        <v>1363</v>
      </c>
      <c r="I1166" s="13"/>
      <c r="J1166" s="12" t="s">
        <v>1364</v>
      </c>
      <c r="K1166" s="12" t="s">
        <v>1365</v>
      </c>
    </row>
    <row r="1167" spans="1:11" ht="30" customHeight="1">
      <c r="A1167" s="12" t="s">
        <v>283</v>
      </c>
      <c r="B1167" s="12" t="s">
        <v>280</v>
      </c>
      <c r="C1167" s="12" t="s">
        <v>270</v>
      </c>
      <c r="D1167" s="12" t="s">
        <v>1362</v>
      </c>
      <c r="E1167" s="12" t="s">
        <v>50</v>
      </c>
      <c r="F1167" s="12" t="s">
        <v>50</v>
      </c>
      <c r="G1167" s="12" t="s">
        <v>446</v>
      </c>
      <c r="H1167" s="12" t="s">
        <v>1363</v>
      </c>
      <c r="I1167" s="13"/>
      <c r="J1167" s="12" t="s">
        <v>1364</v>
      </c>
      <c r="K1167" s="12" t="s">
        <v>1365</v>
      </c>
    </row>
    <row r="1168" spans="1:11" ht="30" customHeight="1">
      <c r="A1168" s="12" t="s">
        <v>295</v>
      </c>
      <c r="B1168" s="12" t="s">
        <v>293</v>
      </c>
      <c r="C1168" s="12" t="s">
        <v>270</v>
      </c>
      <c r="D1168" s="12" t="s">
        <v>1362</v>
      </c>
      <c r="E1168" s="12" t="s">
        <v>50</v>
      </c>
      <c r="F1168" s="12" t="s">
        <v>50</v>
      </c>
      <c r="G1168" s="12" t="s">
        <v>446</v>
      </c>
      <c r="H1168" s="12" t="s">
        <v>1363</v>
      </c>
      <c r="I1168" s="13"/>
      <c r="J1168" s="12" t="s">
        <v>1364</v>
      </c>
      <c r="K1168" s="12" t="s">
        <v>1365</v>
      </c>
    </row>
    <row r="1169" spans="1:11" ht="30" customHeight="1">
      <c r="A1169" s="12" t="s">
        <v>299</v>
      </c>
      <c r="B1169" s="12" t="s">
        <v>297</v>
      </c>
      <c r="C1169" s="12" t="s">
        <v>270</v>
      </c>
      <c r="D1169" s="12" t="s">
        <v>1362</v>
      </c>
      <c r="E1169" s="12" t="s">
        <v>50</v>
      </c>
      <c r="F1169" s="12" t="s">
        <v>50</v>
      </c>
      <c r="G1169" s="12" t="s">
        <v>446</v>
      </c>
      <c r="H1169" s="12" t="s">
        <v>1363</v>
      </c>
      <c r="I1169" s="13"/>
      <c r="J1169" s="12" t="s">
        <v>1364</v>
      </c>
      <c r="K1169" s="12" t="s">
        <v>1365</v>
      </c>
    </row>
    <row r="1170" spans="1:11" ht="30" customHeight="1">
      <c r="A1170" s="12" t="s">
        <v>288</v>
      </c>
      <c r="B1170" s="12" t="s">
        <v>286</v>
      </c>
      <c r="C1170" s="12" t="s">
        <v>270</v>
      </c>
      <c r="D1170" s="12" t="s">
        <v>1362</v>
      </c>
      <c r="E1170" s="12" t="s">
        <v>50</v>
      </c>
      <c r="F1170" s="12" t="s">
        <v>50</v>
      </c>
      <c r="G1170" s="12" t="s">
        <v>446</v>
      </c>
      <c r="H1170" s="12" t="s">
        <v>1363</v>
      </c>
      <c r="I1170" s="13"/>
      <c r="J1170" s="12" t="s">
        <v>1364</v>
      </c>
      <c r="K1170" s="12" t="s">
        <v>1365</v>
      </c>
    </row>
    <row r="1171" spans="1:11" ht="30" customHeight="1">
      <c r="A1171" s="12" t="s">
        <v>310</v>
      </c>
      <c r="B1171" s="12" t="s">
        <v>308</v>
      </c>
      <c r="C1171" s="12" t="s">
        <v>270</v>
      </c>
      <c r="D1171" s="12" t="s">
        <v>1362</v>
      </c>
      <c r="E1171" s="12" t="s">
        <v>50</v>
      </c>
      <c r="F1171" s="12" t="s">
        <v>50</v>
      </c>
      <c r="G1171" s="12" t="s">
        <v>446</v>
      </c>
      <c r="H1171" s="12" t="s">
        <v>1363</v>
      </c>
      <c r="I1171" s="13"/>
      <c r="J1171" s="12" t="s">
        <v>1364</v>
      </c>
      <c r="K1171" s="12" t="s">
        <v>1365</v>
      </c>
    </row>
  </sheetData>
  <mergeCells count="2">
    <mergeCell ref="A1:I2"/>
    <mergeCell ref="A3:K3"/>
  </mergeCells>
  <pageMargins left="0.3" right="0.3" top="0.4" bottom="0.4" header="0.3" footer="0.3"/>
  <pageSetup paperSize="9" fitToHeight="0" orientation="landscape"/>
  <tableParts count="1">
    <tablePart r:id="rId1"/>
  </tableParts>
</worksheet>
</file>

<file path=xl/worksheets/sheet5.xml><?xml version="1.0" encoding="utf-8"?>
<worksheet xmlns="http://schemas.openxmlformats.org/spreadsheetml/2006/main" xmlns:r="http://schemas.openxmlformats.org/officeDocument/2006/relationships">
  <sheetPr>
    <tabColor rgb="FF167C80"/>
    <pageSetUpPr fitToPage="1"/>
  </sheetPr>
  <dimension ref="A1:D63"/>
  <sheetViews>
    <sheetView showGridLines="0" workbookViewId="0">
      <pane xSplit="2" ySplit="6" topLeftCell="C7" activePane="bottomRight" state="frozen"/>
      <selection pane="topRight" activeCell="C1" sqref="C1"/>
      <selection pane="bottomLeft" activeCell="A7" sqref="A7"/>
      <selection pane="bottomRight"/>
    </sheetView>
  </sheetViews>
  <sheetFormatPr defaultRowHeight="15"/>
  <cols>
    <col min="1" max="1" width="36.7109375" customWidth="1"/>
    <col min="2" max="2" width="30.7109375" customWidth="1"/>
    <col min="3" max="3" width="115.7109375" customWidth="1"/>
    <col min="4" max="4" width="65.7109375" customWidth="1"/>
  </cols>
  <sheetData>
    <row r="1" spans="1:4" ht="22" customHeight="1">
      <c r="A1" s="1" t="s">
        <v>1371</v>
      </c>
      <c r="B1" s="1"/>
      <c r="C1" s="1"/>
      <c r="D1" s="1"/>
    </row>
    <row r="2" spans="1:4" ht="18" customHeight="1">
      <c r="A2" s="1"/>
      <c r="B2" s="1"/>
      <c r="C2" s="1"/>
      <c r="D2" s="1"/>
    </row>
    <row r="3" spans="1:4" ht="34" customHeight="1">
      <c r="A3" s="2" t="s">
        <v>1372</v>
      </c>
      <c r="B3" s="2"/>
      <c r="C3" s="2"/>
      <c r="D3" s="2"/>
    </row>
    <row r="6" spans="1:4" ht="40" customHeight="1">
      <c r="A6" s="11" t="s">
        <v>1431</v>
      </c>
      <c r="B6" s="11" t="s">
        <v>1432</v>
      </c>
      <c r="C6" s="11" t="s">
        <v>1433</v>
      </c>
      <c r="D6" s="11" t="s">
        <v>1434</v>
      </c>
    </row>
    <row r="7" spans="1:4" ht="30" customHeight="1">
      <c r="A7" s="12" t="s">
        <v>384</v>
      </c>
      <c r="B7" s="12" t="s">
        <v>1373</v>
      </c>
      <c r="C7" s="12" t="s">
        <v>1374</v>
      </c>
      <c r="D7" s="12" t="s">
        <v>1375</v>
      </c>
    </row>
    <row r="8" spans="1:4" ht="30" customHeight="1">
      <c r="A8" s="12" t="s">
        <v>385</v>
      </c>
      <c r="B8" s="12" t="s">
        <v>1373</v>
      </c>
      <c r="C8" s="12" t="s">
        <v>1376</v>
      </c>
      <c r="D8" s="12" t="s">
        <v>1375</v>
      </c>
    </row>
    <row r="9" spans="1:4" ht="30" customHeight="1">
      <c r="A9" s="12" t="s">
        <v>386</v>
      </c>
      <c r="B9" s="12" t="s">
        <v>1373</v>
      </c>
      <c r="C9" s="12" t="s">
        <v>1377</v>
      </c>
      <c r="D9" s="12" t="s">
        <v>1375</v>
      </c>
    </row>
    <row r="10" spans="1:4" ht="30" customHeight="1">
      <c r="A10" s="12" t="s">
        <v>387</v>
      </c>
      <c r="B10" s="12" t="s">
        <v>1373</v>
      </c>
      <c r="C10" s="12" t="s">
        <v>1378</v>
      </c>
      <c r="D10" s="12" t="s">
        <v>1375</v>
      </c>
    </row>
    <row r="11" spans="1:4" ht="30" customHeight="1">
      <c r="A11" s="12" t="s">
        <v>388</v>
      </c>
      <c r="B11" s="12" t="s">
        <v>1373</v>
      </c>
      <c r="C11" s="12" t="s">
        <v>1379</v>
      </c>
      <c r="D11" s="12" t="s">
        <v>1375</v>
      </c>
    </row>
    <row r="12" spans="1:4" ht="30" customHeight="1">
      <c r="A12" s="12" t="s">
        <v>389</v>
      </c>
      <c r="B12" s="12" t="s">
        <v>1373</v>
      </c>
      <c r="C12" s="12" t="s">
        <v>1380</v>
      </c>
      <c r="D12" s="12" t="s">
        <v>1375</v>
      </c>
    </row>
    <row r="13" spans="1:4" ht="30" customHeight="1">
      <c r="A13" s="12" t="s">
        <v>390</v>
      </c>
      <c r="B13" s="12" t="s">
        <v>1373</v>
      </c>
      <c r="C13" s="12" t="s">
        <v>1381</v>
      </c>
      <c r="D13" s="12" t="s">
        <v>1375</v>
      </c>
    </row>
    <row r="14" spans="1:4" ht="30" customHeight="1">
      <c r="A14" s="12" t="s">
        <v>391</v>
      </c>
      <c r="B14" s="12" t="s">
        <v>1382</v>
      </c>
      <c r="C14" s="12" t="s">
        <v>1383</v>
      </c>
      <c r="D14" s="12" t="s">
        <v>1375</v>
      </c>
    </row>
    <row r="15" spans="1:4" ht="30" customHeight="1">
      <c r="A15" s="12" t="s">
        <v>392</v>
      </c>
      <c r="B15" s="12" t="s">
        <v>1382</v>
      </c>
      <c r="C15" s="12" t="s">
        <v>1384</v>
      </c>
      <c r="D15" s="12" t="s">
        <v>1375</v>
      </c>
    </row>
    <row r="16" spans="1:4" ht="30" customHeight="1">
      <c r="A16" s="12" t="s">
        <v>393</v>
      </c>
      <c r="B16" s="12" t="s">
        <v>1382</v>
      </c>
      <c r="C16" s="12" t="s">
        <v>1385</v>
      </c>
      <c r="D16" s="12" t="s">
        <v>1375</v>
      </c>
    </row>
    <row r="17" spans="1:4" ht="30" customHeight="1">
      <c r="A17" s="12" t="s">
        <v>394</v>
      </c>
      <c r="B17" s="12" t="s">
        <v>1382</v>
      </c>
      <c r="C17" s="12" t="s">
        <v>1386</v>
      </c>
      <c r="D17" s="12" t="s">
        <v>1375</v>
      </c>
    </row>
    <row r="18" spans="1:4" ht="30" customHeight="1">
      <c r="A18" s="12" t="s">
        <v>395</v>
      </c>
      <c r="B18" s="12" t="s">
        <v>1382</v>
      </c>
      <c r="C18" s="12" t="s">
        <v>1387</v>
      </c>
      <c r="D18" s="12" t="s">
        <v>1375</v>
      </c>
    </row>
    <row r="19" spans="1:4" ht="30" customHeight="1">
      <c r="A19" s="12" t="s">
        <v>396</v>
      </c>
      <c r="B19" s="12" t="s">
        <v>1382</v>
      </c>
      <c r="C19" s="12" t="s">
        <v>1388</v>
      </c>
      <c r="D19" s="12" t="s">
        <v>1375</v>
      </c>
    </row>
    <row r="20" spans="1:4" ht="30" customHeight="1">
      <c r="A20" s="12" t="s">
        <v>397</v>
      </c>
      <c r="B20" s="12" t="s">
        <v>1382</v>
      </c>
      <c r="C20" s="12" t="s">
        <v>1389</v>
      </c>
      <c r="D20" s="12" t="s">
        <v>1375</v>
      </c>
    </row>
    <row r="21" spans="1:4" ht="30" customHeight="1">
      <c r="A21" s="12" t="s">
        <v>398</v>
      </c>
      <c r="B21" s="12" t="s">
        <v>1382</v>
      </c>
      <c r="C21" s="12" t="s">
        <v>1390</v>
      </c>
      <c r="D21" s="12" t="s">
        <v>1375</v>
      </c>
    </row>
    <row r="22" spans="1:4" ht="30" customHeight="1">
      <c r="A22" s="12" t="s">
        <v>399</v>
      </c>
      <c r="B22" s="12" t="s">
        <v>1382</v>
      </c>
      <c r="C22" s="12" t="s">
        <v>1391</v>
      </c>
      <c r="D22" s="12" t="s">
        <v>1375</v>
      </c>
    </row>
    <row r="23" spans="1:4" ht="30" customHeight="1">
      <c r="A23" s="12" t="s">
        <v>400</v>
      </c>
      <c r="B23" s="12" t="s">
        <v>1382</v>
      </c>
      <c r="C23" s="12" t="s">
        <v>1392</v>
      </c>
      <c r="D23" s="12" t="s">
        <v>1375</v>
      </c>
    </row>
    <row r="24" spans="1:4" ht="30" customHeight="1">
      <c r="A24" s="12" t="s">
        <v>401</v>
      </c>
      <c r="B24" s="12" t="s">
        <v>1393</v>
      </c>
      <c r="C24" s="12" t="s">
        <v>1394</v>
      </c>
      <c r="D24" s="12" t="s">
        <v>1375</v>
      </c>
    </row>
    <row r="25" spans="1:4" ht="30" customHeight="1">
      <c r="A25" s="12" t="s">
        <v>402</v>
      </c>
      <c r="B25" s="12" t="s">
        <v>1395</v>
      </c>
      <c r="C25" s="12" t="s">
        <v>1396</v>
      </c>
      <c r="D25" s="12" t="s">
        <v>1375</v>
      </c>
    </row>
    <row r="26" spans="1:4" ht="30" customHeight="1">
      <c r="A26" s="12" t="s">
        <v>403</v>
      </c>
      <c r="B26" s="12" t="s">
        <v>1373</v>
      </c>
      <c r="C26" s="12" t="s">
        <v>1397</v>
      </c>
      <c r="D26" s="12" t="s">
        <v>1375</v>
      </c>
    </row>
    <row r="27" spans="1:4" ht="30" customHeight="1">
      <c r="A27" s="12" t="s">
        <v>404</v>
      </c>
      <c r="B27" s="12" t="s">
        <v>1373</v>
      </c>
      <c r="C27" s="12" t="s">
        <v>1398</v>
      </c>
      <c r="D27" s="12" t="s">
        <v>1375</v>
      </c>
    </row>
    <row r="28" spans="1:4" ht="30" customHeight="1">
      <c r="A28" s="12" t="s">
        <v>405</v>
      </c>
      <c r="B28" s="12" t="s">
        <v>1373</v>
      </c>
      <c r="C28" s="12" t="s">
        <v>1399</v>
      </c>
      <c r="D28" s="12" t="s">
        <v>1375</v>
      </c>
    </row>
    <row r="29" spans="1:4" ht="30" customHeight="1">
      <c r="A29" s="12" t="s">
        <v>406</v>
      </c>
      <c r="B29" s="12" t="s">
        <v>1373</v>
      </c>
      <c r="C29" s="12" t="s">
        <v>1400</v>
      </c>
      <c r="D29" s="12" t="s">
        <v>1375</v>
      </c>
    </row>
    <row r="30" spans="1:4" ht="30" customHeight="1">
      <c r="A30" s="12" t="s">
        <v>407</v>
      </c>
      <c r="B30" s="12" t="s">
        <v>1373</v>
      </c>
      <c r="C30" s="12" t="s">
        <v>1401</v>
      </c>
      <c r="D30" s="12" t="s">
        <v>1375</v>
      </c>
    </row>
    <row r="31" spans="1:4" ht="30" customHeight="1">
      <c r="A31" s="12" t="s">
        <v>408</v>
      </c>
      <c r="B31" s="12" t="s">
        <v>1373</v>
      </c>
      <c r="C31" s="12" t="s">
        <v>1401</v>
      </c>
      <c r="D31" s="12" t="s">
        <v>1375</v>
      </c>
    </row>
    <row r="32" spans="1:4" ht="30" customHeight="1">
      <c r="A32" s="12" t="s">
        <v>409</v>
      </c>
      <c r="B32" s="12" t="s">
        <v>1373</v>
      </c>
      <c r="C32" s="12" t="s">
        <v>1402</v>
      </c>
      <c r="D32" s="12" t="s">
        <v>1375</v>
      </c>
    </row>
    <row r="33" spans="1:4" ht="30" customHeight="1">
      <c r="A33" s="12" t="s">
        <v>410</v>
      </c>
      <c r="B33" s="12" t="s">
        <v>1373</v>
      </c>
      <c r="C33" s="12" t="s">
        <v>1401</v>
      </c>
      <c r="D33" s="12" t="s">
        <v>1375</v>
      </c>
    </row>
    <row r="34" spans="1:4" ht="30" customHeight="1">
      <c r="A34" s="12" t="s">
        <v>411</v>
      </c>
      <c r="B34" s="12" t="s">
        <v>1403</v>
      </c>
      <c r="C34" s="12" t="s">
        <v>1404</v>
      </c>
      <c r="D34" s="12" t="s">
        <v>1375</v>
      </c>
    </row>
    <row r="35" spans="1:4" ht="30" customHeight="1">
      <c r="A35" s="12" t="s">
        <v>412</v>
      </c>
      <c r="B35" s="12" t="s">
        <v>1373</v>
      </c>
      <c r="C35" s="12" t="s">
        <v>1405</v>
      </c>
      <c r="D35" s="12" t="s">
        <v>1375</v>
      </c>
    </row>
    <row r="36" spans="1:4" ht="30" customHeight="1">
      <c r="A36" s="12" t="s">
        <v>413</v>
      </c>
      <c r="B36" s="12" t="s">
        <v>1373</v>
      </c>
      <c r="C36" s="12" t="s">
        <v>1401</v>
      </c>
      <c r="D36" s="12" t="s">
        <v>1375</v>
      </c>
    </row>
    <row r="37" spans="1:4" ht="30" customHeight="1">
      <c r="A37" s="12" t="s">
        <v>414</v>
      </c>
      <c r="B37" s="12" t="s">
        <v>1406</v>
      </c>
      <c r="C37" s="12" t="s">
        <v>1401</v>
      </c>
      <c r="D37" s="12" t="s">
        <v>1375</v>
      </c>
    </row>
    <row r="38" spans="1:4" ht="30" customHeight="1">
      <c r="A38" s="12" t="s">
        <v>415</v>
      </c>
      <c r="B38" s="12" t="s">
        <v>1406</v>
      </c>
      <c r="C38" s="12" t="s">
        <v>1401</v>
      </c>
      <c r="D38" s="12" t="s">
        <v>1375</v>
      </c>
    </row>
    <row r="39" spans="1:4" ht="30" customHeight="1">
      <c r="A39" s="12" t="s">
        <v>416</v>
      </c>
      <c r="B39" s="12" t="s">
        <v>1406</v>
      </c>
      <c r="C39" s="12" t="s">
        <v>1401</v>
      </c>
      <c r="D39" s="12" t="s">
        <v>1375</v>
      </c>
    </row>
    <row r="40" spans="1:4" ht="30" customHeight="1">
      <c r="A40" s="12" t="s">
        <v>417</v>
      </c>
      <c r="B40" s="12" t="s">
        <v>1403</v>
      </c>
      <c r="C40" s="12" t="s">
        <v>1407</v>
      </c>
      <c r="D40" s="12" t="s">
        <v>1375</v>
      </c>
    </row>
    <row r="41" spans="1:4" ht="30" customHeight="1">
      <c r="A41" s="12" t="s">
        <v>418</v>
      </c>
      <c r="B41" s="12" t="s">
        <v>1406</v>
      </c>
      <c r="C41" s="12" t="s">
        <v>1401</v>
      </c>
      <c r="D41" s="12" t="s">
        <v>1375</v>
      </c>
    </row>
    <row r="42" spans="1:4" ht="30" customHeight="1">
      <c r="A42" s="12" t="s">
        <v>419</v>
      </c>
      <c r="B42" s="12" t="s">
        <v>1406</v>
      </c>
      <c r="C42" s="12" t="s">
        <v>1401</v>
      </c>
      <c r="D42" s="12" t="s">
        <v>1375</v>
      </c>
    </row>
    <row r="43" spans="1:4" ht="30" customHeight="1">
      <c r="A43" s="12" t="s">
        <v>420</v>
      </c>
      <c r="B43" s="12" t="s">
        <v>1403</v>
      </c>
      <c r="C43" s="12" t="s">
        <v>1408</v>
      </c>
      <c r="D43" s="12" t="s">
        <v>1375</v>
      </c>
    </row>
    <row r="44" spans="1:4" ht="30" customHeight="1">
      <c r="A44" s="12" t="s">
        <v>421</v>
      </c>
      <c r="B44" s="12" t="s">
        <v>1406</v>
      </c>
      <c r="C44" s="12" t="s">
        <v>1401</v>
      </c>
      <c r="D44" s="12" t="s">
        <v>1375</v>
      </c>
    </row>
    <row r="45" spans="1:4" ht="30" customHeight="1">
      <c r="A45" s="12" t="s">
        <v>422</v>
      </c>
      <c r="B45" s="12" t="s">
        <v>1373</v>
      </c>
      <c r="C45" s="12" t="s">
        <v>1401</v>
      </c>
      <c r="D45" s="12" t="s">
        <v>1375</v>
      </c>
    </row>
    <row r="46" spans="1:4" ht="30" customHeight="1">
      <c r="A46" s="12" t="s">
        <v>423</v>
      </c>
      <c r="B46" s="12" t="s">
        <v>1373</v>
      </c>
      <c r="C46" s="12" t="s">
        <v>1401</v>
      </c>
      <c r="D46" s="12" t="s">
        <v>1375</v>
      </c>
    </row>
    <row r="47" spans="1:4" ht="30" customHeight="1">
      <c r="A47" s="12" t="s">
        <v>424</v>
      </c>
      <c r="B47" s="12" t="s">
        <v>1373</v>
      </c>
      <c r="C47" s="12" t="s">
        <v>1409</v>
      </c>
      <c r="D47" s="12" t="s">
        <v>1375</v>
      </c>
    </row>
    <row r="48" spans="1:4" ht="30" customHeight="1">
      <c r="A48" s="12" t="s">
        <v>425</v>
      </c>
      <c r="B48" s="12" t="s">
        <v>1373</v>
      </c>
      <c r="C48" s="12" t="s">
        <v>1401</v>
      </c>
      <c r="D48" s="12" t="s">
        <v>1375</v>
      </c>
    </row>
    <row r="49" spans="1:4" ht="30" customHeight="1">
      <c r="A49" s="12" t="s">
        <v>426</v>
      </c>
      <c r="B49" s="12" t="s">
        <v>1373</v>
      </c>
      <c r="C49" s="12" t="s">
        <v>1401</v>
      </c>
      <c r="D49" s="12" t="s">
        <v>1375</v>
      </c>
    </row>
    <row r="50" spans="1:4" ht="30" customHeight="1">
      <c r="A50" s="12" t="s">
        <v>427</v>
      </c>
      <c r="B50" s="12" t="s">
        <v>1373</v>
      </c>
      <c r="C50" s="12" t="s">
        <v>1410</v>
      </c>
      <c r="D50" s="12" t="s">
        <v>1375</v>
      </c>
    </row>
    <row r="51" spans="1:4" ht="30" customHeight="1">
      <c r="A51" s="12" t="s">
        <v>428</v>
      </c>
      <c r="B51" s="12" t="s">
        <v>1373</v>
      </c>
      <c r="C51" s="12" t="s">
        <v>1411</v>
      </c>
      <c r="D51" s="12" t="s">
        <v>1375</v>
      </c>
    </row>
    <row r="52" spans="1:4" ht="30" customHeight="1">
      <c r="A52" s="12" t="s">
        <v>429</v>
      </c>
      <c r="B52" s="12" t="s">
        <v>1373</v>
      </c>
      <c r="C52" s="12" t="s">
        <v>1412</v>
      </c>
      <c r="D52" s="12" t="s">
        <v>1375</v>
      </c>
    </row>
    <row r="53" spans="1:4" ht="30" customHeight="1">
      <c r="A53" s="12" t="s">
        <v>430</v>
      </c>
      <c r="B53" s="12" t="s">
        <v>1393</v>
      </c>
      <c r="C53" s="12" t="s">
        <v>1413</v>
      </c>
      <c r="D53" s="12" t="s">
        <v>1375</v>
      </c>
    </row>
    <row r="54" spans="1:4" ht="30" customHeight="1">
      <c r="A54" s="12" t="s">
        <v>431</v>
      </c>
      <c r="B54" s="12" t="s">
        <v>1373</v>
      </c>
      <c r="C54" s="12" t="s">
        <v>1414</v>
      </c>
      <c r="D54" s="12" t="s">
        <v>1375</v>
      </c>
    </row>
    <row r="55" spans="1:4" ht="30" customHeight="1">
      <c r="A55" s="12" t="s">
        <v>432</v>
      </c>
      <c r="B55" s="12" t="s">
        <v>1373</v>
      </c>
      <c r="C55" s="12" t="s">
        <v>1415</v>
      </c>
      <c r="D55" s="12" t="s">
        <v>1375</v>
      </c>
    </row>
    <row r="56" spans="1:4" ht="30" customHeight="1">
      <c r="A56" s="12" t="s">
        <v>433</v>
      </c>
      <c r="B56" s="12" t="s">
        <v>1373</v>
      </c>
      <c r="C56" s="12" t="s">
        <v>1416</v>
      </c>
      <c r="D56" s="12" t="s">
        <v>1375</v>
      </c>
    </row>
    <row r="57" spans="1:4" ht="30" customHeight="1">
      <c r="A57" s="12" t="s">
        <v>434</v>
      </c>
      <c r="B57" s="12" t="s">
        <v>1373</v>
      </c>
      <c r="C57" s="12" t="s">
        <v>1417</v>
      </c>
      <c r="D57" s="12" t="s">
        <v>1375</v>
      </c>
    </row>
    <row r="58" spans="1:4" ht="30" customHeight="1">
      <c r="A58" s="12" t="s">
        <v>435</v>
      </c>
      <c r="B58" s="12" t="s">
        <v>1373</v>
      </c>
      <c r="C58" s="12" t="s">
        <v>1418</v>
      </c>
      <c r="D58" s="12" t="s">
        <v>1375</v>
      </c>
    </row>
    <row r="59" spans="1:4" ht="30" customHeight="1">
      <c r="A59" s="12" t="s">
        <v>1419</v>
      </c>
      <c r="B59" s="12" t="s">
        <v>1420</v>
      </c>
      <c r="C59" s="12" t="s">
        <v>1421</v>
      </c>
      <c r="D59" s="12" t="s">
        <v>1422</v>
      </c>
    </row>
    <row r="60" spans="1:4" ht="30" customHeight="1">
      <c r="A60" s="12" t="s">
        <v>1423</v>
      </c>
      <c r="B60" s="12" t="s">
        <v>1420</v>
      </c>
      <c r="C60" s="12" t="s">
        <v>1424</v>
      </c>
      <c r="D60" s="12" t="s">
        <v>1422</v>
      </c>
    </row>
    <row r="61" spans="1:4" ht="30" customHeight="1">
      <c r="A61" s="12" t="s">
        <v>1425</v>
      </c>
      <c r="B61" s="12" t="s">
        <v>1420</v>
      </c>
      <c r="C61" s="12" t="s">
        <v>1426</v>
      </c>
      <c r="D61" s="12" t="s">
        <v>1422</v>
      </c>
    </row>
    <row r="62" spans="1:4" ht="30" customHeight="1">
      <c r="A62" s="12" t="s">
        <v>1427</v>
      </c>
      <c r="B62" s="12" t="s">
        <v>1420</v>
      </c>
      <c r="C62" s="12" t="s">
        <v>1428</v>
      </c>
      <c r="D62" s="12" t="s">
        <v>1422</v>
      </c>
    </row>
    <row r="63" spans="1:4" ht="30" customHeight="1">
      <c r="A63" s="12" t="s">
        <v>1429</v>
      </c>
      <c r="B63" s="12" t="s">
        <v>1420</v>
      </c>
      <c r="C63" s="12" t="s">
        <v>1430</v>
      </c>
      <c r="D63" s="12" t="s">
        <v>1422</v>
      </c>
    </row>
  </sheetData>
  <mergeCells count="2">
    <mergeCell ref="A1:D2"/>
    <mergeCell ref="A3:D3"/>
  </mergeCells>
  <pageMargins left="0.3" right="0.3" top="0.4" bottom="0.4" header="0.3" footer="0.3"/>
  <pageSetup paperSize="9" fitToHeight="0" orientation="landscape"/>
  <tableParts count="1">
    <tablePart r:id="rId1"/>
  </tableParts>
</worksheet>
</file>

<file path=xl/worksheets/sheet6.xml><?xml version="1.0" encoding="utf-8"?>
<worksheet xmlns="http://schemas.openxmlformats.org/spreadsheetml/2006/main" xmlns:r="http://schemas.openxmlformats.org/officeDocument/2006/relationships">
  <sheetPr>
    <tabColor rgb="FF167C80"/>
    <pageSetUpPr fitToPage="1"/>
  </sheetPr>
  <dimension ref="A1:J151"/>
  <sheetViews>
    <sheetView showGridLines="0" workbookViewId="0">
      <pane xSplit="2" ySplit="6" topLeftCell="C7" activePane="bottomRight" state="frozen"/>
      <selection pane="topRight" activeCell="C1" sqref="C1"/>
      <selection pane="bottomLeft" activeCell="A7" sqref="A7"/>
      <selection pane="bottomRight"/>
    </sheetView>
  </sheetViews>
  <sheetFormatPr defaultRowHeight="15"/>
  <cols>
    <col min="1" max="1" width="14.7109375" customWidth="1"/>
    <col min="2" max="2" width="12.7109375" customWidth="1"/>
    <col min="3" max="3" width="40.7109375" customWidth="1"/>
    <col min="4" max="4" width="28.7109375" customWidth="1"/>
    <col min="5" max="5" width="27.7109375" customWidth="1"/>
    <col min="6" max="6" width="34.7109375" customWidth="1"/>
    <col min="7" max="7" width="55.7109375" customWidth="1"/>
    <col min="8" max="8" width="100.7109375" customWidth="1"/>
    <col min="9" max="9" width="85.7109375" customWidth="1"/>
    <col min="10" max="10" width="100.7109375" customWidth="1"/>
  </cols>
  <sheetData>
    <row r="1" spans="1:10" ht="22" customHeight="1">
      <c r="A1" s="1" t="s">
        <v>1435</v>
      </c>
      <c r="B1" s="1"/>
      <c r="C1" s="1"/>
      <c r="D1" s="1"/>
      <c r="E1" s="1"/>
      <c r="F1" s="1"/>
      <c r="G1" s="1"/>
      <c r="H1" s="1"/>
      <c r="I1" s="1"/>
    </row>
    <row r="2" spans="1:10" ht="18" customHeight="1">
      <c r="A2" s="1"/>
      <c r="B2" s="1"/>
      <c r="C2" s="1"/>
      <c r="D2" s="1"/>
      <c r="E2" s="1"/>
      <c r="F2" s="1"/>
      <c r="G2" s="1"/>
      <c r="H2" s="1"/>
      <c r="I2" s="1"/>
    </row>
    <row r="3" spans="1:10" ht="34" customHeight="1">
      <c r="A3" s="2" t="s">
        <v>1436</v>
      </c>
      <c r="B3" s="2"/>
      <c r="C3" s="2"/>
      <c r="D3" s="2"/>
      <c r="E3" s="2"/>
      <c r="F3" s="2"/>
      <c r="G3" s="2"/>
      <c r="H3" s="2"/>
      <c r="I3" s="2"/>
      <c r="J3" s="2"/>
    </row>
    <row r="6" spans="1:10" ht="40" customHeight="1">
      <c r="A6" s="11" t="s">
        <v>1672</v>
      </c>
      <c r="B6" s="11" t="s">
        <v>428</v>
      </c>
      <c r="C6" s="11" t="s">
        <v>384</v>
      </c>
      <c r="D6" s="11" t="s">
        <v>385</v>
      </c>
      <c r="E6" s="11" t="s">
        <v>1673</v>
      </c>
      <c r="F6" s="11" t="s">
        <v>1674</v>
      </c>
      <c r="G6" s="11" t="s">
        <v>1675</v>
      </c>
      <c r="H6" s="11" t="s">
        <v>1676</v>
      </c>
      <c r="I6" s="11" t="s">
        <v>1677</v>
      </c>
      <c r="J6" s="11" t="s">
        <v>1678</v>
      </c>
    </row>
    <row r="7" spans="1:10" ht="30" customHeight="1">
      <c r="A7" s="12" t="s">
        <v>1437</v>
      </c>
      <c r="B7" s="12" t="s">
        <v>56</v>
      </c>
      <c r="C7" s="12" t="s">
        <v>55</v>
      </c>
      <c r="D7" s="12" t="s">
        <v>28</v>
      </c>
      <c r="E7" s="12" t="s">
        <v>1438</v>
      </c>
      <c r="F7" s="12" t="s">
        <v>406</v>
      </c>
      <c r="G7" s="12" t="s">
        <v>50</v>
      </c>
      <c r="H7" s="12" t="s">
        <v>1439</v>
      </c>
      <c r="I7" s="12" t="s">
        <v>1440</v>
      </c>
      <c r="J7" s="12" t="s">
        <v>1441</v>
      </c>
    </row>
    <row r="8" spans="1:10" ht="30" customHeight="1">
      <c r="A8" s="12" t="s">
        <v>1442</v>
      </c>
      <c r="B8" s="12" t="s">
        <v>52</v>
      </c>
      <c r="C8" s="12" t="s">
        <v>49</v>
      </c>
      <c r="D8" s="12" t="s">
        <v>28</v>
      </c>
      <c r="E8" s="12" t="s">
        <v>1438</v>
      </c>
      <c r="F8" s="12" t="s">
        <v>406</v>
      </c>
      <c r="G8" s="12" t="s">
        <v>50</v>
      </c>
      <c r="H8" s="12" t="s">
        <v>1439</v>
      </c>
      <c r="I8" s="12" t="s">
        <v>1440</v>
      </c>
      <c r="J8" s="12" t="s">
        <v>1441</v>
      </c>
    </row>
    <row r="9" spans="1:10" ht="30" customHeight="1">
      <c r="A9" s="12" t="s">
        <v>1443</v>
      </c>
      <c r="B9" s="12" t="s">
        <v>59</v>
      </c>
      <c r="C9" s="12" t="s">
        <v>58</v>
      </c>
      <c r="D9" s="12" t="s">
        <v>28</v>
      </c>
      <c r="E9" s="12" t="s">
        <v>1438</v>
      </c>
      <c r="F9" s="12" t="s">
        <v>406</v>
      </c>
      <c r="G9" s="12" t="s">
        <v>50</v>
      </c>
      <c r="H9" s="12" t="s">
        <v>1439</v>
      </c>
      <c r="I9" s="12" t="s">
        <v>1440</v>
      </c>
      <c r="J9" s="12" t="s">
        <v>1441</v>
      </c>
    </row>
    <row r="10" spans="1:10" ht="30" customHeight="1">
      <c r="A10" s="12" t="s">
        <v>1444</v>
      </c>
      <c r="B10" s="12" t="s">
        <v>65</v>
      </c>
      <c r="C10" s="12" t="s">
        <v>62</v>
      </c>
      <c r="D10" s="12" t="s">
        <v>28</v>
      </c>
      <c r="E10" s="12" t="s">
        <v>1438</v>
      </c>
      <c r="F10" s="12" t="s">
        <v>423</v>
      </c>
      <c r="G10" s="12" t="s">
        <v>64</v>
      </c>
      <c r="H10" s="12" t="s">
        <v>1445</v>
      </c>
      <c r="I10" s="12" t="s">
        <v>1446</v>
      </c>
      <c r="J10" s="12" t="s">
        <v>1447</v>
      </c>
    </row>
    <row r="11" spans="1:10" ht="30" customHeight="1">
      <c r="A11" s="12" t="s">
        <v>1448</v>
      </c>
      <c r="B11" s="12" t="s">
        <v>291</v>
      </c>
      <c r="C11" s="12" t="s">
        <v>290</v>
      </c>
      <c r="D11" s="12" t="s">
        <v>270</v>
      </c>
      <c r="E11" s="12" t="s">
        <v>1438</v>
      </c>
      <c r="F11" s="12" t="s">
        <v>411</v>
      </c>
      <c r="G11" s="18">
        <v>0.0118207492011987</v>
      </c>
      <c r="H11" s="18">
        <v>0.0108</v>
      </c>
      <c r="I11" s="12" t="s">
        <v>1449</v>
      </c>
      <c r="J11" s="12" t="s">
        <v>1450</v>
      </c>
    </row>
    <row r="12" spans="1:10" ht="30" customHeight="1">
      <c r="A12" s="12" t="s">
        <v>1451</v>
      </c>
      <c r="B12" s="12" t="s">
        <v>168</v>
      </c>
      <c r="C12" s="12" t="s">
        <v>166</v>
      </c>
      <c r="D12" s="12" t="s">
        <v>154</v>
      </c>
      <c r="E12" s="12" t="s">
        <v>1438</v>
      </c>
      <c r="F12" s="12" t="s">
        <v>401</v>
      </c>
      <c r="G12" s="18">
        <v>21</v>
      </c>
      <c r="H12" s="12" t="s">
        <v>1452</v>
      </c>
      <c r="I12" s="12" t="s">
        <v>1453</v>
      </c>
      <c r="J12" s="12" t="s">
        <v>1454</v>
      </c>
    </row>
    <row r="13" spans="1:10" ht="30" customHeight="1">
      <c r="A13" s="12" t="s">
        <v>1455</v>
      </c>
      <c r="B13" s="12" t="s">
        <v>207</v>
      </c>
      <c r="C13" s="12" t="s">
        <v>205</v>
      </c>
      <c r="D13" s="12" t="s">
        <v>154</v>
      </c>
      <c r="E13" s="12" t="s">
        <v>1438</v>
      </c>
      <c r="F13" s="12" t="s">
        <v>401</v>
      </c>
      <c r="G13" s="18">
        <v>16</v>
      </c>
      <c r="H13" s="12" t="s">
        <v>1456</v>
      </c>
      <c r="I13" s="12" t="s">
        <v>1453</v>
      </c>
      <c r="J13" s="12" t="s">
        <v>1457</v>
      </c>
    </row>
    <row r="14" spans="1:10" ht="30" customHeight="1">
      <c r="A14" s="12" t="s">
        <v>1458</v>
      </c>
      <c r="B14" s="12" t="s">
        <v>158</v>
      </c>
      <c r="C14" s="12" t="s">
        <v>153</v>
      </c>
      <c r="D14" s="12" t="s">
        <v>154</v>
      </c>
      <c r="E14" s="12" t="s">
        <v>1438</v>
      </c>
      <c r="F14" s="12" t="s">
        <v>401</v>
      </c>
      <c r="G14" s="18">
        <v>16</v>
      </c>
      <c r="H14" s="18">
        <v>12</v>
      </c>
      <c r="I14" s="12" t="s">
        <v>1453</v>
      </c>
      <c r="J14" s="12" t="s">
        <v>1459</v>
      </c>
    </row>
    <row r="15" spans="1:10" ht="30" customHeight="1">
      <c r="A15" s="12" t="s">
        <v>1460</v>
      </c>
      <c r="B15" s="12" t="s">
        <v>222</v>
      </c>
      <c r="C15" s="12" t="s">
        <v>220</v>
      </c>
      <c r="D15" s="12" t="s">
        <v>154</v>
      </c>
      <c r="E15" s="12" t="s">
        <v>1438</v>
      </c>
      <c r="F15" s="12" t="s">
        <v>401</v>
      </c>
      <c r="G15" s="18">
        <v>17</v>
      </c>
      <c r="H15" s="12" t="s">
        <v>1461</v>
      </c>
      <c r="I15" s="12" t="s">
        <v>1453</v>
      </c>
      <c r="J15" s="12" t="s">
        <v>1462</v>
      </c>
    </row>
    <row r="16" spans="1:10" ht="30" customHeight="1">
      <c r="A16" s="12" t="s">
        <v>1463</v>
      </c>
      <c r="B16" s="12" t="s">
        <v>212</v>
      </c>
      <c r="C16" s="12" t="s">
        <v>210</v>
      </c>
      <c r="D16" s="12" t="s">
        <v>154</v>
      </c>
      <c r="E16" s="12" t="s">
        <v>1438</v>
      </c>
      <c r="F16" s="12" t="s">
        <v>401</v>
      </c>
      <c r="G16" s="18">
        <v>19</v>
      </c>
      <c r="H16" s="12" t="s">
        <v>1452</v>
      </c>
      <c r="I16" s="12" t="s">
        <v>1453</v>
      </c>
      <c r="J16" s="12" t="s">
        <v>1454</v>
      </c>
    </row>
    <row r="17" spans="1:10" ht="30" customHeight="1">
      <c r="A17" s="12" t="s">
        <v>1464</v>
      </c>
      <c r="B17" s="12" t="s">
        <v>173</v>
      </c>
      <c r="C17" s="12" t="s">
        <v>171</v>
      </c>
      <c r="D17" s="12" t="s">
        <v>154</v>
      </c>
      <c r="E17" s="12" t="s">
        <v>1438</v>
      </c>
      <c r="F17" s="12" t="s">
        <v>1465</v>
      </c>
      <c r="G17" s="12" t="s">
        <v>1466</v>
      </c>
      <c r="H17" s="12" t="s">
        <v>1467</v>
      </c>
      <c r="I17" s="12" t="s">
        <v>1468</v>
      </c>
      <c r="J17" s="12" t="s">
        <v>1469</v>
      </c>
    </row>
    <row r="18" spans="1:10" ht="30" customHeight="1">
      <c r="A18" s="12" t="s">
        <v>1470</v>
      </c>
      <c r="B18" s="12" t="s">
        <v>215</v>
      </c>
      <c r="C18" s="12" t="s">
        <v>214</v>
      </c>
      <c r="D18" s="12" t="s">
        <v>154</v>
      </c>
      <c r="E18" s="12" t="s">
        <v>1438</v>
      </c>
      <c r="F18" s="12" t="s">
        <v>1465</v>
      </c>
      <c r="G18" s="12" t="s">
        <v>1466</v>
      </c>
      <c r="H18" s="12" t="s">
        <v>1467</v>
      </c>
      <c r="I18" s="12" t="s">
        <v>1468</v>
      </c>
      <c r="J18" s="12" t="s">
        <v>1469</v>
      </c>
    </row>
    <row r="19" spans="1:10" ht="30" customHeight="1">
      <c r="A19" s="12" t="s">
        <v>1471</v>
      </c>
      <c r="B19" s="12" t="s">
        <v>164</v>
      </c>
      <c r="C19" s="12" t="s">
        <v>162</v>
      </c>
      <c r="D19" s="12" t="s">
        <v>154</v>
      </c>
      <c r="E19" s="12" t="s">
        <v>1438</v>
      </c>
      <c r="F19" s="12" t="s">
        <v>1465</v>
      </c>
      <c r="G19" s="12" t="s">
        <v>1466</v>
      </c>
      <c r="H19" s="12" t="s">
        <v>1467</v>
      </c>
      <c r="I19" s="12" t="s">
        <v>1468</v>
      </c>
      <c r="J19" s="12" t="s">
        <v>1469</v>
      </c>
    </row>
    <row r="20" spans="1:10" ht="30" customHeight="1">
      <c r="A20" s="12" t="s">
        <v>1472</v>
      </c>
      <c r="B20" s="12" t="s">
        <v>185</v>
      </c>
      <c r="C20" s="12" t="s">
        <v>183</v>
      </c>
      <c r="D20" s="12" t="s">
        <v>154</v>
      </c>
      <c r="E20" s="12" t="s">
        <v>1438</v>
      </c>
      <c r="F20" s="12" t="s">
        <v>403</v>
      </c>
      <c r="G20" s="18">
        <v>2</v>
      </c>
      <c r="H20" s="18">
        <v>0</v>
      </c>
      <c r="I20" s="12" t="s">
        <v>1473</v>
      </c>
      <c r="J20" s="12" t="s">
        <v>1474</v>
      </c>
    </row>
    <row r="21" spans="1:10" ht="30" customHeight="1">
      <c r="A21" s="12" t="s">
        <v>1475</v>
      </c>
      <c r="B21" s="12" t="s">
        <v>179</v>
      </c>
      <c r="C21" s="12" t="s">
        <v>175</v>
      </c>
      <c r="D21" s="12" t="s">
        <v>154</v>
      </c>
      <c r="E21" s="12" t="s">
        <v>1438</v>
      </c>
      <c r="F21" s="12" t="s">
        <v>406</v>
      </c>
      <c r="G21" s="12" t="s">
        <v>50</v>
      </c>
      <c r="H21" s="12" t="s">
        <v>1476</v>
      </c>
      <c r="I21" s="12" t="s">
        <v>1477</v>
      </c>
      <c r="J21" s="12" t="s">
        <v>1478</v>
      </c>
    </row>
    <row r="22" spans="1:10" ht="30" customHeight="1">
      <c r="A22" s="12" t="s">
        <v>1479</v>
      </c>
      <c r="B22" s="12" t="s">
        <v>164</v>
      </c>
      <c r="C22" s="12" t="s">
        <v>162</v>
      </c>
      <c r="D22" s="12" t="s">
        <v>154</v>
      </c>
      <c r="E22" s="12" t="s">
        <v>1438</v>
      </c>
      <c r="F22" s="12" t="s">
        <v>406</v>
      </c>
      <c r="G22" s="12" t="s">
        <v>50</v>
      </c>
      <c r="H22" s="12" t="s">
        <v>1476</v>
      </c>
      <c r="I22" s="12" t="s">
        <v>1477</v>
      </c>
      <c r="J22" s="12" t="s">
        <v>1478</v>
      </c>
    </row>
    <row r="23" spans="1:10" ht="30" customHeight="1">
      <c r="A23" s="12" t="s">
        <v>1480</v>
      </c>
      <c r="B23" s="12" t="s">
        <v>122</v>
      </c>
      <c r="C23" s="12" t="s">
        <v>118</v>
      </c>
      <c r="D23" s="12" t="s">
        <v>109</v>
      </c>
      <c r="E23" s="12" t="s">
        <v>1438</v>
      </c>
      <c r="F23" s="12" t="s">
        <v>1481</v>
      </c>
      <c r="G23" s="12" t="s">
        <v>1482</v>
      </c>
      <c r="H23" s="12" t="s">
        <v>1483</v>
      </c>
      <c r="I23" s="12" t="s">
        <v>1484</v>
      </c>
      <c r="J23" s="12" t="s">
        <v>1485</v>
      </c>
    </row>
    <row r="24" spans="1:10" ht="30" customHeight="1">
      <c r="A24" s="12" t="s">
        <v>1486</v>
      </c>
      <c r="B24" s="13"/>
      <c r="C24" s="12" t="s">
        <v>1487</v>
      </c>
      <c r="D24" s="12" t="s">
        <v>109</v>
      </c>
      <c r="E24" s="12" t="s">
        <v>1438</v>
      </c>
      <c r="F24" s="12" t="s">
        <v>1488</v>
      </c>
      <c r="G24" s="12" t="s">
        <v>1489</v>
      </c>
      <c r="H24" s="12" t="s">
        <v>1490</v>
      </c>
      <c r="I24" s="12" t="s">
        <v>1491</v>
      </c>
      <c r="J24" s="12" t="s">
        <v>1492</v>
      </c>
    </row>
    <row r="25" spans="1:10" ht="30" customHeight="1">
      <c r="A25" s="12" t="s">
        <v>1493</v>
      </c>
      <c r="B25" s="12" t="s">
        <v>351</v>
      </c>
      <c r="C25" s="12" t="s">
        <v>346</v>
      </c>
      <c r="D25" s="12" t="s">
        <v>347</v>
      </c>
      <c r="E25" s="12" t="s">
        <v>1438</v>
      </c>
      <c r="F25" s="12" t="s">
        <v>426</v>
      </c>
      <c r="G25" s="13"/>
      <c r="H25" s="12" t="s">
        <v>1494</v>
      </c>
      <c r="I25" s="12" t="s">
        <v>1495</v>
      </c>
      <c r="J25" s="12" t="s">
        <v>1496</v>
      </c>
    </row>
    <row r="26" spans="1:10" ht="30" customHeight="1">
      <c r="A26" s="12" t="s">
        <v>1497</v>
      </c>
      <c r="B26" s="12" t="s">
        <v>374</v>
      </c>
      <c r="C26" s="12" t="s">
        <v>373</v>
      </c>
      <c r="D26" s="12" t="s">
        <v>347</v>
      </c>
      <c r="E26" s="12" t="s">
        <v>1438</v>
      </c>
      <c r="F26" s="12" t="s">
        <v>426</v>
      </c>
      <c r="G26" s="13"/>
      <c r="H26" s="12" t="s">
        <v>1498</v>
      </c>
      <c r="I26" s="12" t="s">
        <v>1495</v>
      </c>
      <c r="J26" s="12" t="s">
        <v>1499</v>
      </c>
    </row>
    <row r="27" spans="1:10" ht="30" customHeight="1">
      <c r="A27" s="12" t="s">
        <v>1500</v>
      </c>
      <c r="B27" s="12" t="s">
        <v>278</v>
      </c>
      <c r="C27" s="12" t="s">
        <v>277</v>
      </c>
      <c r="D27" s="12" t="s">
        <v>270</v>
      </c>
      <c r="E27" s="12" t="s">
        <v>1501</v>
      </c>
      <c r="F27" s="12" t="s">
        <v>1502</v>
      </c>
      <c r="G27" s="12" t="s">
        <v>31</v>
      </c>
      <c r="H27" s="12" t="s">
        <v>50</v>
      </c>
      <c r="I27" s="12" t="s">
        <v>446</v>
      </c>
      <c r="J27" s="12" t="s">
        <v>1364</v>
      </c>
    </row>
    <row r="28" spans="1:10" ht="30" customHeight="1">
      <c r="A28" s="12" t="s">
        <v>1503</v>
      </c>
      <c r="B28" s="12" t="s">
        <v>302</v>
      </c>
      <c r="C28" s="12" t="s">
        <v>301</v>
      </c>
      <c r="D28" s="12" t="s">
        <v>270</v>
      </c>
      <c r="E28" s="12" t="s">
        <v>1501</v>
      </c>
      <c r="F28" s="12" t="s">
        <v>1502</v>
      </c>
      <c r="G28" s="12" t="s">
        <v>31</v>
      </c>
      <c r="H28" s="12" t="s">
        <v>50</v>
      </c>
      <c r="I28" s="12" t="s">
        <v>446</v>
      </c>
      <c r="J28" s="12" t="s">
        <v>1364</v>
      </c>
    </row>
    <row r="29" spans="1:10" ht="30" customHeight="1">
      <c r="A29" s="12" t="s">
        <v>1504</v>
      </c>
      <c r="B29" s="12" t="s">
        <v>283</v>
      </c>
      <c r="C29" s="12" t="s">
        <v>280</v>
      </c>
      <c r="D29" s="12" t="s">
        <v>270</v>
      </c>
      <c r="E29" s="12" t="s">
        <v>1501</v>
      </c>
      <c r="F29" s="12" t="s">
        <v>1502</v>
      </c>
      <c r="G29" s="12" t="s">
        <v>31</v>
      </c>
      <c r="H29" s="12" t="s">
        <v>50</v>
      </c>
      <c r="I29" s="12" t="s">
        <v>446</v>
      </c>
      <c r="J29" s="12" t="s">
        <v>1364</v>
      </c>
    </row>
    <row r="30" spans="1:10" ht="30" customHeight="1">
      <c r="A30" s="12" t="s">
        <v>1505</v>
      </c>
      <c r="B30" s="12" t="s">
        <v>295</v>
      </c>
      <c r="C30" s="12" t="s">
        <v>293</v>
      </c>
      <c r="D30" s="12" t="s">
        <v>270</v>
      </c>
      <c r="E30" s="12" t="s">
        <v>1501</v>
      </c>
      <c r="F30" s="12" t="s">
        <v>1502</v>
      </c>
      <c r="G30" s="12" t="s">
        <v>31</v>
      </c>
      <c r="H30" s="12" t="s">
        <v>50</v>
      </c>
      <c r="I30" s="12" t="s">
        <v>446</v>
      </c>
      <c r="J30" s="12" t="s">
        <v>1364</v>
      </c>
    </row>
    <row r="31" spans="1:10" ht="30" customHeight="1">
      <c r="A31" s="12" t="s">
        <v>1506</v>
      </c>
      <c r="B31" s="12" t="s">
        <v>299</v>
      </c>
      <c r="C31" s="12" t="s">
        <v>297</v>
      </c>
      <c r="D31" s="12" t="s">
        <v>270</v>
      </c>
      <c r="E31" s="12" t="s">
        <v>1501</v>
      </c>
      <c r="F31" s="12" t="s">
        <v>1502</v>
      </c>
      <c r="G31" s="12" t="s">
        <v>31</v>
      </c>
      <c r="H31" s="12" t="s">
        <v>50</v>
      </c>
      <c r="I31" s="12" t="s">
        <v>446</v>
      </c>
      <c r="J31" s="12" t="s">
        <v>1364</v>
      </c>
    </row>
    <row r="32" spans="1:10" ht="30" customHeight="1">
      <c r="A32" s="12" t="s">
        <v>1507</v>
      </c>
      <c r="B32" s="12" t="s">
        <v>288</v>
      </c>
      <c r="C32" s="12" t="s">
        <v>286</v>
      </c>
      <c r="D32" s="12" t="s">
        <v>270</v>
      </c>
      <c r="E32" s="12" t="s">
        <v>1501</v>
      </c>
      <c r="F32" s="12" t="s">
        <v>1502</v>
      </c>
      <c r="G32" s="12" t="s">
        <v>31</v>
      </c>
      <c r="H32" s="12" t="s">
        <v>50</v>
      </c>
      <c r="I32" s="12" t="s">
        <v>446</v>
      </c>
      <c r="J32" s="12" t="s">
        <v>1364</v>
      </c>
    </row>
    <row r="33" spans="1:10" ht="30" customHeight="1">
      <c r="A33" s="12" t="s">
        <v>1508</v>
      </c>
      <c r="B33" s="12" t="s">
        <v>310</v>
      </c>
      <c r="C33" s="12" t="s">
        <v>308</v>
      </c>
      <c r="D33" s="12" t="s">
        <v>270</v>
      </c>
      <c r="E33" s="12" t="s">
        <v>1501</v>
      </c>
      <c r="F33" s="12" t="s">
        <v>1502</v>
      </c>
      <c r="G33" s="12" t="s">
        <v>31</v>
      </c>
      <c r="H33" s="12" t="s">
        <v>50</v>
      </c>
      <c r="I33" s="12" t="s">
        <v>446</v>
      </c>
      <c r="J33" s="12" t="s">
        <v>1364</v>
      </c>
    </row>
    <row r="34" spans="1:10" ht="30" customHeight="1">
      <c r="A34" s="12" t="s">
        <v>1509</v>
      </c>
      <c r="B34" s="12" t="s">
        <v>52</v>
      </c>
      <c r="C34" s="12" t="s">
        <v>49</v>
      </c>
      <c r="D34" s="12" t="s">
        <v>28</v>
      </c>
      <c r="E34" s="12" t="s">
        <v>1510</v>
      </c>
      <c r="F34" s="12" t="s">
        <v>1511</v>
      </c>
      <c r="G34" s="12" t="s">
        <v>50</v>
      </c>
      <c r="H34" s="12" t="s">
        <v>31</v>
      </c>
      <c r="I34" s="12" t="s">
        <v>51</v>
      </c>
      <c r="J34" s="12" t="s">
        <v>1512</v>
      </c>
    </row>
    <row r="35" spans="1:10" ht="30" customHeight="1">
      <c r="A35" s="12" t="s">
        <v>1513</v>
      </c>
      <c r="B35" s="12" t="s">
        <v>56</v>
      </c>
      <c r="C35" s="12" t="s">
        <v>55</v>
      </c>
      <c r="D35" s="12" t="s">
        <v>28</v>
      </c>
      <c r="E35" s="12" t="s">
        <v>1510</v>
      </c>
      <c r="F35" s="12" t="s">
        <v>1511</v>
      </c>
      <c r="G35" s="12" t="s">
        <v>50</v>
      </c>
      <c r="H35" s="12" t="s">
        <v>31</v>
      </c>
      <c r="I35" s="12" t="s">
        <v>46</v>
      </c>
      <c r="J35" s="12" t="s">
        <v>1512</v>
      </c>
    </row>
    <row r="36" spans="1:10" ht="30" customHeight="1">
      <c r="A36" s="12" t="s">
        <v>1514</v>
      </c>
      <c r="B36" s="12" t="s">
        <v>59</v>
      </c>
      <c r="C36" s="12" t="s">
        <v>58</v>
      </c>
      <c r="D36" s="12" t="s">
        <v>28</v>
      </c>
      <c r="E36" s="12" t="s">
        <v>1510</v>
      </c>
      <c r="F36" s="12" t="s">
        <v>1511</v>
      </c>
      <c r="G36" s="12" t="s">
        <v>50</v>
      </c>
      <c r="H36" s="12" t="s">
        <v>31</v>
      </c>
      <c r="I36" s="12" t="s">
        <v>35</v>
      </c>
      <c r="J36" s="12" t="s">
        <v>1512</v>
      </c>
    </row>
    <row r="37" spans="1:10" ht="30" customHeight="1">
      <c r="A37" s="12" t="s">
        <v>1515</v>
      </c>
      <c r="B37" s="12" t="s">
        <v>125</v>
      </c>
      <c r="C37" s="12" t="s">
        <v>124</v>
      </c>
      <c r="D37" s="12" t="s">
        <v>109</v>
      </c>
      <c r="E37" s="12" t="s">
        <v>1510</v>
      </c>
      <c r="F37" s="12" t="s">
        <v>1511</v>
      </c>
      <c r="G37" s="12" t="s">
        <v>31</v>
      </c>
      <c r="H37" s="12" t="s">
        <v>50</v>
      </c>
      <c r="I37" s="12" t="s">
        <v>110</v>
      </c>
      <c r="J37" s="12" t="s">
        <v>1512</v>
      </c>
    </row>
    <row r="38" spans="1:10" ht="30" customHeight="1">
      <c r="A38" s="12" t="s">
        <v>1516</v>
      </c>
      <c r="B38" s="12" t="s">
        <v>168</v>
      </c>
      <c r="C38" s="12" t="s">
        <v>166</v>
      </c>
      <c r="D38" s="12" t="s">
        <v>154</v>
      </c>
      <c r="E38" s="12" t="s">
        <v>1510</v>
      </c>
      <c r="F38" s="12" t="s">
        <v>1511</v>
      </c>
      <c r="G38" s="12" t="s">
        <v>31</v>
      </c>
      <c r="H38" s="12" t="s">
        <v>50</v>
      </c>
      <c r="I38" s="12" t="s">
        <v>167</v>
      </c>
      <c r="J38" s="12" t="s">
        <v>1512</v>
      </c>
    </row>
    <row r="39" spans="1:10" ht="30" customHeight="1">
      <c r="A39" s="12" t="s">
        <v>1517</v>
      </c>
      <c r="B39" s="12" t="s">
        <v>179</v>
      </c>
      <c r="C39" s="12" t="s">
        <v>175</v>
      </c>
      <c r="D39" s="12" t="s">
        <v>154</v>
      </c>
      <c r="E39" s="12" t="s">
        <v>1518</v>
      </c>
      <c r="F39" s="12" t="s">
        <v>1519</v>
      </c>
      <c r="G39" s="12" t="s">
        <v>182</v>
      </c>
      <c r="H39" s="12" t="s">
        <v>1520</v>
      </c>
      <c r="I39" s="12" t="s">
        <v>177</v>
      </c>
      <c r="J39" s="12" t="s">
        <v>1521</v>
      </c>
    </row>
    <row r="40" spans="1:10" ht="30" customHeight="1">
      <c r="A40" s="12" t="s">
        <v>1522</v>
      </c>
      <c r="B40" s="12" t="s">
        <v>185</v>
      </c>
      <c r="C40" s="12" t="s">
        <v>183</v>
      </c>
      <c r="D40" s="12" t="s">
        <v>154</v>
      </c>
      <c r="E40" s="12" t="s">
        <v>1510</v>
      </c>
      <c r="F40" s="12" t="s">
        <v>1511</v>
      </c>
      <c r="G40" s="12" t="s">
        <v>31</v>
      </c>
      <c r="H40" s="12" t="s">
        <v>50</v>
      </c>
      <c r="I40" s="12" t="s">
        <v>184</v>
      </c>
      <c r="J40" s="12" t="s">
        <v>1512</v>
      </c>
    </row>
    <row r="41" spans="1:10" ht="30" customHeight="1">
      <c r="A41" s="12" t="s">
        <v>1523</v>
      </c>
      <c r="B41" s="12" t="s">
        <v>191</v>
      </c>
      <c r="C41" s="12" t="s">
        <v>188</v>
      </c>
      <c r="D41" s="12" t="s">
        <v>154</v>
      </c>
      <c r="E41" s="12" t="s">
        <v>1518</v>
      </c>
      <c r="F41" s="12" t="s">
        <v>1519</v>
      </c>
      <c r="G41" s="12" t="s">
        <v>194</v>
      </c>
      <c r="H41" s="12" t="s">
        <v>1520</v>
      </c>
      <c r="I41" s="12" t="s">
        <v>189</v>
      </c>
      <c r="J41" s="12" t="s">
        <v>1521</v>
      </c>
    </row>
    <row r="42" spans="1:10" ht="30" customHeight="1">
      <c r="A42" s="12" t="s">
        <v>1524</v>
      </c>
      <c r="B42" s="12" t="s">
        <v>197</v>
      </c>
      <c r="C42" s="12" t="s">
        <v>196</v>
      </c>
      <c r="D42" s="12" t="s">
        <v>154</v>
      </c>
      <c r="E42" s="12" t="s">
        <v>1518</v>
      </c>
      <c r="F42" s="12" t="s">
        <v>1519</v>
      </c>
      <c r="G42" s="12" t="s">
        <v>194</v>
      </c>
      <c r="H42" s="12" t="s">
        <v>1520</v>
      </c>
      <c r="I42" s="12" t="s">
        <v>189</v>
      </c>
      <c r="J42" s="12" t="s">
        <v>1521</v>
      </c>
    </row>
    <row r="43" spans="1:10" ht="30" customHeight="1">
      <c r="A43" s="12" t="s">
        <v>1525</v>
      </c>
      <c r="B43" s="12" t="s">
        <v>200</v>
      </c>
      <c r="C43" s="12" t="s">
        <v>199</v>
      </c>
      <c r="D43" s="12" t="s">
        <v>154</v>
      </c>
      <c r="E43" s="12" t="s">
        <v>1518</v>
      </c>
      <c r="F43" s="12" t="s">
        <v>1519</v>
      </c>
      <c r="G43" s="12" t="s">
        <v>194</v>
      </c>
      <c r="H43" s="12" t="s">
        <v>1520</v>
      </c>
      <c r="I43" s="12" t="s">
        <v>189</v>
      </c>
      <c r="J43" s="12" t="s">
        <v>1521</v>
      </c>
    </row>
    <row r="44" spans="1:10" ht="30" customHeight="1">
      <c r="A44" s="12" t="s">
        <v>1526</v>
      </c>
      <c r="B44" s="12" t="s">
        <v>207</v>
      </c>
      <c r="C44" s="12" t="s">
        <v>205</v>
      </c>
      <c r="D44" s="12" t="s">
        <v>154</v>
      </c>
      <c r="E44" s="12" t="s">
        <v>1510</v>
      </c>
      <c r="F44" s="12" t="s">
        <v>1511</v>
      </c>
      <c r="G44" s="12" t="s">
        <v>31</v>
      </c>
      <c r="H44" s="12" t="s">
        <v>50</v>
      </c>
      <c r="I44" s="12" t="s">
        <v>206</v>
      </c>
      <c r="J44" s="12" t="s">
        <v>1512</v>
      </c>
    </row>
    <row r="45" spans="1:10" ht="30" customHeight="1">
      <c r="A45" s="12" t="s">
        <v>1527</v>
      </c>
      <c r="B45" s="12" t="s">
        <v>229</v>
      </c>
      <c r="C45" s="12" t="s">
        <v>225</v>
      </c>
      <c r="D45" s="12" t="s">
        <v>226</v>
      </c>
      <c r="E45" s="12" t="s">
        <v>1518</v>
      </c>
      <c r="F45" s="12" t="s">
        <v>1519</v>
      </c>
      <c r="G45" s="12" t="s">
        <v>232</v>
      </c>
      <c r="H45" s="12" t="s">
        <v>1528</v>
      </c>
      <c r="I45" s="12" t="s">
        <v>227</v>
      </c>
      <c r="J45" s="12" t="s">
        <v>1521</v>
      </c>
    </row>
    <row r="46" spans="1:10" ht="30" customHeight="1">
      <c r="A46" s="12" t="s">
        <v>1529</v>
      </c>
      <c r="B46" s="12" t="s">
        <v>234</v>
      </c>
      <c r="C46" s="12" t="s">
        <v>233</v>
      </c>
      <c r="D46" s="12" t="s">
        <v>226</v>
      </c>
      <c r="E46" s="12" t="s">
        <v>1518</v>
      </c>
      <c r="F46" s="12" t="s">
        <v>1519</v>
      </c>
      <c r="G46" s="12" t="s">
        <v>232</v>
      </c>
      <c r="H46" s="12" t="s">
        <v>1528</v>
      </c>
      <c r="I46" s="12" t="s">
        <v>227</v>
      </c>
      <c r="J46" s="12" t="s">
        <v>1521</v>
      </c>
    </row>
    <row r="47" spans="1:10" ht="30" customHeight="1">
      <c r="A47" s="12" t="s">
        <v>1530</v>
      </c>
      <c r="B47" s="12" t="s">
        <v>237</v>
      </c>
      <c r="C47" s="12" t="s">
        <v>236</v>
      </c>
      <c r="D47" s="12" t="s">
        <v>226</v>
      </c>
      <c r="E47" s="12" t="s">
        <v>1518</v>
      </c>
      <c r="F47" s="12" t="s">
        <v>1519</v>
      </c>
      <c r="G47" s="12" t="s">
        <v>232</v>
      </c>
      <c r="H47" s="12" t="s">
        <v>1528</v>
      </c>
      <c r="I47" s="12" t="s">
        <v>227</v>
      </c>
      <c r="J47" s="12" t="s">
        <v>1521</v>
      </c>
    </row>
    <row r="48" spans="1:10" ht="30" customHeight="1">
      <c r="A48" s="12" t="s">
        <v>1531</v>
      </c>
      <c r="B48" s="12" t="s">
        <v>240</v>
      </c>
      <c r="C48" s="12" t="s">
        <v>239</v>
      </c>
      <c r="D48" s="12" t="s">
        <v>226</v>
      </c>
      <c r="E48" s="12" t="s">
        <v>1518</v>
      </c>
      <c r="F48" s="12" t="s">
        <v>1519</v>
      </c>
      <c r="G48" s="12" t="s">
        <v>232</v>
      </c>
      <c r="H48" s="12" t="s">
        <v>1528</v>
      </c>
      <c r="I48" s="12" t="s">
        <v>227</v>
      </c>
      <c r="J48" s="12" t="s">
        <v>1521</v>
      </c>
    </row>
    <row r="49" spans="1:10" ht="30" customHeight="1">
      <c r="A49" s="12" t="s">
        <v>1532</v>
      </c>
      <c r="B49" s="12" t="s">
        <v>243</v>
      </c>
      <c r="C49" s="12" t="s">
        <v>242</v>
      </c>
      <c r="D49" s="12" t="s">
        <v>226</v>
      </c>
      <c r="E49" s="12" t="s">
        <v>1518</v>
      </c>
      <c r="F49" s="12" t="s">
        <v>1519</v>
      </c>
      <c r="G49" s="12" t="s">
        <v>232</v>
      </c>
      <c r="H49" s="12" t="s">
        <v>1528</v>
      </c>
      <c r="I49" s="12" t="s">
        <v>227</v>
      </c>
      <c r="J49" s="12" t="s">
        <v>1521</v>
      </c>
    </row>
    <row r="50" spans="1:10" ht="30" customHeight="1">
      <c r="A50" s="12" t="s">
        <v>1533</v>
      </c>
      <c r="B50" s="12" t="s">
        <v>246</v>
      </c>
      <c r="C50" s="12" t="s">
        <v>245</v>
      </c>
      <c r="D50" s="12" t="s">
        <v>226</v>
      </c>
      <c r="E50" s="12" t="s">
        <v>1518</v>
      </c>
      <c r="F50" s="12" t="s">
        <v>1519</v>
      </c>
      <c r="G50" s="12" t="s">
        <v>232</v>
      </c>
      <c r="H50" s="12" t="s">
        <v>1528</v>
      </c>
      <c r="I50" s="12" t="s">
        <v>227</v>
      </c>
      <c r="J50" s="12" t="s">
        <v>1521</v>
      </c>
    </row>
    <row r="51" spans="1:10" ht="30" customHeight="1">
      <c r="A51" s="12" t="s">
        <v>1534</v>
      </c>
      <c r="B51" s="12" t="s">
        <v>249</v>
      </c>
      <c r="C51" s="12" t="s">
        <v>248</v>
      </c>
      <c r="D51" s="12" t="s">
        <v>226</v>
      </c>
      <c r="E51" s="12" t="s">
        <v>1518</v>
      </c>
      <c r="F51" s="12" t="s">
        <v>1519</v>
      </c>
      <c r="G51" s="12" t="s">
        <v>232</v>
      </c>
      <c r="H51" s="12" t="s">
        <v>1528</v>
      </c>
      <c r="I51" s="12" t="s">
        <v>227</v>
      </c>
      <c r="J51" s="12" t="s">
        <v>1521</v>
      </c>
    </row>
    <row r="52" spans="1:10" ht="30" customHeight="1">
      <c r="A52" s="12" t="s">
        <v>1535</v>
      </c>
      <c r="B52" s="12" t="s">
        <v>252</v>
      </c>
      <c r="C52" s="12" t="s">
        <v>251</v>
      </c>
      <c r="D52" s="12" t="s">
        <v>226</v>
      </c>
      <c r="E52" s="12" t="s">
        <v>1518</v>
      </c>
      <c r="F52" s="12" t="s">
        <v>1519</v>
      </c>
      <c r="G52" s="12" t="s">
        <v>232</v>
      </c>
      <c r="H52" s="12" t="s">
        <v>1528</v>
      </c>
      <c r="I52" s="12" t="s">
        <v>227</v>
      </c>
      <c r="J52" s="12" t="s">
        <v>1521</v>
      </c>
    </row>
    <row r="53" spans="1:10" ht="30" customHeight="1">
      <c r="A53" s="12" t="s">
        <v>1536</v>
      </c>
      <c r="B53" s="12" t="s">
        <v>255</v>
      </c>
      <c r="C53" s="12" t="s">
        <v>254</v>
      </c>
      <c r="D53" s="12" t="s">
        <v>226</v>
      </c>
      <c r="E53" s="12" t="s">
        <v>1518</v>
      </c>
      <c r="F53" s="12" t="s">
        <v>1519</v>
      </c>
      <c r="G53" s="12" t="s">
        <v>232</v>
      </c>
      <c r="H53" s="12" t="s">
        <v>1528</v>
      </c>
      <c r="I53" s="12" t="s">
        <v>227</v>
      </c>
      <c r="J53" s="12" t="s">
        <v>1521</v>
      </c>
    </row>
    <row r="54" spans="1:10" ht="30" customHeight="1">
      <c r="A54" s="12" t="s">
        <v>1537</v>
      </c>
      <c r="B54" s="12" t="s">
        <v>258</v>
      </c>
      <c r="C54" s="12" t="s">
        <v>257</v>
      </c>
      <c r="D54" s="12" t="s">
        <v>226</v>
      </c>
      <c r="E54" s="12" t="s">
        <v>1518</v>
      </c>
      <c r="F54" s="12" t="s">
        <v>1519</v>
      </c>
      <c r="G54" s="12" t="s">
        <v>232</v>
      </c>
      <c r="H54" s="12" t="s">
        <v>1528</v>
      </c>
      <c r="I54" s="12" t="s">
        <v>227</v>
      </c>
      <c r="J54" s="12" t="s">
        <v>1521</v>
      </c>
    </row>
    <row r="55" spans="1:10" ht="30" customHeight="1">
      <c r="A55" s="12" t="s">
        <v>1538</v>
      </c>
      <c r="B55" s="12" t="s">
        <v>261</v>
      </c>
      <c r="C55" s="12" t="s">
        <v>260</v>
      </c>
      <c r="D55" s="12" t="s">
        <v>226</v>
      </c>
      <c r="E55" s="12" t="s">
        <v>1518</v>
      </c>
      <c r="F55" s="12" t="s">
        <v>1519</v>
      </c>
      <c r="G55" s="12" t="s">
        <v>232</v>
      </c>
      <c r="H55" s="12" t="s">
        <v>1528</v>
      </c>
      <c r="I55" s="12" t="s">
        <v>227</v>
      </c>
      <c r="J55" s="12" t="s">
        <v>1521</v>
      </c>
    </row>
    <row r="56" spans="1:10" ht="30" customHeight="1">
      <c r="A56" s="12" t="s">
        <v>1539</v>
      </c>
      <c r="B56" s="12" t="s">
        <v>264</v>
      </c>
      <c r="C56" s="12" t="s">
        <v>263</v>
      </c>
      <c r="D56" s="12" t="s">
        <v>226</v>
      </c>
      <c r="E56" s="12" t="s">
        <v>1518</v>
      </c>
      <c r="F56" s="12" t="s">
        <v>1519</v>
      </c>
      <c r="G56" s="12" t="s">
        <v>232</v>
      </c>
      <c r="H56" s="12" t="s">
        <v>1528</v>
      </c>
      <c r="I56" s="12" t="s">
        <v>227</v>
      </c>
      <c r="J56" s="12" t="s">
        <v>1521</v>
      </c>
    </row>
    <row r="57" spans="1:10" ht="30" customHeight="1">
      <c r="A57" s="12" t="s">
        <v>1540</v>
      </c>
      <c r="B57" s="12" t="s">
        <v>267</v>
      </c>
      <c r="C57" s="12" t="s">
        <v>266</v>
      </c>
      <c r="D57" s="12" t="s">
        <v>226</v>
      </c>
      <c r="E57" s="12" t="s">
        <v>1518</v>
      </c>
      <c r="F57" s="12" t="s">
        <v>1519</v>
      </c>
      <c r="G57" s="12" t="s">
        <v>232</v>
      </c>
      <c r="H57" s="12" t="s">
        <v>1528</v>
      </c>
      <c r="I57" s="12" t="s">
        <v>227</v>
      </c>
      <c r="J57" s="12" t="s">
        <v>1521</v>
      </c>
    </row>
    <row r="58" spans="1:10" ht="30" customHeight="1">
      <c r="A58" s="12" t="s">
        <v>1541</v>
      </c>
      <c r="B58" s="12" t="s">
        <v>274</v>
      </c>
      <c r="C58" s="12" t="s">
        <v>269</v>
      </c>
      <c r="D58" s="12" t="s">
        <v>270</v>
      </c>
      <c r="E58" s="12" t="s">
        <v>1542</v>
      </c>
      <c r="F58" s="12" t="s">
        <v>420</v>
      </c>
      <c r="G58" s="18">
        <v>1.8385</v>
      </c>
      <c r="H58" s="12" t="s">
        <v>1543</v>
      </c>
      <c r="I58" s="12" t="s">
        <v>272</v>
      </c>
      <c r="J58" s="12" t="s">
        <v>1544</v>
      </c>
    </row>
    <row r="59" spans="1:10" ht="30" customHeight="1">
      <c r="A59" s="12" t="s">
        <v>1545</v>
      </c>
      <c r="B59" s="12" t="s">
        <v>316</v>
      </c>
      <c r="C59" s="12" t="s">
        <v>312</v>
      </c>
      <c r="D59" s="12" t="s">
        <v>313</v>
      </c>
      <c r="E59" s="12" t="s">
        <v>1518</v>
      </c>
      <c r="F59" s="12" t="s">
        <v>1519</v>
      </c>
      <c r="G59" s="12" t="s">
        <v>232</v>
      </c>
      <c r="H59" s="12" t="s">
        <v>1528</v>
      </c>
      <c r="I59" s="12" t="s">
        <v>314</v>
      </c>
      <c r="J59" s="12" t="s">
        <v>1521</v>
      </c>
    </row>
    <row r="60" spans="1:10" ht="30" customHeight="1">
      <c r="A60" s="12" t="s">
        <v>1546</v>
      </c>
      <c r="B60" s="12" t="s">
        <v>320</v>
      </c>
      <c r="C60" s="12" t="s">
        <v>319</v>
      </c>
      <c r="D60" s="12" t="s">
        <v>313</v>
      </c>
      <c r="E60" s="12" t="s">
        <v>1518</v>
      </c>
      <c r="F60" s="12" t="s">
        <v>1519</v>
      </c>
      <c r="G60" s="12" t="s">
        <v>232</v>
      </c>
      <c r="H60" s="12" t="s">
        <v>1528</v>
      </c>
      <c r="I60" s="12" t="s">
        <v>314</v>
      </c>
      <c r="J60" s="12" t="s">
        <v>1521</v>
      </c>
    </row>
    <row r="61" spans="1:10" ht="30" customHeight="1">
      <c r="A61" s="12" t="s">
        <v>1547</v>
      </c>
      <c r="B61" s="12" t="s">
        <v>323</v>
      </c>
      <c r="C61" s="12" t="s">
        <v>322</v>
      </c>
      <c r="D61" s="12" t="s">
        <v>313</v>
      </c>
      <c r="E61" s="12" t="s">
        <v>1518</v>
      </c>
      <c r="F61" s="12" t="s">
        <v>1519</v>
      </c>
      <c r="G61" s="12" t="s">
        <v>232</v>
      </c>
      <c r="H61" s="12" t="s">
        <v>1528</v>
      </c>
      <c r="I61" s="12" t="s">
        <v>314</v>
      </c>
      <c r="J61" s="12" t="s">
        <v>1521</v>
      </c>
    </row>
    <row r="62" spans="1:10" ht="30" customHeight="1">
      <c r="A62" s="12" t="s">
        <v>1548</v>
      </c>
      <c r="B62" s="12" t="s">
        <v>326</v>
      </c>
      <c r="C62" s="12" t="s">
        <v>325</v>
      </c>
      <c r="D62" s="12" t="s">
        <v>313</v>
      </c>
      <c r="E62" s="12" t="s">
        <v>1518</v>
      </c>
      <c r="F62" s="12" t="s">
        <v>1519</v>
      </c>
      <c r="G62" s="12" t="s">
        <v>232</v>
      </c>
      <c r="H62" s="12" t="s">
        <v>1528</v>
      </c>
      <c r="I62" s="12" t="s">
        <v>314</v>
      </c>
      <c r="J62" s="12" t="s">
        <v>1521</v>
      </c>
    </row>
    <row r="63" spans="1:10" ht="30" customHeight="1">
      <c r="A63" s="12" t="s">
        <v>1549</v>
      </c>
      <c r="B63" s="12" t="s">
        <v>329</v>
      </c>
      <c r="C63" s="12" t="s">
        <v>328</v>
      </c>
      <c r="D63" s="12" t="s">
        <v>313</v>
      </c>
      <c r="E63" s="12" t="s">
        <v>1518</v>
      </c>
      <c r="F63" s="12" t="s">
        <v>1519</v>
      </c>
      <c r="G63" s="12" t="s">
        <v>232</v>
      </c>
      <c r="H63" s="12" t="s">
        <v>1528</v>
      </c>
      <c r="I63" s="12" t="s">
        <v>314</v>
      </c>
      <c r="J63" s="12" t="s">
        <v>1521</v>
      </c>
    </row>
    <row r="64" spans="1:10" ht="30" customHeight="1">
      <c r="A64" s="12" t="s">
        <v>1550</v>
      </c>
      <c r="B64" s="12" t="s">
        <v>329</v>
      </c>
      <c r="C64" s="12" t="s">
        <v>328</v>
      </c>
      <c r="D64" s="12" t="s">
        <v>313</v>
      </c>
      <c r="E64" s="12" t="s">
        <v>1542</v>
      </c>
      <c r="F64" s="12" t="s">
        <v>420</v>
      </c>
      <c r="G64" s="18">
        <v>1.5222</v>
      </c>
      <c r="H64" s="12" t="s">
        <v>1543</v>
      </c>
      <c r="I64" s="12" t="s">
        <v>314</v>
      </c>
      <c r="J64" s="12" t="s">
        <v>1544</v>
      </c>
    </row>
    <row r="65" spans="1:10" ht="30" customHeight="1">
      <c r="A65" s="12" t="s">
        <v>1551</v>
      </c>
      <c r="B65" s="12" t="s">
        <v>332</v>
      </c>
      <c r="C65" s="12" t="s">
        <v>331</v>
      </c>
      <c r="D65" s="12" t="s">
        <v>313</v>
      </c>
      <c r="E65" s="12" t="s">
        <v>1518</v>
      </c>
      <c r="F65" s="12" t="s">
        <v>1519</v>
      </c>
      <c r="G65" s="12" t="s">
        <v>232</v>
      </c>
      <c r="H65" s="12" t="s">
        <v>1528</v>
      </c>
      <c r="I65" s="12" t="s">
        <v>314</v>
      </c>
      <c r="J65" s="12" t="s">
        <v>1521</v>
      </c>
    </row>
    <row r="66" spans="1:10" ht="30" customHeight="1">
      <c r="A66" s="12" t="s">
        <v>1552</v>
      </c>
      <c r="B66" s="12" t="s">
        <v>335</v>
      </c>
      <c r="C66" s="12" t="s">
        <v>334</v>
      </c>
      <c r="D66" s="12" t="s">
        <v>313</v>
      </c>
      <c r="E66" s="12" t="s">
        <v>1518</v>
      </c>
      <c r="F66" s="12" t="s">
        <v>1519</v>
      </c>
      <c r="G66" s="12" t="s">
        <v>232</v>
      </c>
      <c r="H66" s="12" t="s">
        <v>1528</v>
      </c>
      <c r="I66" s="12" t="s">
        <v>314</v>
      </c>
      <c r="J66" s="12" t="s">
        <v>1521</v>
      </c>
    </row>
    <row r="67" spans="1:10" ht="30" customHeight="1">
      <c r="A67" s="12" t="s">
        <v>1553</v>
      </c>
      <c r="B67" s="12" t="s">
        <v>338</v>
      </c>
      <c r="C67" s="12" t="s">
        <v>337</v>
      </c>
      <c r="D67" s="12" t="s">
        <v>313</v>
      </c>
      <c r="E67" s="12" t="s">
        <v>1518</v>
      </c>
      <c r="F67" s="12" t="s">
        <v>1519</v>
      </c>
      <c r="G67" s="12" t="s">
        <v>232</v>
      </c>
      <c r="H67" s="12" t="s">
        <v>1528</v>
      </c>
      <c r="I67" s="12" t="s">
        <v>314</v>
      </c>
      <c r="J67" s="12" t="s">
        <v>1521</v>
      </c>
    </row>
    <row r="68" spans="1:10" ht="30" customHeight="1">
      <c r="A68" s="12" t="s">
        <v>1554</v>
      </c>
      <c r="B68" s="12" t="s">
        <v>341</v>
      </c>
      <c r="C68" s="12" t="s">
        <v>340</v>
      </c>
      <c r="D68" s="12" t="s">
        <v>313</v>
      </c>
      <c r="E68" s="12" t="s">
        <v>1518</v>
      </c>
      <c r="F68" s="12" t="s">
        <v>1519</v>
      </c>
      <c r="G68" s="12" t="s">
        <v>232</v>
      </c>
      <c r="H68" s="12" t="s">
        <v>1528</v>
      </c>
      <c r="I68" s="12" t="s">
        <v>314</v>
      </c>
      <c r="J68" s="12" t="s">
        <v>1521</v>
      </c>
    </row>
    <row r="69" spans="1:10" ht="30" customHeight="1">
      <c r="A69" s="12" t="s">
        <v>1555</v>
      </c>
      <c r="B69" s="12" t="s">
        <v>344</v>
      </c>
      <c r="C69" s="12" t="s">
        <v>343</v>
      </c>
      <c r="D69" s="12" t="s">
        <v>313</v>
      </c>
      <c r="E69" s="12" t="s">
        <v>1518</v>
      </c>
      <c r="F69" s="12" t="s">
        <v>1519</v>
      </c>
      <c r="G69" s="12" t="s">
        <v>232</v>
      </c>
      <c r="H69" s="12" t="s">
        <v>1528</v>
      </c>
      <c r="I69" s="12" t="s">
        <v>314</v>
      </c>
      <c r="J69" s="12" t="s">
        <v>1521</v>
      </c>
    </row>
    <row r="70" spans="1:10" ht="30" customHeight="1">
      <c r="A70" s="12" t="s">
        <v>1556</v>
      </c>
      <c r="B70" s="12" t="s">
        <v>76</v>
      </c>
      <c r="C70" s="12" t="s">
        <v>75</v>
      </c>
      <c r="D70" s="12" t="s">
        <v>28</v>
      </c>
      <c r="E70" s="12" t="s">
        <v>1557</v>
      </c>
      <c r="F70" s="12" t="s">
        <v>1558</v>
      </c>
      <c r="G70" s="13"/>
      <c r="H70" s="12" t="s">
        <v>1559</v>
      </c>
      <c r="I70" s="12" t="s">
        <v>1560</v>
      </c>
      <c r="J70" s="12" t="s">
        <v>1561</v>
      </c>
    </row>
    <row r="71" spans="1:10" ht="30" customHeight="1">
      <c r="A71" s="12" t="s">
        <v>1562</v>
      </c>
      <c r="B71" s="12" t="s">
        <v>56</v>
      </c>
      <c r="C71" s="12" t="s">
        <v>55</v>
      </c>
      <c r="D71" s="12" t="s">
        <v>28</v>
      </c>
      <c r="E71" s="12" t="s">
        <v>1557</v>
      </c>
      <c r="F71" s="12" t="s">
        <v>1558</v>
      </c>
      <c r="G71" s="13"/>
      <c r="H71" s="12" t="s">
        <v>1559</v>
      </c>
      <c r="I71" s="12" t="s">
        <v>1560</v>
      </c>
      <c r="J71" s="12" t="s">
        <v>1561</v>
      </c>
    </row>
    <row r="72" spans="1:10" ht="30" customHeight="1">
      <c r="A72" s="12" t="s">
        <v>1563</v>
      </c>
      <c r="B72" s="12" t="s">
        <v>73</v>
      </c>
      <c r="C72" s="12" t="s">
        <v>72</v>
      </c>
      <c r="D72" s="12" t="s">
        <v>28</v>
      </c>
      <c r="E72" s="12" t="s">
        <v>1557</v>
      </c>
      <c r="F72" s="12" t="s">
        <v>1558</v>
      </c>
      <c r="G72" s="13"/>
      <c r="H72" s="12" t="s">
        <v>1559</v>
      </c>
      <c r="I72" s="12" t="s">
        <v>1560</v>
      </c>
      <c r="J72" s="12" t="s">
        <v>1561</v>
      </c>
    </row>
    <row r="73" spans="1:10" ht="30" customHeight="1">
      <c r="A73" s="12" t="s">
        <v>1564</v>
      </c>
      <c r="B73" s="12" t="s">
        <v>52</v>
      </c>
      <c r="C73" s="12" t="s">
        <v>49</v>
      </c>
      <c r="D73" s="12" t="s">
        <v>28</v>
      </c>
      <c r="E73" s="12" t="s">
        <v>1557</v>
      </c>
      <c r="F73" s="12" t="s">
        <v>1558</v>
      </c>
      <c r="G73" s="13"/>
      <c r="H73" s="12" t="s">
        <v>1559</v>
      </c>
      <c r="I73" s="12" t="s">
        <v>1560</v>
      </c>
      <c r="J73" s="12" t="s">
        <v>1561</v>
      </c>
    </row>
    <row r="74" spans="1:10" ht="30" customHeight="1">
      <c r="A74" s="12" t="s">
        <v>1565</v>
      </c>
      <c r="B74" s="12" t="s">
        <v>47</v>
      </c>
      <c r="C74" s="12" t="s">
        <v>44</v>
      </c>
      <c r="D74" s="12" t="s">
        <v>28</v>
      </c>
      <c r="E74" s="12" t="s">
        <v>1557</v>
      </c>
      <c r="F74" s="12" t="s">
        <v>1558</v>
      </c>
      <c r="G74" s="13"/>
      <c r="H74" s="12" t="s">
        <v>1559</v>
      </c>
      <c r="I74" s="12" t="s">
        <v>1560</v>
      </c>
      <c r="J74" s="12" t="s">
        <v>1561</v>
      </c>
    </row>
    <row r="75" spans="1:10" ht="30" customHeight="1">
      <c r="A75" s="12" t="s">
        <v>1566</v>
      </c>
      <c r="B75" s="12" t="s">
        <v>65</v>
      </c>
      <c r="C75" s="12" t="s">
        <v>62</v>
      </c>
      <c r="D75" s="12" t="s">
        <v>28</v>
      </c>
      <c r="E75" s="12" t="s">
        <v>1557</v>
      </c>
      <c r="F75" s="12" t="s">
        <v>1558</v>
      </c>
      <c r="G75" s="13"/>
      <c r="H75" s="12" t="s">
        <v>1567</v>
      </c>
      <c r="I75" s="12" t="s">
        <v>1560</v>
      </c>
      <c r="J75" s="12" t="s">
        <v>1561</v>
      </c>
    </row>
    <row r="76" spans="1:10" ht="30" customHeight="1">
      <c r="A76" s="12" t="s">
        <v>1568</v>
      </c>
      <c r="B76" s="12" t="s">
        <v>70</v>
      </c>
      <c r="C76" s="12" t="s">
        <v>68</v>
      </c>
      <c r="D76" s="12" t="s">
        <v>28</v>
      </c>
      <c r="E76" s="12" t="s">
        <v>1557</v>
      </c>
      <c r="F76" s="12" t="s">
        <v>1558</v>
      </c>
      <c r="G76" s="13"/>
      <c r="H76" s="12" t="s">
        <v>1559</v>
      </c>
      <c r="I76" s="12" t="s">
        <v>1560</v>
      </c>
      <c r="J76" s="12" t="s">
        <v>1561</v>
      </c>
    </row>
    <row r="77" spans="1:10" ht="30" customHeight="1">
      <c r="A77" s="12" t="s">
        <v>1569</v>
      </c>
      <c r="B77" s="12" t="s">
        <v>37</v>
      </c>
      <c r="C77" s="12" t="s">
        <v>27</v>
      </c>
      <c r="D77" s="12" t="s">
        <v>28</v>
      </c>
      <c r="E77" s="12" t="s">
        <v>1557</v>
      </c>
      <c r="F77" s="12" t="s">
        <v>1558</v>
      </c>
      <c r="G77" s="13"/>
      <c r="H77" s="12" t="s">
        <v>1559</v>
      </c>
      <c r="I77" s="12" t="s">
        <v>1560</v>
      </c>
      <c r="J77" s="12" t="s">
        <v>1561</v>
      </c>
    </row>
    <row r="78" spans="1:10" ht="30" customHeight="1">
      <c r="A78" s="12" t="s">
        <v>1570</v>
      </c>
      <c r="B78" s="12" t="s">
        <v>59</v>
      </c>
      <c r="C78" s="12" t="s">
        <v>58</v>
      </c>
      <c r="D78" s="12" t="s">
        <v>28</v>
      </c>
      <c r="E78" s="12" t="s">
        <v>1557</v>
      </c>
      <c r="F78" s="12" t="s">
        <v>1558</v>
      </c>
      <c r="G78" s="13"/>
      <c r="H78" s="12" t="s">
        <v>1559</v>
      </c>
      <c r="I78" s="12" t="s">
        <v>1560</v>
      </c>
      <c r="J78" s="12" t="s">
        <v>1561</v>
      </c>
    </row>
    <row r="79" spans="1:10" ht="30" customHeight="1">
      <c r="A79" s="12" t="s">
        <v>1571</v>
      </c>
      <c r="B79" s="12" t="s">
        <v>90</v>
      </c>
      <c r="C79" s="12" t="s">
        <v>88</v>
      </c>
      <c r="D79" s="12" t="s">
        <v>79</v>
      </c>
      <c r="E79" s="12" t="s">
        <v>1557</v>
      </c>
      <c r="F79" s="12" t="s">
        <v>1558</v>
      </c>
      <c r="G79" s="13"/>
      <c r="H79" s="12" t="s">
        <v>1572</v>
      </c>
      <c r="I79" s="12" t="s">
        <v>1573</v>
      </c>
      <c r="J79" s="12" t="s">
        <v>1561</v>
      </c>
    </row>
    <row r="80" spans="1:10" ht="30" customHeight="1">
      <c r="A80" s="12" t="s">
        <v>1574</v>
      </c>
      <c r="B80" s="12" t="s">
        <v>102</v>
      </c>
      <c r="C80" s="12" t="s">
        <v>100</v>
      </c>
      <c r="D80" s="12" t="s">
        <v>79</v>
      </c>
      <c r="E80" s="12" t="s">
        <v>1557</v>
      </c>
      <c r="F80" s="12" t="s">
        <v>1558</v>
      </c>
      <c r="G80" s="13"/>
      <c r="H80" s="12" t="s">
        <v>1572</v>
      </c>
      <c r="I80" s="12" t="s">
        <v>1573</v>
      </c>
      <c r="J80" s="12" t="s">
        <v>1561</v>
      </c>
    </row>
    <row r="81" spans="1:10" ht="30" customHeight="1">
      <c r="A81" s="12" t="s">
        <v>1575</v>
      </c>
      <c r="B81" s="12" t="s">
        <v>81</v>
      </c>
      <c r="C81" s="12" t="s">
        <v>78</v>
      </c>
      <c r="D81" s="12" t="s">
        <v>79</v>
      </c>
      <c r="E81" s="12" t="s">
        <v>1557</v>
      </c>
      <c r="F81" s="12" t="s">
        <v>1558</v>
      </c>
      <c r="G81" s="13"/>
      <c r="H81" s="12" t="s">
        <v>1572</v>
      </c>
      <c r="I81" s="12" t="s">
        <v>1573</v>
      </c>
      <c r="J81" s="12" t="s">
        <v>1561</v>
      </c>
    </row>
    <row r="82" spans="1:10" ht="30" customHeight="1">
      <c r="A82" s="12" t="s">
        <v>1576</v>
      </c>
      <c r="B82" s="12" t="s">
        <v>94</v>
      </c>
      <c r="C82" s="12" t="s">
        <v>92</v>
      </c>
      <c r="D82" s="12" t="s">
        <v>79</v>
      </c>
      <c r="E82" s="12" t="s">
        <v>1557</v>
      </c>
      <c r="F82" s="12" t="s">
        <v>1558</v>
      </c>
      <c r="G82" s="13"/>
      <c r="H82" s="12" t="s">
        <v>1572</v>
      </c>
      <c r="I82" s="12" t="s">
        <v>1573</v>
      </c>
      <c r="J82" s="12" t="s">
        <v>1561</v>
      </c>
    </row>
    <row r="83" spans="1:10" ht="30" customHeight="1">
      <c r="A83" s="12" t="s">
        <v>1577</v>
      </c>
      <c r="B83" s="12" t="s">
        <v>106</v>
      </c>
      <c r="C83" s="12" t="s">
        <v>104</v>
      </c>
      <c r="D83" s="12" t="s">
        <v>79</v>
      </c>
      <c r="E83" s="12" t="s">
        <v>1557</v>
      </c>
      <c r="F83" s="12" t="s">
        <v>1558</v>
      </c>
      <c r="G83" s="13"/>
      <c r="H83" s="12" t="s">
        <v>1572</v>
      </c>
      <c r="I83" s="12" t="s">
        <v>1573</v>
      </c>
      <c r="J83" s="12" t="s">
        <v>1561</v>
      </c>
    </row>
    <row r="84" spans="1:10" ht="30" customHeight="1">
      <c r="A84" s="12" t="s">
        <v>1578</v>
      </c>
      <c r="B84" s="12" t="s">
        <v>86</v>
      </c>
      <c r="C84" s="12" t="s">
        <v>84</v>
      </c>
      <c r="D84" s="12" t="s">
        <v>79</v>
      </c>
      <c r="E84" s="12" t="s">
        <v>1557</v>
      </c>
      <c r="F84" s="12" t="s">
        <v>1558</v>
      </c>
      <c r="G84" s="13"/>
      <c r="H84" s="12" t="s">
        <v>1572</v>
      </c>
      <c r="I84" s="12" t="s">
        <v>1573</v>
      </c>
      <c r="J84" s="12" t="s">
        <v>1561</v>
      </c>
    </row>
    <row r="85" spans="1:10" ht="30" customHeight="1">
      <c r="A85" s="12" t="s">
        <v>1579</v>
      </c>
      <c r="B85" s="12" t="s">
        <v>98</v>
      </c>
      <c r="C85" s="12" t="s">
        <v>96</v>
      </c>
      <c r="D85" s="12" t="s">
        <v>79</v>
      </c>
      <c r="E85" s="12" t="s">
        <v>1557</v>
      </c>
      <c r="F85" s="12" t="s">
        <v>1558</v>
      </c>
      <c r="G85" s="13"/>
      <c r="H85" s="12" t="s">
        <v>1572</v>
      </c>
      <c r="I85" s="12" t="s">
        <v>1573</v>
      </c>
      <c r="J85" s="12" t="s">
        <v>1561</v>
      </c>
    </row>
    <row r="86" spans="1:10" ht="30" customHeight="1">
      <c r="A86" s="12" t="s">
        <v>1580</v>
      </c>
      <c r="B86" s="12" t="s">
        <v>132</v>
      </c>
      <c r="C86" s="12" t="s">
        <v>130</v>
      </c>
      <c r="D86" s="12" t="s">
        <v>109</v>
      </c>
      <c r="E86" s="12" t="s">
        <v>1557</v>
      </c>
      <c r="F86" s="12" t="s">
        <v>1558</v>
      </c>
      <c r="G86" s="13"/>
      <c r="H86" s="12" t="s">
        <v>1581</v>
      </c>
      <c r="I86" s="12" t="s">
        <v>1582</v>
      </c>
      <c r="J86" s="12" t="s">
        <v>1561</v>
      </c>
    </row>
    <row r="87" spans="1:10" ht="30" customHeight="1">
      <c r="A87" s="12" t="s">
        <v>1583</v>
      </c>
      <c r="B87" s="12" t="s">
        <v>151</v>
      </c>
      <c r="C87" s="12" t="s">
        <v>148</v>
      </c>
      <c r="D87" s="12" t="s">
        <v>109</v>
      </c>
      <c r="E87" s="12" t="s">
        <v>1557</v>
      </c>
      <c r="F87" s="12" t="s">
        <v>1558</v>
      </c>
      <c r="G87" s="13"/>
      <c r="H87" s="12" t="s">
        <v>1584</v>
      </c>
      <c r="I87" s="12" t="s">
        <v>1582</v>
      </c>
      <c r="J87" s="12" t="s">
        <v>1561</v>
      </c>
    </row>
    <row r="88" spans="1:10" ht="30" customHeight="1">
      <c r="A88" s="12" t="s">
        <v>1585</v>
      </c>
      <c r="B88" s="12" t="s">
        <v>142</v>
      </c>
      <c r="C88" s="12" t="s">
        <v>140</v>
      </c>
      <c r="D88" s="12" t="s">
        <v>109</v>
      </c>
      <c r="E88" s="12" t="s">
        <v>1557</v>
      </c>
      <c r="F88" s="12" t="s">
        <v>1558</v>
      </c>
      <c r="G88" s="13"/>
      <c r="H88" s="12" t="s">
        <v>1586</v>
      </c>
      <c r="I88" s="12" t="s">
        <v>1582</v>
      </c>
      <c r="J88" s="12" t="s">
        <v>1561</v>
      </c>
    </row>
    <row r="89" spans="1:10" ht="30" customHeight="1">
      <c r="A89" s="12" t="s">
        <v>1587</v>
      </c>
      <c r="B89" s="12" t="s">
        <v>122</v>
      </c>
      <c r="C89" s="12" t="s">
        <v>118</v>
      </c>
      <c r="D89" s="12" t="s">
        <v>109</v>
      </c>
      <c r="E89" s="12" t="s">
        <v>1557</v>
      </c>
      <c r="F89" s="12" t="s">
        <v>1558</v>
      </c>
      <c r="G89" s="13"/>
      <c r="H89" s="12" t="s">
        <v>1584</v>
      </c>
      <c r="I89" s="12" t="s">
        <v>1582</v>
      </c>
      <c r="J89" s="12" t="s">
        <v>1561</v>
      </c>
    </row>
    <row r="90" spans="1:10" ht="30" customHeight="1">
      <c r="A90" s="12" t="s">
        <v>1588</v>
      </c>
      <c r="B90" s="12" t="s">
        <v>135</v>
      </c>
      <c r="C90" s="12" t="s">
        <v>134</v>
      </c>
      <c r="D90" s="12" t="s">
        <v>109</v>
      </c>
      <c r="E90" s="12" t="s">
        <v>1557</v>
      </c>
      <c r="F90" s="12" t="s">
        <v>1558</v>
      </c>
      <c r="G90" s="13"/>
      <c r="H90" s="12" t="s">
        <v>1581</v>
      </c>
      <c r="I90" s="12" t="s">
        <v>1582</v>
      </c>
      <c r="J90" s="12" t="s">
        <v>1561</v>
      </c>
    </row>
    <row r="91" spans="1:10" ht="30" customHeight="1">
      <c r="A91" s="12" t="s">
        <v>1589</v>
      </c>
      <c r="B91" s="12" t="s">
        <v>125</v>
      </c>
      <c r="C91" s="12" t="s">
        <v>124</v>
      </c>
      <c r="D91" s="12" t="s">
        <v>109</v>
      </c>
      <c r="E91" s="12" t="s">
        <v>1557</v>
      </c>
      <c r="F91" s="12" t="s">
        <v>1558</v>
      </c>
      <c r="G91" s="13"/>
      <c r="H91" s="12" t="s">
        <v>1590</v>
      </c>
      <c r="I91" s="12" t="s">
        <v>1582</v>
      </c>
      <c r="J91" s="12" t="s">
        <v>1561</v>
      </c>
    </row>
    <row r="92" spans="1:10" ht="30" customHeight="1">
      <c r="A92" s="12" t="s">
        <v>1591</v>
      </c>
      <c r="B92" s="12" t="s">
        <v>146</v>
      </c>
      <c r="C92" s="12" t="s">
        <v>144</v>
      </c>
      <c r="D92" s="12" t="s">
        <v>109</v>
      </c>
      <c r="E92" s="12" t="s">
        <v>1557</v>
      </c>
      <c r="F92" s="12" t="s">
        <v>1558</v>
      </c>
      <c r="G92" s="13"/>
      <c r="H92" s="12" t="s">
        <v>1581</v>
      </c>
      <c r="I92" s="12" t="s">
        <v>1582</v>
      </c>
      <c r="J92" s="12" t="s">
        <v>1561</v>
      </c>
    </row>
    <row r="93" spans="1:10" ht="30" customHeight="1">
      <c r="A93" s="12" t="s">
        <v>1592</v>
      </c>
      <c r="B93" s="12" t="s">
        <v>138</v>
      </c>
      <c r="C93" s="12" t="s">
        <v>137</v>
      </c>
      <c r="D93" s="12" t="s">
        <v>109</v>
      </c>
      <c r="E93" s="12" t="s">
        <v>1557</v>
      </c>
      <c r="F93" s="12" t="s">
        <v>1558</v>
      </c>
      <c r="G93" s="13"/>
      <c r="H93" s="12" t="s">
        <v>1581</v>
      </c>
      <c r="I93" s="12" t="s">
        <v>1582</v>
      </c>
      <c r="J93" s="12" t="s">
        <v>1561</v>
      </c>
    </row>
    <row r="94" spans="1:10" ht="30" customHeight="1">
      <c r="A94" s="12" t="s">
        <v>1593</v>
      </c>
      <c r="B94" s="12" t="s">
        <v>112</v>
      </c>
      <c r="C94" s="12" t="s">
        <v>108</v>
      </c>
      <c r="D94" s="12" t="s">
        <v>109</v>
      </c>
      <c r="E94" s="12" t="s">
        <v>1557</v>
      </c>
      <c r="F94" s="12" t="s">
        <v>1558</v>
      </c>
      <c r="G94" s="13"/>
      <c r="H94" s="12" t="s">
        <v>1581</v>
      </c>
      <c r="I94" s="12" t="s">
        <v>1582</v>
      </c>
      <c r="J94" s="12" t="s">
        <v>1561</v>
      </c>
    </row>
    <row r="95" spans="1:10" ht="30" customHeight="1">
      <c r="A95" s="12" t="s">
        <v>1594</v>
      </c>
      <c r="B95" s="12" t="s">
        <v>128</v>
      </c>
      <c r="C95" s="12" t="s">
        <v>127</v>
      </c>
      <c r="D95" s="12" t="s">
        <v>109</v>
      </c>
      <c r="E95" s="12" t="s">
        <v>1557</v>
      </c>
      <c r="F95" s="12" t="s">
        <v>1558</v>
      </c>
      <c r="G95" s="13"/>
      <c r="H95" s="12" t="s">
        <v>1584</v>
      </c>
      <c r="I95" s="12" t="s">
        <v>1582</v>
      </c>
      <c r="J95" s="12" t="s">
        <v>1561</v>
      </c>
    </row>
    <row r="96" spans="1:10" ht="30" customHeight="1">
      <c r="A96" s="12" t="s">
        <v>1595</v>
      </c>
      <c r="B96" s="12" t="s">
        <v>179</v>
      </c>
      <c r="C96" s="12" t="s">
        <v>175</v>
      </c>
      <c r="D96" s="12" t="s">
        <v>154</v>
      </c>
      <c r="E96" s="12" t="s">
        <v>1557</v>
      </c>
      <c r="F96" s="12" t="s">
        <v>1558</v>
      </c>
      <c r="G96" s="13"/>
      <c r="H96" s="12" t="s">
        <v>1596</v>
      </c>
      <c r="I96" s="12" t="s">
        <v>1597</v>
      </c>
      <c r="J96" s="12" t="s">
        <v>1561</v>
      </c>
    </row>
    <row r="97" spans="1:10" ht="30" customHeight="1">
      <c r="A97" s="12" t="s">
        <v>1598</v>
      </c>
      <c r="B97" s="12" t="s">
        <v>168</v>
      </c>
      <c r="C97" s="12" t="s">
        <v>166</v>
      </c>
      <c r="D97" s="12" t="s">
        <v>154</v>
      </c>
      <c r="E97" s="12" t="s">
        <v>1557</v>
      </c>
      <c r="F97" s="12" t="s">
        <v>1558</v>
      </c>
      <c r="G97" s="13"/>
      <c r="H97" s="12" t="s">
        <v>1599</v>
      </c>
      <c r="I97" s="12" t="s">
        <v>1597</v>
      </c>
      <c r="J97" s="12" t="s">
        <v>1561</v>
      </c>
    </row>
    <row r="98" spans="1:10" ht="30" customHeight="1">
      <c r="A98" s="12" t="s">
        <v>1600</v>
      </c>
      <c r="B98" s="12" t="s">
        <v>207</v>
      </c>
      <c r="C98" s="12" t="s">
        <v>205</v>
      </c>
      <c r="D98" s="12" t="s">
        <v>154</v>
      </c>
      <c r="E98" s="12" t="s">
        <v>1557</v>
      </c>
      <c r="F98" s="12" t="s">
        <v>1558</v>
      </c>
      <c r="G98" s="13"/>
      <c r="H98" s="12" t="s">
        <v>1599</v>
      </c>
      <c r="I98" s="12" t="s">
        <v>1597</v>
      </c>
      <c r="J98" s="12" t="s">
        <v>1561</v>
      </c>
    </row>
    <row r="99" spans="1:10" ht="30" customHeight="1">
      <c r="A99" s="12" t="s">
        <v>1601</v>
      </c>
      <c r="B99" s="12" t="s">
        <v>158</v>
      </c>
      <c r="C99" s="12" t="s">
        <v>153</v>
      </c>
      <c r="D99" s="12" t="s">
        <v>154</v>
      </c>
      <c r="E99" s="12" t="s">
        <v>1557</v>
      </c>
      <c r="F99" s="12" t="s">
        <v>1558</v>
      </c>
      <c r="G99" s="13"/>
      <c r="H99" s="12" t="s">
        <v>1599</v>
      </c>
      <c r="I99" s="12" t="s">
        <v>1597</v>
      </c>
      <c r="J99" s="12" t="s">
        <v>1561</v>
      </c>
    </row>
    <row r="100" spans="1:10" ht="30" customHeight="1">
      <c r="A100" s="12" t="s">
        <v>1602</v>
      </c>
      <c r="B100" s="12" t="s">
        <v>222</v>
      </c>
      <c r="C100" s="12" t="s">
        <v>220</v>
      </c>
      <c r="D100" s="12" t="s">
        <v>154</v>
      </c>
      <c r="E100" s="12" t="s">
        <v>1557</v>
      </c>
      <c r="F100" s="12" t="s">
        <v>1558</v>
      </c>
      <c r="G100" s="13"/>
      <c r="H100" s="12" t="s">
        <v>1599</v>
      </c>
      <c r="I100" s="12" t="s">
        <v>1597</v>
      </c>
      <c r="J100" s="12" t="s">
        <v>1561</v>
      </c>
    </row>
    <row r="101" spans="1:10" ht="30" customHeight="1">
      <c r="A101" s="12" t="s">
        <v>1603</v>
      </c>
      <c r="B101" s="12" t="s">
        <v>212</v>
      </c>
      <c r="C101" s="12" t="s">
        <v>210</v>
      </c>
      <c r="D101" s="12" t="s">
        <v>154</v>
      </c>
      <c r="E101" s="12" t="s">
        <v>1557</v>
      </c>
      <c r="F101" s="12" t="s">
        <v>1558</v>
      </c>
      <c r="G101" s="13"/>
      <c r="H101" s="12" t="s">
        <v>1604</v>
      </c>
      <c r="I101" s="12" t="s">
        <v>1597</v>
      </c>
      <c r="J101" s="12" t="s">
        <v>1561</v>
      </c>
    </row>
    <row r="102" spans="1:10" ht="30" customHeight="1">
      <c r="A102" s="12" t="s">
        <v>1605</v>
      </c>
      <c r="B102" s="12" t="s">
        <v>203</v>
      </c>
      <c r="C102" s="12" t="s">
        <v>202</v>
      </c>
      <c r="D102" s="12" t="s">
        <v>154</v>
      </c>
      <c r="E102" s="12" t="s">
        <v>1557</v>
      </c>
      <c r="F102" s="12" t="s">
        <v>1558</v>
      </c>
      <c r="G102" s="13"/>
      <c r="H102" s="12" t="s">
        <v>1604</v>
      </c>
      <c r="I102" s="12" t="s">
        <v>1597</v>
      </c>
      <c r="J102" s="12" t="s">
        <v>1561</v>
      </c>
    </row>
    <row r="103" spans="1:10" ht="30" customHeight="1">
      <c r="A103" s="12" t="s">
        <v>1606</v>
      </c>
      <c r="B103" s="12" t="s">
        <v>218</v>
      </c>
      <c r="C103" s="12" t="s">
        <v>217</v>
      </c>
      <c r="D103" s="12" t="s">
        <v>154</v>
      </c>
      <c r="E103" s="12" t="s">
        <v>1557</v>
      </c>
      <c r="F103" s="12" t="s">
        <v>1558</v>
      </c>
      <c r="G103" s="13"/>
      <c r="H103" s="12" t="s">
        <v>1604</v>
      </c>
      <c r="I103" s="12" t="s">
        <v>1597</v>
      </c>
      <c r="J103" s="12" t="s">
        <v>1561</v>
      </c>
    </row>
    <row r="104" spans="1:10" ht="30" customHeight="1">
      <c r="A104" s="12" t="s">
        <v>1607</v>
      </c>
      <c r="B104" s="12" t="s">
        <v>185</v>
      </c>
      <c r="C104" s="12" t="s">
        <v>183</v>
      </c>
      <c r="D104" s="12" t="s">
        <v>154</v>
      </c>
      <c r="E104" s="12" t="s">
        <v>1557</v>
      </c>
      <c r="F104" s="12" t="s">
        <v>1558</v>
      </c>
      <c r="G104" s="13"/>
      <c r="H104" s="12" t="s">
        <v>1599</v>
      </c>
      <c r="I104" s="12" t="s">
        <v>1597</v>
      </c>
      <c r="J104" s="12" t="s">
        <v>1561</v>
      </c>
    </row>
    <row r="105" spans="1:10" ht="30" customHeight="1">
      <c r="A105" s="12" t="s">
        <v>1608</v>
      </c>
      <c r="B105" s="12" t="s">
        <v>173</v>
      </c>
      <c r="C105" s="12" t="s">
        <v>171</v>
      </c>
      <c r="D105" s="12" t="s">
        <v>154</v>
      </c>
      <c r="E105" s="12" t="s">
        <v>1557</v>
      </c>
      <c r="F105" s="12" t="s">
        <v>1558</v>
      </c>
      <c r="G105" s="13"/>
      <c r="H105" s="12" t="s">
        <v>1609</v>
      </c>
      <c r="I105" s="12" t="s">
        <v>1597</v>
      </c>
      <c r="J105" s="12" t="s">
        <v>1561</v>
      </c>
    </row>
    <row r="106" spans="1:10" ht="30" customHeight="1">
      <c r="A106" s="12" t="s">
        <v>1610</v>
      </c>
      <c r="B106" s="12" t="s">
        <v>215</v>
      </c>
      <c r="C106" s="12" t="s">
        <v>214</v>
      </c>
      <c r="D106" s="12" t="s">
        <v>154</v>
      </c>
      <c r="E106" s="12" t="s">
        <v>1557</v>
      </c>
      <c r="F106" s="12" t="s">
        <v>1558</v>
      </c>
      <c r="G106" s="13"/>
      <c r="H106" s="12" t="s">
        <v>1609</v>
      </c>
      <c r="I106" s="12" t="s">
        <v>1597</v>
      </c>
      <c r="J106" s="12" t="s">
        <v>1561</v>
      </c>
    </row>
    <row r="107" spans="1:10" ht="30" customHeight="1">
      <c r="A107" s="12" t="s">
        <v>1611</v>
      </c>
      <c r="B107" s="12" t="s">
        <v>164</v>
      </c>
      <c r="C107" s="12" t="s">
        <v>162</v>
      </c>
      <c r="D107" s="12" t="s">
        <v>154</v>
      </c>
      <c r="E107" s="12" t="s">
        <v>1557</v>
      </c>
      <c r="F107" s="12" t="s">
        <v>1558</v>
      </c>
      <c r="G107" s="13"/>
      <c r="H107" s="12" t="s">
        <v>1609</v>
      </c>
      <c r="I107" s="12" t="s">
        <v>1597</v>
      </c>
      <c r="J107" s="12" t="s">
        <v>1561</v>
      </c>
    </row>
    <row r="108" spans="1:10" ht="30" customHeight="1">
      <c r="A108" s="12" t="s">
        <v>1612</v>
      </c>
      <c r="B108" s="12" t="s">
        <v>237</v>
      </c>
      <c r="C108" s="12" t="s">
        <v>236</v>
      </c>
      <c r="D108" s="12" t="s">
        <v>226</v>
      </c>
      <c r="E108" s="12" t="s">
        <v>1557</v>
      </c>
      <c r="F108" s="12" t="s">
        <v>1558</v>
      </c>
      <c r="G108" s="13"/>
      <c r="H108" s="12" t="s">
        <v>1613</v>
      </c>
      <c r="I108" s="12" t="s">
        <v>1297</v>
      </c>
      <c r="J108" s="12" t="s">
        <v>1561</v>
      </c>
    </row>
    <row r="109" spans="1:10" ht="30" customHeight="1">
      <c r="A109" s="12" t="s">
        <v>1614</v>
      </c>
      <c r="B109" s="12" t="s">
        <v>229</v>
      </c>
      <c r="C109" s="12" t="s">
        <v>225</v>
      </c>
      <c r="D109" s="12" t="s">
        <v>226</v>
      </c>
      <c r="E109" s="12" t="s">
        <v>1557</v>
      </c>
      <c r="F109" s="12" t="s">
        <v>1558</v>
      </c>
      <c r="G109" s="13"/>
      <c r="H109" s="12" t="s">
        <v>1613</v>
      </c>
      <c r="I109" s="12" t="s">
        <v>1297</v>
      </c>
      <c r="J109" s="12" t="s">
        <v>1561</v>
      </c>
    </row>
    <row r="110" spans="1:10" ht="30" customHeight="1">
      <c r="A110" s="12" t="s">
        <v>1615</v>
      </c>
      <c r="B110" s="12" t="s">
        <v>267</v>
      </c>
      <c r="C110" s="12" t="s">
        <v>266</v>
      </c>
      <c r="D110" s="12" t="s">
        <v>226</v>
      </c>
      <c r="E110" s="12" t="s">
        <v>1557</v>
      </c>
      <c r="F110" s="12" t="s">
        <v>1558</v>
      </c>
      <c r="G110" s="13"/>
      <c r="H110" s="12" t="s">
        <v>1613</v>
      </c>
      <c r="I110" s="12" t="s">
        <v>1297</v>
      </c>
      <c r="J110" s="12" t="s">
        <v>1561</v>
      </c>
    </row>
    <row r="111" spans="1:10" ht="30" customHeight="1">
      <c r="A111" s="12" t="s">
        <v>1616</v>
      </c>
      <c r="B111" s="12" t="s">
        <v>261</v>
      </c>
      <c r="C111" s="12" t="s">
        <v>260</v>
      </c>
      <c r="D111" s="12" t="s">
        <v>226</v>
      </c>
      <c r="E111" s="12" t="s">
        <v>1557</v>
      </c>
      <c r="F111" s="12" t="s">
        <v>1558</v>
      </c>
      <c r="G111" s="13"/>
      <c r="H111" s="12" t="s">
        <v>1613</v>
      </c>
      <c r="I111" s="12" t="s">
        <v>1297</v>
      </c>
      <c r="J111" s="12" t="s">
        <v>1561</v>
      </c>
    </row>
    <row r="112" spans="1:10" ht="30" customHeight="1">
      <c r="A112" s="12" t="s">
        <v>1617</v>
      </c>
      <c r="B112" s="12" t="s">
        <v>240</v>
      </c>
      <c r="C112" s="12" t="s">
        <v>239</v>
      </c>
      <c r="D112" s="12" t="s">
        <v>226</v>
      </c>
      <c r="E112" s="12" t="s">
        <v>1557</v>
      </c>
      <c r="F112" s="12" t="s">
        <v>1558</v>
      </c>
      <c r="G112" s="13"/>
      <c r="H112" s="12" t="s">
        <v>1613</v>
      </c>
      <c r="I112" s="12" t="s">
        <v>1297</v>
      </c>
      <c r="J112" s="12" t="s">
        <v>1561</v>
      </c>
    </row>
    <row r="113" spans="1:10" ht="30" customHeight="1">
      <c r="A113" s="12" t="s">
        <v>1618</v>
      </c>
      <c r="B113" s="12" t="s">
        <v>264</v>
      </c>
      <c r="C113" s="12" t="s">
        <v>263</v>
      </c>
      <c r="D113" s="12" t="s">
        <v>226</v>
      </c>
      <c r="E113" s="12" t="s">
        <v>1557</v>
      </c>
      <c r="F113" s="12" t="s">
        <v>1558</v>
      </c>
      <c r="G113" s="13"/>
      <c r="H113" s="12" t="s">
        <v>1613</v>
      </c>
      <c r="I113" s="12" t="s">
        <v>1297</v>
      </c>
      <c r="J113" s="12" t="s">
        <v>1561</v>
      </c>
    </row>
    <row r="114" spans="1:10" ht="30" customHeight="1">
      <c r="A114" s="12" t="s">
        <v>1619</v>
      </c>
      <c r="B114" s="12" t="s">
        <v>255</v>
      </c>
      <c r="C114" s="12" t="s">
        <v>254</v>
      </c>
      <c r="D114" s="12" t="s">
        <v>226</v>
      </c>
      <c r="E114" s="12" t="s">
        <v>1557</v>
      </c>
      <c r="F114" s="12" t="s">
        <v>1558</v>
      </c>
      <c r="G114" s="13"/>
      <c r="H114" s="12" t="s">
        <v>1613</v>
      </c>
      <c r="I114" s="12" t="s">
        <v>1297</v>
      </c>
      <c r="J114" s="12" t="s">
        <v>1561</v>
      </c>
    </row>
    <row r="115" spans="1:10" ht="30" customHeight="1">
      <c r="A115" s="12" t="s">
        <v>1620</v>
      </c>
      <c r="B115" s="12" t="s">
        <v>252</v>
      </c>
      <c r="C115" s="12" t="s">
        <v>251</v>
      </c>
      <c r="D115" s="12" t="s">
        <v>226</v>
      </c>
      <c r="E115" s="12" t="s">
        <v>1557</v>
      </c>
      <c r="F115" s="12" t="s">
        <v>1558</v>
      </c>
      <c r="G115" s="13"/>
      <c r="H115" s="12" t="s">
        <v>1613</v>
      </c>
      <c r="I115" s="12" t="s">
        <v>1297</v>
      </c>
      <c r="J115" s="12" t="s">
        <v>1561</v>
      </c>
    </row>
    <row r="116" spans="1:10" ht="30" customHeight="1">
      <c r="A116" s="12" t="s">
        <v>1621</v>
      </c>
      <c r="B116" s="12" t="s">
        <v>249</v>
      </c>
      <c r="C116" s="12" t="s">
        <v>248</v>
      </c>
      <c r="D116" s="12" t="s">
        <v>226</v>
      </c>
      <c r="E116" s="12" t="s">
        <v>1557</v>
      </c>
      <c r="F116" s="12" t="s">
        <v>1558</v>
      </c>
      <c r="G116" s="13"/>
      <c r="H116" s="12" t="s">
        <v>1613</v>
      </c>
      <c r="I116" s="12" t="s">
        <v>1297</v>
      </c>
      <c r="J116" s="12" t="s">
        <v>1561</v>
      </c>
    </row>
    <row r="117" spans="1:10" ht="30" customHeight="1">
      <c r="A117" s="12" t="s">
        <v>1622</v>
      </c>
      <c r="B117" s="12" t="s">
        <v>243</v>
      </c>
      <c r="C117" s="12" t="s">
        <v>242</v>
      </c>
      <c r="D117" s="12" t="s">
        <v>226</v>
      </c>
      <c r="E117" s="12" t="s">
        <v>1557</v>
      </c>
      <c r="F117" s="12" t="s">
        <v>1558</v>
      </c>
      <c r="G117" s="13"/>
      <c r="H117" s="12" t="s">
        <v>1613</v>
      </c>
      <c r="I117" s="12" t="s">
        <v>1297</v>
      </c>
      <c r="J117" s="12" t="s">
        <v>1561</v>
      </c>
    </row>
    <row r="118" spans="1:10" ht="30" customHeight="1">
      <c r="A118" s="12" t="s">
        <v>1623</v>
      </c>
      <c r="B118" s="12" t="s">
        <v>234</v>
      </c>
      <c r="C118" s="12" t="s">
        <v>233</v>
      </c>
      <c r="D118" s="12" t="s">
        <v>226</v>
      </c>
      <c r="E118" s="12" t="s">
        <v>1557</v>
      </c>
      <c r="F118" s="12" t="s">
        <v>1558</v>
      </c>
      <c r="G118" s="13"/>
      <c r="H118" s="12" t="s">
        <v>1613</v>
      </c>
      <c r="I118" s="12" t="s">
        <v>1297</v>
      </c>
      <c r="J118" s="12" t="s">
        <v>1561</v>
      </c>
    </row>
    <row r="119" spans="1:10" ht="30" customHeight="1">
      <c r="A119" s="12" t="s">
        <v>1624</v>
      </c>
      <c r="B119" s="12" t="s">
        <v>246</v>
      </c>
      <c r="C119" s="12" t="s">
        <v>245</v>
      </c>
      <c r="D119" s="12" t="s">
        <v>226</v>
      </c>
      <c r="E119" s="12" t="s">
        <v>1557</v>
      </c>
      <c r="F119" s="12" t="s">
        <v>1558</v>
      </c>
      <c r="G119" s="13"/>
      <c r="H119" s="12" t="s">
        <v>1613</v>
      </c>
      <c r="I119" s="12" t="s">
        <v>1297</v>
      </c>
      <c r="J119" s="12" t="s">
        <v>1561</v>
      </c>
    </row>
    <row r="120" spans="1:10" ht="30" customHeight="1">
      <c r="A120" s="12" t="s">
        <v>1625</v>
      </c>
      <c r="B120" s="12" t="s">
        <v>258</v>
      </c>
      <c r="C120" s="12" t="s">
        <v>257</v>
      </c>
      <c r="D120" s="12" t="s">
        <v>226</v>
      </c>
      <c r="E120" s="12" t="s">
        <v>1557</v>
      </c>
      <c r="F120" s="12" t="s">
        <v>1558</v>
      </c>
      <c r="G120" s="13"/>
      <c r="H120" s="12" t="s">
        <v>1613</v>
      </c>
      <c r="I120" s="12" t="s">
        <v>1297</v>
      </c>
      <c r="J120" s="12" t="s">
        <v>1561</v>
      </c>
    </row>
    <row r="121" spans="1:10" ht="30" customHeight="1">
      <c r="A121" s="12" t="s">
        <v>1626</v>
      </c>
      <c r="B121" s="12" t="s">
        <v>274</v>
      </c>
      <c r="C121" s="12" t="s">
        <v>269</v>
      </c>
      <c r="D121" s="12" t="s">
        <v>270</v>
      </c>
      <c r="E121" s="12" t="s">
        <v>1557</v>
      </c>
      <c r="F121" s="12" t="s">
        <v>1558</v>
      </c>
      <c r="G121" s="13"/>
      <c r="H121" s="12" t="s">
        <v>1627</v>
      </c>
      <c r="I121" s="12" t="s">
        <v>1628</v>
      </c>
      <c r="J121" s="12" t="s">
        <v>1561</v>
      </c>
    </row>
    <row r="122" spans="1:10" ht="30" customHeight="1">
      <c r="A122" s="12" t="s">
        <v>1629</v>
      </c>
      <c r="B122" s="12" t="s">
        <v>278</v>
      </c>
      <c r="C122" s="12" t="s">
        <v>277</v>
      </c>
      <c r="D122" s="12" t="s">
        <v>270</v>
      </c>
      <c r="E122" s="12" t="s">
        <v>1557</v>
      </c>
      <c r="F122" s="12" t="s">
        <v>1558</v>
      </c>
      <c r="G122" s="13"/>
      <c r="H122" s="12" t="s">
        <v>1627</v>
      </c>
      <c r="I122" s="12" t="s">
        <v>1628</v>
      </c>
      <c r="J122" s="12" t="s">
        <v>1561</v>
      </c>
    </row>
    <row r="123" spans="1:10" ht="30" customHeight="1">
      <c r="A123" s="12" t="s">
        <v>1630</v>
      </c>
      <c r="B123" s="12" t="s">
        <v>306</v>
      </c>
      <c r="C123" s="12" t="s">
        <v>304</v>
      </c>
      <c r="D123" s="12" t="s">
        <v>270</v>
      </c>
      <c r="E123" s="12" t="s">
        <v>1557</v>
      </c>
      <c r="F123" s="12" t="s">
        <v>1558</v>
      </c>
      <c r="G123" s="13"/>
      <c r="H123" s="12" t="s">
        <v>1631</v>
      </c>
      <c r="I123" s="12" t="s">
        <v>1628</v>
      </c>
      <c r="J123" s="12" t="s">
        <v>1561</v>
      </c>
    </row>
    <row r="124" spans="1:10" ht="30" customHeight="1">
      <c r="A124" s="12" t="s">
        <v>1632</v>
      </c>
      <c r="B124" s="12" t="s">
        <v>291</v>
      </c>
      <c r="C124" s="12" t="s">
        <v>290</v>
      </c>
      <c r="D124" s="12" t="s">
        <v>270</v>
      </c>
      <c r="E124" s="12" t="s">
        <v>1557</v>
      </c>
      <c r="F124" s="12" t="s">
        <v>1558</v>
      </c>
      <c r="G124" s="13"/>
      <c r="H124" s="12" t="s">
        <v>1627</v>
      </c>
      <c r="I124" s="12" t="s">
        <v>1628</v>
      </c>
      <c r="J124" s="12" t="s">
        <v>1561</v>
      </c>
    </row>
    <row r="125" spans="1:10" ht="30" customHeight="1">
      <c r="A125" s="12" t="s">
        <v>1633</v>
      </c>
      <c r="B125" s="12" t="s">
        <v>302</v>
      </c>
      <c r="C125" s="12" t="s">
        <v>301</v>
      </c>
      <c r="D125" s="12" t="s">
        <v>270</v>
      </c>
      <c r="E125" s="12" t="s">
        <v>1557</v>
      </c>
      <c r="F125" s="12" t="s">
        <v>1558</v>
      </c>
      <c r="G125" s="13"/>
      <c r="H125" s="12" t="s">
        <v>1627</v>
      </c>
      <c r="I125" s="12" t="s">
        <v>1628</v>
      </c>
      <c r="J125" s="12" t="s">
        <v>1561</v>
      </c>
    </row>
    <row r="126" spans="1:10" ht="30" customHeight="1">
      <c r="A126" s="12" t="s">
        <v>1634</v>
      </c>
      <c r="B126" s="12" t="s">
        <v>283</v>
      </c>
      <c r="C126" s="12" t="s">
        <v>280</v>
      </c>
      <c r="D126" s="12" t="s">
        <v>270</v>
      </c>
      <c r="E126" s="12" t="s">
        <v>1557</v>
      </c>
      <c r="F126" s="12" t="s">
        <v>1558</v>
      </c>
      <c r="G126" s="13"/>
      <c r="H126" s="12" t="s">
        <v>1627</v>
      </c>
      <c r="I126" s="12" t="s">
        <v>1628</v>
      </c>
      <c r="J126" s="12" t="s">
        <v>1561</v>
      </c>
    </row>
    <row r="127" spans="1:10" ht="30" customHeight="1">
      <c r="A127" s="12" t="s">
        <v>1635</v>
      </c>
      <c r="B127" s="12" t="s">
        <v>295</v>
      </c>
      <c r="C127" s="12" t="s">
        <v>293</v>
      </c>
      <c r="D127" s="12" t="s">
        <v>270</v>
      </c>
      <c r="E127" s="12" t="s">
        <v>1557</v>
      </c>
      <c r="F127" s="12" t="s">
        <v>1558</v>
      </c>
      <c r="G127" s="13"/>
      <c r="H127" s="12" t="s">
        <v>1627</v>
      </c>
      <c r="I127" s="12" t="s">
        <v>1628</v>
      </c>
      <c r="J127" s="12" t="s">
        <v>1561</v>
      </c>
    </row>
    <row r="128" spans="1:10" ht="30" customHeight="1">
      <c r="A128" s="12" t="s">
        <v>1636</v>
      </c>
      <c r="B128" s="12" t="s">
        <v>299</v>
      </c>
      <c r="C128" s="12" t="s">
        <v>297</v>
      </c>
      <c r="D128" s="12" t="s">
        <v>270</v>
      </c>
      <c r="E128" s="12" t="s">
        <v>1557</v>
      </c>
      <c r="F128" s="12" t="s">
        <v>1558</v>
      </c>
      <c r="G128" s="13"/>
      <c r="H128" s="12" t="s">
        <v>1627</v>
      </c>
      <c r="I128" s="12" t="s">
        <v>1628</v>
      </c>
      <c r="J128" s="12" t="s">
        <v>1561</v>
      </c>
    </row>
    <row r="129" spans="1:10" ht="30" customHeight="1">
      <c r="A129" s="12" t="s">
        <v>1637</v>
      </c>
      <c r="B129" s="12" t="s">
        <v>288</v>
      </c>
      <c r="C129" s="12" t="s">
        <v>286</v>
      </c>
      <c r="D129" s="12" t="s">
        <v>270</v>
      </c>
      <c r="E129" s="12" t="s">
        <v>1557</v>
      </c>
      <c r="F129" s="12" t="s">
        <v>1558</v>
      </c>
      <c r="G129" s="13"/>
      <c r="H129" s="12" t="s">
        <v>1627</v>
      </c>
      <c r="I129" s="12" t="s">
        <v>1628</v>
      </c>
      <c r="J129" s="12" t="s">
        <v>1561</v>
      </c>
    </row>
    <row r="130" spans="1:10" ht="30" customHeight="1">
      <c r="A130" s="12" t="s">
        <v>1638</v>
      </c>
      <c r="B130" s="12" t="s">
        <v>310</v>
      </c>
      <c r="C130" s="12" t="s">
        <v>308</v>
      </c>
      <c r="D130" s="12" t="s">
        <v>270</v>
      </c>
      <c r="E130" s="12" t="s">
        <v>1557</v>
      </c>
      <c r="F130" s="12" t="s">
        <v>1558</v>
      </c>
      <c r="G130" s="13"/>
      <c r="H130" s="12" t="s">
        <v>1627</v>
      </c>
      <c r="I130" s="12" t="s">
        <v>1628</v>
      </c>
      <c r="J130" s="12" t="s">
        <v>1561</v>
      </c>
    </row>
    <row r="131" spans="1:10" ht="30" customHeight="1">
      <c r="A131" s="12" t="s">
        <v>1639</v>
      </c>
      <c r="B131" s="12" t="s">
        <v>316</v>
      </c>
      <c r="C131" s="12" t="s">
        <v>312</v>
      </c>
      <c r="D131" s="12" t="s">
        <v>313</v>
      </c>
      <c r="E131" s="12" t="s">
        <v>1557</v>
      </c>
      <c r="F131" s="12" t="s">
        <v>1558</v>
      </c>
      <c r="G131" s="13"/>
      <c r="H131" s="12" t="s">
        <v>1640</v>
      </c>
      <c r="I131" s="12" t="s">
        <v>1307</v>
      </c>
      <c r="J131" s="12" t="s">
        <v>1561</v>
      </c>
    </row>
    <row r="132" spans="1:10" ht="30" customHeight="1">
      <c r="A132" s="12" t="s">
        <v>1641</v>
      </c>
      <c r="B132" s="12" t="s">
        <v>338</v>
      </c>
      <c r="C132" s="12" t="s">
        <v>337</v>
      </c>
      <c r="D132" s="12" t="s">
        <v>313</v>
      </c>
      <c r="E132" s="12" t="s">
        <v>1557</v>
      </c>
      <c r="F132" s="12" t="s">
        <v>1558</v>
      </c>
      <c r="G132" s="13"/>
      <c r="H132" s="12" t="s">
        <v>1640</v>
      </c>
      <c r="I132" s="12" t="s">
        <v>1307</v>
      </c>
      <c r="J132" s="12" t="s">
        <v>1561</v>
      </c>
    </row>
    <row r="133" spans="1:10" ht="30" customHeight="1">
      <c r="A133" s="12" t="s">
        <v>1642</v>
      </c>
      <c r="B133" s="12" t="s">
        <v>320</v>
      </c>
      <c r="C133" s="12" t="s">
        <v>319</v>
      </c>
      <c r="D133" s="12" t="s">
        <v>313</v>
      </c>
      <c r="E133" s="12" t="s">
        <v>1557</v>
      </c>
      <c r="F133" s="12" t="s">
        <v>1558</v>
      </c>
      <c r="G133" s="13"/>
      <c r="H133" s="12" t="s">
        <v>1640</v>
      </c>
      <c r="I133" s="12" t="s">
        <v>1307</v>
      </c>
      <c r="J133" s="12" t="s">
        <v>1561</v>
      </c>
    </row>
    <row r="134" spans="1:10" ht="30" customHeight="1">
      <c r="A134" s="12" t="s">
        <v>1643</v>
      </c>
      <c r="B134" s="12" t="s">
        <v>335</v>
      </c>
      <c r="C134" s="12" t="s">
        <v>334</v>
      </c>
      <c r="D134" s="12" t="s">
        <v>313</v>
      </c>
      <c r="E134" s="12" t="s">
        <v>1557</v>
      </c>
      <c r="F134" s="12" t="s">
        <v>1558</v>
      </c>
      <c r="G134" s="13"/>
      <c r="H134" s="12" t="s">
        <v>1644</v>
      </c>
      <c r="I134" s="12" t="s">
        <v>1307</v>
      </c>
      <c r="J134" s="12" t="s">
        <v>1561</v>
      </c>
    </row>
    <row r="135" spans="1:10" ht="30" customHeight="1">
      <c r="A135" s="12" t="s">
        <v>1645</v>
      </c>
      <c r="B135" s="12" t="s">
        <v>329</v>
      </c>
      <c r="C135" s="12" t="s">
        <v>328</v>
      </c>
      <c r="D135" s="12" t="s">
        <v>313</v>
      </c>
      <c r="E135" s="12" t="s">
        <v>1557</v>
      </c>
      <c r="F135" s="12" t="s">
        <v>1558</v>
      </c>
      <c r="G135" s="13"/>
      <c r="H135" s="12" t="s">
        <v>1640</v>
      </c>
      <c r="I135" s="12" t="s">
        <v>1307</v>
      </c>
      <c r="J135" s="12" t="s">
        <v>1561</v>
      </c>
    </row>
    <row r="136" spans="1:10" ht="30" customHeight="1">
      <c r="A136" s="12" t="s">
        <v>1646</v>
      </c>
      <c r="B136" s="12" t="s">
        <v>323</v>
      </c>
      <c r="C136" s="12" t="s">
        <v>322</v>
      </c>
      <c r="D136" s="12" t="s">
        <v>313</v>
      </c>
      <c r="E136" s="12" t="s">
        <v>1557</v>
      </c>
      <c r="F136" s="12" t="s">
        <v>1558</v>
      </c>
      <c r="G136" s="13"/>
      <c r="H136" s="12" t="s">
        <v>1647</v>
      </c>
      <c r="I136" s="12" t="s">
        <v>1307</v>
      </c>
      <c r="J136" s="12" t="s">
        <v>1561</v>
      </c>
    </row>
    <row r="137" spans="1:10" ht="30" customHeight="1">
      <c r="A137" s="12" t="s">
        <v>1648</v>
      </c>
      <c r="B137" s="12" t="s">
        <v>326</v>
      </c>
      <c r="C137" s="12" t="s">
        <v>325</v>
      </c>
      <c r="D137" s="12" t="s">
        <v>313</v>
      </c>
      <c r="E137" s="12" t="s">
        <v>1557</v>
      </c>
      <c r="F137" s="12" t="s">
        <v>1558</v>
      </c>
      <c r="G137" s="13"/>
      <c r="H137" s="12" t="s">
        <v>1649</v>
      </c>
      <c r="I137" s="12" t="s">
        <v>1307</v>
      </c>
      <c r="J137" s="12" t="s">
        <v>1561</v>
      </c>
    </row>
    <row r="138" spans="1:10" ht="30" customHeight="1">
      <c r="A138" s="12" t="s">
        <v>1650</v>
      </c>
      <c r="B138" s="12" t="s">
        <v>341</v>
      </c>
      <c r="C138" s="12" t="s">
        <v>340</v>
      </c>
      <c r="D138" s="12" t="s">
        <v>313</v>
      </c>
      <c r="E138" s="12" t="s">
        <v>1557</v>
      </c>
      <c r="F138" s="12" t="s">
        <v>1558</v>
      </c>
      <c r="G138" s="13"/>
      <c r="H138" s="12" t="s">
        <v>1640</v>
      </c>
      <c r="I138" s="12" t="s">
        <v>1307</v>
      </c>
      <c r="J138" s="12" t="s">
        <v>1561</v>
      </c>
    </row>
    <row r="139" spans="1:10" ht="30" customHeight="1">
      <c r="A139" s="12" t="s">
        <v>1651</v>
      </c>
      <c r="B139" s="12" t="s">
        <v>344</v>
      </c>
      <c r="C139" s="12" t="s">
        <v>343</v>
      </c>
      <c r="D139" s="12" t="s">
        <v>313</v>
      </c>
      <c r="E139" s="12" t="s">
        <v>1557</v>
      </c>
      <c r="F139" s="12" t="s">
        <v>1558</v>
      </c>
      <c r="G139" s="13"/>
      <c r="H139" s="12" t="s">
        <v>1640</v>
      </c>
      <c r="I139" s="12" t="s">
        <v>1307</v>
      </c>
      <c r="J139" s="12" t="s">
        <v>1561</v>
      </c>
    </row>
    <row r="140" spans="1:10" ht="30" customHeight="1">
      <c r="A140" s="12" t="s">
        <v>1652</v>
      </c>
      <c r="B140" s="12" t="s">
        <v>332</v>
      </c>
      <c r="C140" s="12" t="s">
        <v>331</v>
      </c>
      <c r="D140" s="12" t="s">
        <v>313</v>
      </c>
      <c r="E140" s="12" t="s">
        <v>1557</v>
      </c>
      <c r="F140" s="12" t="s">
        <v>1558</v>
      </c>
      <c r="G140" s="13"/>
      <c r="H140" s="12" t="s">
        <v>1640</v>
      </c>
      <c r="I140" s="12" t="s">
        <v>1307</v>
      </c>
      <c r="J140" s="12" t="s">
        <v>1561</v>
      </c>
    </row>
    <row r="141" spans="1:10" ht="30" customHeight="1">
      <c r="A141" s="12" t="s">
        <v>1653</v>
      </c>
      <c r="B141" s="12" t="s">
        <v>371</v>
      </c>
      <c r="C141" s="12" t="s">
        <v>368</v>
      </c>
      <c r="D141" s="12" t="s">
        <v>347</v>
      </c>
      <c r="E141" s="12" t="s">
        <v>1557</v>
      </c>
      <c r="F141" s="12" t="s">
        <v>1558</v>
      </c>
      <c r="G141" s="13"/>
      <c r="H141" s="12" t="s">
        <v>1654</v>
      </c>
      <c r="I141" s="12" t="s">
        <v>1655</v>
      </c>
      <c r="J141" s="12" t="s">
        <v>1561</v>
      </c>
    </row>
    <row r="142" spans="1:10" ht="30" customHeight="1">
      <c r="A142" s="12" t="s">
        <v>1656</v>
      </c>
      <c r="B142" s="12" t="s">
        <v>366</v>
      </c>
      <c r="C142" s="12" t="s">
        <v>363</v>
      </c>
      <c r="D142" s="12" t="s">
        <v>347</v>
      </c>
      <c r="E142" s="12" t="s">
        <v>1557</v>
      </c>
      <c r="F142" s="12" t="s">
        <v>1558</v>
      </c>
      <c r="G142" s="13"/>
      <c r="H142" s="12" t="s">
        <v>1657</v>
      </c>
      <c r="I142" s="12" t="s">
        <v>1655</v>
      </c>
      <c r="J142" s="12" t="s">
        <v>1561</v>
      </c>
    </row>
    <row r="143" spans="1:10" ht="30" customHeight="1">
      <c r="A143" s="12" t="s">
        <v>1658</v>
      </c>
      <c r="B143" s="12" t="s">
        <v>361</v>
      </c>
      <c r="C143" s="12" t="s">
        <v>358</v>
      </c>
      <c r="D143" s="12" t="s">
        <v>347</v>
      </c>
      <c r="E143" s="12" t="s">
        <v>1557</v>
      </c>
      <c r="F143" s="12" t="s">
        <v>1558</v>
      </c>
      <c r="G143" s="13"/>
      <c r="H143" s="12" t="s">
        <v>1659</v>
      </c>
      <c r="I143" s="12" t="s">
        <v>1655</v>
      </c>
      <c r="J143" s="12" t="s">
        <v>1561</v>
      </c>
    </row>
    <row r="144" spans="1:10" ht="30" customHeight="1">
      <c r="A144" s="12" t="s">
        <v>1660</v>
      </c>
      <c r="B144" s="12" t="s">
        <v>351</v>
      </c>
      <c r="C144" s="12" t="s">
        <v>346</v>
      </c>
      <c r="D144" s="12" t="s">
        <v>347</v>
      </c>
      <c r="E144" s="12" t="s">
        <v>1557</v>
      </c>
      <c r="F144" s="12" t="s">
        <v>1558</v>
      </c>
      <c r="G144" s="13"/>
      <c r="H144" s="12" t="s">
        <v>1661</v>
      </c>
      <c r="I144" s="12" t="s">
        <v>1655</v>
      </c>
      <c r="J144" s="12" t="s">
        <v>1561</v>
      </c>
    </row>
    <row r="145" spans="1:10" ht="30" customHeight="1">
      <c r="A145" s="12" t="s">
        <v>1662</v>
      </c>
      <c r="B145" s="12" t="s">
        <v>382</v>
      </c>
      <c r="C145" s="12" t="s">
        <v>379</v>
      </c>
      <c r="D145" s="12" t="s">
        <v>347</v>
      </c>
      <c r="E145" s="12" t="s">
        <v>1557</v>
      </c>
      <c r="F145" s="12" t="s">
        <v>1558</v>
      </c>
      <c r="G145" s="13"/>
      <c r="H145" s="12" t="s">
        <v>1654</v>
      </c>
      <c r="I145" s="12" t="s">
        <v>1655</v>
      </c>
      <c r="J145" s="12" t="s">
        <v>1561</v>
      </c>
    </row>
    <row r="146" spans="1:10" ht="30" customHeight="1">
      <c r="A146" s="12" t="s">
        <v>1663</v>
      </c>
      <c r="B146" s="12" t="s">
        <v>374</v>
      </c>
      <c r="C146" s="12" t="s">
        <v>373</v>
      </c>
      <c r="D146" s="12" t="s">
        <v>347</v>
      </c>
      <c r="E146" s="12" t="s">
        <v>1557</v>
      </c>
      <c r="F146" s="12" t="s">
        <v>1558</v>
      </c>
      <c r="G146" s="13"/>
      <c r="H146" s="12" t="s">
        <v>1664</v>
      </c>
      <c r="I146" s="12" t="s">
        <v>1655</v>
      </c>
      <c r="J146" s="12" t="s">
        <v>1561</v>
      </c>
    </row>
    <row r="147" spans="1:10" ht="30" customHeight="1">
      <c r="A147" s="12" t="s">
        <v>1665</v>
      </c>
      <c r="B147" s="12" t="s">
        <v>356</v>
      </c>
      <c r="C147" s="12" t="s">
        <v>353</v>
      </c>
      <c r="D147" s="12" t="s">
        <v>347</v>
      </c>
      <c r="E147" s="12" t="s">
        <v>1557</v>
      </c>
      <c r="F147" s="12" t="s">
        <v>1558</v>
      </c>
      <c r="G147" s="13"/>
      <c r="H147" s="12" t="s">
        <v>1659</v>
      </c>
      <c r="I147" s="12" t="s">
        <v>1655</v>
      </c>
      <c r="J147" s="12" t="s">
        <v>1561</v>
      </c>
    </row>
    <row r="148" spans="1:10" ht="30" customHeight="1">
      <c r="A148" s="12" t="s">
        <v>1666</v>
      </c>
      <c r="B148" s="12" t="s">
        <v>191</v>
      </c>
      <c r="C148" s="12" t="s">
        <v>188</v>
      </c>
      <c r="D148" s="12" t="s">
        <v>154</v>
      </c>
      <c r="E148" s="12" t="s">
        <v>1557</v>
      </c>
      <c r="F148" s="12" t="s">
        <v>1558</v>
      </c>
      <c r="G148" s="13"/>
      <c r="H148" s="12" t="s">
        <v>1667</v>
      </c>
      <c r="I148" s="12" t="s">
        <v>1597</v>
      </c>
      <c r="J148" s="12" t="s">
        <v>1561</v>
      </c>
    </row>
    <row r="149" spans="1:10" ht="30" customHeight="1">
      <c r="A149" s="12" t="s">
        <v>1668</v>
      </c>
      <c r="B149" s="12" t="s">
        <v>200</v>
      </c>
      <c r="C149" s="12" t="s">
        <v>199</v>
      </c>
      <c r="D149" s="12" t="s">
        <v>154</v>
      </c>
      <c r="E149" s="12" t="s">
        <v>1557</v>
      </c>
      <c r="F149" s="12" t="s">
        <v>1558</v>
      </c>
      <c r="G149" s="13"/>
      <c r="H149" s="12" t="s">
        <v>1667</v>
      </c>
      <c r="I149" s="12" t="s">
        <v>1597</v>
      </c>
      <c r="J149" s="12" t="s">
        <v>1561</v>
      </c>
    </row>
    <row r="150" spans="1:10" ht="30" customHeight="1">
      <c r="A150" s="12" t="s">
        <v>1669</v>
      </c>
      <c r="B150" s="12" t="s">
        <v>197</v>
      </c>
      <c r="C150" s="12" t="s">
        <v>196</v>
      </c>
      <c r="D150" s="12" t="s">
        <v>154</v>
      </c>
      <c r="E150" s="12" t="s">
        <v>1557</v>
      </c>
      <c r="F150" s="12" t="s">
        <v>1558</v>
      </c>
      <c r="G150" s="13"/>
      <c r="H150" s="12" t="s">
        <v>1667</v>
      </c>
      <c r="I150" s="12" t="s">
        <v>1597</v>
      </c>
      <c r="J150" s="12" t="s">
        <v>1561</v>
      </c>
    </row>
    <row r="151" spans="1:10" ht="30" customHeight="1">
      <c r="A151" s="12" t="s">
        <v>1670</v>
      </c>
      <c r="B151" s="12" t="s">
        <v>212</v>
      </c>
      <c r="C151" s="12" t="s">
        <v>210</v>
      </c>
      <c r="D151" s="12" t="s">
        <v>347</v>
      </c>
      <c r="E151" s="12" t="s">
        <v>1557</v>
      </c>
      <c r="F151" s="12" t="s">
        <v>1558</v>
      </c>
      <c r="G151" s="13"/>
      <c r="H151" s="12" t="s">
        <v>1671</v>
      </c>
      <c r="I151" s="12" t="s">
        <v>1655</v>
      </c>
      <c r="J151" s="12" t="s">
        <v>1561</v>
      </c>
    </row>
  </sheetData>
  <mergeCells count="2">
    <mergeCell ref="A1:I2"/>
    <mergeCell ref="A3:J3"/>
  </mergeCells>
  <pageMargins left="0.3" right="0.3" top="0.4" bottom="0.4" header="0.3" footer="0.3"/>
  <pageSetup paperSize="9" fitToHeight="0"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10</vt:i4>
      </vt:variant>
    </vt:vector>
  </HeadingPairs>
  <TitlesOfParts>
    <vt:vector size="16" baseType="lpstr">
      <vt:lpstr>START_HERE</vt:lpstr>
      <vt:lpstr>Master_Panel</vt:lpstr>
      <vt:lpstr>Financial_Panel</vt:lpstr>
      <vt:lpstr>Evidence_Log</vt:lpstr>
      <vt:lpstr>Codebook</vt:lpstr>
      <vt:lpstr>Review_Issues</vt:lpstr>
      <vt:lpstr>Codebook!Print_Area</vt:lpstr>
      <vt:lpstr>Evidence_Log!Print_Area</vt:lpstr>
      <vt:lpstr>Financial_Panel!Print_Area</vt:lpstr>
      <vt:lpstr>Master_Panel!Print_Area</vt:lpstr>
      <vt:lpstr>Review_Issues!Print_Area</vt:lpstr>
      <vt:lpstr>Codebook!Print_Titles</vt:lpstr>
      <vt:lpstr>Evidence_Log!Print_Titles</vt:lpstr>
      <vt:lpstr>Financial_Panel!Print_Titles</vt:lpstr>
      <vt:lpstr>Master_Panel!Print_Titles</vt:lpstr>
      <vt:lpstr>Review_Issues!Print_Titles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Master Firm Panel — Transition Readiness</dc:title>
  <dc:subject>Consolidated firm-sector snapshot and observed financial panel</dc:subject>
  <dc:creator>Research workbook</dc:creator>
  <dc:description>Missing values remain blank. Sources are user-supplied research reports and workbooks.</dc:description>
  <cp:lastModifiedBy>Research workbook</cp:lastModifiedBy>
  <dcterms:created xsi:type="dcterms:W3CDTF">2026-10-23T11:02:18Z</dcterms:created>
  <dcterms:modified xsi:type="dcterms:W3CDTF">2026-10-23T11:02:18Z</dcterms:modified>
</cp:coreProperties>
</file>