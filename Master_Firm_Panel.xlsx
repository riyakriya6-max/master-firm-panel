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2" activeTab="1"/>
  </bookViews>
  <sheets>
    <sheet name="START_HERE" sheetId="1" r:id="rId1"/>
    <sheet name="Master_Panel" sheetId="2" r:id="rId2"/>
    <sheet name="Financial_Panel" sheetId="3" r:id="rId3"/>
    <sheet name="Evidence_Log" sheetId="4" r:id="rId4"/>
    <sheet name="Codebook" sheetId="5" r:id="rId5"/>
    <sheet name="Review_Issues" sheetId="6" r:id="rId6"/>
  </sheets>
  <definedNames>
    <definedName name="_xlnm.Print_Area" localSheetId="4">Codebook!$A$1:$D$64</definedName>
    <definedName name="_xlnm.Print_Area" localSheetId="3">Evidence_Log!$A$1:$K$1771</definedName>
    <definedName name="_xlnm.Print_Area" localSheetId="2">Financial_Panel!$A$1:$W$108</definedName>
    <definedName name="_xlnm.Print_Area" localSheetId="1">Master_Panel!$A$1:$AZ$88</definedName>
    <definedName name="_xlnm.Print_Area" localSheetId="5">Review_Issues!$A$1:$J$722</definedName>
    <definedName name="_xlnm.Print_Titles" localSheetId="4">Codebook!$1:$6</definedName>
    <definedName name="_xlnm.Print_Titles" localSheetId="3">Evidence_Log!$1:$6</definedName>
    <definedName name="_xlnm.Print_Titles" localSheetId="2">Financial_Panel!$1:$6</definedName>
    <definedName name="_xlnm.Print_Titles" localSheetId="1">Master_Panel!$1:$6</definedName>
    <definedName name="_xlnm.Print_Titles" localSheetId="5">Review_Issues!$1:$6</definedName>
  </definedNames>
  <calcPr calcId="124519" fullCalcOnLoad="1"/>
</workbook>
</file>

<file path=xl/comments1.xml><?xml version="1.0" encoding="utf-8"?>
<comments xmlns="http://schemas.openxmlformats.org/spreadsheetml/2006/main">
  <authors>
    <author>Codebook</author>
    <author/>
  </authors>
  <commentList>
    <comment ref="R7" authorId="0">
      <text>
        <r>
          <rPr>
            <sz val="8"/>
            <color indexed="81"/>
            <rFont val="Tahoma"/>
            <family val="2"/>
          </rPr>
          <t>Basis: Source-workbook indicator matrix
A report total is accepted only as a reported score, never as evidence for missing I1–I10. Conflicts have no selected final score.</t>
        </r>
      </text>
    </comment>
    <comment ref="R8" authorId="0">
      <text>
        <r>
          <rPr>
            <sz val="8"/>
            <color indexed="81"/>
            <rFont val="Tahoma"/>
            <family val="2"/>
          </rPr>
          <t>Basis: Source-workbook indicator matrix
A report total is accepted only as a reported score, never as evidence for missing I1–I10. Conflicts have no selected final score.</t>
        </r>
      </text>
    </comment>
    <comment ref="R9" authorId="0">
      <text>
        <r>
          <rPr>
            <sz val="8"/>
            <color indexed="81"/>
            <rFont val="Tahoma"/>
            <family val="2"/>
          </rPr>
          <t>Basis: Source-workbook indicator matrix
A report total is accepted only as a reported score, never as evidence for missing I1–I10. Conflicts have no selected final score.</t>
        </r>
      </text>
    </comment>
    <comment ref="R10" authorId="0">
      <text>
        <r>
          <rPr>
            <sz val="8"/>
            <color indexed="81"/>
            <rFont val="Tahoma"/>
            <family val="2"/>
          </rPr>
          <t>Basis: Source-workbook indicator matrix
A report total is accepted only as a reported score, never as evidence for missing I1–I10. Conflicts have no selected final score.</t>
        </r>
      </text>
    </comment>
    <comment ref="R11" authorId="0">
      <text>
        <r>
          <rPr>
            <sz val="8"/>
            <color indexed="81"/>
            <rFont val="Tahoma"/>
            <family val="2"/>
          </rPr>
          <t>Basis: Source-workbook indicator matrix
A report total is accepted only as a reported score, never as evidence for missing I1–I10. Conflicts have no selected final score.</t>
        </r>
      </text>
    </comment>
    <comment ref="R12" authorId="0">
      <text>
        <r>
          <rPr>
            <sz val="8"/>
            <color indexed="81"/>
            <rFont val="Tahoma"/>
            <family val="2"/>
          </rPr>
          <t>Basis: Source-workbook indicator matrix
A report total is accepted only as a reported score, never as evidence for missing I1–I10. Conflicts have no selected final score.</t>
        </r>
      </text>
    </comment>
    <comment ref="R13" authorId="0">
      <text>
        <r>
          <rPr>
            <sz val="8"/>
            <color indexed="81"/>
            <rFont val="Tahoma"/>
            <family val="2"/>
          </rPr>
          <t>Basis: Source-workbook indicator matrix
A report total is accepted only as a reported score, never as evidence for missing I1–I10. Conflicts have no selected final score.</t>
        </r>
      </text>
    </comment>
    <comment ref="R14" authorId="0">
      <text>
        <r>
          <rPr>
            <sz val="8"/>
            <color indexed="81"/>
            <rFont val="Tahoma"/>
            <family val="2"/>
          </rPr>
          <t>Basis: Source-workbook indicator matrix
A report total is accepted only as a reported score, never as evidence for missing I1–I10. Conflicts have no selected final score.</t>
        </r>
      </text>
    </comment>
    <comment ref="R15" authorId="0">
      <text>
        <r>
          <rPr>
            <sz val="8"/>
            <color indexed="81"/>
            <rFont val="Tahoma"/>
            <family val="2"/>
          </rPr>
          <t>Basis: Source-workbook indicator matrix
A report total is accepted only as a reported score, never as evidence for missing I1–I10. Conflicts have no selected final score.</t>
        </r>
      </text>
    </comment>
    <comment ref="R16" authorId="0">
      <text>
        <r>
          <rPr>
            <sz val="8"/>
            <color indexed="81"/>
            <rFont val="Tahoma"/>
            <family val="2"/>
          </rPr>
          <t>Basis: Source-workbook indicator matrix
A report total is accepted only as a reported score, never as evidence for missing I1–I10. Conflicts have no selected final score.</t>
        </r>
      </text>
    </comment>
    <comment ref="R17" authorId="0">
      <text>
        <r>
          <rPr>
            <sz val="8"/>
            <color indexed="81"/>
            <rFont val="Tahoma"/>
            <family val="2"/>
          </rPr>
          <t>Basis: Source-workbook indicator matrix
A report total is accepted only as a reported score, never as evidence for missing I1–I10. Conflicts have no selected final score.</t>
        </r>
      </text>
    </comment>
    <comment ref="R18" authorId="0">
      <text>
        <r>
          <rPr>
            <sz val="8"/>
            <color indexed="81"/>
            <rFont val="Tahoma"/>
            <family val="2"/>
          </rPr>
          <t>Basis: Source-workbook indicator matrix
A report total is accepted only as a reported score, never as evidence for missing I1–I10. Conflicts have no selected final score.</t>
        </r>
      </text>
    </comment>
    <comment ref="R19" authorId="0">
      <text>
        <r>
          <rPr>
            <sz val="8"/>
            <color indexed="81"/>
            <rFont val="Tahoma"/>
            <family val="2"/>
          </rPr>
          <t>Basis: Source-workbook indicator matrix
A report total is accepted only as a reported score, never as evidence for missing I1–I10. Conflicts have no selected final score.</t>
        </r>
      </text>
    </comment>
    <comment ref="R20" authorId="0">
      <text>
        <r>
          <rPr>
            <sz val="8"/>
            <color indexed="81"/>
            <rFont val="Tahoma"/>
            <family val="2"/>
          </rPr>
          <t>Basis: Source-workbook indicator matrix
A report total is accepted only as a reported score, never as evidence for missing I1–I10. Conflicts have no selected final score.</t>
        </r>
      </text>
    </comment>
    <comment ref="R21" authorId="0">
      <text>
        <r>
          <rPr>
            <sz val="8"/>
            <color indexed="81"/>
            <rFont val="Tahoma"/>
            <family val="2"/>
          </rPr>
          <t>Basis: Source-workbook indicator matrix
A report total is accepted only as a reported score, never as evidence for missing I1–I10. Conflicts have no selected final score.</t>
        </r>
      </text>
    </comment>
    <comment ref="R22" authorId="0">
      <text>
        <r>
          <rPr>
            <sz val="8"/>
            <color indexed="81"/>
            <rFont val="Tahoma"/>
            <family val="2"/>
          </rPr>
          <t>Basis: Source-workbook indicator matrix
A report total is accepted only as a reported score, never as evidence for missing I1–I10. Conflicts have no selected final score.</t>
        </r>
      </text>
    </comment>
    <comment ref="R23" authorId="0">
      <text>
        <r>
          <rPr>
            <sz val="8"/>
            <color indexed="81"/>
            <rFont val="Tahoma"/>
            <family val="2"/>
          </rPr>
          <t>Basis: Report indicator matrix
A report total is accepted only as a reported score, never as evidence for missing I1–I10. Conflicts have no selected final score.</t>
        </r>
      </text>
    </comment>
    <comment ref="R24" authorId="0">
      <text>
        <r>
          <rPr>
            <sz val="8"/>
            <color indexed="81"/>
            <rFont val="Tahoma"/>
            <family val="2"/>
          </rPr>
          <t>Basis: Report indicator matrix
A report total is accepted only as a reported score, never as evidence for missing I1–I10. Conflicts have no selected final score.</t>
        </r>
      </text>
    </comment>
    <comment ref="R25" authorId="0">
      <text>
        <r>
          <rPr>
            <sz val="8"/>
            <color indexed="81"/>
            <rFont val="Tahoma"/>
            <family val="2"/>
          </rPr>
          <t>Basis: Report indicator matrix
A report total is accepted only as a reported score, never as evidence for missing I1–I10. Conflicts have no selected final score.</t>
        </r>
      </text>
    </comment>
    <comment ref="R26" authorId="0">
      <text>
        <r>
          <rPr>
            <sz val="8"/>
            <color indexed="81"/>
            <rFont val="Tahoma"/>
            <family val="2"/>
          </rPr>
          <t>Basis: Report indicator matrix
A report total is accepted only as a reported score, never as evidence for missing I1–I10. Conflicts have no selected final score.</t>
        </r>
      </text>
    </comment>
    <comment ref="R27" authorId="0">
      <text>
        <r>
          <rPr>
            <sz val="8"/>
            <color indexed="81"/>
            <rFont val="Tahoma"/>
            <family val="2"/>
          </rPr>
          <t>Basis: Report indicator matrix
A report total is accepted only as a reported score, never as evidence for missing I1–I10. Conflicts have no selected final score.</t>
        </r>
      </text>
    </comment>
    <comment ref="R28" authorId="0">
      <text>
        <r>
          <rPr>
            <sz val="8"/>
            <color indexed="81"/>
            <rFont val="Tahoma"/>
            <family val="2"/>
          </rPr>
          <t>Basis: Report indicator matrix
A report total is accepted only as a reported score, never as evidence for missing I1–I10. Conflicts have no selected final score.</t>
        </r>
      </text>
    </comment>
    <comment ref="R29" authorId="0">
      <text>
        <r>
          <rPr>
            <sz val="8"/>
            <color indexed="81"/>
            <rFont val="Tahoma"/>
            <family val="2"/>
          </rPr>
          <t>Basis: Report indicator matrix
A report total is accepted only as a reported score, never as evidence for missing I1–I10. Conflicts have no selected final score.</t>
        </r>
      </text>
    </comment>
    <comment ref="R30" authorId="0">
      <text>
        <r>
          <rPr>
            <sz val="8"/>
            <color indexed="81"/>
            <rFont val="Tahoma"/>
            <family val="2"/>
          </rPr>
          <t>Basis: Report indicator matrix
A report total is accepted only as a reported score, never as evidence for missing I1–I10. Conflicts have no selected final score.</t>
        </r>
      </text>
    </comment>
    <comment ref="R31" authorId="0">
      <text>
        <r>
          <rPr>
            <sz val="8"/>
            <color indexed="81"/>
            <rFont val="Tahoma"/>
            <family val="2"/>
          </rPr>
          <t>Basis: Report indicator matrix
A report total is accepted only as a reported score, never as evidence for missing I1–I10. Conflicts have no selected final score.</t>
        </r>
      </text>
    </comment>
    <comment ref="R32" authorId="0">
      <text>
        <r>
          <rPr>
            <sz val="8"/>
            <color indexed="81"/>
            <rFont val="Tahoma"/>
            <family val="2"/>
          </rPr>
          <t>Basis: Report indicator matrix
A report total is accepted only as a reported score, never as evidence for missing I1–I10. Conflicts have no selected final score.</t>
        </r>
      </text>
    </comment>
    <comment ref="R33" authorId="0">
      <text>
        <r>
          <rPr>
            <sz val="8"/>
            <color indexed="81"/>
            <rFont val="Tahoma"/>
            <family val="2"/>
          </rPr>
          <t>Basis: Unresolved source conflict
A report total is accepted only as a reported score, never as evidence for missing I1–I10. Conflicts have no selected final score.</t>
        </r>
      </text>
    </comment>
    <comment ref="R34" authorId="0">
      <text>
        <r>
          <rPr>
            <sz val="8"/>
            <color indexed="81"/>
            <rFont val="Tahoma"/>
            <family val="2"/>
          </rPr>
          <t>Basis: Unresolved source conflict
A report total is accepted only as a reported score, never as evidence for missing I1–I10. Conflicts have no selected final score.</t>
        </r>
      </text>
    </comment>
    <comment ref="R35" authorId="0">
      <text>
        <r>
          <rPr>
            <sz val="8"/>
            <color indexed="81"/>
            <rFont val="Tahoma"/>
            <family val="2"/>
          </rPr>
          <t>Basis: Unresolved source conflict
A report total is accepted only as a reported score, never as evidence for missing I1–I10. Conflicts have no selected final score.</t>
        </r>
      </text>
    </comment>
    <comment ref="R36" authorId="0">
      <text>
        <r>
          <rPr>
            <sz val="8"/>
            <color indexed="81"/>
            <rFont val="Tahoma"/>
            <family val="2"/>
          </rPr>
          <t>Basis: Unresolved source conflict
A report total is accepted only as a reported score, never as evidence for missing I1–I10. Conflicts have no selected final score.</t>
        </r>
      </text>
    </comment>
    <comment ref="R37" authorId="0">
      <text>
        <r>
          <rPr>
            <sz val="8"/>
            <color indexed="81"/>
            <rFont val="Tahoma"/>
            <family val="2"/>
          </rPr>
          <t>Basis: Not scored
A report total is accepted only as a reported score, never as evidence for missing I1–I10. Conflicts have no selected final score.</t>
        </r>
      </text>
    </comment>
    <comment ref="R38" authorId="0">
      <text>
        <r>
          <rPr>
            <sz val="8"/>
            <color indexed="81"/>
            <rFont val="Tahoma"/>
            <family val="2"/>
          </rPr>
          <t>Basis: Unresolved source conflict
A report total is accepted only as a reported score, never as evidence for missing I1–I10. Conflicts have no selected final score.</t>
        </r>
      </text>
    </comment>
    <comment ref="R39" authorId="0">
      <text>
        <r>
          <rPr>
            <sz val="8"/>
            <color indexed="81"/>
            <rFont val="Tahoma"/>
            <family val="2"/>
          </rPr>
          <t>Basis: No score provided
A report total is accepted only as a reported score, never as evidence for missing I1–I10. Conflicts have no selected final score.</t>
        </r>
      </text>
    </comment>
    <comment ref="R40" authorId="0">
      <text>
        <r>
          <rPr>
            <sz val="8"/>
            <color indexed="81"/>
            <rFont val="Tahoma"/>
            <family val="2"/>
          </rPr>
          <t>Basis: No score provided
A report total is accepted only as a reported score, never as evidence for missing I1–I10. Conflicts have no selected final score.</t>
        </r>
      </text>
    </comment>
    <comment ref="R41" authorId="0">
      <text>
        <r>
          <rPr>
            <sz val="8"/>
            <color indexed="81"/>
            <rFont val="Tahoma"/>
            <family val="2"/>
          </rPr>
          <t>Basis: No score provided
A report total is accepted only as a reported score, never as evidence for missing I1–I10. Conflicts have no selected final score.</t>
        </r>
      </text>
    </comment>
    <comment ref="R42" authorId="0">
      <text>
        <r>
          <rPr>
            <sz val="8"/>
            <color indexed="81"/>
            <rFont val="Tahoma"/>
            <family val="2"/>
          </rPr>
          <t>Basis: Source-workbook indicator matrix
A report total is accepted only as a reported score, never as evidence for missing I1–I10. Conflicts have no selected final score.</t>
        </r>
      </text>
    </comment>
    <comment ref="R43" authorId="0">
      <text>
        <r>
          <rPr>
            <sz val="8"/>
            <color indexed="81"/>
            <rFont val="Tahoma"/>
            <family val="2"/>
          </rPr>
          <t>Basis: Unresolved source conflict
A report total is accepted only as a reported score, never as evidence for missing I1–I10. Conflicts have no selected final score.</t>
        </r>
      </text>
    </comment>
    <comment ref="A44" authorId="1">
      <text>
        <r>
          <rPr>
            <sz val="8"/>
            <color indexed="81"/>
            <rFont val="Tahoma"/>
            <family val="2"/>
          </rPr>
          <t>The same firm name appears in two sector-report contexts. Both rows share F063. Do not count these as two distinct firms.</t>
        </r>
      </text>
    </comment>
    <comment ref="R44" authorId="0">
      <text>
        <r>
          <rPr>
            <sz val="8"/>
            <color indexed="81"/>
            <rFont val="Tahoma"/>
            <family val="2"/>
          </rPr>
          <t>Basis: Unresolved source conflict
A report total is accepted only as a reported score, never as evidence for missing I1–I10. Conflicts have no selected final score.</t>
        </r>
      </text>
    </comment>
    <comment ref="R45" authorId="0">
      <text>
        <r>
          <rPr>
            <sz val="8"/>
            <color indexed="81"/>
            <rFont val="Tahoma"/>
            <family val="2"/>
          </rPr>
          <t>Basis: Unresolved source conflict
A report total is accepted only as a reported score, never as evidence for missing I1–I10. Conflicts have no selected final score.</t>
        </r>
      </text>
    </comment>
    <comment ref="R46" authorId="0">
      <text>
        <r>
          <rPr>
            <sz val="8"/>
            <color indexed="81"/>
            <rFont val="Tahoma"/>
            <family val="2"/>
          </rPr>
          <t>Basis: Source-workbook indicator matrix
A report total is accepted only as a reported score, never as evidence for missing I1–I10. Conflicts have no selected final score.</t>
        </r>
      </text>
    </comment>
    <comment ref="R47" authorId="0">
      <text>
        <r>
          <rPr>
            <sz val="8"/>
            <color indexed="81"/>
            <rFont val="Tahoma"/>
            <family val="2"/>
          </rPr>
          <t>Basis: Unresolved source conflict
A report total is accepted only as a reported score, never as evidence for missing I1–I10. Conflicts have no selected final score.</t>
        </r>
      </text>
    </comment>
    <comment ref="R48"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49"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0"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1"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2"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3"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4"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5"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6"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7"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8"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59"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60"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61" authorId="0">
      <text>
        <r>
          <rPr>
            <sz val="8"/>
            <color indexed="81"/>
            <rFont val="Tahoma"/>
            <family val="2"/>
          </rPr>
          <t>Basis: Source-workbook indicator matrix
A report total is accepted only as a reported score, never as evidence for missing I1–I10. Conflicts have no selected final score.</t>
        </r>
      </text>
    </comment>
    <comment ref="R62" authorId="0">
      <text>
        <r>
          <rPr>
            <sz val="8"/>
            <color indexed="81"/>
            <rFont val="Tahoma"/>
            <family val="2"/>
          </rPr>
          <t>Basis: Source-workbook indicator matrix
A report total is accepted only as a reported score, never as evidence for missing I1–I10. Conflicts have no selected final score.</t>
        </r>
      </text>
    </comment>
    <comment ref="R63" authorId="0">
      <text>
        <r>
          <rPr>
            <sz val="8"/>
            <color indexed="81"/>
            <rFont val="Tahoma"/>
            <family val="2"/>
          </rPr>
          <t>Basis: Source-workbook indicator matrix
A report total is accepted only as a reported score, never as evidence for missing I1–I10. Conflicts have no selected final score.</t>
        </r>
      </text>
    </comment>
    <comment ref="R64" authorId="0">
      <text>
        <r>
          <rPr>
            <sz val="8"/>
            <color indexed="81"/>
            <rFont val="Tahoma"/>
            <family val="2"/>
          </rPr>
          <t>Basis: Source-workbook indicator matrix
A report total is accepted only as a reported score, never as evidence for missing I1–I10. Conflicts have no selected final score.</t>
        </r>
      </text>
    </comment>
    <comment ref="R65" authorId="0">
      <text>
        <r>
          <rPr>
            <sz val="8"/>
            <color indexed="81"/>
            <rFont val="Tahoma"/>
            <family val="2"/>
          </rPr>
          <t>Basis: Source-workbook indicator matrix
A report total is accepted only as a reported score, never as evidence for missing I1–I10. Conflicts have no selected final score.</t>
        </r>
      </text>
    </comment>
    <comment ref="R66" authorId="0">
      <text>
        <r>
          <rPr>
            <sz val="8"/>
            <color indexed="81"/>
            <rFont val="Tahoma"/>
            <family val="2"/>
          </rPr>
          <t>Basis: Source-workbook indicator matrix
A report total is accepted only as a reported score, never as evidence for missing I1–I10. Conflicts have no selected final score.</t>
        </r>
      </text>
    </comment>
    <comment ref="R67" authorId="0">
      <text>
        <r>
          <rPr>
            <sz val="8"/>
            <color indexed="81"/>
            <rFont val="Tahoma"/>
            <family val="2"/>
          </rPr>
          <t>Basis: Source-workbook indicator matrix
A report total is accepted only as a reported score, never as evidence for missing I1–I10. Conflicts have no selected final score.</t>
        </r>
      </text>
    </comment>
    <comment ref="R68" authorId="0">
      <text>
        <r>
          <rPr>
            <sz val="8"/>
            <color indexed="81"/>
            <rFont val="Tahoma"/>
            <family val="2"/>
          </rPr>
          <t>Basis: Source-workbook indicator matrix
A report total is accepted only as a reported score, never as evidence for missing I1–I10. Conflicts have no selected final score.</t>
        </r>
      </text>
    </comment>
    <comment ref="R69" authorId="0">
      <text>
        <r>
          <rPr>
            <sz val="8"/>
            <color indexed="81"/>
            <rFont val="Tahoma"/>
            <family val="2"/>
          </rPr>
          <t>Basis: Source-workbook indicator matrix
A report total is accepted only as a reported score, never as evidence for missing I1–I10. Conflicts have no selected final score.</t>
        </r>
      </text>
    </comment>
    <comment ref="R70" authorId="0">
      <text>
        <r>
          <rPr>
            <sz val="8"/>
            <color indexed="81"/>
            <rFont val="Tahoma"/>
            <family val="2"/>
          </rPr>
          <t>Basis: Source-workbook indicator matrix
A report total is accepted only as a reported score, never as evidence for missing I1–I10. Conflicts have no selected final score.</t>
        </r>
      </text>
    </comment>
    <comment ref="R71"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2"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3"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4"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5"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6"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7"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8"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79"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80" authorId="0">
      <text>
        <r>
          <rPr>
            <sz val="8"/>
            <color indexed="81"/>
            <rFont val="Tahoma"/>
            <family val="2"/>
          </rPr>
          <t>Basis: Sector-report total; indicators unavailable
A report total is accepted only as a reported score, never as evidence for missing I1–I10. Conflicts have no selected final score.</t>
        </r>
      </text>
    </comment>
    <comment ref="R81" authorId="0">
      <text>
        <r>
          <rPr>
            <sz val="8"/>
            <color indexed="81"/>
            <rFont val="Tahoma"/>
            <family val="2"/>
          </rPr>
          <t>Basis: Report indicator matrix
A report total is accepted only as a reported score, never as evidence for missing I1–I10. Conflicts have no selected final score.</t>
        </r>
      </text>
    </comment>
    <comment ref="R82" authorId="0">
      <text>
        <r>
          <rPr>
            <sz val="8"/>
            <color indexed="81"/>
            <rFont val="Tahoma"/>
            <family val="2"/>
          </rPr>
          <t>Basis: Report indicator matrix
A report total is accepted only as a reported score, never as evidence for missing I1–I10. Conflicts have no selected final score.</t>
        </r>
      </text>
    </comment>
    <comment ref="R83" authorId="0">
      <text>
        <r>
          <rPr>
            <sz val="8"/>
            <color indexed="81"/>
            <rFont val="Tahoma"/>
            <family val="2"/>
          </rPr>
          <t>Basis: Report indicator matrix
A report total is accepted only as a reported score, never as evidence for missing I1–I10. Conflicts have no selected final score.</t>
        </r>
      </text>
    </comment>
    <comment ref="R84" authorId="0">
      <text>
        <r>
          <rPr>
            <sz val="8"/>
            <color indexed="81"/>
            <rFont val="Tahoma"/>
            <family val="2"/>
          </rPr>
          <t>Basis: Report indicator matrix
A report total is accepted only as a reported score, never as evidence for missing I1–I10. Conflicts have no selected final score.</t>
        </r>
      </text>
    </comment>
    <comment ref="R85" authorId="0">
      <text>
        <r>
          <rPr>
            <sz val="8"/>
            <color indexed="81"/>
            <rFont val="Tahoma"/>
            <family val="2"/>
          </rPr>
          <t>Basis: Report indicator matrix
A report total is accepted only as a reported score, never as evidence for missing I1–I10. Conflicts have no selected final score.</t>
        </r>
      </text>
    </comment>
    <comment ref="R86" authorId="0">
      <text>
        <r>
          <rPr>
            <sz val="8"/>
            <color indexed="81"/>
            <rFont val="Tahoma"/>
            <family val="2"/>
          </rPr>
          <t>Basis: Report indicator matrix
A report total is accepted only as a reported score, never as evidence for missing I1–I10. Conflicts have no selected final score.</t>
        </r>
      </text>
    </comment>
    <comment ref="A87" authorId="1">
      <text>
        <r>
          <rPr>
            <sz val="8"/>
            <color indexed="81"/>
            <rFont val="Tahoma"/>
            <family val="2"/>
          </rPr>
          <t>The same firm name appears in two sector-report contexts. Both rows share F063. Do not count these as two distinct firms.</t>
        </r>
      </text>
    </comment>
    <comment ref="R87" authorId="0">
      <text>
        <r>
          <rPr>
            <sz val="8"/>
            <color indexed="81"/>
            <rFont val="Tahoma"/>
            <family val="2"/>
          </rPr>
          <t>Basis: Report indicator matrix
A report total is accepted only as a reported score, never as evidence for missing I1–I10. Conflicts have no selected final score.</t>
        </r>
      </text>
    </comment>
    <comment ref="R88" authorId="0">
      <text>
        <r>
          <rPr>
            <sz val="8"/>
            <color indexed="81"/>
            <rFont val="Tahoma"/>
            <family val="2"/>
          </rPr>
          <t>Basis: Report indicator matrix
A report total is accepted only as a reported score, never as evidence for missing I1–I10. Conflicts have no selected final score.</t>
        </r>
      </text>
    </comment>
  </commentList>
</comments>
</file>

<file path=xl/sharedStrings.xml><?xml version="1.0" encoding="utf-8"?>
<sst xmlns="http://schemas.openxmlformats.org/spreadsheetml/2006/main" count="24147" uniqueCount="2979">
  <si>
    <t>MASTER FIRM PANEL</t>
  </si>
  <si>
    <t>Transition readiness | eight sector studies | source-linked research data</t>
  </si>
  <si>
    <t>firm-sector rows</t>
  </si>
  <si>
    <t>distinct firm names</t>
  </si>
  <si>
    <t>sectors</t>
  </si>
  <si>
    <t>unresolved score conflicts</t>
  </si>
  <si>
    <t>Master_Panel is one row per firm and sector-report context. It is a snapshot, not a fabricated annual panel. Financial_Panel contains only dated financial observations. PI Industries shares one firm ID across its two sector rows.</t>
  </si>
  <si>
    <t>Master_Panel</t>
  </si>
  <si>
    <t>Main research data: identity, I1–I10, disclosure scores, exposure, financials and provenance.</t>
  </si>
  <si>
    <t>Financial_Panel</t>
  </si>
  <si>
    <t>Observed firm-year financial records; no repeated one-time DQS values.</t>
  </si>
  <si>
    <t>Evidence_Log</t>
  </si>
  <si>
    <t>Indicator and field-level sources, quotations, locations and accounting-basis notes.</t>
  </si>
  <si>
    <t>Codebook</t>
  </si>
  <si>
    <t>Variable definitions, missing-data rules, score selection, units and fiscal-year conventions.</t>
  </si>
  <si>
    <t>Review_Issues</t>
  </si>
  <si>
    <t>Unresolved source conflicts, material limitations and financial-year realignments.</t>
  </si>
  <si>
    <t>Reading the score: DQS_total uses the indicator sum when available, or a reported total when only the paper total exists. DQS_basis identifies the source. Conflicting scores have no final DQS_total; original alternatives remain in Review_Issues and the audit archive. Missing indicators are never inferred from a total.</t>
  </si>
  <si>
    <t>Units: monetary figures are ₹ crore; export share, ROA and debt proxies are fractions displayed as percentages. Blank means not supplied or not supportable. Blue text is source data; black is a formula; amber highlights missing inputs or review conditions.</t>
  </si>
  <si>
    <t>Official web update: 74 distinct firm names have primary-source financial bundles. Official NSE-filed reports are cited with actual PDF pages in Evidence_Log. Existing score conflicts remain unresolved; financial verification does not re-score I1–I10.</t>
  </si>
  <si>
    <t>Use analysis_include = Yes for the conservative disclosure-analysis subset. For finance comparisons, also require financial_year_match = Same FY and review accounting/proxy limitations. This is not a claim that all source material has been independently audited.</t>
  </si>
  <si>
    <t>82 firm-sector observations | source and financial years kept separate | filters in row 6</t>
  </si>
  <si>
    <t>IDENTITY</t>
  </si>
  <si>
    <t>DISCLOSURE QUALITY</t>
  </si>
  <si>
    <t>EXPOSURE</t>
  </si>
  <si>
    <t>FINANCIALS · ₹ CRORE</t>
  </si>
  <si>
    <t>SOURCE PROVENANCE</t>
  </si>
  <si>
    <t>RECORD CONTROLS</t>
  </si>
  <si>
    <t>Godawari Power &amp; Ispat Ltd</t>
  </si>
  <si>
    <t>Steel</t>
  </si>
  <si>
    <t>NSE (filing verified)</t>
  </si>
  <si>
    <t>Listed private</t>
  </si>
  <si>
    <t>FY2024-25</t>
  </si>
  <si>
    <t>Coder A / B (reconciled)</t>
  </si>
  <si>
    <t>Unknown</t>
  </si>
  <si>
    <t>Mid</t>
  </si>
  <si>
    <t>Annual Report (BRSR embedded) | financials: official NSE-filed annual report FY2024-25</t>
  </si>
  <si>
    <t>per indicator - see Evidence_Log | financials: Official annual report; actual PDF pp.201, 203, 207</t>
  </si>
  <si>
    <t>https://nsearchives.nseindia.com/annual_reports/AR_27746_GPIL_2024_2025_A_10026837_26082025201408.pdf</t>
  </si>
  <si>
    <t>F024</t>
  </si>
  <si>
    <t>OBS-008</t>
  </si>
  <si>
    <t>Source-workbook indicator matrix</t>
  </si>
  <si>
    <t>Same FY</t>
  </si>
  <si>
    <t>Yes</t>
  </si>
  <si>
    <t>Source coded</t>
  </si>
  <si>
    <t>Consolidated; PAT is total profit including non-controlling interests</t>
  </si>
  <si>
    <t>Jindal Stainless Ltd</t>
  </si>
  <si>
    <t>Large</t>
  </si>
  <si>
    <t>Business Responsibility and Sustainability Report (standalone filing) | financials: official NSE-filed annual report FY2024-25</t>
  </si>
  <si>
    <t>per indicator - see Evidence_Log | financials: Official annual report; actual PDF pp.325, 326, 327</t>
  </si>
  <si>
    <t>https://nsearchives.nseindia.com/annual_reports/AR_27365_JSL_2024_2025_A_08082025211238.pdf</t>
  </si>
  <si>
    <t>F034</t>
  </si>
  <si>
    <t>OBS-005</t>
  </si>
  <si>
    <t>Jindal Steel Ltd (JSPL)</t>
  </si>
  <si>
    <t>FY2025-26</t>
  </si>
  <si>
    <t>Integrated Report (BRSR embedded) | financials: official NSE-filed annual report FY2025-26</t>
  </si>
  <si>
    <t>per indicator - see Evidence_Log | financials: Official annual report; actual PDF pp.205, 206</t>
  </si>
  <si>
    <t>https://nsearchives.nseindia.com/annual_reports/AR_30228_JINDALSTEL_2025_2026_A_13298510_06082026182356.pdf</t>
  </si>
  <si>
    <t>F035</t>
  </si>
  <si>
    <t>OBS-004</t>
  </si>
  <si>
    <t>JSW Steel Ltd</t>
  </si>
  <si>
    <t>Business Responsibility and Sustainability Report (standalone filing) | financials: official NSE-filed annual report FY2025-26</t>
  </si>
  <si>
    <t>per indicator - see Evidence_Log | financials: Official annual report; actual PDF pp.288, 290</t>
  </si>
  <si>
    <t>https://nsearchives.nseindia.com/annual_reports/AR_29544_JSWSTEEL_2025_2026_A_28674117_02072026222732.pdf</t>
  </si>
  <si>
    <t>F038</t>
  </si>
  <si>
    <t>OBS-002</t>
  </si>
  <si>
    <t>Kalyani Steels Ltd</t>
  </si>
  <si>
    <t>Annual Report (BRSR embedded) | financials: official NSE-filed annual report FY2025-26</t>
  </si>
  <si>
    <t>per indicator - see Evidence_Log | financials: Official annual report; actual PDF pp.200, 201, 203</t>
  </si>
  <si>
    <t>https://nsearchives.nseindia.com/annual_reports/AR_30049_KSL_2025_2026_A_4890452_29072026154813.pdf</t>
  </si>
  <si>
    <t>F041</t>
  </si>
  <si>
    <t>OBS-009</t>
  </si>
  <si>
    <t>NMDC Steel Ltd</t>
  </si>
  <si>
    <t>State-owned</t>
  </si>
  <si>
    <t>Annual Report, NMDC Limited (BRSR embedded) | financials: official NSE-filed annual report FY2024-25</t>
  </si>
  <si>
    <t>per indicator - see Evidence_Log | financials: Official annual report; actual PDF pp.148, 149</t>
  </si>
  <si>
    <t>https://nsearchives.nseindia.com/annual_reports/AR_27318_NSLNISP_2024_2025_A_06082025235152.pdf</t>
  </si>
  <si>
    <t>F060</t>
  </si>
  <si>
    <t>OBS-006</t>
  </si>
  <si>
    <t>Not assessable</t>
  </si>
  <si>
    <t>Standalone; company states no subsidiaries, associates or joint ventures</t>
  </si>
  <si>
    <t>Shyam Metalics &amp; Energy Ltd</t>
  </si>
  <si>
    <t>Business Responsibility and Sustainability Report + Annual Report | financials: official NSE-filed annual report FY2024-25</t>
  </si>
  <si>
    <t>per indicator - see Evidence_Log | financials: Official annual report; actual PDF pp.237, 238, 239</t>
  </si>
  <si>
    <t>https://nsearchives.nseindia.com/annual_reports/AR_27262_SHYAMMETL_2024_2025_A_04082025172527.pdf</t>
  </si>
  <si>
    <t>F068</t>
  </si>
  <si>
    <t>OBS-007</t>
  </si>
  <si>
    <t>Steel Authority of India (SAIL)</t>
  </si>
  <si>
    <t>per indicator - see Evidence_Log | financials: Official annual report; actual PDF pp.268, 269, 271</t>
  </si>
  <si>
    <t>https://nsearchives.nseindia.com/annual_reports/AR_27649_SAIL_2024_2025_A_10027679_25082025170645.pdf</t>
  </si>
  <si>
    <t>F071</t>
  </si>
  <si>
    <t>OBS-003</t>
  </si>
  <si>
    <t>Tata Steel Ltd</t>
  </si>
  <si>
    <t>per indicator - see Evidence_Log | financials: Official annual report; actual PDF pp.406, 407, 408, 412</t>
  </si>
  <si>
    <t>https://nsearchives.nseindia.com/annual_reports/AR_26523_TATASTEEL_2024_2025_A_06062025193058.pdf</t>
  </si>
  <si>
    <t>F074</t>
  </si>
  <si>
    <t>OBS-001</t>
  </si>
  <si>
    <t>ACC Limited</t>
  </si>
  <si>
    <t>Cement</t>
  </si>
  <si>
    <t>ACC IR 2024-25 | financials: official NSE-filed annual report FY2024-25</t>
  </si>
  <si>
    <t>per indicator - see Evidence_Log | financials: Official annual report; actual PDF pp.235, 236, 284</t>
  </si>
  <si>
    <t>https://nsearchives.nseindia.com/annual_reports/AR_26474_ACC_2024_2025_A_31052025181613.pdf</t>
  </si>
  <si>
    <t>F001</t>
  </si>
  <si>
    <t>OBS-012</t>
  </si>
  <si>
    <t>Consolidated; PAT is total profit/(loss) for year including non-controlling interests; borrowing debt excludes separately reported lease liabilities</t>
  </si>
  <si>
    <t>Ambuja Cements</t>
  </si>
  <si>
    <t>Ambuja IR 2024-25; Ambuja IR 2024-25 (reviewed) | financials: official NSE-filed annual report FY2024-25</t>
  </si>
  <si>
    <t>per indicator - see Evidence_Log | financials: Official annual report; actual PDF pp.243, 244, 246</t>
  </si>
  <si>
    <t>https://nsearchives.nseindia.com/annual_reports/AR_26477_AMBUJACEM_2024_2025_A_31052025201542.pdf</t>
  </si>
  <si>
    <t>F005</t>
  </si>
  <si>
    <t>OBS-015</t>
  </si>
  <si>
    <t>Dalmia Bharat</t>
  </si>
  <si>
    <t>Dalmia Bharat IR 2025-26; Dalmia Bharat IR 2025-26 (reviewed) | financials: official NSE-filed annual report FY2025-26</t>
  </si>
  <si>
    <t>per indicator - see Evidence_Log | financials: Official annual report; actual PDF pp.187, 189</t>
  </si>
  <si>
    <t>https://nsearchives.nseindia.com/annual_reports/AR_29347_DALBHARAT_2025_2026_A_16612657_04062026221102.pdf</t>
  </si>
  <si>
    <t>F018</t>
  </si>
  <si>
    <t>OBS-010</t>
  </si>
  <si>
    <t>JK Cement</t>
  </si>
  <si>
    <t>JK Cement IR 2025-26 | financials: official NSE-filed annual report FY2025-26</t>
  </si>
  <si>
    <t>per indicator - see Evidence_Log | financials: Official annual report; actual PDF pp.196, 197</t>
  </si>
  <si>
    <t>https://nsearchives.nseindia.com/annual_reports/AR_29456_JKCEMENT_2025_2026_A_18229975_25062026235032.pdf</t>
  </si>
  <si>
    <t>F036</t>
  </si>
  <si>
    <t>OBS-013</t>
  </si>
  <si>
    <t>JSW Cement</t>
  </si>
  <si>
    <t>JSW Cement IAR 2025-26; JSW Cement IAR 2025-26 (reviewed) | financials: official NSE-filed annual report FY2025-26</t>
  </si>
  <si>
    <t>per indicator - see Evidence_Log | financials: Official annual report; actual PDF pp.170, 171</t>
  </si>
  <si>
    <t>https://nsearchives.nseindia.com/annual_reports/AR_29681_JSWCEMENT_2025_2026_A_21769121_09072026164030.pdf</t>
  </si>
  <si>
    <t>F037</t>
  </si>
  <si>
    <t>OBS-016</t>
  </si>
  <si>
    <t>Shree Cement</t>
  </si>
  <si>
    <t>Shree Cement IR 2025-26; Shree Cement IR 2025-26 (reviewed) | financials: official NSE-filed annual report FY2025-26</t>
  </si>
  <si>
    <t>per indicator - see Evidence_Log | financials: Official annual report; actual PDF pp.188, 190</t>
  </si>
  <si>
    <t>https://nsearchives.nseindia.com/annual_reports/AR_29637_SHREECEM_2025_2026_A_15627016_07072026194056.pdf</t>
  </si>
  <si>
    <t>F067</t>
  </si>
  <si>
    <t>OBS-011</t>
  </si>
  <si>
    <t>UltraTech</t>
  </si>
  <si>
    <t>UltraTech IR &amp; Sustainability Report 2025-26 | financials: official NSE-filed annual report FY2025-26</t>
  </si>
  <si>
    <t>per indicator - see Evidence_Log | financials: Official annual report; actual PDF pp.259, 261</t>
  </si>
  <si>
    <t>https://nsearchives.nseindia.com/annual_reports/AR_29978_ULTRACEMCO_2025_2026_A_20670730_24072026120407.pdf</t>
  </si>
  <si>
    <t>F077</t>
  </si>
  <si>
    <t>OBS-014</t>
  </si>
  <si>
    <t>Alufluoride</t>
  </si>
  <si>
    <t>Aluminium</t>
  </si>
  <si>
    <t>Aluminium sector report, Table 8</t>
  </si>
  <si>
    <t>not given in the sector report | PDF pp.14–15, Table 8 (DQS); PDF p.23, Table 14 (financials)</t>
  </si>
  <si>
    <t>F004</t>
  </si>
  <si>
    <t>OBS-025</t>
  </si>
  <si>
    <t>Report indicator matrix</t>
  </si>
  <si>
    <t>No</t>
  </si>
  <si>
    <t>Report matrix</t>
  </si>
  <si>
    <t>Basis not fully specified by supplied source; preserve year and source scope</t>
  </si>
  <si>
    <t>BALCO</t>
  </si>
  <si>
    <t>Vedanta Group majority-owned</t>
  </si>
  <si>
    <t>BALCO Integrated Annual Report and sustainability pages</t>
  </si>
  <si>
    <t>not given in the sector report | PDF pp.14–15, Table 8 (DQS); PDF p.23, Table 14 (financial data availability)</t>
  </si>
  <si>
    <t>F009</t>
  </si>
  <si>
    <t>OBS-020</t>
  </si>
  <si>
    <t>No financial values</t>
  </si>
  <si>
    <t>Century Extrusions</t>
  </si>
  <si>
    <t>Aluminium sector report, Table 8 | financials: official NSE-filed annual report FY2024-25</t>
  </si>
  <si>
    <t>not given in the sector report | PDF pp.14–15, Table 8 (DQS); PDF p.23, Table 14 (financials) | financials: Official annual report; actual PDF pp.93, 94, 95, 112, 114</t>
  </si>
  <si>
    <t>https://nsearchives.nseindia.com/annual_reports/AR_26990_CENTEXT_2024_2025_A_17072025163512.pdf</t>
  </si>
  <si>
    <t>F013</t>
  </si>
  <si>
    <t>OBS-022</t>
  </si>
  <si>
    <t>Standalone (report states no subsidiary, JV or associate)</t>
  </si>
  <si>
    <t>Euro Panel Products</t>
  </si>
  <si>
    <t>not given in the sector report | PDF pp.14–15, Table 8 (DQS); PDF p.23, Table 14 (financial data availability) | financials: Official annual report; actual PDF pp.101, 102, 103, 126</t>
  </si>
  <si>
    <t>https://nsearchives.nseindia.com/annual_reports/AR_28883_EUROBOND_2024_2025_U_4203565_08092025105257.pdf</t>
  </si>
  <si>
    <t>F022</t>
  </si>
  <si>
    <t>OBS-026</t>
  </si>
  <si>
    <t>Standalone (report states no subsidiaries, JVs or associates)</t>
  </si>
  <si>
    <t>Hindalco</t>
  </si>
  <si>
    <t>Hindalco Integrated Annual Report 2024-25 incl. BRSR and assurance (report ref. 5) | financials: official NSE-filed annual report FY2024-25</t>
  </si>
  <si>
    <t>not given in the sector report | PDF pp.14–15, Table 8 (DQS); PDF p.23, Table 14 (financials) | financials: Official annual report; actual PDF pp.257, 258, 260</t>
  </si>
  <si>
    <t>https://nsearchives.nseindia.com/annual_reports/AR_27144_HINDALCO_2024_2025_A_28072025195347.pdf</t>
  </si>
  <si>
    <t>F030</t>
  </si>
  <si>
    <t>OBS-017</t>
  </si>
  <si>
    <t>Consolidated (group total PAT including NCI)</t>
  </si>
  <si>
    <t>Maan Aluminium</t>
  </si>
  <si>
    <t>not given in the sector report | PDF pp.14–15, Table 8 (DQS); PDF p.23, Table 14 (financials) | financials: Official annual report; actual PDF pp.87, 88, 89, 100, 101</t>
  </si>
  <si>
    <t>https://nsearchives.nseindia.com/annual_reports/AR_27984_MAANALU_2024_2025_A_5939265_30082025223159.pdf</t>
  </si>
  <si>
    <t>F047</t>
  </si>
  <si>
    <t>OBS-021</t>
  </si>
  <si>
    <t>Standalone company financial statements</t>
  </si>
  <si>
    <t>Manaksia Aluminium</t>
  </si>
  <si>
    <t>not given in the sector report | PDF pp.14–15, Table 8 (DQS); PDF p.23, Table 14 (financials) | financials: Official annual report; actual PDF pp.102, 103, 104</t>
  </si>
  <si>
    <t>https://nsearchives.nseindia.com/annual_reports/AR_27647_MANAKALUCO_2024_2025_A_4667835_25082025170113.pdf</t>
  </si>
  <si>
    <t>F051</t>
  </si>
  <si>
    <t>OBS-024</t>
  </si>
  <si>
    <t>NALCO</t>
  </si>
  <si>
    <t>NALCO 44th Annual Report 2024-25 incl. BRSR (ref. 9) | financials: official NSE-filed annual report FY2024-25</t>
  </si>
  <si>
    <t>not given in the sector report | PDF pp.14–15, Table 8 (DQS); PDF p.23, Table 14 (financials) | financials: Official annual report; actual PDF pp.241, 242, 244</t>
  </si>
  <si>
    <t>https://nsearchives.nseindia.com/annual_reports/AR_28179_NATIONALUM_2024_2025_A_37684600_02092025181449.pdf</t>
  </si>
  <si>
    <t>F056</t>
  </si>
  <si>
    <t>OBS-019</t>
  </si>
  <si>
    <t>Consolidated (group total PAT including joint-venture result)</t>
  </si>
  <si>
    <t>PG Foils</t>
  </si>
  <si>
    <t>PG Foils annual report and corporate disclosures FY2024-25 (ref. 11)</t>
  </si>
  <si>
    <t>F062</t>
  </si>
  <si>
    <t>OBS-023</t>
  </si>
  <si>
    <t>Vedanta</t>
  </si>
  <si>
    <t>Vedanta Integrated Report and Annual Accounts FY2024-25; Climate Action Report 2025 (ref. 14) | financials: official NSE-filed annual report FY2024-25</t>
  </si>
  <si>
    <t>not given in the sector report | PDF pp.14–15, Table 8 (DQS); PDF p.23, Table 14 (financial data availability) | financials: Official annual report; actual PDF pp.237, 238</t>
  </si>
  <si>
    <t>https://nsearchives.nseindia.com/annual_reports/AR_26570_VEDL_2024_2025_A_18062025151918.pdf</t>
  </si>
  <si>
    <t>F079</t>
  </si>
  <si>
    <t>OBS-018</t>
  </si>
  <si>
    <t>Chambal Fertilisers &amp; Chemicals</t>
  </si>
  <si>
    <t>Fertilisers &amp; Chemicals</t>
  </si>
  <si>
    <t>Research coder</t>
  </si>
  <si>
    <t>FY2024-25 Annual Report/BRSR | financials: official NSE-filed annual report FY2024-25</t>
  </si>
  <si>
    <t>per indicator - see Evidence_Log | financials: Official annual report; actual PDF pp.186, 187, 189</t>
  </si>
  <si>
    <t>https://nsearchives.nseindia.com/annual_reports/AR_27241_CHAMBLFERT_2024_2025_A_01082025195851.pdf</t>
  </si>
  <si>
    <t>F014</t>
  </si>
  <si>
    <t>OBS-030</t>
  </si>
  <si>
    <t>Unresolved source conflict</t>
  </si>
  <si>
    <t>Conflict</t>
  </si>
  <si>
    <t>Consolidated</t>
  </si>
  <si>
    <t>Coromandel International</t>
  </si>
  <si>
    <t>FY2025-26 Integrated Annual Report | financials: official NSE-filed annual report FY2025-26</t>
  </si>
  <si>
    <t>per indicator - see Evidence_Log | financials: Official annual report; actual PDF pp.228, 229</t>
  </si>
  <si>
    <t>https://nsearchives.nseindia.com/annual_reports/AR_29527_COROMANDEL_2025_2026_A_23913843_01072026233859.pdf</t>
  </si>
  <si>
    <t>F016</t>
  </si>
  <si>
    <t>OBS-038</t>
  </si>
  <si>
    <t>DCM Shriram</t>
  </si>
  <si>
    <t>FY2024-25 Annual Report + Sustainability Report | financials: official NSE-filed annual report FY2024-25</t>
  </si>
  <si>
    <t>per indicator - see Evidence_Log | financials: Official annual report; actual PDF pp.180, 181, 182</t>
  </si>
  <si>
    <t>https://nsearchives.nseindia.com/annual_reports/AR_26960_DCMSHRIRAM_2024_2025_A_16072025155434.pdf</t>
  </si>
  <si>
    <t>F019</t>
  </si>
  <si>
    <t>OBS-028</t>
  </si>
  <si>
    <t>Gujarat State Fertilizers &amp; Chemicals (GSFC)</t>
  </si>
  <si>
    <t>FY2024-25 BRSR | financials: official NSE-filed annual report FY2024-25</t>
  </si>
  <si>
    <t>per indicator - see Evidence_Log | financials: Official annual report; actual PDF pp.196, 197, 198, 199</t>
  </si>
  <si>
    <t>https://nsearchives.nseindia.com/annual_reports/AR_29049_GSFC_2024_2025_A_7177342_16092025085041.pdf</t>
  </si>
  <si>
    <t>F029</t>
  </si>
  <si>
    <t>OBS-036</t>
  </si>
  <si>
    <t>IFFCO</t>
  </si>
  <si>
    <t>Co-operative</t>
  </si>
  <si>
    <t>IFFCO Annual Report / public disclosures</t>
  </si>
  <si>
    <t>per indicator - see Evidence_Log</t>
  </si>
  <si>
    <t>IFFCO official annual-report portal</t>
  </si>
  <si>
    <t>F031</t>
  </si>
  <si>
    <t>OBS-027</t>
  </si>
  <si>
    <t>Not scored</t>
  </si>
  <si>
    <t>Outside BRSR sample</t>
  </si>
  <si>
    <t>Khaitan Chemicals &amp; Fertilizers</t>
  </si>
  <si>
    <t>FY2024-25 BRSR / Annual Report | financials: official NSE-filed annual report FY2024-25</t>
  </si>
  <si>
    <t>per indicator - see Evidence_Log | financials: Official annual report; actual PDF pp.53, 54, 55</t>
  </si>
  <si>
    <t>https://nsearchives.nseindia.com/annual_reports/AR_27260_KHAICHEM_2024_2025_A_04082025155021.pdf</t>
  </si>
  <si>
    <t>F042</t>
  </si>
  <si>
    <t>OBS-035</t>
  </si>
  <si>
    <t>Standalone</t>
  </si>
  <si>
    <t>Krishana Phoschem</t>
  </si>
  <si>
    <t>Fertilisers_and_Chemicals_Report.pdf; Fertilisers_and_Chemicals_Report.docx | financials: official NSE-filed annual report FY2025-26</t>
  </si>
  <si>
    <t>PDF p.5 Table1; p.18 Table15; p.20 Table16 | financials: Official annual report; actual PDF pp.124, 125, 126</t>
  </si>
  <si>
    <t>https://nsearchives.nseindia.com/annual_reports/AR_29291_KRISHANA_2025_2026_A_6958335_29052026171638.pdf</t>
  </si>
  <si>
    <t>F043</t>
  </si>
  <si>
    <t>OBS-079</t>
  </si>
  <si>
    <t>No score provided</t>
  </si>
  <si>
    <t>Unscored</t>
  </si>
  <si>
    <t>Madhya Bharat Agro Products</t>
  </si>
  <si>
    <t>PDF p.5 Table1; p.18 Table15; p.20 Table16 | financials: Official annual report; actual PDF pp.128, 129, 130</t>
  </si>
  <si>
    <t>https://nsearchives.nseindia.com/annual_reports/AR_29290_MBAPL_2025_2026_A_18329382_29052026163955.pdf</t>
  </si>
  <si>
    <t>F048</t>
  </si>
  <si>
    <t>OBS-081</t>
  </si>
  <si>
    <t>Madras Fertilizers</t>
  </si>
  <si>
    <t>PDF p.5 Table1; p.18 Table15; p.20 Table16 | financials: Official annual report; actual PDF pp.126, 127, 128, 130</t>
  </si>
  <si>
    <t>https://nsearchives.nseindia.com/annual_reports/AR_31006_MADRASFERT_2025_2026_A_2891616_01092026172009.pdf</t>
  </si>
  <si>
    <t>F049</t>
  </si>
  <si>
    <t>OBS-080</t>
  </si>
  <si>
    <t>Mangalore Chemicals &amp; Fertilizers</t>
  </si>
  <si>
    <t>per indicator - see Evidence_Log | financials: Official annual report; actual PDF pp.83, 84, 85</t>
  </si>
  <si>
    <t>https://nsearchives.nseindia.com/annual_reports/AR_27186_MANGCHEFER_2024_2025_A_30072025180324.pdf</t>
  </si>
  <si>
    <t>F052</t>
  </si>
  <si>
    <t>OBS-033</t>
  </si>
  <si>
    <t>National Fertilizers Limited (NFL)</t>
  </si>
  <si>
    <t>FY2024-25 Annual Report + BRSR | financials: official NSE-filed annual report FY2024-25</t>
  </si>
  <si>
    <t>per indicator - see Evidence_Log | financials: Official annual report; actual PDF pp.319, 320, 321</t>
  </si>
  <si>
    <t>https://nsearchives.nseindia.com/annual_reports/AR_29150_NFL_2024_2025_U_12019218_29092025191601.pdf</t>
  </si>
  <si>
    <t>F057</t>
  </si>
  <si>
    <t>OBS-029</t>
  </si>
  <si>
    <t>PI Industries</t>
  </si>
  <si>
    <t>FY2024-25 Integrated Annual Report + BRSR | financials: official NSE-filed annual report FY2024-25</t>
  </si>
  <si>
    <t>per indicator - see Evidence_Log | financials: Official annual report; actual PDF pp.211, 212</t>
  </si>
  <si>
    <t>https://nsearchives.nseindia.com/annual_reports/AR_27058_PIIND_2024_2025_A_21072025195744.pdf</t>
  </si>
  <si>
    <t>F063</t>
  </si>
  <si>
    <t>OBS-032</t>
  </si>
  <si>
    <t>Rashtriya Chemicals &amp; Fertilizers (RCF)</t>
  </si>
  <si>
    <t>per indicator - see Evidence_Log | financials: Official annual report; actual PDF pp.265, 266, 267, 270</t>
  </si>
  <si>
    <t>https://nsearchives.nseindia.com/annual_reports/AR_29140_RCF_2024_2025_A_7506917_24092025163031.pdf</t>
  </si>
  <si>
    <t>F064</t>
  </si>
  <si>
    <t>OBS-037</t>
  </si>
  <si>
    <t>Southern Petrochemical Industries Corporation (SPIC)</t>
  </si>
  <si>
    <t>per indicator - see Evidence_Log | financials: Official annual report; actual PDF pp.176, 177, 180</t>
  </si>
  <si>
    <t>https://nsearchives.nseindia.com/annual_reports/AR_28107_SPIC_2024_2025_A_17915303_01092025233329.pdf</t>
  </si>
  <si>
    <t>F069</t>
  </si>
  <si>
    <t>OBS-034</t>
  </si>
  <si>
    <t>SRF Limited</t>
  </si>
  <si>
    <t>FY2024-25 Annual Report | financials: official NSE-filed annual report FY2024-25</t>
  </si>
  <si>
    <t>per indicator - see Evidence_Log | financials: Official annual report; actual PDF pp.188, 189, 190</t>
  </si>
  <si>
    <t>https://nsearchives.nseindia.com/annual_reports/AR_29359_SRF_2025_2026_A_20352537_06062026134821.pdf</t>
  </si>
  <si>
    <t>F070</t>
  </si>
  <si>
    <t>OBS-031</t>
  </si>
  <si>
    <t>Arvind</t>
  </si>
  <si>
    <t>Textiles &amp; Apparel</t>
  </si>
  <si>
    <t>BRSR, annual and sustainability reports (per-firm document not named in the report) | Textile_and_Apparel_Report.pdf (secondary report; primary firm filings not supplied) | financials: official NSE-filed annual report FY2024-25</t>
  </si>
  <si>
    <t>PDF p.23, Figure 8 (reported DQS); p.10 B1 (period coverage); p.25 C1 (missing underlying dataset) | financials: Official annual report; actual PDF pp.311, 312, 313</t>
  </si>
  <si>
    <t>https://nsearchives.nseindia.com/annual_reports/AR_26963_ARVIND_2024_2025_A_16072025163329.pdf</t>
  </si>
  <si>
    <t>F006</t>
  </si>
  <si>
    <t>OBS-040</t>
  </si>
  <si>
    <t>Sector-report total; indicators unavailable</t>
  </si>
  <si>
    <t>Reported total only</t>
  </si>
  <si>
    <t>Consolidated (total PAT including NCI)</t>
  </si>
  <si>
    <t>Gokaldas Exports</t>
  </si>
  <si>
    <t>PDF p.23, Figure 8 (reported DQS); p.10 B1 (period coverage); p.25 C1 (missing underlying dataset) | financials: Official annual report; actual PDF pp.214, 215, 216</t>
  </si>
  <si>
    <t>https://nsearchives.nseindia.com/annual_reports/AR_27685_GOKEX_2024_2025_U_19095498_25082025230311.pdf</t>
  </si>
  <si>
    <t>F027</t>
  </si>
  <si>
    <t>OBS-049</t>
  </si>
  <si>
    <t>Grasim</t>
  </si>
  <si>
    <t>PDF p.23, Figure 8 (reported DQS); p.10 B1 (period coverage); p.25 C1 (missing underlying dataset) | financials: Official annual report; actual PDF pp.423, 424, 425, 431</t>
  </si>
  <si>
    <t>https://nsearchives.nseindia.com/annual_reports/AR_27780_GRASIM_2024_2025_A_16490387_28082025113556.pdf</t>
  </si>
  <si>
    <t>F028</t>
  </si>
  <si>
    <t>OBS-039</t>
  </si>
  <si>
    <t>Indo Count</t>
  </si>
  <si>
    <t>PDF p.23, Figure 8 (reported DQS); p.10 B1 (period coverage); p.25 C1 (missing underlying dataset) | financials: Official annual report; actual PDF pp.123, 124</t>
  </si>
  <si>
    <t>https://nsearchives.nseindia.com/annual_reports/AR_27142_ICIL_2024_2025_A_28072025193156.pdf</t>
  </si>
  <si>
    <t>F032</t>
  </si>
  <si>
    <t>OBS-043</t>
  </si>
  <si>
    <t>K.P.R. Mill</t>
  </si>
  <si>
    <t>PDF p.23, Figure 8 (reported DQS); p.10 B1 (period coverage); p.25 C1 (missing underlying dataset) | financials: Official annual report; actual PDF pp.178, 179, 180</t>
  </si>
  <si>
    <t>https://nsearchives.nseindia.com/annual_reports/AR_26659_KPRMILL_2024_2025_A_01072025113238.pdf</t>
  </si>
  <si>
    <t>F039</t>
  </si>
  <si>
    <t>OBS-048</t>
  </si>
  <si>
    <t>Lux Industries</t>
  </si>
  <si>
    <t>PDF p.23, Figure 8 (reported DQS); p.10 B1 (period coverage); p.25 C1 (missing underlying dataset) | financials: Official annual report; actual PDF pp.237, 238, 239</t>
  </si>
  <si>
    <t>https://nsearchives.nseindia.com/annual_reports/AR_27995_LUXIND_2024_2025_A_10032979_31082025222737.pdf</t>
  </si>
  <si>
    <t>F046</t>
  </si>
  <si>
    <t>OBS-050</t>
  </si>
  <si>
    <t>Nahar Spinning</t>
  </si>
  <si>
    <t>PDF p.23, Figure 8 (reported DQS); p.10 B1 (period coverage); p.25 C1 (missing underlying dataset) | financials: Official annual report; actual PDF pp.64, 65, 66</t>
  </si>
  <si>
    <t>https://nsearchives.nseindia.com/annual_reports/AR_27777_NAHARSPING_2024_2025_A_17456295_28082025104907.pdf</t>
  </si>
  <si>
    <t>F055</t>
  </si>
  <si>
    <t>OBS-047</t>
  </si>
  <si>
    <t>Standalone (company financial statements)</t>
  </si>
  <si>
    <t>Page Industries</t>
  </si>
  <si>
    <t>PDF p.23, Figure 8 (reported DQS); p.10 B1 (period coverage); p.25 C1 (missing underlying dataset) | financials: Official annual report; actual PDF pp.129, 130, 131, 132</t>
  </si>
  <si>
    <t>https://nsearchives.nseindia.com/annual_reports/AR_26815_PAGEIND_2024_2025_A_09072025185053.pdf</t>
  </si>
  <si>
    <t>F061</t>
  </si>
  <si>
    <t>OBS-046</t>
  </si>
  <si>
    <t>Raymond Lifestyle</t>
  </si>
  <si>
    <t>PDF p.23, Figure 8 (reported DQS); p.10 B1 (period coverage); p.25 C1 (missing underlying dataset) | financials: Official annual report; actual PDF pp.292, 293, 294</t>
  </si>
  <si>
    <t>https://nsearchives.nseindia.com/annual_reports/AR_29176_RAYMONDLSL_2024_2025_U_31036349_03112025181221.pdf</t>
  </si>
  <si>
    <t>F065</t>
  </si>
  <si>
    <t>OBS-045</t>
  </si>
  <si>
    <t>RSWM</t>
  </si>
  <si>
    <t>PDF p.23, Figure 8 (reported DQS); p.10 B1 (period coverage); p.25 C1 (missing underlying dataset) | financials: Official annual report; actual PDF pp.153, 154</t>
  </si>
  <si>
    <t>https://nsearchives.nseindia.com/annual_reports/AR_27392_RSWM_2024_2025_A_12082025153527.pdf</t>
  </si>
  <si>
    <t>F066</t>
  </si>
  <si>
    <t>OBS-051</t>
  </si>
  <si>
    <t>Trident</t>
  </si>
  <si>
    <t>PDF p.23, Figure 8 (reported DQS); p.10 B1 (period coverage); p.25 C1 (missing underlying dataset) | financials: Official annual report; actual PDF pp.130, 132</t>
  </si>
  <si>
    <t>https://nsearchives.nseindia.com/annual_reports/AR_27226_TRIDENT_2024_2025_A_01082025172028.pdf</t>
  </si>
  <si>
    <t>F076</t>
  </si>
  <si>
    <t>OBS-042</t>
  </si>
  <si>
    <t>Vardhman Textiles</t>
  </si>
  <si>
    <t>PDF p.23, Figure 8 (reported DQS); p.10 B1 (period coverage); p.25 C1 (missing underlying dataset) | financials: Official annual report; actual PDF pp.109, 110</t>
  </si>
  <si>
    <t>https://nsearchives.nseindia.com/annual_reports/AR_28189_VTL_2024_2025_A_12768539_02092025184314.pdf</t>
  </si>
  <si>
    <t>F078</t>
  </si>
  <si>
    <t>OBS-044</t>
  </si>
  <si>
    <t>Welspun Living</t>
  </si>
  <si>
    <t>PDF p.23, Figure 8 (reported DQS); p.10 B1 (period coverage); p.25 C1 (missing underlying dataset) | financials: Official annual report; actual PDF pp.371, 372, 375</t>
  </si>
  <si>
    <t>https://nsearchives.nseindia.com/annual_reports/AR_27444_WELSPUNLIV_2024_2025_A_14082025181855.pdf</t>
  </si>
  <si>
    <t>F081</t>
  </si>
  <si>
    <t>OBS-041</t>
  </si>
  <si>
    <t>Ahluwalia Contracts (India) Ltd</t>
  </si>
  <si>
    <t>Buildings &amp; Construction</t>
  </si>
  <si>
    <t>You (Researcher 1)</t>
  </si>
  <si>
    <t>Company BRSR / annual report; per-indicator source is inside the Evidence_Log text | financials: official NSE-filed annual report FY2024-25; financials: Consolidated_Firm_Panel_FY24-FY26.xlsx</t>
  </si>
  <si>
    <t>per indicator - see Evidence_Log | financials: Official annual report; actual PDF pp.237, 238, 239; matching FY row in Consolidated Panel</t>
  </si>
  <si>
    <t>https://nsearchives.nseindia.com/annual_reports/AR_28558_AHLUCONT_2024_2025_A_3891095_05092025153209.pdf</t>
  </si>
  <si>
    <t>F003</t>
  </si>
  <si>
    <t>OBS-052</t>
  </si>
  <si>
    <t>Consolidated (including NCI)</t>
  </si>
  <si>
    <t>Astral Limited</t>
  </si>
  <si>
    <t>Company BRSR / annual report; per-indicator source is inside the Evidence_Log text | financials: official NSE-filed annual report FY2025-26; financials: Consolidated_Firm_Panel_FY24-FY26.xlsx</t>
  </si>
  <si>
    <t>per indicator - see Evidence_Log | financials: Official annual report; actual PDF pp.173, 174, 175; matching FY row in Consolidated Panel</t>
  </si>
  <si>
    <t>https://nsearchives.nseindia.com/annual_reports/AR_30107_ASTRAL_2025_2026_A_25692481_31072026184147.pdf</t>
  </si>
  <si>
    <t>F008</t>
  </si>
  <si>
    <t>OBS-053</t>
  </si>
  <si>
    <t>DLF Limited</t>
  </si>
  <si>
    <t>Teammate B (Researcher 1)</t>
  </si>
  <si>
    <t>per indicator - see Evidence_Log | financials: Official annual report; actual PDF pp.180, 181; matching FY row in Consolidated Panel</t>
  </si>
  <si>
    <t>https://nsearchives.nseindia.com/annual_reports/AR_29745_DLF_2025_2026_A_24964398_11072026153142.pdf</t>
  </si>
  <si>
    <t>F021</t>
  </si>
  <si>
    <t>OBS-057</t>
  </si>
  <si>
    <t>Godrej Properties Limited</t>
  </si>
  <si>
    <t>per indicator - see Evidence_Log | financials: Official annual report; actual PDF pp.204, 206; matching FY row in Consolidated Panel</t>
  </si>
  <si>
    <t>https://nsearchives.nseindia.com/annual_reports/AR_29650_GODREJPROP_2025_2026_A_25096475_08072026152536.pdf</t>
  </si>
  <si>
    <t>F026</t>
  </si>
  <si>
    <t>OBS-060</t>
  </si>
  <si>
    <t>Kajaria Ceramics Limited</t>
  </si>
  <si>
    <t>per indicator - see Evidence_Log | financials: Official annual report; actual PDF pp.143, 144; matching FY row in Consolidated Panel</t>
  </si>
  <si>
    <t>https://nsearchives.nseindia.com/annual_reports/AR_28584_KAJARIACER_2024_2025_A_13680913_05092025165044.pdf</t>
  </si>
  <si>
    <t>F040</t>
  </si>
  <si>
    <t>OBS-055</t>
  </si>
  <si>
    <t>Larsen &amp; Toubro Limited</t>
  </si>
  <si>
    <t>per indicator - see Evidence_Log | financials: Official annual report; actual PDF pp.617, 618, 619, 620, 623; matching FY row in Consolidated Panel</t>
  </si>
  <si>
    <t>https://nsearchives.nseindia.com/annual_reports/AR_29259_LT_2025_2026_A_29793480_14052026183032.pdf</t>
  </si>
  <si>
    <t>F044</t>
  </si>
  <si>
    <t>OBS-058</t>
  </si>
  <si>
    <t>Lodha Developers Limited (Macrotech Developers)</t>
  </si>
  <si>
    <t>per indicator - see Evidence_Log | financials: Official annual report; actual PDF pp.229, 230, 231; matching FY row in Consolidated Panel</t>
  </si>
  <si>
    <t>https://nsearchives.nseindia.com/annual_reports/AR_29722_LODHA_2025_2026_A_12143464_10072026180609.pdf</t>
  </si>
  <si>
    <t>F045</t>
  </si>
  <si>
    <t>OBS-059</t>
  </si>
  <si>
    <t>Mahindra Lifespace Developers Ltd</t>
  </si>
  <si>
    <t>per indicator - see Evidence_Log | financials: Official annual report; actual PDF pp.439, 440, 441; matching FY row in Consolidated Panel</t>
  </si>
  <si>
    <t>https://nsearchives.nseindia.com/annual_reports/AR_29500_MAHLIFE_2025_2026_A_12340615_30062026184510.pdf</t>
  </si>
  <si>
    <t>F050</t>
  </si>
  <si>
    <t>OBS-056</t>
  </si>
  <si>
    <t>NBCC (India) Limited</t>
  </si>
  <si>
    <t>per indicator - see Evidence_Log | financials: Official annual report; actual PDF pp.293, 294, 297; matching FY row in Consolidated Panel</t>
  </si>
  <si>
    <t>https://nsearchives.nseindia.com/annual_reports/AR_28237_NBCC_2024_2025_A_13280882_02092025222649.pdf</t>
  </si>
  <si>
    <t>F058</t>
  </si>
  <si>
    <t>OBS-054</t>
  </si>
  <si>
    <t>NCC Limited</t>
  </si>
  <si>
    <t>per indicator - see Evidence_Log | financials: Official annual report; actual PDF pp.250, 251, 252, 257; matching FY row in Consolidated Panel</t>
  </si>
  <si>
    <t>https://nsearchives.nseindia.com/annual_reports/AR_30022_NCC_2025_2026_A_21203392_27072026180133.pdf</t>
  </si>
  <si>
    <t>F059</t>
  </si>
  <si>
    <t>OBS-061</t>
  </si>
  <si>
    <t>Adani Ports &amp; SEZ</t>
  </si>
  <si>
    <t>Transport &amp; Logistics</t>
  </si>
  <si>
    <t>FY2024-25 annual report, BRSR/climate disclosure and official investor pages (firm-specific documents not named in the report) | Transport_and_Logistics_Report.pdf (secondary report; FY2024-25 source dataset) | financials: official NSE-filed annual report FY2024-25</t>
  </si>
  <si>
    <t>PDF pp.19–20, section 8.9: DQS and financing-cost tables | financials: Official annual report; actual PDF pp.467, 468, 471, 538</t>
  </si>
  <si>
    <t>https://nsearchives.nseindia.com/annual_reports/AR_26467_ADANIPORTS_2024_2025_A_30052025204446.pdf</t>
  </si>
  <si>
    <t>F002</t>
  </si>
  <si>
    <t>OBS-062</t>
  </si>
  <si>
    <t>Ashok Leyland</t>
  </si>
  <si>
    <t>PDF pp.19–20, section 8.9: DQS and financing-cost tables | financials: Official annual report; actual PDF pp.211, 212, 214</t>
  </si>
  <si>
    <t>https://nsearchives.nseindia.com/annual_reports/AR_27004_ASHOKLEY_2024_2025_A_18072025123305.pdf</t>
  </si>
  <si>
    <t>F007</t>
  </si>
  <si>
    <t>OBS-064</t>
  </si>
  <si>
    <t>Blue Dart</t>
  </si>
  <si>
    <t>PDF pp.19–20, section 8.9: DQS and financing-cost tables | financials: Official annual report; actual PDF pp.323, 324, 325, 326, 350</t>
  </si>
  <si>
    <t>https://nsearchives.nseindia.com/annual_reports/AR_27055_BLUEDART_2024_2025_A_21072025192010.pdf</t>
  </si>
  <si>
    <t>F011</t>
  </si>
  <si>
    <t>OBS-067</t>
  </si>
  <si>
    <t>CONCOR</t>
  </si>
  <si>
    <t>PDF pp.19–20, section 8.9: DQS and financing-cost tables | financials: Official annual report; actual PDF pp.350, 351, 352, 358, 413</t>
  </si>
  <si>
    <t>https://nsearchives.nseindia.com/annual_reports/AR_28074_CONCOR_2024_2025_A_9631203_01092025184652.pdf</t>
  </si>
  <si>
    <t>F015</t>
  </si>
  <si>
    <t>OBS-068</t>
  </si>
  <si>
    <t>Delhivery</t>
  </si>
  <si>
    <t>PDF pp.19–20, section 8.9: DQS and financing-cost tables | financials: Official annual report; actual PDF pp.127, 128, 146</t>
  </si>
  <si>
    <t>https://nsearchives.nseindia.com/annual_reports/AR_27363_DELHIVERY_2024_2025_A_08082025200205.pdf</t>
  </si>
  <si>
    <t>F020</t>
  </si>
  <si>
    <t>OBS-066</t>
  </si>
  <si>
    <t>Gateway Distriparks</t>
  </si>
  <si>
    <t>PDF pp.19–20, section 8.9: DQS and financing-cost tables | financials: Official annual report; actual PDF pp.228, 229, 230, 233, 309</t>
  </si>
  <si>
    <t>https://nsearchives.nseindia.com/annual_reports/AR_28102_GATEWAY_2024_2025_A_6994656_01092025221126.pdf</t>
  </si>
  <si>
    <t>F023</t>
  </si>
  <si>
    <t>OBS-071</t>
  </si>
  <si>
    <t>Maruti Suzuki</t>
  </si>
  <si>
    <t>PDF pp.19–20, section 8.9: DQS and financing-cost tables | financials: Official annual report; actual PDF pp.216, 217, 232</t>
  </si>
  <si>
    <t>https://nsearchives.nseindia.com/annual_reports/AR_27293_MARUTI_2024_2025_A_05082025210558.pdf</t>
  </si>
  <si>
    <t>F054</t>
  </si>
  <si>
    <t>OBS-065</t>
  </si>
  <si>
    <t>Tata Motors</t>
  </si>
  <si>
    <t>PDF pp.19–20, section 8.9: DQS and financing-cost tables | financials: Official annual report; actual PDF pp.313, 314, 316, 317, 385</t>
  </si>
  <si>
    <t>https://nsearchives.nseindia.com/annual_reports/AR_27753_TATAMOTORS_2024_2025_A_29318961_26082025223051.pdf</t>
  </si>
  <si>
    <t>F073</t>
  </si>
  <si>
    <t>OBS-063</t>
  </si>
  <si>
    <t>Consolidated; selected PAT includes discontinued operations; revenue and finance cost follow the continuing-operations lines identified in the source.</t>
  </si>
  <si>
    <t>TCI</t>
  </si>
  <si>
    <t>PDF pp.19–20, section 8.9: DQS and financing-cost tables | financials: Official annual report; actual PDF pp.201, 202, 203, 233</t>
  </si>
  <si>
    <t>https://nsearchives.nseindia.com/annual_reports/AR_26749_TCI_2024_2025_A_05072025160106.pdf</t>
  </si>
  <si>
    <t>F075</t>
  </si>
  <si>
    <t>OBS-069</t>
  </si>
  <si>
    <t>VRL Logistics</t>
  </si>
  <si>
    <t>PDF pp.19–20, section 8.9: DQS and financing-cost tables | financials: Official annual report; actual PDF pp.155, 175, 176, 177, 206</t>
  </si>
  <si>
    <t>https://nsearchives.nseindia.com/annual_reports/AR_26877_VRLLOG_2024_2025_A_12072025152942.pdf</t>
  </si>
  <si>
    <t>F080</t>
  </si>
  <si>
    <t>OBS-070</t>
  </si>
  <si>
    <t>Standalone (report explicitly has no subsidiaries, associates or joint ventures)</t>
  </si>
  <si>
    <t>Bayer CropScience</t>
  </si>
  <si>
    <t>Agriculture &amp; Agrofoods</t>
  </si>
  <si>
    <t>Foreign</t>
  </si>
  <si>
    <t>Sustainability report named in the agriculture report; link not recoverable from the PDF</t>
  </si>
  <si>
    <t>not given in the sector report | Uploaded sector report PDF p.35, section 8 (scores); p.36 (company source list)</t>
  </si>
  <si>
    <t>F010</t>
  </si>
  <si>
    <t>OBS-075</t>
  </si>
  <si>
    <t>Cargill</t>
  </si>
  <si>
    <t>Cargill 2025 Impact Report (global)</t>
  </si>
  <si>
    <t>https://www.cargill.com/sustainability/doc/1451372729493/2025-cargill-impact-report.pdf</t>
  </si>
  <si>
    <t>F012</t>
  </si>
  <si>
    <t>OBS-078</t>
  </si>
  <si>
    <t>Corteva</t>
  </si>
  <si>
    <t>Corteva "Our 2025 Impact Report" (global)</t>
  </si>
  <si>
    <t>https://reports.corteva.com/sustainability/impactreport2025/static/Corteva_Our_2025_Impact_Report.pdf?v=1775742674</t>
  </si>
  <si>
    <t>F017</t>
  </si>
  <si>
    <t>OBS-074</t>
  </si>
  <si>
    <t>Godrej Agrovet</t>
  </si>
  <si>
    <t>Godrej Agrovet Annual Report 2025-26 | financials: official NSE-filed annual report FY2025-26</t>
  </si>
  <si>
    <t>not given in the sector report | Uploaded sector report PDF p.35, section 8 (scores); p.36 (company source list) | financials: Official annual report; actual PDF pp.280, 281, 282, 283</t>
  </si>
  <si>
    <t>https://nsearchives.nseindia.com/annual_reports/AR_29728_GODREJAGRO_2025_2026_A_6230887_10072026213229.pdf</t>
  </si>
  <si>
    <t>F025</t>
  </si>
  <si>
    <t>OBS-073</t>
  </si>
  <si>
    <t>ITC</t>
  </si>
  <si>
    <t>ITC sustainability report 2026 | financials: official NSE-filed annual report FY2024-25</t>
  </si>
  <si>
    <t>not given in the sector report | Uploaded sector report PDF p.35, section 8 (scores); p.36 (company source list) | financials: Official annual report; actual PDF pp.252, 253, 256</t>
  </si>
  <si>
    <t>https://nsearchives.nseindia.com/annual_reports/AR_26624_ITC_2024_2025_A_27062025150548.pdf</t>
  </si>
  <si>
    <t>F033</t>
  </si>
  <si>
    <t>OBS-072</t>
  </si>
  <si>
    <t>Marico</t>
  </si>
  <si>
    <t>Sustainability report named in the agriculture report; link not recoverable from the PDF | financials: official NSE-filed annual report FY2024-25</t>
  </si>
  <si>
    <t>not given in the sector report | Uploaded sector report PDF p.35, section 8 (scores); p.36 (company source list) | financials: Official annual report; actual PDF pp.171, 173</t>
  </si>
  <si>
    <t>https://nsearchives.nseindia.com/annual_reports/AR_27099_MARICO_2024_2025_U_24072025194510.pdf</t>
  </si>
  <si>
    <t>F053</t>
  </si>
  <si>
    <t>OBS-077</t>
  </si>
  <si>
    <t>Agriculture_and_Agrofoods_Report.pdf | financials: official NSE-filed annual report FY2024-25</t>
  </si>
  <si>
    <t>PDF p.35; section 8 | Uploaded sector report PDF p.35, section 8 (scores); p.36 (company source list) | financials: Official annual report; actual PDF pp.211, 212</t>
  </si>
  <si>
    <t>OBS-082</t>
  </si>
  <si>
    <t>Tata Consumer</t>
  </si>
  <si>
    <t>Tata Consumer BRSR website PDF (URL path dated 2023-05; year not confirmed) | financials: official NSE-filed annual report FY2024-25</t>
  </si>
  <si>
    <t>not given in the sector report | Uploaded sector report PDF p.35, section 8 (scores); p.36 (company source list) | financials: Official annual report; actual PDF pp.373, 374, 376</t>
  </si>
  <si>
    <t>https://nsearchives.nseindia.com/annual_reports/AR_26447_TATACONSUM_2024_2025_A_22052025230755.pdf</t>
  </si>
  <si>
    <t>F072</t>
  </si>
  <si>
    <t>OBS-076</t>
  </si>
  <si>
    <t>firm_name</t>
  </si>
  <si>
    <t>sector</t>
  </si>
  <si>
    <t>CCTS_obligated</t>
  </si>
  <si>
    <t>listed</t>
  </si>
  <si>
    <t>exchange</t>
  </si>
  <si>
    <t>ownership</t>
  </si>
  <si>
    <t>BRSR_filer</t>
  </si>
  <si>
    <t>I1</t>
  </si>
  <si>
    <t>I2</t>
  </si>
  <si>
    <t>I3</t>
  </si>
  <si>
    <t>I4</t>
  </si>
  <si>
    <t>I5</t>
  </si>
  <si>
    <t>I6</t>
  </si>
  <si>
    <t>I7</t>
  </si>
  <si>
    <t>I8</t>
  </si>
  <si>
    <t>I9</t>
  </si>
  <si>
    <t>I10</t>
  </si>
  <si>
    <t>DQS_total</t>
  </si>
  <si>
    <t>DQS_100</t>
  </si>
  <si>
    <t>sub_quantification</t>
  </si>
  <si>
    <t>sub_strategy</t>
  </si>
  <si>
    <t>sub_credibility</t>
  </si>
  <si>
    <t>reporting_FY</t>
  </si>
  <si>
    <t>coder_id</t>
  </si>
  <si>
    <t>second_coder_score</t>
  </si>
  <si>
    <t>agreed_score</t>
  </si>
  <si>
    <t>CBAM_covered_product</t>
  </si>
  <si>
    <t>export_intensity</t>
  </si>
  <si>
    <t>EU_export</t>
  </si>
  <si>
    <t>PAT_legacy_entity</t>
  </si>
  <si>
    <t>revenue</t>
  </si>
  <si>
    <t>total_assets</t>
  </si>
  <si>
    <t>PAT</t>
  </si>
  <si>
    <t>ROA</t>
  </si>
  <si>
    <t>total_debt</t>
  </si>
  <si>
    <t>finance_cost</t>
  </si>
  <si>
    <t>cost_of_debt_proxy</t>
  </si>
  <si>
    <t>capex</t>
  </si>
  <si>
    <t>size_band</t>
  </si>
  <si>
    <t>source_document</t>
  </si>
  <si>
    <t>reporting_year</t>
  </si>
  <si>
    <t>page_or_section</t>
  </si>
  <si>
    <t>URL</t>
  </si>
  <si>
    <t>date_accessed</t>
  </si>
  <si>
    <t>firm_id</t>
  </si>
  <si>
    <t>observation_id</t>
  </si>
  <si>
    <t>reported_DQS_total</t>
  </si>
  <si>
    <t>DQS_basis</t>
  </si>
  <si>
    <t>financial_year_match</t>
  </si>
  <si>
    <t>analysis_include</t>
  </si>
  <si>
    <t>record_status</t>
  </si>
  <si>
    <t>financial_basis</t>
  </si>
  <si>
    <t>OBSERVED FINANCIAL PANEL</t>
  </si>
  <si>
    <t>102 dated firm-year records | no repeated disclosure scores | monetary amounts ₹ crore</t>
  </si>
  <si>
    <t>OBSERVATION</t>
  </si>
  <si>
    <t>FINANCIAL DATA</t>
  </si>
  <si>
    <t>BASIS &amp; SOURCE</t>
  </si>
  <si>
    <t>This is FY2025-26, not FY2024-25. PAT445.18 is the group total; owners PAT472.78 differs because NCI loss is27.60. Cash capex is acquisition of PPE, excluding acquisition of NCI. Borrowing totals reconcile to the movement table on PDFp283. Any derived finance_cost/average_gross_borrowings ratio is a broad total-financing-charge proxy. It is not an effective borrowing interest rate; lease/financial-subsidiary effects require review.</t>
  </si>
  <si>
    <t>Official annual report; actual PDF pp.280, 281, 282, 283</t>
  </si>
  <si>
    <t>Primary source verified</t>
  </si>
  <si>
    <t>PAT includes discontinued operations (15016.01) and the hotel demerger exceptional gain; continuing PAT is20036.47. Revenue and P&amp;L finance cost45.06 refer to continuing operations, while cash-flow finance-cost adjustment is50.01 and cash capex includes discontinued operations. Reported finance cost includes lease-related items; low debt can distort ratio. Cash capex line includes PPE, intangibles and ROU assets. Any derived finance_cost/average_gross_borrowings ratio is a broad total-financing-charge proxy. It is not an effective borrowing interest rate; lease/financial-subsidiary effects require review.</t>
  </si>
  <si>
    <t>Official annual report; actual PDF pp.252, 253, 256</t>
  </si>
  <si>
    <t>Balance sheet lists no non-current borrowing line; current borrowings379 and383 are the gross borrowing balances. Separate lease liabilities excluded. P&amp;L finance cost53 differs from the cash-flow borrowing-interest adjustment52; use the P&amp;L figure, not cash paid. Cash capex is PPE and intangible-asset payments. Any derived finance_cost/average_gross_borrowings ratio is a broad total-financing-charge proxy. It is not an effective borrowing interest rate; lease/financial-subsidiary effects require review.</t>
  </si>
  <si>
    <t>Official annual report; actual PDF pp.171, 173</t>
  </si>
  <si>
    <t>Cash capex is payment for PPE including intangible assets, not business acquisitions. Borrowings exclude separately reported lease liabilities. Finance costs may include lease interest. Any derived finance_cost/average_gross_borrowings ratio is a broad total-financing-charge proxy. It is not an effective borrowing interest rate; lease/financial-subsidiary effects require review.</t>
  </si>
  <si>
    <t>Official annual report; actual PDF pp.373, 374, 376</t>
  </si>
  <si>
    <t>Source-transcribed ratio; numerator, denominator and accounting basis require verification before pooled comparison.</t>
  </si>
  <si>
    <t>Source-transcribed; verify accounting basis</t>
  </si>
  <si>
    <t>Original statements in Rs lakhs; divide by100. Current borrowings4732 include current maturities257; do not double-count. FY2024-25 differs from inherited FY2025-26 figures. Cash-flow statementp95 does not identify a cash PPE-purchase line, so capex is not filled; absence of the line is not treated as zero. Any derived finance_cost/average_gross_borrowings ratio is a broad total-financing-charge proxy. It is not an effective borrowing interest rate; lease/financial-subsidiary effects require review.</t>
  </si>
  <si>
    <t>Official annual report; actual PDF pp.93, 94, 95, 112, 114</t>
  </si>
  <si>
    <t>Original statements in Rs lakhs; divide by100. Current borrowings include current maturities646.76; do not add again. Separate lease liabilities excluded. Capex is cash PPE purchase, not total investing outflow. Any derived finance_cost/average_gross_borrowings ratio is a broad total-financing-charge proxy. It is not an effective borrowing interest rate; lease/financial-subsidiary effects require review.</t>
  </si>
  <si>
    <t>Official annual report; actual PDF pp.101, 102, 103, 126</t>
  </si>
  <si>
    <t>Group includes Novelis; do not mix with standalone Indian-company financials or standalone export numerator. Cash capex is payments to acquire PPE, intangible assets and investment property. Gross borrowings exclude separately reported lease liabilities. Any derived finance_cost/average_gross_borrowings ratio is a broad total-financing-charge proxy. It is not an effective borrowing interest rate; lease/financial-subsidiary effects require review.</t>
  </si>
  <si>
    <t>Official annual report; actual PDF pp.257, 258, 260</t>
  </si>
  <si>
    <t>Original statements in Rs lakhs; divide by100. Current borrowings include current maturities306.65; do not add maturities again. Cash capex sums PPE including WIP5547.12 and intangible WIP33.17 lakhs. Separate lease liability repayments are not capex. Any derived finance_cost/average_gross_borrowings ratio is a broad total-financing-charge proxy. It is not an effective borrowing interest rate; lease/financial-subsidiary effects require review.</t>
  </si>
  <si>
    <t>Official annual report; actual PDF pp.87, 88, 89, 100, 101</t>
  </si>
  <si>
    <t>Correct official NSE symbol is MANAKALUCO; MANAKALU is not the source. Cash capex is purchase of PPE and change in CWIP. P&amp;L comparative heading is printed March2026, apparently a typo: the current title is year-ended31March2025 and both balance sheet/cashflow comparatives areMarch2024. Current-year figures and prior debt are unambiguous. No separate lease liabilities shown on balance sheet. Any derived finance_cost/average_gross_borrowings ratio is a broad total-financing-charge proxy. It is not an effective borrowing interest rate; lease/financial-subsidiary effects require review.</t>
  </si>
  <si>
    <t>Official annual report; actual PDF pp.102, 103, 104</t>
  </si>
  <si>
    <t>Corrects inherited mixture of standalone PAT5324.67 and approximate consolidated assets. Group PAT5267.94 includes share of JV result. Balance sheet has only current borrowing124.22 and separate lease liabilities. The small borrowing denominator can distort finance-cost ratios; do not interpret this as pure borrowing interest. Cash capex includes capital advances. Any derived finance_cost/average_gross_borrowings ratio is a broad total-financing-charge proxy. It is not an effective borrowing interest rate; lease/financial-subsidiary effects require review.</t>
  </si>
  <si>
    <t>Official annual report; actual PDF pp.241, 242, 244</t>
  </si>
  <si>
    <t>Diversified Vedanta group, not aluminium-segment-only accounts. Group PAT20535 includes NCI; owners PAT14988 is different. Cash capex includes intangibles, CWIP, capital advances and creditors; separate lease liabilities excluded from borrowings. Any derived finance_cost/average_gross_borrowings ratio is a broad total-financing-charge proxy. It is not an effective borrowing interest rate; lease/financial-subsidiary effects require review.</t>
  </si>
  <si>
    <t>Official annual report; actual PDF pp.237, 238</t>
  </si>
  <si>
    <t>FY2023-24</t>
  </si>
  <si>
    <t>CARE AA- (Stable) / ICRA AA-</t>
  </si>
  <si>
    <t>Consolidated; year-end assets and gross borrowings; sources as compiled in supplied firm workbook</t>
  </si>
  <si>
    <t>Total P&amp;L finance cost / average gross borrowings, transcribed; includes non-interest charges. Green-capex intensity is a source estimate. Do not interpret raw proxy as a pure borrowing rate. Contractual rate is midpoint of a disclosed term-loan range, not an exact weighted borrowing rate.</t>
  </si>
  <si>
    <t>Consolidated_Firm_Panel_FY24-FY26.xlsx</t>
  </si>
  <si>
    <t>Consolidated Panel; Ahluwalia Contracts (India) Ltd; FY 2023-24</t>
  </si>
  <si>
    <t>Review proxy distortion / small debt denominator</t>
  </si>
  <si>
    <t>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Any derived finance_cost/average_gross_borrowings ratio is a broad total-financing-charge proxy. It is not an effective borrowing interest rate; lease/financial-subsidiary effects require review.</t>
  </si>
  <si>
    <t>Official annual report; actual PDF pp.237, 238, 239</t>
  </si>
  <si>
    <t>CARE AA- (Positive) / ICRA AA-</t>
  </si>
  <si>
    <t>Consolidated Panel; Ahluwalia Contracts (India) Ltd; FY 2025-26</t>
  </si>
  <si>
    <t>CRISIL AA+ (Stable) / CARE AA+ (Stable)</t>
  </si>
  <si>
    <t>Total P&amp;L finance cost / average gross borrowings, transcribed; includes non-interest charges. Green-capex intensity is a source estimate. Do not interpret raw proxy as a pure borrowing rate.</t>
  </si>
  <si>
    <t>Consolidated Panel; Astral Limited; FY 2023-24</t>
  </si>
  <si>
    <t>Consolidated Panel; Astral Limited; FY 2024-25</t>
  </si>
  <si>
    <t>Official annual report; actual PDF pp.173, 174, 175</t>
  </si>
  <si>
    <t>ICRA AA+ / CRISIL AA+</t>
  </si>
  <si>
    <t>Consolidated; year-end assets and gross borrowings; sources as compiled in supplied firm workbook; source equity is attributable to owners for market-to-book</t>
  </si>
  <si>
    <t>Consolidated Panel; DLF Limited; FY 2023-24</t>
  </si>
  <si>
    <t>Source-transcribed financial year</t>
  </si>
  <si>
    <t>ICRA AA+ (Stable)</t>
  </si>
  <si>
    <t>Consolidated Panel; DLF Limited; FY 2024-25</t>
  </si>
  <si>
    <t>Official annual report; actual PDF pp.180, 181</t>
  </si>
  <si>
    <t>Consolidated Panel; Godrej Properties Limited; FY 2023-24</t>
  </si>
  <si>
    <t>ICRA AA+ (Stable) / CRISIL AA+</t>
  </si>
  <si>
    <t>Consolidated Panel; Godrej Properties Limited; FY 2024-25</t>
  </si>
  <si>
    <t>Official annual report; actual PDF pp.204, 206</t>
  </si>
  <si>
    <t>CARE AAA (Stable) / CRISIL AA+</t>
  </si>
  <si>
    <t>Consolidated Panel; Kajaria Ceramics Limited; FY 2023-24</t>
  </si>
  <si>
    <t>Official annual report; actual PDF pp.143, 144</t>
  </si>
  <si>
    <t>Consolidated Panel; Kajaria Ceramics Limited; FY 2025-26</t>
  </si>
  <si>
    <t>CRISIL AAA</t>
  </si>
  <si>
    <t>Consolidated Panel; Larsen &amp; Toubro Limited; FY 2023-24</t>
  </si>
  <si>
    <t>Consolidated Panel; Larsen &amp; Toubro Limited; FY 2024-25</t>
  </si>
  <si>
    <t>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Finance cost9844.16 is explicit sum of finance costs2848.82 and financial-services/finance-lease expense6995.34. Borrowings exclude disposal group held-for-sale debt; group proxy remains non-comparable to industrial borrowing rates. Any derived finance_cost/average_gross_borrowings ratio is a broad total-financing-charge proxy. It is not an effective borrowing interest rate; lease/financial-subsidiary effects require review.</t>
  </si>
  <si>
    <t>Official annual report; actual PDF pp.617, 618, 619, 620, 623</t>
  </si>
  <si>
    <t>ICRA AA- (Stable)</t>
  </si>
  <si>
    <t>Consolidated Panel; Lodha Developers Limited (Macrotech Developers); FY 2023-24</t>
  </si>
  <si>
    <t>ICRA AA (Stable) / India Ratings AA</t>
  </si>
  <si>
    <t>Consolidated Panel; Lodha Developers Limited (Macrotech Developers); FY 2024-25</t>
  </si>
  <si>
    <t>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P&amp;L finance costs656.7 differ from cash-flow adjustment789.2; use the P&amp;L expense, not the adjustment. Any derived finance_cost/average_gross_borrowings ratio is a broad total-financing-charge proxy. It is not an effective borrowing interest rate; lease/financial-subsidiary effects require review.</t>
  </si>
  <si>
    <t>Official annual report; actual PDF pp.229, 230, 231</t>
  </si>
  <si>
    <t>CRISIL AA (Stable) / ICRA AA (Stable)</t>
  </si>
  <si>
    <t>Consolidated Panel; Mahindra Lifespace Developers Ltd; FY 2023-24</t>
  </si>
  <si>
    <t>Consolidated Panel; Mahindra Lifespace Developers Ltd; FY 2024-25</t>
  </si>
  <si>
    <t>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P&amp;L finance cost10.9078 is expense after capitalisation; interest cash paid64.0484 is a different measure. Any derived finance_cost/average_gross_borrowings ratio is a broad total-financing-charge proxy. It is not an effective borrowing interest rate; lease/financial-subsidiary effects require review.</t>
  </si>
  <si>
    <t>Official annual report; actual PDF pp.439, 440, 441</t>
  </si>
  <si>
    <t>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Consolidated balance sheet presents no borrowing balances in either current/non-current liabilities; debtfree narrative appears PDF p10 and parent auditor p194. Lease liabilities are excluded. Zero average debt means no debt ratio is computed. Any derived finance_cost/average_gross_borrowings ratio is a broad total-financing-charge proxy. It is not an effective borrowing interest rate; lease/financial-subsidiary effects require review.</t>
  </si>
  <si>
    <t>Official annual report; actual PDF pp.293, 294, 297</t>
  </si>
  <si>
    <t>CRISIL AA- (Positive) / India Ratings AA-</t>
  </si>
  <si>
    <t>Consolidated Panel; NCC Limited; FY 2023-24</t>
  </si>
  <si>
    <t>Consolidated Panel; NCC Limited; FY 2024-25</t>
  </si>
  <si>
    <t>Official annual report; actual PDF pp.250, 251, 252, 257</t>
  </si>
  <si>
    <t>No borrowings. Consolidated note on PDF p.284 explicitly states zero debt group and Total Debt = dash in both FY2025 and FY2024 columns. All figures use the current FY column consistently; prior_year_debt uses the prior balance-sheet column only. Finance costs can include lease interest and other charges, so the resulting finance-cost/debt proxy is not a pure borrowing interest rate. Zero is supported by explicit debt-free statement and both dated table columns; separately disclosed lease liabilities excluded. Do not compute finance_cost/average_debt when denominator is zero. Cash capex includes capital advances and movements in capital creditors. Finance costs are nonzero although borrowing debt is zero; an interest/debt ratio must remain missing. Any derived finance_cost/average_gross_borrowings ratio is a broad total-financing-charge proxy. It is not an effective borrowing interest rate; lease/financial-subsidiary effects require review.</t>
  </si>
  <si>
    <t>Official annual report; actual PDF pp.235, 236, 284</t>
  </si>
  <si>
    <t>Current: 14.39 non-current + 12.43 current = 26.82. Prior: 18.91 non-current + 17.87 current = 36.78. Separate lease liabilities excluded. All figures use the current FY column consistently; prior_year_debt uses the prior balance-sheet column only. Finance costs can include lease interest and other charges, so the resulting finance-cost/debt proxy is not a pure borrowing interest rate. Cash capex includes CWIP, intangible assets under development and capital advances. Consolidation includes ACC; avoid adding Ambuja and ACC financials as independent group totals. Any derived finance_cost/average_gross_borrowings ratio is a broad total-financing-charge proxy. It is not an effective borrowing interest rate; lease/financial-subsidiary effects require review.</t>
  </si>
  <si>
    <t>Official annual report; actual PDF pp.243, 244, 246</t>
  </si>
  <si>
    <t>Current: 6,168 non-current + 584 current = 6,752. Prior: 4,605 non-current + 653 current = 5,258. Separate lease liabilities excluded. All figures use the current FY column consistently; prior_year_debt uses the prior balance-sheet column only. Finance costs can include lease interest and other charges, so the resulting finance-cost/debt proxy is not a pure borrowing interest rate. Cash purchases include capital work in progress and intangibles; use positive cash outflow, not accrual additions or green-specific capex. Any derived finance_cost/average_gross_borrowings ratio is a broad total-financing-charge proxy. It is not an effective borrowing interest rate; lease/financial-subsidiary effects require review.</t>
  </si>
  <si>
    <t>Official annual report; actual PDF pp.187, 189</t>
  </si>
  <si>
    <t>Current: 4,661.79 non-current + 1,411.84 current = 6,073.63. Prior: 4,600.34 non-current + 1,295.19 current = 5,895.53. Separate lease liabilities excluded. All figures use the current FY column consistently; prior_year_debt uses the prior balance-sheet column only. Finance costs can include lease interest and other charges, so the resulting finance-cost/debt proxy is not a pure borrowing interest rate. Positive gross cash purchase outflow; proceeds from disposals are not netted. Any derived finance_cost/average_gross_borrowings ratio is a broad total-financing-charge proxy. It is not an effective borrowing interest rate; lease/financial-subsidiary effects require review.</t>
  </si>
  <si>
    <t>Official annual report; actual PDF pp.196, 197</t>
  </si>
  <si>
    <t>Current: 3,091.94 non-current + 989.67 current = 4,081.61. Prior: 5,010.42 non-current + 1,156.13 current = 6,166.55. Separate lease liabilities excluded. All figures use the current FY column consistently; prior_year_debt uses the prior balance-sheet column only. Finance costs can include lease interest and other charges, so the resulting finance-cost/debt proxy is not a pure borrowing interest rate. Cash purchase outflow includes under-development assets and capital advances. PAT is total consolidated loss including NCI, and includes exceptional accounting effects shown in statement. Any derived finance_cost/average_gross_borrowings ratio is a broad total-financing-charge proxy. It is not an effective borrowing interest rate; lease/financial-subsidiary effects require review.</t>
  </si>
  <si>
    <t>Official annual report; actual PDF pp.170, 171</t>
  </si>
  <si>
    <t>Current: 728.88 non-current + 864.84 current = 1,593.72. Prior: 726.60 non-current + 90.32 current = 816.92. Separate lease liabilities excluded. All figures use the current FY column consistently; prior_year_debt uses the prior balance-sheet column only. Finance costs can include lease interest and other charges, so the resulting finance-cost/debt proxy is not a pure borrowing interest rate. Cash capex = 1,865.59 + 43.57 = 1,909.16. Includes capital work in progress and advances. Any derived finance_cost/average_gross_borrowings ratio is a broad total-financing-charge proxy. It is not an effective borrowing interest rate; lease/financial-subsidiary effects require review.</t>
  </si>
  <si>
    <t>Official annual report; actual PDF pp.188, 190</t>
  </si>
  <si>
    <t>Current: 15,018.82 non-current + 7,761.84 current = 22,780.66. Prior: 15,780.77 non-current + 7,250.22 current = 23,030.99. Separate lease liabilities excluded. All figures use the current FY column consistently; prior_year_debt uses the prior balance-sheet column only. Finance costs can include lease interest and other charges, so the resulting finance-cost/debt proxy is not a pure borrowing interest rate. Statement labels this PPE cash purchases, including CWIP and capital advances. No separate intangible-purchase line identified; not an assertion that all intangible purchases are included. Separate asset-transfer cost 94.98 and acquisitions of businesses/investments are excluded. Any derived finance_cost/average_gross_borrowings ratio is a broad total-financing-charge proxy. It is not an effective borrowing interest rate; lease/financial-subsidiary effects require review.</t>
  </si>
  <si>
    <t>Official annual report; actual PDF pp.259, 261</t>
  </si>
  <si>
    <t>Gross debt = noncurrent82.33 + current0; prior=1144.22+709.33. Separately disclosed lease liabilities excluded; dash is nil in the exhaustive borrowing line. PAT is total profit for year including NCI, not parent-attributable1649.51. Revenue is operations, not total income. Cash capex = PPE571.84 + intangible1.11; positive outflow magnitude. No green-capex claim. Any derived finance_cost/average_gross_borrowings ratio is a broad total-financing-charge proxy. It is not an effective borrowing interest rate; lease/financial-subsidiary effects require review.</t>
  </si>
  <si>
    <t>Official annual report; actual PDF pp.186, 187, 189</t>
  </si>
  <si>
    <t>Grossborrowing(8034+78686)/100; prior(8533+14690)/100. Totalprofit189814/100 includesNCI; separateleases excluded. Source PDF contains two printedpages452–453 on onePDFpage228. Cash154047lakh purchasePPE+intangibles includingCWIP/capitaladvances. Businessacquisitions separately excluded. Positive outflow. Any derived finance_cost/average_gross_borrowings ratio is a broad total-financing-charge proxy. It is not an effective borrowing interest rate; lease/financial-subsidiary effects require review.</t>
  </si>
  <si>
    <t>Official annual report; actual PDF pp.228, 229</t>
  </si>
  <si>
    <t>FY2025 gross borrowing1391.15+1017.04; prior1384.54+698.09. Separateleases excluded. MatchingFY2024-25 consolidated financials; do not combinewithFY2026secondary revenue. Cash PPE845.27+intangibles13.51=858.78; positiveoutflow. Any derived finance_cost/average_gross_borrowings ratio is a broad total-financing-charge proxy. It is not an effective borrowing interest rate; lease/financial-subsidiary effects require review.</t>
  </si>
  <si>
    <t>Official annual report; actual PDF pp.180, 181, 182</t>
  </si>
  <si>
    <t>Gross borrowing1601.09+1211.40; prior1391.15+1017.04. Leases excluded. Audited consolidated PAT855.98 is not the sector-paper adjusted earnings label. Primary statement revenue14263.91 supersedes secondary13538 for this basis/year. Cash capex=PPE869.29+otherintangibles18.02; positive cash-outflow magnitude. Any derived finance_cost/average_gross_borrowings ratio is a broad total-financing-charge proxy. It is not an effective borrowing interest rate; lease/financial-subsidiary effects require review.</t>
  </si>
  <si>
    <t>https://nsearchives.nseindia.com/annual_reports/AR_29929_DCMSHRIRAM_2025_2026_A_8994610_21072026153801.pdf</t>
  </si>
  <si>
    <t>No noncurrent borrowing line; currentborrowings dash versus250.45lakhprior. Lease liabilities67.21+109.23lakh are separately disclosed and excluded. Zero is explicit nil borrowing, not missing. Use P&amp;Lfinancecost1008.75lakh, not CFadjustment556.63. Totalprofit59115.56lakh includesNCI, not parentattributable. Cash PPE purchase includingCWIP andcapitaladvances37953.86lakh; positive outflow. No greenallocation. Any derived finance_cost/average_gross_borrowings ratio is a broad total-financing-charge proxy. It is not an effective borrowing interest rate; lease/financial-subsidiary effects require review.</t>
  </si>
  <si>
    <t>Official annual report; actual PDF pp.196, 197, 198, 199</t>
  </si>
  <si>
    <t>MatchingFY2025; borrowing(3109.06+28171.07)/100; prior(1673.11+29232.68)/100. Separateleases excluded. MatchingFY2025profit139.91lakh afterdeferredtaxcredit; no FY2026 revenueorprofitmixed. CashPPE+intangiblesincludingCWIP478.81lakh; positiveoutflow. Any derived finance_cost/average_gross_borrowings ratio is a broad total-financing-charge proxy. It is not an effective borrowing interest rate; lease/financial-subsidiary effects require review.</t>
  </si>
  <si>
    <t>Official annual report; actual PDF pp.53, 54, 55</t>
  </si>
  <si>
    <t>Borrowings(2355.07+27774.98)/100; prior(3109.06+28171.07)/100. Separateleaseliabilities excluded. CFnote typo2355.77 differsfromBS2355.07; use auditedBSline consistently. Total PAT6459.79lakh includes continuing6875.95 less discontinuedloss416.16. Secondary68.8 was continuingprofit, not totalPAT. Financecost uses P&amp;L3289.55lakh; CFadjustment2789.12 differs. Cash PPE+intangibles includingCWIP895.68lakh; positive outflow. Any derived finance_cost/average_gross_borrowings ratio is a broad total-financing-charge proxy. It is not an effective borrowing interest rate; lease/financial-subsidiary effects require review.</t>
  </si>
  <si>
    <t>https://nsearchives.nseindia.com/annual_reports/AR_29437_KHAICHEM_2025_2026_A_4581477_24062026124004.pdf</t>
  </si>
  <si>
    <t>Official annual report; actual PDF pp.61, 62, 63</t>
  </si>
  <si>
    <t>Borrowings(15436.75+57817.49)/100; prior(13343.52+24184.23)/100. Separateleases excluded. Companyfinancialstatements, not a mix of consolidated/standalone. P&amp;Lfinancecost includes6.94lakhleaseinterest; debtdefinition excludes separatelyreportedleaseliabilities. Cash PPEpurchase11338.46lakh; positiveoutflow. Separategreenallocation not identified. Any derived finance_cost/average_gross_borrowings ratio is a broad total-financing-charge proxy. It is not an effective borrowing interest rate; lease/financial-subsidiary effects require review.</t>
  </si>
  <si>
    <t>Official annual report; actual PDF pp.124, 125, 126</t>
  </si>
  <si>
    <t>Borrowings(40488.48+45052.05)/100; prior(8504.66+23281.42)/100; separateleases excluded. P&amp;Lfinancecost3236.53lakh includes2.60lakhleaseinterest; do not replace with CFadjustment3233.93. Cash PPEpurchase39855.61lakh; positiveoutflow. Any derived finance_cost/average_gross_borrowings ratio is a broad total-financing-charge proxy. It is not an effective borrowing interest rate; lease/financial-subsidiary effects require review.</t>
  </si>
  <si>
    <t>Official annual report; actual PDF pp.128, 129, 130</t>
  </si>
  <si>
    <t>Noncurrentborrowings dashcurrentandprior; currentborrowing634.24prior664.16. Totalassets2332.55; no consolidation assumed. Companyfinancialstatements foryearended31March2026; no secondaryperiodmix. CashPPEpurchase16.66crore; positiveoutflow, not additionsestimatedfrombalancesheet. Any derived finance_cost/average_gross_borrowings ratio is a broad total-financing-charge proxy. It is not an effective borrowing interest rate; lease/financial-subsidiary effects require review.</t>
  </si>
  <si>
    <t>Official annual report; actual PDF pp.126, 127, 128, 130</t>
  </si>
  <si>
    <t>Borrowings(23091.28+49175.93)/100; prior(29880.96+72063.77)/100. Separateleases excluded. Revenue label is revenuefromcontractswithcustomers333189.59lakh, excludes otherincome3664.74lakh. Cash PPEpurchase includingCWIP/capitaladvances8897.98lakh, positiveoutflow. Any derived finance_cost/average_gross_borrowings ratio is a broad total-financing-charge proxy. It is not an effective borrowing interest rate; lease/financial-subsidiary effects require review.</t>
  </si>
  <si>
    <t>Official annual report; actual PDF pp.83, 84, 85</t>
  </si>
  <si>
    <t>MatchingFY2025restatedBS; noncurrentborrowingnil both2025and2024, current1995.77/4088.33. Leasesexcluded. Thirdcolumn2023 notused. MatchingFY2025 annualreport P&amp;Lfinancecost225.68; nextyearFY2026annualcomparative shows225.79, so a comparative-versiondifferenceexists. Use thisFY2025source consistently. CashPPEincludingCWIP204.03; positiveoutflow. Any derived finance_cost/average_gross_borrowings ratio is a broad total-financing-charge proxy. It is not an effective borrowing interest rate; lease/financial-subsidiary effects require review.</t>
  </si>
  <si>
    <t>Official annual report; actual PDF pp.319, 320, 321</t>
  </si>
  <si>
    <t>Only current borrowing line3959.25; no noncurrent borrowings on exhaustive balance sheet. Separate leases excluded; current maturities, if any, included in line. Revenue from operations21514.18; secondary21567.9 equals total income21567.86. PAT211.49 consolidated; secondary169.7 was standalone, not interchangeable. Cash PPE purchase includingCWIP; positive outflow magnitude. No audited green split. Any derived finance_cost/average_gross_borrowings ratio is a broad total-financing-charge proxy. It is not an effective borrowing interest rate; lease/financial-subsidiary effects require review.</t>
  </si>
  <si>
    <t>https://nsearchives.nseindia.com/annual_reports/AR_32071_NFL_2025_2026_U_10557520_22092026183707.pdf</t>
  </si>
  <si>
    <t>Official annual report; actual PDF pp.292, 293, 294</t>
  </si>
  <si>
    <t>Gross borrowing923.28+1828.64; prior940.39+2342.86. Separately listed leases excluded. Total consolidated profit for year, not comprehensive income; revenue operations excludes otherincome. Cash additions to PPE/intangibles net of trade credit, as explicitly labelled. Positive outflow magnitude; cash basis differs from gross additions. Any derived finance_cost/average_gross_borrowings ratio is a broad total-financing-charge proxy. It is not an effective borrowing interest rate; lease/financial-subsidiary effects require review.</t>
  </si>
  <si>
    <t>Official annual report; actual PDF pp.265, 266, 267, 270</t>
  </si>
  <si>
    <t>Gross borrowing142.23+573.76; prior24.09+440.34. Separate leases excluded. Consolidated profit including equity-accounted investments, not standalone financing scope. Cash PPE purchase including capital work-in-progress/advances per following line; positive outflow magnitude. Any derived finance_cost/average_gross_borrowings ratio is a broad total-financing-charge proxy. It is not an effective borrowing interest rate; lease/financial-subsidiary effects require review.</t>
  </si>
  <si>
    <t>Official annual report; actual PDF pp.176, 177, 180</t>
  </si>
  <si>
    <t>FY2025 comparativecolumnfromcompleteFY2026report. Borrowing1981.33+2659.91=4641.24; leasesexcluded. OriginalFY2025PDFtruncatednotused. FY2025 comparative column in the complete FY2026 report; coherent consolidated scope. FY2025cashcapexcomparative1231.45. OpeningFY2024 debtfrom FY2025 financingreconciliation: noncurrent3327.67includescurrentmaturities +current1592.57excludesmaturities=4920.24; no doublecount. TableclosingFY2025 totals2788.68+1852.56=4641.24matchesBS. Any derived finance_cost/average_gross_borrowings ratio is a broad total-financing-charge proxy. It is not an effective borrowing interest rate; lease/financial-subsidiary effects require review.</t>
  </si>
  <si>
    <t>Official annual report; actual PDF pp.188, 189, 190</t>
  </si>
  <si>
    <t>Grossborrowing1953.30+3051.03; prior1981.33+2659.91. Separateleases excluded. PDFfontomitsletterT in TOTALASSE S but numeric row andequitytotalagree. ConsolidatedFY2025-26; not fiscal2025. KeepcorrespondingbalancesheetandCFsameyear. CashPPE,CWIP,intangiblepurchase1815.31; positiveoutflow. Any derived finance_cost/average_gross_borrowings ratio is a broad total-financing-charge proxy. It is not an effective borrowing interest rate; lease/financial-subsidiary effects require review.</t>
  </si>
  <si>
    <t>Fertilisers &amp; Chemicals; Agriculture &amp; Agrofoods</t>
  </si>
  <si>
    <t>Gross borrowing(780+337)/10; prior(617+662)/10. Separateleases excluded. Totalprofit16602/10; revenue79778/10. Cash8500million includes PPE,CWIP,intangibles andcapitaladvances. Positive outflow, not greencapex. Any derived finance_cost/average_gross_borrowings ratio is a broad total-financing-charge proxy. It is not an effective borrowing interest rate; lease/financial-subsidiary effects require review.</t>
  </si>
  <si>
    <t>Official annual report; actual PDF pp.211, 212</t>
  </si>
  <si>
    <t>Borrowing debt = balance-sheet non-current borrowings + current borrowings, including current maturities already in current borrowings; separately presented lease liabilities excluded. Current and comparative columns kept separate.  Use total PAT including NCI, not owners-only PAT or total comprehensive income. Finance costs may include lease interest/non-interest charges; derived ratio is not a pure borrowing interest rate. Positive magnitude of the source cash-flow capital-purchase outflow; total cash capital spending, not decarbonisation-only capex. Cash-flow caption includes capital working capital/advances where explicitly stated. Any derived finance_cost/average_gross_borrowings ratio is a broad total-financing-charge proxy. It is not an effective borrowing interest rate; lease/financial-subsidiary effects require review.</t>
  </si>
  <si>
    <t>Official annual report; actual PDF pp.201, 203, 207</t>
  </si>
  <si>
    <t>Official annual report; actual PDF pp.325, 326, 327</t>
  </si>
  <si>
    <t>Consolidated. Verified against annual report by student.</t>
  </si>
  <si>
    <t>Average-debt cost proxy unavailable: prior-year debt not supplied. Year-end debt proxy is not substituted.</t>
  </si>
  <si>
    <t>DQS- excel.xlsx</t>
  </si>
  <si>
    <t>Financials sheet: Jindal Steel Ltd (JSPL); source FY2025 (year ending March2025); export share reference: Annual Report FY2024-25, Annexure D</t>
  </si>
  <si>
    <t>Borrowing debt = balance-sheet non-current borrowings + current borrowings, including current maturities already in current borrowings; separately presented lease liabilities excluded. Current and comparative columns kept separate.  Revenue is the net Total Revenue from operations after GST recovered and captive-sales deductions. Finance costs are captioned net. Use total PAT including NCI, not owners-only PAT or total comprehensive income. Finance costs may include lease interest/non-interest charges; derived ratio is not a pure borrowing interest rate. Positive magnitude of the source cash-flow capital-purchase outflow; total cash capital spending, not decarbonisation-only capex. Cash-flow caption includes capital working capital/advances where explicitly stated. Any derived finance_cost/average_gross_borrowings ratio is a broad total-financing-charge proxy. It is not an effective borrowing interest rate; lease/financial-subsidiary effects require review.</t>
  </si>
  <si>
    <t>Official annual report; actual PDF pp.205, 206</t>
  </si>
  <si>
    <t>Financials sheet: JSW Steel Ltd; source FY2025 (year ending March2025); export share reference: Annual Report FY2024-25, p.389</t>
  </si>
  <si>
    <t>Official annual report; actual PDF pp.288, 290</t>
  </si>
  <si>
    <t>Consolidated [standalone (consolidated balance sheet not clearly available)]. Verified against annual report by student.</t>
  </si>
  <si>
    <t>Financials sheet: Kalyani Steels Ltd; source FY2025 (year ending March2025); export share reference: Annual Report FY2024-25, p.73 (converted from Rs 139.69 million)</t>
  </si>
  <si>
    <t>Review ambiguous standalone/consolidated source basis</t>
  </si>
  <si>
    <t>Official annual report; actual PDF pp.200, 201, 203</t>
  </si>
  <si>
    <t>Borrowing debt = balance-sheet non-current borrowings + current borrowings, including current maturities already in current borrowings; separately presented lease liabilities excluded. Current and comparative columns kept separate. Company has no subsidiaries/JVs/associates (PDF pp.37,49), so standalone is the entire company reporting perimeter. Use total PAT including NCI, not owners-only PAT or total comprehensive income. Finance costs may include lease interest/non-interest charges; derived ratio is not a pure borrowing interest rate. Any derived finance_cost/average_gross_borrowings ratio is a broad total-financing-charge proxy. It is not an effective borrowing interest rate; lease/financial-subsidiary effects require review.</t>
  </si>
  <si>
    <t>Official annual report; actual PDF pp.148, 149</t>
  </si>
  <si>
    <t>Official annual report; actual PDF pp.268, 269, 271</t>
  </si>
  <si>
    <t>Borrowing debt = balance-sheet non-current borrowings + current borrowings, including current maturities already in current borrowings; separately presented lease liabilities excluded. Current and comparative columns kept separate.  Use total PAT including NCI, not owners-only PAT or total comprehensive income. Finance costs may include lease interest/non-interest charges; derived ratio is not a pure borrowing interest rate. Positive magnitude of the source cash-flow capital-purchase outflow; total cash capital spending, not decarbonisation-only capex. Purchase of capital assets caption; do not interpret as green-only spend. Any derived finance_cost/average_gross_borrowings ratio is a broad total-financing-charge proxy. It is not an effective borrowing interest rate; lease/financial-subsidiary effects require review.</t>
  </si>
  <si>
    <t>Official annual report; actual PDF pp.406, 407, 408, 412</t>
  </si>
  <si>
    <t>Consolidated profit aftertax367.38, not pretax492.87. PATincludesNCI. Capex iscashpurchasePPE+intangibles, notgreen-specific spend. Any derived finance_cost/average_gross_borrowings ratio is a broad total-financing-charge proxy. It is not an effective borrowing interest rate; lease/financial-subsidiary effects require review.</t>
  </si>
  <si>
    <t>Official annual report; actual PDF pp.311, 312, 313</t>
  </si>
  <si>
    <t>Consolidated; PATincludesNCI. Cashassetpurchase190.9246cr explicitly includes goodwill,intangibles andCWIP. It is retained separately, not silently classified as ordinary totalcapex. Acquisition effects affect year-on-year comparison. Any derived finance_cost/average_gross_borrowings ratio is a broad total-financing-charge proxy. It is not an effective borrowing interest rate; lease/financial-subsidiary effects require review.</t>
  </si>
  <si>
    <t>Official annual report; actual PDF pp.214, 215, 216</t>
  </si>
  <si>
    <t>Full consolidated group includes NBFC/HFC and insurance subsidiaries, not textile operations alone. PAT7756.33 includes NCI. Financecost12500.38 is total P&amp;L finance cost (NBFC/HFC9698.10+other2802.28), aligned to full group borrowings. Cash-flow operating adjustment2802.28 alone excludes finance-business costs and is not substituted. Consolidation/acquisitions affect comparability. Any derived finance_cost/average_gross_borrowings ratio is a broad total-financing-charge proxy. It is not an effective borrowing interest rate; lease/financial-subsidiary effects require review.</t>
  </si>
  <si>
    <t>Official annual report; actual PDF pp.423, 424, 425, 431</t>
  </si>
  <si>
    <t>Consolidated group. Financial statement spreads contain side-by-side balance sheet/P&amp;L; current-year columns are31March2025. PAT is profit foryear, not OCI. Capex is cash payments forPPE+intangibleassets, not green-specific spend. Any derived finance_cost/average_gross_borrowings ratio is a broad total-financing-charge proxy. It is not an effective borrowing interest rate; lease/financial-subsidiary effects require review.</t>
  </si>
  <si>
    <t>Official annual report; actual PDF pp.123, 124</t>
  </si>
  <si>
    <t>Current borrowing total already includes current maturities; no double counting. Cash capex includes capital advances. Financial period does not establish the unidentified DQS scoring period. Any derived finance_cost/average_gross_borrowings ratio is a broad total-financing-charge proxy. It is not an effective borrowing interest rate; lease/financial-subsidiary effects require review.</t>
  </si>
  <si>
    <t>Official annual report; actual PDF pp.178, 179, 180</t>
  </si>
  <si>
    <t>PAT includes NCI, consistent with consolidated total assets. Parent-attributableprofit165.31 is not substituted. Financecost may include leaseinterest; borrowings exclude separately presented lease liabilities. Any derived finance_cost/average_gross_borrowings ratio is a broad total-financing-charge proxy. It is not an effective borrowing interest rate; lease/financial-subsidiary effects require review.</t>
  </si>
  <si>
    <t>Company financial statements, not a fabricated consolidated series. Cash fixed-asset purchase is actual cash outflow, not planned green capex. Any derived finance_cost/average_gross_borrowings ratio is a broad total-financing-charge proxy. It is not an effective borrowing interest rate; lease/financial-subsidiary effects require review.</t>
  </si>
  <si>
    <t>Official annual report; actual PDF pp.64, 65, 66</t>
  </si>
  <si>
    <t>Zero gross non-lease borrowings is supported by balance sheet and financing reconciliation, not filled from missing. Lease liabilities excluded. With both-year borrowingszero, financecost/averagedebt is undefined; leave proxy blank rather than zero or infinity. Any derived finance_cost/average_gross_borrowings ratio is a broad total-financing-charge proxy. It is not an effective borrowing interest rate; lease/financial-subsidiary effects require review.</t>
  </si>
  <si>
    <t>Official annual report; actual PDF pp.129, 130, 131, 132</t>
  </si>
  <si>
    <t>Consolidated totalPAT38.19crore; do not use prior-year demerger/discontinued profit. Financecost includes lease-related financing while denominator excludes separate lease liabilities; raw average-debt proxy has comparability limits. Any derived finance_cost/average_gross_borrowings ratio is a broad total-financing-charge proxy. It is not an effective borrowing interest rate; lease/financial-subsidiary effects require review.</t>
  </si>
  <si>
    <t>NegativePAT retained as loss. P&amp;L financecost14,007.02lakhs is used, not cash-flow adjustment13,949.98. Current borrowings already include current-maturity amounts; separately presented lease liabilities excluded. Any derived finance_cost/average_gross_borrowings ratio is a broad total-financing-charge proxy. It is not an effective borrowing interest rate; lease/financial-subsidiary effects require review.</t>
  </si>
  <si>
    <t>Official annual report; actual PDF pp.153, 154</t>
  </si>
  <si>
    <t>PAT is consolidated profit foryear including NCI, not OCI. Cash capex actual purchases, not green-specific spend. Debt sums non-current and current borrowings, excludes separate leases. Any derived finance_cost/average_gross_borrowings ratio is a broad total-financing-charge proxy. It is not an effective borrowing interest rate; lease/financial-subsidiary effects require review.</t>
  </si>
  <si>
    <t>Official annual report; actual PDF pp.130, 132</t>
  </si>
  <si>
    <t>Total consolidated profit, not equity-holder-only amount. Actual cash capex includes capital advances; not a green-specific ratio. Any derived finance_cost/average_gross_borrowings ratio is a broad total-financing-charge proxy. It is not an effective borrowing interest rate; lease/financial-subsidiary effects require review.</t>
  </si>
  <si>
    <t>Official annual report; actual PDF pp.109, 110</t>
  </si>
  <si>
    <t>Consolidated totalPAT644.02 includesNCI4.86; parent-attributable639.16 is not substituted against totalconsolidatedassets. Capex is cashpurchasePPE,CWIP+intangibles, notgreen-specific spend. Any derived finance_cost/average_gross_borrowings ratio is a broad total-financing-charge proxy. It is not an effective borrowing interest rate; lease/financial-subsidiary effects require review.</t>
  </si>
  <si>
    <t>Official annual report; actual PDF pp.371, 372, 375</t>
  </si>
  <si>
    <t>Total debt is 35,830.68+9,979.35; prior is37,662.93+8,616.30. Separate lease liabilities are excluded from debt. Finance costs include lease interest215.68, derivatives and FX; resulting finance_cost/average_debt is a broad financing-cost proxy, not pure borrowing rate. Capex is cash purchase amount, not green/decarbonisation capex. Any derived finance_cost/average_gross_borrowings ratio is a broad total-financing-charge proxy. It is not an effective borrowing interest rate; lease/financial-subsidiary effects require review.</t>
  </si>
  <si>
    <t>Official annual report; actual PDF pp.467, 468, 471, 538</t>
  </si>
  <si>
    <t>Group includes financing businesses. Reported revenue-from-operations field42,333.28 is distinct from financing operations income6,201.86, and total group income48,893.60. Debt and financing costs include financing subsidiaries; cannot compare directly with manufacturing-only borrowing rates. Total debt=36,382.92+13,318.18; prior26,695.71+13,868.63. Separate lease liabilities excluded from debt. Cash PPE/intangibles capex is not green capex. Any derived finance_cost/average_gross_borrowings ratio is a broad total-financing-charge proxy. It is not an effective borrowing interest rate; lease/financial-subsidiary effects require review.</t>
  </si>
  <si>
    <t>Official annual report; actual PDF pp.211, 212, 214</t>
  </si>
  <si>
    <t>Primary consolidated report disproves secondary paper claim of no external borrowings: FY25 borrowings ₹200cr vs FY24₹254.69cr. Financecost₹82.39cr includes leaseinterest₹62.54cr. Do not calculate an effective debtinterest rate from totalfinancecost/borrowings; leases excluded from debt but expense includes leases. Capex is cash acquisitions, not transition/green capex. Any derived finance_cost/average_gross_borrowings ratio is a broad total-financing-charge proxy. It is not an effective borrowing interest rate; lease/financial-subsidiary effects require review.</t>
  </si>
  <si>
    <t>Official annual report; actual PDF pp.323, 324, 325, 326, 350</t>
  </si>
  <si>
    <t>Financecost is available in primary source, contrary to paper missing extraction. ₹71.46cr of₹72.90cr relates toleaseinterest; debt includes redeemablepreferenceshares. Totalfinancecost/borrowings ratio must remain blank as a borrowingrate proxy. Capex916.34 is cash PPE+intangible purchases only; positiveCWIP/intangiblesdevelopment movements32.13/5.96 shown separately are excluded. Any derived finance_cost/average_gross_borrowings ratio is a broad total-financing-charge proxy. It is not an effective borrowing interest rate; lease/financial-subsidiary effects require review.</t>
  </si>
  <si>
    <t>Official annual report; actual PDF pp.350, 351, 352, 358, 413</t>
  </si>
  <si>
    <t>Leaseinterest₹118.52cr ismostof₹125.787cr totalfinancecost; separateleasesexcludedfrom debt. Secondarypaper152.22% ratio is lease-distorted and should notbe treated as debtinterest rate. Capexcashacquisitionsnotgreencapex. Any derived finance_cost/average_gross_borrowings ratio is a broad total-financing-charge proxy. It is not an effective borrowing interest rate; lease/financial-subsidiary effects require review.</t>
  </si>
  <si>
    <t>Official annual report; actual PDF pp.127, 128, 146</t>
  </si>
  <si>
    <t>Consolidationincludesacquisitionofsubsidiary duringFY25 (note36). PATincludesexceptionalgain₹131.9762cr. Cashcapexonly16.092cr excludesacquisitionofsubsidiary/investments. Leasesexcludedfromborrowingsbutfinancecostincludesleaseinterest; do notinterpretcostratioas pureborrowinginterest. Derivedtotalfinancecost/avgdebt differsfrompaper11.16% owingtobasis/scope. Any derived finance_cost/average_gross_borrowings ratio is a broad total-financing-charge proxy. It is not an effective borrowing interest rate; lease/financial-subsidiary effects require review.</t>
  </si>
  <si>
    <t>Official annual report; actual PDF pp.228, 229, 230, 233, 309</t>
  </si>
  <si>
    <t>Explicit nil reported borrowing supports zero debt, not a missing-value default. Separate lease liabilities excluded. Group has finance costs despite nil year-end bank borrowings; do NOT calculate/report a meaningful debt-cost ratio for the effectively debt-free group. Capex=(102,503+3,903)/10, positive gross cash purchases, not green capex. Any derived finance_cost/average_gross_borrowings ratio is a broad total-financing-charge proxy. It is not an effective borrowing interest rate; lease/financial-subsidiary effects require review.</t>
  </si>
  <si>
    <t>Official annual report; actual PDF pp.216, 217, 232</t>
  </si>
  <si>
    <t>Selected PAT is total 28149 including discontinued operations. Any reference below to continuing PAT describes the separate source component, not the selected PAT value. PAT field23,278 is total group CONTINUING-OPERATIONS profit, not owners-only and not all-operations PAT. Full all-operations profit28,149 is supplied separately; it includes discontinued finance-business profit4,871. Revenue and finance costs are continuing operations. Disposal/merger of Tata Motors Finance Ltd means March2024 debt includes financial-services scope absent in2025; averaging debt98501 and62499 is not strictly like-for-like. Separate lease liabilities excluded from debt; financing costs still include leases/discount unwind. Capex15,189+22,853=38,042 cash PPE/intangibles purchases, not green capex. Do not silently mix all-operations PAT with continuing-operations financial basis. Do not infer a same-scope operating margin from continuing revenue and all-operations PAT; ROA here uses total PAT as explicitly defined. Any derived finance_cost/average_gross_borrowings ratio is a broad total-financing-charge proxy. It is not an effective borrowing interest rate; lease/financial-subsidiary effects require review.</t>
  </si>
  <si>
    <t>Official annual report; actual PDF pp.313, 314, 316, 317, 385</t>
  </si>
  <si>
    <t>InitialNSEdownloadwastruncatedat1.5MiBandunreadable; retriedsameofficialURLsuccessfully(19,431,121bytes/277PDFpages). AllfigurescomeverifiedfullPDF. Financeincludesleaseinterest5.94crandcharges; paperratio45.95%doesnotmatchcoherentconsolidatedbundle. CapexsourcecashPPEincludingcapitaladvances; intangiblecashpurchaseisnotseparatelyidentified. Any derived finance_cost/average_gross_borrowings ratio is a broad total-financing-charge proxy. It is not an effective borrowing interest rate; lease/financial-subsidiary effects require review.</t>
  </si>
  <si>
    <t>Official annual report; actual PDF pp.201, 202, 203, 233</t>
  </si>
  <si>
    <t>Standalonebecauseannualreportexplicitlystatesnosubsidiaries/associates/JVs; no consolidated statementexists. Leasedebtexcludedbutfinancecostincludes₹64.2039crleaseinterest; reported26.11%ratio not pureinterestondebt. Cashcapex448.857isnotgreencapex. Any derived finance_cost/average_gross_borrowings ratio is a broad total-financing-charge proxy. It is not an effective borrowing interest rate; lease/financial-subsidiary effects require review.</t>
  </si>
  <si>
    <t>Official annual report; actual PDF pp.155, 175, 176, 177, 206</t>
  </si>
  <si>
    <t>financial_FY</t>
  </si>
  <si>
    <t>prior_year_debt</t>
  </si>
  <si>
    <t>total_capex</t>
  </si>
  <si>
    <t>market_to_book</t>
  </si>
  <si>
    <t>green_capex_intensity</t>
  </si>
  <si>
    <t>credit_rating</t>
  </si>
  <si>
    <t>contractual_borrowing_rate</t>
  </si>
  <si>
    <t>accounting_basis</t>
  </si>
  <si>
    <t>proxy_caution</t>
  </si>
  <si>
    <t>source</t>
  </si>
  <si>
    <t>source_locator</t>
  </si>
  <si>
    <t>EVIDENCE &amp; PROVENANCE</t>
  </si>
  <si>
    <t>1765 indicator/field references | source claims are retained with their limitations</t>
  </si>
  <si>
    <t>Annual Report (BRSR embedded)</t>
  </si>
  <si>
    <t>pp. 134, 178</t>
  </si>
  <si>
    <t>Scope 1 (61 MnT CO2e standalone / 78 MnT consolidated) and Scope 2 (5/6 MnT CO2e) disclosed for FY2024-25 and FY2023-24, standalone and consolidated, with intensity per turnover, per PPP-adjusted USD and per tonne crude steel; GHG Protocol methodology and operational-control boundary stated; reasonably assured by PwC.</t>
  </si>
  <si>
    <t>Source transcription; check conflicts and primary disclosures</t>
  </si>
  <si>
    <t>p. 183</t>
  </si>
  <si>
    <t>Total Scope 3 emissions given as a single figure (23 MnT standalone / 29 MnT consolidated, FY2024-25, with FY2023-24 comparatives) with intensity ratios, but no GHG-Protocol category breakdown; report notes "high level of uncertainty" in the estimate.</t>
  </si>
  <si>
    <t>pp. 141, 158</t>
  </si>
  <si>
    <t>Only an aspirational Net Zero by 2045 pledge is stated; no base year, no interim milestones, no quantified intensity trajectory in this document.</t>
  </si>
  <si>
    <t>pp. 141, 143, 182</t>
  </si>
  <si>
    <t>Named levers: EAF build-out at Ludhiana and Port Talbot ("Project Invictus"), IJmuiden low-emission transition (&gt;70% scrap target), TSN scrap-use target 17%→30% by 2030, Kalinganagar Phase-2 (5 MTPA, EAF-based). Mostly qualitative/directional; full quantification deferred to an external Climate Change Report not included here.</t>
  </si>
  <si>
    <t>p. 155</t>
  </si>
  <si>
    <t>Capex allocated to low-CO2 transition and related environmental initiatives disclosed at 37% of total capex in FY2024-25 (up from 18% in FY2023-24); R&amp;D spend of ₹916 crore cited. Absolute rupee figure for the low-emission component and multi-year commitments not broken out.</t>
  </si>
  <si>
    <t>pp. 141, 187</t>
  </si>
  <si>
    <t>No mention of CBAM or CCTS by name. Only generic regulatory-risk framing under material issues and public-policy advocacy for a "National Carbon Market"; no quantified exposure.</t>
  </si>
  <si>
    <t>-</t>
  </si>
  <si>
    <t>No internal carbon price disclosed anywhere in the document.</t>
  </si>
  <si>
    <t>pp. 141, 148</t>
  </si>
  <si>
    <t>GHG/climate change listed as a material issue with risk rationale and mitigation approach; TCFD listed among adopted frameworks, but no scenario narrative or quantified scenario analysis appears in this document (deferred to external Climate Change Report).</t>
  </si>
  <si>
    <t>pp. 135, 176-179</t>
  </si>
  <si>
    <t>Statement of Assurance confirms PwC provided reasonable assurance on BRSR Core indicators (standalone) for FY2024-25, plus limited assurance on select ESG factsheet indicators.</t>
  </si>
  <si>
    <t>pp. 143, 155, 167-168, 188-189</t>
  </si>
  <si>
    <t>Affirmative Action supplier spend of ₹230 crore (19% of addressable spend, +52% YoY); Vendor Capability Advancement Program covered 1,800 suppliers, benefiting 27,000+ contract workers; MSME sourcing at 10% of standalone inputs; UK Steel Enterprise supports transition/outplacement for workers affected by restructuring (e.g., TSUK blast-furnace closure).</t>
  </si>
  <si>
    <t>Business Responsibility and Sustainability Report (standalone filing)</t>
  </si>
  <si>
    <t>Sec C, Principle 6, Q7, p.31 (boundary at Sec A, field 13, p.3)</t>
  </si>
  <si>
    <t>Scope 1 = 6.03 crore tCO2e (PY 5.31 crore) and Scope 2 disclosed for two years with units; reporting boundary stated as standalone. NO emission factors or calculation methodology named anywhere in the BRSR, so anchor 3 ('methodology/boundary stated') not fully met under the strict rule. Scored 2.</t>
  </si>
  <si>
    <t>Sec C, Principle 6, Q Scope 3, p.34</t>
  </si>
  <si>
    <t>Total Scope 3 = 89,51,313.29 tCO2e for two years, independently assured by Bureau Veritas. Aggregate figure only; no material categories identified or broken out, so anchor 3 not met. Scored 2.</t>
  </si>
  <si>
    <t>pp.7 and 32</t>
  </si>
  <si>
    <t>Target of 42% reduction in CO2 intensity from a 2005 base year, to below 1.95 tCO2/tcs by 2030; net neutral by 2050. Base year + target year + interim milestone with progress reported.</t>
  </si>
  <si>
    <t>Sec C, Principle 6, Q8, pp.32 and 36</t>
  </si>
  <si>
    <t>Named levers: energy efficiency, renewable energy (1 GW), scrap circularity, alternative fuels, 25 MW electrolyser for green hydrogen, 100 TPD CCU pilot. Levers named and partly sized, but no timelines or capex attached to each lever, so anchor 3 not met. Scored 2.</t>
  </si>
  <si>
    <t>Sec C, Principle 2, R&amp;D and capex table, p.16</t>
  </si>
  <si>
    <t>Environmental/social capex share disclosed: 14.51% of total capex (PY 2.02%). Under the strict rule this is environmental capex generally (covering water, dust, effluent), not decarbonisation capex specifically, and no rupee amount is given. Mentioned without amounts. Scored 1.</t>
  </si>
  <si>
    <t>Sec A materiality/risk table, pp.7-9; PAT reference p.30</t>
  </si>
  <si>
    <t>Zero occurrences of 'CBAM', 'Carbon Border', 'CCTS' or 'carbon pricing' in the entire BRSR. Only a generic climate transition-risk row in the materiality table and PAT scheme compliance. Generic regulatory-risk mention only. Scored 1. NOTE: JSW is the most EU-export-exposed firm in the sample; this null is a substantive finding, not a coding gap.</t>
  </si>
  <si>
    <t>Not found - full-document search</t>
  </si>
  <si>
    <t>No occurrence of 'internal carbon price' or equivalent anywhere in the BRSR.</t>
  </si>
  <si>
    <t>Sec A materiality/risk table, pp.7-9</t>
  </si>
  <si>
    <t>Climate change listed as a material risk with transition-risk narrative. No scenario analysis, no TCFD or IFRS S2 reference. The only 'scenario' term in the document refers to the IEA SDS pathway used to benchmark the intensity target, not to a climate risk scenario exercise. Risks listed, no scenarios. Scored 1.</t>
  </si>
  <si>
    <t>Sec A, fields 14-15, p.3</t>
  </si>
  <si>
    <t>Assurance provider: Bureau Veritas. Type of assurance obtained: Reasonable. Covers BRSR Core indicators. Scored 3.</t>
  </si>
  <si>
    <t>Sec C, Principle 3 and Principle 8, pp.37-38</t>
  </si>
  <si>
    <t>CSR spend and generic value-chain partner language. No workforce reskilling or MSME supplier programme linked to the low-carbon transition. Generic mention only. Scored 1.</t>
  </si>
  <si>
    <t>p. 25</t>
  </si>
  <si>
    <t>Scope 1 = 52,622,079 tCO2 and Scope 2 = 2,446,630 tCO2 disclosed for FY23-24 with FY22-23 comparatives (47,603,938 / 3,020,822 tCO2) and intensity (2.90 t/tcs); no GHG-accounting methodology/boundary stated, and the entity confirms no external assurance was done specifically on this table.</t>
  </si>
  <si>
    <t>p. 28</t>
  </si>
  <si>
    <t>Scope 3 reported as −5,300,064 tCO2e (FY23-24) and −5,620,400 tCO2e (FY22-23), explicitly "partially covered," calculated per World Steel Association methodology — method stated but categories incomplete.</t>
  </si>
  <si>
    <t>p. 6</t>
  </si>
  <si>
    <t>Commitment to substantially reduce CO2 emissions and raise renewable/non-conventional energy share by 2030, and achieve net zero by 2070 — target years given, but no explicit base year or quantified reduction percentage.</t>
  </si>
  <si>
    <t>pp. 6, 10, 25-28</t>
  </si>
  <si>
    <t>Named levers: rising renewable/non-conventional energy share, Zero Liquid Discharge across plants, 100% slag/waste utilisation target ("SAIL Green Tiles Plant"), effluent treatment upgrades, R&amp;D on coal blending and furnace energy efficiency — not quantified with a consolidated decarbonisation capex/timeline.</t>
  </si>
  <si>
    <t>p. 10</t>
  </si>
  <si>
    <t>Capex of ₹5,646 crore (FY23-24) and ₹5,474 crore (FY22-23) disclosed under environmental and social impacts, but explicitly stated as "not separately ascertained" between social and environmental/decarbonisation spend.</t>
  </si>
  <si>
    <t>No mention of CBAM, CCTS, carbon tax, or any carbon-pricing regulatory exposure anywhere in the report.</t>
  </si>
  <si>
    <t>No internal carbon price disclosed, mentioned, or referenced as under consideration.</t>
  </si>
  <si>
    <t>p. 4</t>
  </si>
  <si>
    <t>GHG emissions/carbon footprint listed as a material risk with rationale and mitigation approach, but no scenario narrative or TCFD/IFRS S2-style scenario analysis presented.</t>
  </si>
  <si>
    <t>pp. 1, 35-40</t>
  </si>
  <si>
    <t>SR Asia provided a Reasonable Assurance Statement (ISAE 3000 Revised) on BRSR Core metrics, covering energy, water, Scope 1 &amp; 2 GHG emissions/intensity, waste, and safety indicators.</t>
  </si>
  <si>
    <t>pp. 9, 16, 19, 31-32</t>
  </si>
  <si>
    <t>MSE procurement ₹2,919.87 crore (29.28% of total procurement, up from ₹2,233.72 crore); procurement from SC/ST MSEs ₹7.65 crore and women MSEs ₹120.21 crore; 20 Vendor Development Programmes + 18 special VDPs for SC/ST/women MSEs; 2,369 women and 1,578 youths given vocational/skill training; CRR (Counselling, Retraining, Redeployment) scheme for rationalised employees.</t>
  </si>
  <si>
    <t>Integrated Report (BRSR embedded)</t>
  </si>
  <si>
    <t>BRSR Sec C, Principle 6, Q7, pp.278-279</t>
  </si>
  <si>
    <t>Scope 1 = 35.63 and Scope 2 = 0.69 mn tCO2e, two years, externally verified by TUV SUD. Reporting boundary standalone. No emission factors or calculation methodology stated, so anchor 3 not fully met under the strict rule. Scored 2.</t>
  </si>
  <si>
    <t>BRSR Sec C, Principle 6, pp.282-283</t>
  </si>
  <si>
    <t>Scope 3 total reported for the current year only; no prior-year comparative and no material category breakdown. Scored 2.</t>
  </si>
  <si>
    <t>Progress Towards Goals, pp.138-139</t>
  </si>
  <si>
    <t>Net zero by 2047 (aspiration 2035); 30% emission-intensity reduction by 2030 against a 2005 base. Progress table shows 2.68 vs 2.74 tCO2e/tcs year on year. Base year + target year + interim progress reported.</t>
  </si>
  <si>
    <t>Decarbonisation roadmap, pp.38-39</t>
  </si>
  <si>
    <t>Lever-by-lever roadmap with quantified actions: 3,600 TPD CO2 capture at Angul, 6 MTPA pellet plant, 19 MWp rooftop solar, 192-km slurry pipeline, syngas-DRI extension, 12-14 MTPA conveyor. Plan with quantified levers and timelines.</t>
  </si>
  <si>
    <t>BRSR Sec C, Principle 2, R&amp;D and capex table, pp.258-259</t>
  </si>
  <si>
    <t>Environmental/social capex share = 6.52% (PY 3.21%). Strict rule: environmental capex generally, not decarbonisation capex specifically; no rupee amount allocated to decarbonisation. Scored 1.</t>
  </si>
  <si>
    <t>Risk register and CBAM-readiness training, pp.60-61</t>
  </si>
  <si>
    <t>CBAM named as a relevant regulatory and market-access risk, and CBAM-readiness training referenced. Exposure is NOT quantified and no pass-through analysis given, so anchor 3 not met. Scored 2.</t>
  </si>
  <si>
    <t>No mention of an internal carbon price anywhere in the Integrated Report.</t>
  </si>
  <si>
    <t>Climate risk assessment integrated into ERM, pp.140-141</t>
  </si>
  <si>
    <t>TCFD-aligned climate risk assessment; states scenario analysis was run across 2030 and 2050 horizons to quantify exposure and align capital planning. However NO quantified scenario results are published. Strict rule scores the disclosure, not the claim: qualitative scenario narrative. Scored 2. CONTESTED CELL - a lenient coder scores 3 on the stated quantification.</t>
  </si>
  <si>
    <t>BRSR Sec A, assurance fields, pp.242-243</t>
  </si>
  <si>
    <t>Reasonable assurance on BRSR Core indicators by TUV SUD. Scored 3.</t>
  </si>
  <si>
    <t>Skilling and community, pp.58-59</t>
  </si>
  <si>
    <t>20+ ITIs, 50,000+ students over five years, framed as enabling continuous reskilling. Strict rule: this is CSR education/skilling not explicitly linked to decarbonisation or transition-affected workers, and there is no MSME supplier transition programme. Scored 1. CONTESTED CELL - a lenient coder scores 2 on the reskilling framing.</t>
  </si>
  <si>
    <t>pp. 1, 33</t>
  </si>
  <si>
    <t>Scope 1 (2,992,333.83 tCO2e) and Scope 2 (787,140.25 tCO2e) disclosed for FY23-24 with FY22-23 comparatives, plus intensity metrics; independently assured (reasonable assurance) by TUV SUD per ISAE 3000 / SEBI circular; standalone reporting boundary stated.</t>
  </si>
  <si>
    <t>p. 38</t>
  </si>
  <si>
    <t>Total Scope 3 emissions quantified for two years (3,345,443 tCO2e FY24 vs 2,781,561 tCO2e FY23) with intensity metrics and third-party assurance, but reported as a single aggregate figure with no category breakdown.</t>
  </si>
  <si>
    <t>pp. 5, 11</t>
  </si>
  <si>
    <t>Target to reduce emission intensity by 50% vs FY2022 baseline and achieve Net Zero by 2050; SBTi commitment for near-term science-based targets. Base and target years stated, but no interim milestone framework beyond a directional FY24 reduction figure (~76 ktCO2e).</t>
  </si>
  <si>
    <t>pp. 33, 39-40</t>
  </si>
  <si>
    <t>Named levers: 7.3 MWp floating solar, 23 MWp rooftop solar, 100 MW round-the-clock RE agreement with ReNew Power, waste heat recovery boilers, chrome pelletization plant, 27 ENCON projects, bio-char coal substitution, green hydrogen pilot at Hisar — not consolidated into a single roadmap with year-wise targets or total capex.</t>
  </si>
  <si>
    <t>p. 16</t>
  </si>
  <si>
    <t>Capex to environmental/social-pillar projects reported at 23.42% of total capex (vs 12.53% prior year), with named projects (Waste Heat Recovery Boiler, ZLD, floating solar, acid recovery). Single-year percentage disclosure, not multi-year absolute commitments.</t>
  </si>
  <si>
    <t>No mention of CBAM, EU carbon border mechanism, or India's CCTS anywhere in the report, despite ~17% of turnover from exports including to the EU.</t>
  </si>
  <si>
    <t>No internal carbon price, shadow price, or stated intent to adopt one.</t>
  </si>
  <si>
    <t>p. 5</t>
  </si>
  <si>
    <t>GHG emissions/climate change listed as a material risk with rationale and negative financial implication, but no TCFD/IFRS S2-style scenario narrative or quantified scenario modelling.</t>
  </si>
  <si>
    <t>pp. 1, 33, 46-47</t>
  </si>
  <si>
    <t>SGS India provided reasonable assurance (SEBI circular, ISAE 3000 Revised) covering BRSR Core and non-core indicators, with on-site verification at Jajpur and Hisar; TUV SUD separately assured Scope 1/2 GHG data.</t>
  </si>
  <si>
    <t>pp. 11, 16, 42</t>
  </si>
  <si>
    <t>5.38% of input material sourced from MSMEs/small producers; Supplier Code of Conduct; ~1,66,000 employee learning hours; skill-training/livelihood CSR reaching ~68,718 and ~87,530 beneficiaries; entrepreneurship (234) and rural development (13,176) verticals — not explicitly linked to decarbonisation/energy-transition outcomes.</t>
  </si>
  <si>
    <t xml:space="preserve">Annual Report, NMDC Limited (BRSR embedded) </t>
  </si>
  <si>
    <t>BRSR Sec C, Principle 6, Q7, p.177-178</t>
  </si>
  <si>
    <t>Scope 1 = 103,482 and Scope 2 = 84,202 tCO2e, two years, restated prior year, independently assured by Bureau Veritas. Emission factors explicitly named: DEFRA 2024, USEPA and CEA. Physical intensity also given (0.0033 tCO2e/tonne of iron ore). ONLY firm in the sample to state methodology, so the only firm meeting anchor 3 under the strict rule. Scored 3.</t>
  </si>
  <si>
    <t>Annual Report, NMDC Limited (BRSR embedded)</t>
  </si>
  <si>
    <t>BRSR Sec C, Principle 6, p.181</t>
  </si>
  <si>
    <t>Scope 3 = 67,620,577 tCO2e (PY 65,830,840, restated), assured by Bureau Veritas, GHG Protocol referenced. Aggregate only, no material category breakdown. Scored 2. NOTE internal contradiction: strategy section (pp.60-61) lists 'implementing Scope 3 emissions tracking' as a FUTURE focus area while the BRSR already reports a figure.</t>
  </si>
  <si>
    <t>Chairman's statement and strategy, pp.18-26</t>
  </si>
  <si>
    <t>States the company is 'in the process of formulating a comprehensive net zero strategy' and references India's 2070 national target. No firm corporate target, no base year, no target year. Aspirational statement, no year. Scored 1.</t>
  </si>
  <si>
    <t>BRSR Sec C, Principle 6, Q8, p.178</t>
  </si>
  <si>
    <t>Response lists wind power (10.5 MW / seven 1.5 MW turbines at Chitradurga, ~19 million units generated) and rooftop solar (~1.64 million units). Initiatives only; no plan, no levers mapped to a target. Generic intent stated. Scored 1.</t>
  </si>
  <si>
    <t>BRSR Sec C, Principle 2, R&amp;D and capex table, p.161</t>
  </si>
  <si>
    <t>Environmental/social capex share = 28.80% (PY 43.82%) - highest in sample. But the named example is the Rs 800 crore Bailadila-Nagarnar slurry pipeline, an ore-EVACUATION LOGISTICS project. Strict rule: not decarbonisation capex. Scored 1.</t>
  </si>
  <si>
    <t>Risk table, pp.24-26</t>
  </si>
  <si>
    <t>Zero occurrences of 'CBAM', 'Carbon Border' or 'CCTS' in the entire report. Only a generic 'Environmental and Climate Risks' row. Generic regulatory-risk mention. Scored 1.</t>
  </si>
  <si>
    <t>No mention of an internal carbon price.</t>
  </si>
  <si>
    <t>Climate risks listed in the risk register with mitigation notes. No TCFD, no IFRS S2, no scenario analysis anywhere in the document. Risks listed, no scenarios. Scored 1.</t>
  </si>
  <si>
    <t>BRSR Sec A, fields 14-15, p.148</t>
  </si>
  <si>
    <t>Assurance provider: Bureau Veritas (India) Pvt. Ltd. Type of assurance obtained: Reasonable. Repeated against individual environmental tables (Scope 1&amp;2, Scope 3, water). Scored 3.</t>
  </si>
  <si>
    <t>CSR and community, pp.54, 67-71</t>
  </si>
  <si>
    <t>Substantial CSR skilling: Education City at Geedam, ITIs at Nagarnar and Bhansi, COPA vocational courses, 582 tribal girls funded for nursing, 12,000+ students. None framed as transition-related; no MSME supplier decarbonisation programme. Scored 1.</t>
  </si>
  <si>
    <t>Business Responsibility and Sustainability Report + Annual Report</t>
  </si>
  <si>
    <t>BRSR Sec C, Principle 6, Q7, p.31 (boundary Sec A, p.4)</t>
  </si>
  <si>
    <t>Scope 1 and 2 disclosed for two years with units; reporting boundary stated as consolidated. No emission factors or methodology stated. Scored 2 under the strict rule.</t>
  </si>
  <si>
    <t>BRSR Sec C, Principle 6, p.34</t>
  </si>
  <si>
    <t>States the company is in the process of calculating Scope 3 emissions, with initiatives in progress to monitor and document this information. Acknowledged as relevant but not quantified. Scored 1.</t>
  </si>
  <si>
    <t>No emission-intensity target, no base year, no target year, no net-zero or carbon-neutral commitment anywhere in the BRSR or Annual Report. Scored 0.</t>
  </si>
  <si>
    <t>BRSR Sec C, Principle 6, Q8, pp.2-3, 31</t>
  </si>
  <si>
    <t>Response to the GHG-reduction-project question lists 6,464 saplings planted and 2.83 MW of floating and rooftop solar. Strict rule: these are discrete actions, not a transition plan or even a stated intent to transition. Scored 0. CONTESTED CELL - a lenient coder scores 1 as generic intent.</t>
  </si>
  <si>
    <t>BRSR Sec C, Principle 2, R&amp;D and capex table</t>
  </si>
  <si>
    <t>No environmental/decarbonisation capex amount or share disclosed. Scored 0.</t>
  </si>
  <si>
    <t>BRSR Sec A materiality table, material issue 7, pp.8-9</t>
  </si>
  <si>
    <t>GHG emissions and climate change listed as a material issue with physical and transition risk narrative. No CBAM, no CCTS, no carbon-pricing exposure named. Generic regulatory-risk mention. Scored 1.</t>
  </si>
  <si>
    <t>Climate listed as material risk with a physical/transition risk narrative. No scenario analysis, no TCFD or IFRS S2. Scored 1.</t>
  </si>
  <si>
    <t>BRSR Sec A, assurance fields, p.4</t>
  </si>
  <si>
    <t>Assurance provider field: Not Applicable. Type of assurance: not obtained. All external-agency verification questions in Principle 6 answered No. Scored 0. NOTE: FY2025-26 BRSR (filed 3 Aug 2026) reportedly carries reasonable assurance by BDO India - this score is STALE and must be re-coded on FY26.</t>
  </si>
  <si>
    <t>BRSR Sec C, Principles 3 and 8, pp.25, 38-39</t>
  </si>
  <si>
    <t>CSR spend and generic value-chain partner language. No transition-linked workforce or MSME supplier programme. Scored 1.</t>
  </si>
  <si>
    <t>p. 112</t>
  </si>
  <si>
    <t>Scope 1 (1,553,940 tCO2e), Scope 2 (266,491 tCO2e) and total (1,820,431 tCO2e) disclosed for FY24-25 with FY23-24 comparatives; intensity per turnover and per physical output given; GHG inventory prepared by SGS India following ISO 14064.</t>
  </si>
  <si>
    <t>No Scope 3 figures or category breakdown appear anywhere in the report.</t>
  </si>
  <si>
    <t>p. 88</t>
  </si>
  <si>
    <t>No quantified emission-intensity target with base/target year; materiality table only states the company is "working on decarbonization" with no numeric target or timeline.</t>
  </si>
  <si>
    <t>p. 113</t>
  </si>
  <si>
    <t>Six named levers: waste-heat utilisation for power generation, renewable energy integration, carbon capture &amp; utilisation pilot, energy efficiency &amp; BEE-CCTS participation, industrial EVs, green steel/raw-material sourcing — without quantified targets, timelines or capex per lever.</t>
  </si>
  <si>
    <t>p. 95</t>
  </si>
  <si>
    <t>Capex table shows environmental/social capex share of 12% (FY24-25) vs 36.33% (FY23-24); solar power plant cited to replace conventional power. Amount/share disclosed but no multi-year committed allocation plan.</t>
  </si>
  <si>
    <t>"BEE-CCTS Participation" explicitly named as a GHG-reduction lever, i.e., engagement with India's Carbon Credit Trading Scheme; no CBAM mention and no quantified exposure/pass-through analysis.</t>
  </si>
  <si>
    <t>No internal carbon price mentioned anywhere in the document.</t>
  </si>
  <si>
    <t>Climate change listed as a material risk with generic rationale (India's NDCs) and mitigation approach ("working on decarbonization"); no scenario narrative or quantified analysis.</t>
  </si>
  <si>
    <t>pp. 83, 110-114</t>
  </si>
  <si>
    <t>Cover page states "Name of Assurance Provider: Not applicable" / "Type of Assurance obtained: Not applicable", ruling out formal external assurance; energy/water/emissions tables reference internal review, periodic environmental audits and GHG inventory by SGS India (technical verification, not a formal assurance statement).</t>
  </si>
  <si>
    <t>pp. 88, 96, 118</t>
  </si>
  <si>
    <t>18% of inputs sourced from MSMEs/small producers (up from 10.29%); 100% of wages paid in rural locations at or above minimum wage; Suppliers' Code of Conduct in place — concrete workforce/MSME metrics but not explicitly framed as decarbonisation-linked reskilling/supplier outcomes.</t>
  </si>
  <si>
    <t>BRSR Sec C, Principle 6, Q7, p.99 (boundary Sec A, p.81)</t>
  </si>
  <si>
    <t>Scope 1 = 588,692 tCO2e (PY 593,189) and Scope 2 disclosed for two years with units; boundary standalone. No emission factors or methodology stated. Scored 2 under the strict rule.</t>
  </si>
  <si>
    <t>BRSR Sec C, Principle 6</t>
  </si>
  <si>
    <t>No Scope 3 row, no acknowledgement of Scope 3 relevance anywhere in the report. Scored 0.</t>
  </si>
  <si>
    <t>No emission-intensity target, no base year, no target year, no net-zero commitment. Scored 0.</t>
  </si>
  <si>
    <t>No transition plan and no stated intent to transition. Scored 0.</t>
  </si>
  <si>
    <t>No decarbonisation or environmental capex amount or share disclosed. Scored 0.</t>
  </si>
  <si>
    <t>MD&amp;A, pp.5-7; BRSR Principle 6 energy section, pp.97-98</t>
  </si>
  <si>
    <t>CBAM named explicitly in the MD&amp;A. Separately discloses that the company is under the PAT/CCTS scheme, that PAT 7A targets could not be achieved, and that e-certificates from PAT cycle 3 will be adjusted against the shortfall. CCTS named as relevant to the entity's own obligations. Scored 2. NOTE: this is HIGHER than JSW, the most export-exposed firm - a substantive finding.</t>
  </si>
  <si>
    <t>No climate-risk scenario analysis, no TCFD, no IFRS S2, and no climate risk row in the risk section. Scored 0.</t>
  </si>
  <si>
    <t>BRSR Sec A, assurance field, p.81</t>
  </si>
  <si>
    <t>Header field 'Name of the assurance provider' answered Not Applicable. Scored 0 on the strict header-field rule. CONTESTED CELL - the note under the Scope 1&amp;2 table (p.99) answers 'Yes, Deutsch Quality Systems (India) Private Limited' to the independent-assessment question, so a lenient coder scores 2 (limited external assurance on GHG data). This is the ONLY two-point disagreement in the reliability exercise and the single most important cell to reconcile as a group.</t>
  </si>
  <si>
    <t>BRSR Sec C, Principle 8, p.54; procurement from MSMEs p.~</t>
  </si>
  <si>
    <t>CSR spend and MSME procurement share disclosed (27.83% vs 14.87%), but no transition-linked workforce or MSME supplier decarbonisation programme. Scored 1.</t>
  </si>
  <si>
    <t>Dalmia Bharat IR 2025-26</t>
  </si>
  <si>
    <t>BRSR Principle 6 Q7; p.280</t>
  </si>
  <si>
    <t>Scope 1: 15.75 MMT / Scope 2: 0.48 MMT (FY25-26) vs 15.33/0.41 (FY24-25); multiple intensity metrics (per turnover, PPP-adjusted, per tonne cementitious); third-party 'reasonable assurance' by TUV India.</t>
  </si>
  <si>
    <t>Natural Capital section; p.70</t>
  </si>
  <si>
    <t>7 categories quantified (Purchased Goods &amp; Services, Capital Goods, Fuel-and-energy, Upstream Transport, Business Travel, Employee Commuting, Downstream Transport) per WBCSD cement-sector guidance; total 14,76,226 tCO2 (FY25-26).</t>
  </si>
  <si>
    <t>Natural Capital/ESG Dashboard; p.69</t>
  </si>
  <si>
    <t>SBTi-aligned targets: Scope 1 intensity -32% and Scope 2 intensity -61.9% by 2034 (vs FY implicit baseline); 'Grey to Green' roadmap target 422 kg CO2/t by 2030 vs 546 kg CO2/t FY18-19 baseline; FY25-26 progress reported (14%/42% achieved).</t>
  </si>
  <si>
    <t>—; p.69-71, 142-143</t>
  </si>
  <si>
    <t>Named, quantified levers (blended cement, renewable/fossil-free electricity, recycled waste/biomass fuel) with tCO2-avoided figures per lever, CCUS/green hydrogen pilots, and capex-linked R&amp;D spend (Rs.177 crore), timelines to 2030/2034/2040.</t>
  </si>
  <si>
    <t>Value Creation Model; p.143</t>
  </si>
  <si>
    <t>Single-year capex figure disclosed: Rs.177 crore spent as capex for addition of sustainable production assets and R&amp;D (FY25-26); no explicit multi-year committed allocation found.</t>
  </si>
  <si>
    <t>BRSR Q8 / Sustainability narrative; p.142</t>
  </si>
  <si>
    <t>CCTS named and operationally relevant -- 12 cement plants already under the CCTS cycle implementing emission-reduction projects; voluntary Article 6.2/6.4 project feasibility being assessed. No quantified rupee exposure or pass-through analysis found.</t>
  </si>
  <si>
    <t>Dalmia Bharat IR 2025-26 (reviewed)</t>
  </si>
  <si>
    <t>N/A — indicator not disclosed; p.N/A</t>
  </si>
  <si>
    <t>No internal carbon price / shadow price mechanism disclosed in the report.</t>
  </si>
  <si>
    <t>'Enhancing Transparency and Disclosures'; p.68-69</t>
  </si>
  <si>
    <t>TCFD framework adopted for climate governance/risk-management narrative; own emissions trajectory benchmarked against the TPI 1.5C sector pathway (quantitative trend line) but no explicit multi-scenario (SSP/IPCC) site-level modelling found; company states it is progressing toward IFRS S2/TNFD-aligned disclosure.</t>
  </si>
  <si>
    <t>BRSR Principle 6; p.279-280</t>
  </si>
  <si>
    <t>'Third party reasonable assurance' explicitly stated for air-emissions and Scope 1/2 GHG BRSR disclosures, conducted by TUV India Pvt Ltd.</t>
  </si>
  <si>
    <t>BRSR Principle 8 / Supply Chain; p.79-80</t>
  </si>
  <si>
    <t>Specific programmes disclosed: 12% input sourced from MSMEs/small producers, job-creation-by-location wage split, supplier-development/digital-onboarding support for smaller vendors, timely MSME payments. No quantified reskilling/supplier-decarbonisation outcome tied to the low-carbon transition specifically.</t>
  </si>
  <si>
    <t>Shree Cement IR 2025-26</t>
  </si>
  <si>
    <t>BRSR Principle 6 Q7; p.233</t>
  </si>
  <si>
    <t>Scope 1: 2,20,31,435 t / Scope 2: 3,13,672 t (2025-26) vs 2024-25 comparatives; 4 intensity metrics reported; assured by SGS India.</t>
  </si>
  <si>
    <t>Natural Capital section; p.233</t>
  </si>
  <si>
    <t>8 categories quantified (Cat 3,4,5,6,7,8,9,13) with methodology note on refinement; total 15,95,877 tCO2e (2025-26).</t>
  </si>
  <si>
    <t>Natural Capital / BRSR Principle 6; p.211</t>
  </si>
  <si>
    <t>SBTi targets: Scope 1 intensity -12.7% and Scope 2 intensity -27.1% by 2030 (base year 2019); current-year performance against target explicitly reported (0.553 vs 0.51 target for Scope 1).</t>
  </si>
  <si>
    <t>—; p.151-152</t>
  </si>
  <si>
    <t>Named levers (WHRS, solar/wind additions with MW figures, alternative fuels/TSR, blended cement) quantified year-on-year, tied to 2030/2050 targets and CCTS plant-level compliance.</t>
  </si>
  <si>
    <t>Natural Capital; p.152</t>
  </si>
  <si>
    <t>Amounts disclosed for individual green-energy additions (22 MW WHRS, 6 MW &amp; 4.5 MW &amp; 0.11 MW solar, 20 MW subsidiary) but no single aggregated multi-year decarbonisation capex figure found.</t>
  </si>
  <si>
    <t>CCTS named as directly relevant: 4 integrated plants + 3 grinding units assigned carbon-reduction targets under GEI Target Rules; PAT-to-CCTS transition discussed. No quantified financial exposure found.</t>
  </si>
  <si>
    <t>Shree Cement IR 2025-26 (reviewed)</t>
  </si>
  <si>
    <t>Risk Management; p.147</t>
  </si>
  <si>
    <t>Climate change listed as a top enterprise risk with qualitative description (heat stress, water scarcity) and mitigation strategy, but no formal scenario analysis (SSP/IPCC/TCFD quantitative scenarios) found in the report.</t>
  </si>
  <si>
    <t>Independent Assurance Statement; p.428-431</t>
  </si>
  <si>
    <t>Independent Assurance Statement (SGS India, ISAE 3000/3410): Reasonable level of assurance on BRSR Core indicators (9 ESG attributes); Limited assurance on remaining essential/leadership indicators.</t>
  </si>
  <si>
    <t>BRSR Principle 8; p.242</t>
  </si>
  <si>
    <t>21.18% input sourced from MSMEs/small producers, job-creation-by-location wage split, Rs.55.76 crore community-development spend (Gram Parivartan-style). Programmes are specific but not linked to decarbonisation reskilling outcomes.</t>
  </si>
  <si>
    <t>ACC IR 2024-25</t>
  </si>
  <si>
    <t>BRSR Principle 6 Q7; p.328-329</t>
  </si>
  <si>
    <t>Scope 1: 13,488,976 t / Scope 2: 625,212 t (FY24-25) vs FY23-24 comparatives; intensity per turnover, PPP-adjusted and per tonne cementitious; assured by TUV India.</t>
  </si>
  <si>
    <t>Environmental Indicators (GRI 305-3); p.465</t>
  </si>
  <si>
    <t>Aggregate Scope 3 total disclosed as a 5-year trend (1.06 to 1.48 million tCO2/yr, FY21-22 to FY25-26) in Environmental Indicators table, but no category-level (WBCSD/GHG Protocol Cat 1-15) breakdown found in the report.</t>
  </si>
  <si>
    <t>Natural Capital; p.129</t>
  </si>
  <si>
    <t>SBTi-validated Near-Term (2030, base FY2023) and Net-Zero (2050) targets: Scope 1 -16.3%, Scope 2 -53.1%, combined -18.5%; FY24-25 performance shown against 2030 target (e.g., Scope 1 421 vs target 484 kg/t; Scope 2 10 vs target 22 kg/t).</t>
  </si>
  <si>
    <t>Natural Capital; p.130-131</t>
  </si>
  <si>
    <t>Structured lever framework across Scope 1/2/3 (energy efficiency, alternate fuels, RDH zero-carbon heating partnership with Coolbrook, WHRS, no new fossil captive power, EV logistics) with named future initiatives (CCUS pilot, green hydrogen).</t>
  </si>
  <si>
    <t>Natural Capital / BRSR Principle 2; p.128, 314</t>
  </si>
  <si>
    <t>Parent Ambuja Cements' Rs.100 billion (~Rs.10,000 crore) RE investment plan referenced as a group-level commitment benefiting ACC; ACC-specific capex not separately itemised for decarbonisation (a small Rs.2.93 crore capex figure appears only under Principle 2 clinker-factor R&amp;D).</t>
  </si>
  <si>
    <t>Climate Risk section; p.195</t>
  </si>
  <si>
    <t>PAT scheme and 'upcoming policies may introduce carbon pricing mechanisms' flagged as a transition risk (policy &amp; legal / market categories); CBAM not specifically named for ACC. No quantified exposure figure found.</t>
  </si>
  <si>
    <t>Natural Capital / Climate Risks; p.128-129</t>
  </si>
  <si>
    <t>Internal Carbon Pricing (ICP) mechanism in use, valuing CO2 at USD 28/tonne; shadow-pricing model explicitly applied to investment decisions, supplier selection, operational efficiency and regulatory-compliance planning.</t>
  </si>
  <si>
    <t>Natural Capital / Climate Risks; p.194</t>
  </si>
  <si>
    <t>Formal, quantified scenario analysis using IPCC SSP1-2.6, SSP2-4.5 and SSP5-8.5 across all sites for physical risks (flood, drought, cyclone, wildfire, water stress), aligned to TCFD and IFRS S2; conclusion that no site currently faces physical climate risk.</t>
  </si>
  <si>
    <t>Reporting Framework / Assurance Statement; p.front-matter, 581</t>
  </si>
  <si>
    <t>TUV India Private Limited assured the non-financial BRSR disclosures per ISAE 3000(revised)/ISAE 3410 and AA1000; report references an 'Assurance Statement on BRSR' annexe but the reasonable-vs-limited split (as SEBI mandates for BRSR Core) was not evidenced in the sections reviewed.</t>
  </si>
  <si>
    <t>BRSR Principle 2 / Financial Notes; p.314</t>
  </si>
  <si>
    <t>MSME dues/payment terms disclosed in financial notes; &gt;90% of input sourced locally within India; sustainable-sourcing procedures described. No quantified reskilling or MSME supplier-decarbonisation outcome found.</t>
  </si>
  <si>
    <t>JK Cement IR 2025-26</t>
  </si>
  <si>
    <t>BRSR; p.232-233</t>
  </si>
  <si>
    <t>Scope 1: 12,725,657 t / Scope 2: 392,400 t (FY26) vs FY25 comparatives; intensity per turnover, PPP-adjusted, per tonne cementitious; assured by TUV India (BRSR core elements).</t>
  </si>
  <si>
    <t>BRSR, Scope 3 category table; p.233</t>
  </si>
  <si>
    <t>8 categories quantified with stated calculation method per category (spend-based, distance-based, waste-type per GHG Protocol Technical Guidance); total 2,319,387 tCO2e (FY25-26) vs 1,452,883 (FY24-25).</t>
  </si>
  <si>
    <t>Climate Change &amp; Emission Management; p.122-123</t>
  </si>
  <si>
    <t>SBTi targets: Scope 1 intensity -20.4%, Scope 2 intensity -44.7% by 2030 (base year 2020); interim progress explicitly reported (16.2% of 20.4% achieved as of FY25-26; combined 15.4% of 21.7% target).</t>
  </si>
  <si>
    <t>—; p.122-123</t>
  </si>
  <si>
    <t>Quantified levers (LC3 low-carbon cement commercial launch, CCUS 2.0 TPD pilot, Lead IT/steel-slag pre-feasibility study, process control/kiln heat-rate optimisation) with capex figures (Rs.65 Cr FY25-26, Rs.48 Cr planned FY26-27) and timelines to 2030/2070.</t>
  </si>
  <si>
    <t>Manufacturing/R&amp;D section; p.122-123</t>
  </si>
  <si>
    <t>Multi-year, itemised commitments: Rs.65 crore invested in FY25-26 (electrical/thermal efficiency, 70,981 t CO2 reduction) plus Rs.48 crore committed for FY26-27 energy conservation, each with named initiatives and expected savings.</t>
  </si>
  <si>
    <t>Risk Management / Emerging Risks; p.152-153</t>
  </si>
  <si>
    <t>Both CCTS (GEI Target Rules, 2025, named with compliance-investment implication) and CBAM quantified as an emerging risk: 'rising carbon costs projected at EUR10-15/MT in 2026' directly linked to profitability/competitiveness.</t>
  </si>
  <si>
    <t>Environmental Stewardship section; p.—</t>
  </si>
  <si>
    <t>Shadow Internal Carbon Price of US$8/tonne CO2 adopted, covering Scope 1 and Scope 2 emissions, explicitly to manage transition risk and prepare for CCTS.</t>
  </si>
  <si>
    <t>Climate Change Risk Assessment; p.136-139</t>
  </si>
  <si>
    <t>Most granular scenario analysis of the four: physical risk under SSP2-4.5 / SSP5-8.5 mapped by district across 4 time-frames (2020-2099) for water scarcity, flooding, heatwave, storms; transition risk under IEA NZE2050 and B2DC scenarios across 3 TCFD time-frames; IFRS S2-aligned.</t>
  </si>
  <si>
    <t>TUV India Pvt Ltd carried out independent assessment of GRI Indicator assurance (non-financial) and BRSR Core elements; financial assurance by S.R. Batliboi &amp; Co. LLP -- consistent with SEBI's mandatory reasonable assurance on BRSR Core.</t>
  </si>
  <si>
    <t>BRSR Principle 8; p.242-243</t>
  </si>
  <si>
    <t>Local-supplier prioritisation policy near plants, CSR beneficiary counts by theme (e.g., 379,287 for livelihood), job-creation-by-location wage split. Programmes are specific but not explicitly quantified as low-carbon-transition reskilling/supplier-decarbonisation outcomes.</t>
  </si>
  <si>
    <t>UltraTech IR &amp; Sustainability Report 2025-26</t>
  </si>
  <si>
    <t>BRSR Core Assurance; p.20, 590</t>
  </si>
  <si>
    <t>Scope 1: 8,88,84,246 t / Scope 2: 20,40,172 t; net Scope 1 intensity 538 kg/t (gross 578 kg/t); 19.28% reduction in gross Scope 1 intensity from 2017 baseline; 'Reasonable Assurance of BRSR Core Indicators' explicitly stated.</t>
  </si>
  <si>
    <t>BRSR Q2; GRI Index; p.18330, 36699</t>
  </si>
  <si>
    <t>Categories 1,2,3,4,5,6 and 9 quantified per GRI 305-3; 5-year trend disclosed: 4,204.90 to 12,831.00 thousand tCO2 (FY22-23 to FY25-26); total Scope 3 1,28,31,001.90 t (FY25-26).</t>
  </si>
  <si>
    <t>—; p.20, 4964-4967</t>
  </si>
  <si>
    <t>SBTi-validated target: Scope 1 -27%, Scope 2 -69% per tonne cementitious by FY2032 (base FY2017); second Indian cement company to receive SBTi validation; interim progress reported (14.87% net Scope 1 reduction achieved as of FY25-26).</t>
  </si>
  <si>
    <t>Energy &amp; Climate Strategy; p.20-21, 5295-5320</t>
  </si>
  <si>
    <t>Multi-pronged strategy with named levers (CFD-based pyro-processing optimisation, clinker cooling fan redesign, renewable energy incl. round-the-clock hybrid RE, EP100 energy-productivity doubling achieved ahead of 2035, 49 CCTS-obligated units on positive compliance trajectory).</t>
  </si>
  <si>
    <t>R&amp;D section; p.6208</t>
  </si>
  <si>
    <t>Single-year, product-linked figure: Rs.26.95 crore invested in R&amp;D (FY25-26) explicitly tied to strengthening the 'sustainable product portfolio' (lower CO2, water intensity); broader Rs.16,000 crore capex is general capacity expansion, not decarbonisation-specific.</t>
  </si>
  <si>
    <t>CCTS Compliance section; p.5300-5310</t>
  </si>
  <si>
    <t>CCTS named and operationally specific: 49 obligated units, 'well positioned for compliance' citing RE adoption, AFR usage and efficiency gains as mitigants. CBAM referenced generically as a metric tracked; no quantified rupee exposure found.</t>
  </si>
  <si>
    <t>Internal Carbon Pricing (ICP); p.5234-5240</t>
  </si>
  <si>
    <t>Internal Carbon Pricing (ICP) mechanism with a defined shadow price of USD 30/tCO2e -- the highest ICP among all firms scored; explicitly applied in all CAPEX decisions across the company, standardised into ROI calculations.</t>
  </si>
  <si>
    <t>Climate Strategy &amp; Scenario Analysis; p.5010-5060</t>
  </si>
  <si>
    <t>Formal, quantified scenario analysis using four IPCC Representative Concentration Pathways (RCP 8.5, 6.0, 4.5, 2.6), TCFD-aligned, explicitly separating acute (floods, cyclones, droughts) and chronic (temperature, precipitation, water stress) physical risks; board-level quarterly governance oversight.</t>
  </si>
  <si>
    <t>BRSR Core Assurance; p.11351, 16279, 590</t>
  </si>
  <si>
    <t>'Reasonable Assurance of BRSR Core Indicators' explicitly stated; full Independent Assurance Statement included at p.590 of the report.</t>
  </si>
  <si>
    <t>BRSR Core; p.18521</t>
  </si>
  <si>
    <t>22% of input directly sourced from MSMEs/small producers (vs 16% prior year); job-creation-by-location wage split disclosed as a BRSR core indicator. No quantified reskilling or supplier-decarbonisation outcome tied to the transition specifically.</t>
  </si>
  <si>
    <t>Ambuja IR 2024-25</t>
  </si>
  <si>
    <t>BRSR Principle 6 Q7; p.14</t>
  </si>
  <si>
    <t>Scope 1: 14,756,978 t vs 15,286,295 t (prior year) / Scope 2: 485,448 t vs 589,017 t; per-turnover and PPP-adjusted intensity both reported; 'Reasonable assurance for BRSR Core and Limited [assurance] for remainder.'</t>
  </si>
  <si>
    <t>Decarbonisation Levers section; p.120</t>
  </si>
  <si>
    <t>Scope 3 addressed only qualitatively through named decarbonisation levers (supplier engagement, procurement policy, rail/sea transport shift); no aggregate tCO2 figure or category-level breakdown found in the report.</t>
  </si>
  <si>
    <t>Emission Reduction Targets 2030; p.119</t>
  </si>
  <si>
    <t>SBTi-validated target: combined Scope 1+2 intensity -21% by 2030 (base 2020); Scope 1 -20%, Scope 2 -43%; current FY24-25 performance explicitly reported against 2030 target (537 vs future target kg/t Scope 1; 17 kg/t Scope 2).</t>
  </si>
  <si>
    <t>Decarbonisation Levers; p.120</t>
  </si>
  <si>
    <t>Levers structured explicitly by scope (Scope 1: energy efficiency, AFR, clinker factor; Scope 2: renewables, WHRS, no new fossil captive power; Scope 3: supplier engagement, procurement policy, rail/sea transport); RDH zero-carbon heating partnership with Coolbrook.</t>
  </si>
  <si>
    <t>Adani Portfolio decarbonisation pledge; p.6</t>
  </si>
  <si>
    <t>No company-specific decarbonisation capex figure found; only the Adani Group's parent-level USD 100 billion decarbonisation pledge is cited, without an Ambuja-specific allocation.</t>
  </si>
  <si>
    <t>Climate Change Risk Assessment; p.119</t>
  </si>
  <si>
    <t>CCTS/RPO/PAT named as directly relevant with financial-penalty language ('future policies may introduce carbon pricing mechanisms, impacting operations and finances if targets are not met'); no quantified exposure figure found.</t>
  </si>
  <si>
    <t>Ambuja IR 2024-25 (reviewed)</t>
  </si>
  <si>
    <t>Formal, quantified scenario analysis using IPCC SSP1-2.6, SSP2-4.5 and SSP5-8.5 (Shared Socio-economic Pathways), covering short/medium/long-term timeframes, TCFD and IFRS S2 aligned; both physical and transition risks assessed.</t>
  </si>
  <si>
    <t>BRSR filing; p.13041</t>
  </si>
  <si>
    <t>'Type of the assurance obtained: Reasonable assurance for BRSR Core and Limited [assurance for remaining indicators]' -- explicit split matching SEBI's BRSR Core mandate, evidenced directly in the BRSR filing.</t>
  </si>
  <si>
    <t>BRSR Principle 8; p.14451</t>
  </si>
  <si>
    <t>23.99% of input directly sourced from MSMEs/small producers; job-creation-by-location wage split disclosed. Programmes are specific but not linked to decarbonisation reskilling outcomes.</t>
  </si>
  <si>
    <t>JSW Cement IAR 2025-26</t>
  </si>
  <si>
    <t>BRSR Principle 6 Q7; p.8384</t>
  </si>
  <si>
    <t>Scope 1: 3,241,140.4 t vs 2,748,409.90 t (prior year) / Scope 2: 370,291.60 t vs 333,395.10 t; per-turnover and PPP-adjusted intensity reported; 'Type of Assessment or Assurance obtained: Reasonable Assurance.'</t>
  </si>
  <si>
    <t>BRSR Q2; p.8472</t>
  </si>
  <si>
    <t>Aggregate Scope 3 total disclosed as a 5-year trend (6,78,680 to 18,76,121.8 tCO2e) but no category-level breakdown found; SBTi target explicitly covers only Scope 3 Category 1 (Purchased Goods).</t>
  </si>
  <si>
    <t>SBTi Commitment and Progress; p.74</t>
  </si>
  <si>
    <t>SBTi-validated target: combined Scope 1+2 intensity -32.9% by FY2034-35 (base FY2023-24, 274 kg CO2/tcm); FY25-26 performance transparently reported as 278 kg CO2/tcm -- above the required trajectory, with the report explicitly acknowledging it is behind target.</t>
  </si>
  <si>
    <t>Strategy &amp; SBTi Progress; p.2, 3660-3712</t>
  </si>
  <si>
    <t>Levers named (clinker substitution via GGBS leadership, clean energy, energy-efficient grinding, AFR co-processing at Nandyal/Shiva, planned chlorine bypass system, low-carbon product development); green cementitious products already 80% of volumes sold.</t>
  </si>
  <si>
    <t>Not found in sections reviewed; p.—</t>
  </si>
  <si>
    <t>No decarbonisation-specific capex figure identified in the report; general capex/R&amp;D disclosures are not broken out by sustainability purpose.</t>
  </si>
  <si>
    <t>Risk Management; p.8553, 1726</t>
  </si>
  <si>
    <t>CCTS named as a preparation-stage requirement ('in the process of preparing to comply,' 'progressed CCTS-readiness'); no CBAM mention found anywhere in the report; no quantified exposure figure found.</t>
  </si>
  <si>
    <t>JSW Cement IAR 2025-26 (reviewed)</t>
  </si>
  <si>
    <t>Climate Risk Assessment; p.74</t>
  </si>
  <si>
    <t>Scenario analysis conducted using 'a combination of qualitative and quantitative methods,' TCFD-aligned, covering own operations, upstream and downstream value chain; no named formal scenario framework (e.g., SSP/RCP) identified, less granular than peers.</t>
  </si>
  <si>
    <t>BRSR filing; p.7386</t>
  </si>
  <si>
    <t>'Type of Assessment or Assurance obtained: Reasonable Assurance' explicitly stated in the BRSR filing; assurance methodology (sample verification) also disclosed.</t>
  </si>
  <si>
    <t>BRSR Core Assurance Table; p.8791</t>
  </si>
  <si>
    <t>MSME/Indian Sourcing tracked and independently assured as a BRSR Core indicator (Principle 8, Question 5); exact sourcing percentage not located in the sections reviewed, but the metric's inclusion in the assurance scope signals active monitoring.</t>
  </si>
  <si>
    <t>Scope 1 and Scope 2 rows left blank, with the note that this source emission data calculation "shall be initiated this year onwards"; assurance = No. Energy consumption is disclosed but no GHG figures anywhere in the filing. Source: P6 Essential Q6, p. 26; energy at P6 EI Q1, p. 24 and P6 LI Q1, p. 28.</t>
  </si>
  <si>
    <t>Scope 3 rows blank, same forward-looking note; assurance = "Not Applicable". No statement anywhere that Scope 3 is relevant or material to the business. Source: P6 Leadership Q4, p. 30.</t>
  </si>
  <si>
    <t>The only target disclosed is commercial: an order book of Rs 28,000 cr by end-2026. GHG-reduction projects answered "No". No emissions, intensity, renewable or net-zero target anywhere. Source: Sec B Q5-6, p. 8; P6 EI Q7, p. 27.</t>
  </si>
  <si>
    <t>Director's statement says climate change and evolving regulation have put ESG "at the core of our business strategy" - generic intent. A cleaner-plant list exists (electric hoists/cranes, CNG assets, CPCB-IV DG sets, CPCB-VI vehicles) but the company answers "No" to GHG-reduction projects and "N.A." to P6 leadership initiatives, so the equipment is not presented as a climate plan. Source: Sec B Q7, p. 8; P2 EI Q1, p. 12; P6 EI Q7, p. 27; P6 LI Q6, p. 31.</t>
  </si>
  <si>
    <t>73.87% of R&amp;D/capex (68.66% prior year) in technologies improving environmental and social impacts, itemised: electric/CNG plant, dust collectors, CPCB-IV DG sets, CPCB-VI vehicles. Share disclosed; no forward commitment or allocation. Source: P2 EI Q1, p. 12.</t>
  </si>
  <si>
    <t>No mention of carbon pricing, CCTS, CBAM or carbon credits. The material-issues table lists seven issues, none climate or regulatory. "Evolving regulations" in Sec B Q7 is generic ESG language. Source: Sec A Q24, p. 6; Sec B Q7, p. 8.</t>
  </si>
  <si>
    <t>Not mentioned. Source: Whole filing.</t>
  </si>
  <si>
    <t>No climate risk listed in the material-issues table. Business continuity / disaster plan answered "NA". No climate risks identified and no scenarios. Source: Sec A Q24, p. 6; P6 LI Q7, p. 31.</t>
  </si>
  <si>
    <t>No independent assessment; "effectiveness of the BRSR policies has been examined internally." Every Principle 6 assurance note = No; Scope 3 = NA. No BRSR Core assurance report in the filing. Source: Sec B Q11, p. 9; P6 notes pp. 25-28, p. 30.</t>
  </si>
  <si>
    <t>Workforce: 25 skill programmes, &gt;8,500 youth/yr; skill-upgradation training 1,677 employees and 16,969 workers; transition-assistance programmes = Yes (no detail). Suppliers: Supplier Code of Conduct, annual supplier sustainability assessments, 650+ supply-chain partners trained in two years; 10% of inputs direct from MSMEs (8% prior year); no preferential procurement policy. Source: Sec A Q24 item 7, p. 6; P3 EI Q8, p. 16; P3 LI Q4, p. 19; P2 EI Q2, p. 13; P8 EI Q4 and LI Q3, p. 32.</t>
  </si>
  <si>
    <t>Qualitative mention only; explicitly noted: 'This Source emission data calculation shall be initiated this year onwards.' Source: BRSR Report, Page 26, Section C, Principle 6, Essential Q6.</t>
  </si>
  <si>
    <t>Acknowledged as relevant; noted: 'This Source emission data calculation shall be initiated this year onwards.' Source: BRSR Report, Page 30, Section C, Principle 6, Leadership Q4.</t>
  </si>
  <si>
    <t>No GHG emission reduction target or baseline specified; commitments limited to financial turnover/order book targets. Source: BRSR Report, Page 8, 26, Section B, Q5; Section C, P6 E7.</t>
  </si>
  <si>
    <t>Generic intent stated (replacement of old equipment, shifting to electric/CNG assets, and CPCB-IV/VI compliance). Source: BRSR Report, Page 12, Section C, Principle 2, Essential Q1.</t>
  </si>
  <si>
    <t>Disclosed Capex share: 73.87% of Capex/R&amp;D investments dedicated to environmental and social improvements. Source: BRSR Report, Page 12, Section C, Principle 2, Essential Q1.</t>
  </si>
  <si>
    <t>Not addressed or mentioned anywhere in the filing. Source: BRSR Report, Page 6, 24-30, Section A, Item 24; Section C, P6.</t>
  </si>
  <si>
    <t>Not used / not disclosed. Source: BRSR Report, Page 24-30, Section C, Principle 6.</t>
  </si>
  <si>
    <t>No climate-related risk scenario analysis conducted. Source: BRSR Report, Page 6, 26-31, Section A, Item 24; Section C, P6.</t>
  </si>
  <si>
    <t>Internal review only; report explicitly marks 'No' for independent assessment by an external agency. Source: BRSR Report, Page 9, 26, Section B, Q11; Section C, P6 E6 Note.</t>
  </si>
  <si>
    <t>10% input sourced from MSMEs; 25 skill training programs trained 8,500+ youth annually. Source: BRSR Report, Page 6, 16, 32, Section A, Item 24; P3 E8; P8 E4.</t>
  </si>
  <si>
    <t>Scope 1 4,874.62 tCO2e (FY25: 4,059.31); Scope 2 96,315.94 (88,414.34); intensity 17.13 vs 17.46 tCO2e/Rs cr PPP-adjusted and 0.35 vs 0.37 tCO2e/MT; the increase is explained (Ghiloth and Kanpur additions, Hyderabad full-year). Reporting boundary stated. Reasonably assured. No emission-factor methodology or gas break-up. Source: P6 EI Q7, p. 28; boundary at Sec A Q13, p. 1; assurance Annexure 1, p. 38.</t>
  </si>
  <si>
    <t>No Scope 3 table anywhere. Relevance is acknowledged through the group target "Carbon Neutrality (Scope 1, 2 &amp; 3) by 2035" and supply-chain climate risk in the material-issues table. Not quantified. Source: Sec B Q5, p. 8; Sec A Q26 item 4, p. 5; P6 leadership indicators pp. 30-31.</t>
  </si>
  <si>
    <t>100% renewable electricity by 2040; carbon neutrality (Scope 1, 2, 3) by 2035; net zero by 2050. Target years given but no base year, and the targets are absolute/neutrality rather than intensity. Progress against group targets is explicitly not reported in the BRSR (deferred to the consolidated Sustainability Report). Source: Sec B Q5, pp. 7-8; Sec B Q6, p. 8.</t>
  </si>
  <si>
    <t>Climate Action Policy; 7 MW solar/wind initiative and 39% rise in renewable generation; renewable energy 1,19,241 GJ, about 17% of 6,86,177 GJ total; efficiency projects including a Smart PO panel (~7,200 kWh/month); green buildings / GREENCO / LEED; mitigation described as "emission reduction strategies, set targets, carbon trading". No integrated plan with quantified levers, timelines or capex. Source: Sec B Q1c, p. 7; Sec B Q7, p. 9; P6 EI Q1, p. 25; P6 LI Q2, p. 30; P6 EI Q8, p. 28; Sec A Q26, pp. 4-5.</t>
  </si>
  <si>
    <t>Capex in environment/social-improving technologies 1% (FY25: 0.90%) of total capex - LED replacement explicitly to lower Scope 2, plus percolation wells; R&amp;D 0%. Share disclosed; no forward committed amounts. Source: P2 EI Q1, p. 13.</t>
  </si>
  <si>
    <t>Material-issues table refers to participating in "carbon trading schemes", "opportunities for carbon credits" and implications of "compliance costs / carbon credits" - but neither CCTS nor CBAM is named. Exports only 2% of turnover. Green credits: none. Source: Sec A Q26 item 4, p. 5; Sec A Q19b, p. 2; P6 LI Q6, p. 31.</t>
  </si>
  <si>
    <t>Climate change and emissions listed as a risk and opportunity (raw-material and supply-chain disruption). No scenarios. The BCP / disaster-recovery plan is IT and emergency response, not climate. Source: Sec A Q26 item 4, p. 5; P6 LI Q3, p. 30.</t>
  </si>
  <si>
    <t>M/s Hetal J Shah &amp; Co., "Reasonable Assurance on BRSR Core". Independent Practitioner's Reasonable Assurance Report (SSAE 3000, SAE 3410, dated 18 May 2026), unqualified opinion; Annexure 1 lists all BRSR Core KPIs including Scope 1, Scope 2, intensity, energy, water and waste. Source: Sec A Q14-15, p. 1; assurance report pp. 36-37; Annexure 1, p. 38.</t>
  </si>
  <si>
    <t>Workforce: skills-upgradation training 4,334 employees (89%) and 4,837 workers (76%); transition-assistance programmes in place. Suppliers/MSME: Supplier Code of Conduct, 54.76% of inputs sustainably sourced; 24.65% of inputs direct from MSMEs (assured); rural/semi-urban wage shares disclosed. No value-chain assessments; nothing framed as transition-related. Source: P3 EI Q8, pp. 16-17; P3 LI Q3, p. 19; P2 EI Q2, p. 13; P8 EI Q4-Q5, p. 32; P3 LI Q4, p. 19; P6 LI Q5, p. 31.</t>
  </si>
  <si>
    <t>Multi-year figures disclosed (Scope 1: 4,874.62 tCO2e, Scope 2: 96,315.94 tCO2e) with turnover and physical intensities across 18 manufacturing plants. Source: BRSR Report, Page 1, 28, Section A, Q13; Section C, P6 E7.</t>
  </si>
  <si>
    <t>Acknowledged in net zero targets (Carbon Neutrality Scope 1, 2 &amp; 3 by 2035), but specific categories are not quantified. Source: BRSR Report, Page 8, Section B, Question 5.</t>
  </si>
  <si>
    <t>Target with defined target years: Net-Zero by 2050 and Carbon Neutrality by 2035 across scopes. Source: BRSR Report, Page 7-8, Section B, Question 5.</t>
  </si>
  <si>
    <t>Plan with named levers: 100% renewable electricity by 2040, 7 MW solar/wind projects, and GreenCo/LEED certified facilities. Source: BRSR Report, Page 7-9, 28, Section B, Q5, Q7; Section C, P6 E8.</t>
  </si>
  <si>
    <t>Disclosed Capex share: 1.00% in FY26 (0.90% in FY25) invested in LED fixtures, solar/wind, and percolation wells. Source: BRSR Report, Page 13, Section C, Principle 2, Essential Q1.</t>
  </si>
  <si>
    <t>Generic regulatory risk mention: exploring carbon trading schemes and carbon credit opportunities. Source: BRSR Report, Page 5, Section A, Item 26 (Material Issue 4).</t>
  </si>
  <si>
    <t>Not used / not disclosed. Source: BRSR Report, Page 25-31, Section C, Principle 6.</t>
  </si>
  <si>
    <t>Climate change listed as material risk/opportunity, but no formal scenario analysis modeling is disclosed. Source: BRSR Report, Page 5, 25-31, Section A, Item 26; Section C, P6.</t>
  </si>
  <si>
    <t>Reasonable assurance on BRSR Core KPIs by independent auditor M/s Hetal J Shah &amp; Co. under SSAE 3000 &amp; SAE 3410. Source: BRSR Report, Page 1, 36-38, Section A, Q14-15; Reasonable Assurance Report.</t>
  </si>
  <si>
    <t>24.65% inputs sourced from MSMEs; 81% workers covered in technical and safety upskilling programs. Source: BRSR Report, Page 10-11, 16, 32, Section C, P1 E1, P3 E8, P8 E4.</t>
  </si>
  <si>
    <t>Scope 1 2,052.10 MTCO2e (FY24: 3,396.13); Scope 2 887.04 (881.82, restated); intensity 0.003 MT/Rs lakh (0.005) and 0.007 MT/million $ PPP (0.01). Footnote states Scope 2 methodology was revised per the GHG Protocol with the prior year restated, and that CEA emission factors were applied in both years. Boundary stated and narrowed in the Notes (excludes sub-contractors). Assurance = No. Source: P6 EI Q7 and footnote, p. 31; Sec A Q13, p. 2; Notes to BRSR, p. 41.</t>
  </si>
  <si>
    <t>All Scope 3 rows shown as "-" for both years; assurance note NA. No statement anywhere that Scope 3 is relevant or material. Source: P6 LI Q2, p. 34.</t>
  </si>
  <si>
    <t>Targets disclosed are ISO 26000/20400/37001/45001 implementation, mandatory sustainability features in future projects, and all future government buildings GRIHA-compliant by 2026. No emissions or intensity target. GHG projects are described but with no target attached. Source: Sec B Q5, p. 10; P6 EI Q8, p. 31.</t>
  </si>
  <si>
    <t>Zero Waste, Dual Piping, Rainwater Harvesting, Solar, Smart Metering and LED made mandatory in all future projects, plus the GRIHA-by-2026 commitment. Climate mitigation approach described as energy management practices, regular energy audits, renewable energy, and GHG monitoring and reporting. Solar, LED and smart metering implemented at planning and execution stage. Named levers; no quantified lever contributions, timelines or capex. Source: Sec B Q5, p. 10; Sec A Q26 item 1, p. 7; P6 EI Q8, p. 31.</t>
  </si>
  <si>
    <t>R&amp;D 100% (FY24: 100%) in technologies improving environmental and social impacts, with Rs 14.94 Cr itemised across 15 named research projects (UHPFRC mix design, GGBS construction, eco-friendly heat-reflective bricks, "R&amp;D opportunities in net-zero carbon built environment" - SPA Delhi). Capex NIL in both years. Amount and share disclosed; no forward commitment. Source: P2 EI Q1, pp. 16-17.</t>
  </si>
  <si>
    <t>No mention of carbon pricing, CCTS, CBAM or carbon credits. Not a PAT designated consumer. Green credits NA. Exports 4.59% of turnover. Source: P6 EI Q2, p. 31; P6 LI Q8, p. 34; Sec A Q19b, p. 3.</t>
  </si>
  <si>
    <t>Climate Change listed as a material risk with rationale (GHG contribution, building durability, changing weather patterns affecting energy use and design) and a "Negative financial implication" that is not quantified. No scenarios. The company states it has no dedicated Business Continuity Plan, only a generic risk framework. Source: Sec A Q26 item 1, p. 7; P6 LI Q5, p. 34.</t>
  </si>
  <si>
    <t>Assurance provider and type both "Not applicable / NA". Every Principle 6 assurance note = No. An independent assessment of the working of its policies was carried out by M/s VMC Management Consulting Pvt. Ltd. - policy evaluation, not assurance of ESG data. No BRSR Core assurance report. Source: Sec A Q14-15, p. 2; P6 notes pp. 29-34; Sec B Q11, p. 11.</t>
  </si>
  <si>
    <t>Workforce: skill-upgradation training 624 employees (65.14%) and 0 workers; transition-assistance programmes = Yes (retirement/termination, no detail). Suppliers/MSME: Sustainable Procurement Policy, SOP and Supplier Code of Conduct aligned to ISO 20400; 92.80% of inputs from MSMEs (FY24: 73.00%), Rs 11.66 Cr including Rs 0.99 Cr SC/ST-owned and Rs 4.61 Cr women-owned; preferential procurement policy with a 25% target (4% SC/ST, 3% women); 11 value-chain awareness programmes covering 21.21% of partners by value. Source: P3 EI Q8, p. 23; P3 LI Q4, p. 24; P2 EI Q2, p. 17; P8 LI Q3, p. 36; P2 LI Q1, p. 16.</t>
  </si>
  <si>
    <t>Multi-year Scope 1 (2,052.10 tCO2e) and Scope 2 (887.04 tCO2e) disclosed with turnover/PPP intensities and CEA grid emission factor methodologies. Source: BRSR Report, Page 31, Section C, Principle 6, Essential Q7.</t>
  </si>
  <si>
    <t>Not estimated / reported. Source: BRSR Report, Page 34, Section C, Principle 6, Leadership Q2.</t>
  </si>
  <si>
    <t>Committed to making all future government buildings GRIHA-compliant by 2026; lacks base-year emission-intensity metrics. Source: BRSR Report, Page 9, Section B, Question 5.</t>
  </si>
  <si>
    <t>Plan with named levers: mandatory zero waste, dual piping, rainwater harvesting, solar energy, smart metering, and LED fixtures across major redevelopment projects. Source: BRSR Report, Page 9, 31, Section B, Q5; Section C, P6 E8.</t>
  </si>
  <si>
    <t>Disclosed ₹14.94 Crore R&amp;D capital expenditure allocated across 17 sustainable construction, low-carbon concrete, and climate resilience projects with IITs/NITs. Source: BRSR Report, Page 16-17, Section C, Principle 2, Essential Q1.</t>
  </si>
  <si>
    <t>Generic regulatory risk mention under climate change material risks. Source: BRSR Report, Page 6, Section A, Item 26 (Material Issue 1).</t>
  </si>
  <si>
    <t>Not used / not disclosed. Source: BRSR Report, Page 29-34, Section C, Principle 6.</t>
  </si>
  <si>
    <t>Risks listed on building durability, weather patterns, and maintenance, but no scenario modeling conducted. Source: BRSR Report, Page 6, Section A, Item 26 (Material Issue 1).</t>
  </si>
  <si>
    <t>Independent assessment of policy workings by M/s VMC Management Consulting Pvt. Ltd., but no external assurance on BRSR Core emission metrics. Source: BRSR Report, Page 2, 10, 31, Section A, Q14-15; Section B, Q11; P6 E7 Note.</t>
  </si>
  <si>
    <t>92.80% (₹11.66 Cr) inputs sourced from MSMEs with dedicated quotas (4% SC/ST, 3% Women); extensive CSR infrastructure for vulnerable groups across aspirational districts. Source: BRSR Report, Page 17, 36, 37-38, Section C, P2 E2b, P8 E4, P8 L6.</t>
  </si>
  <si>
    <t>Scope 1 4,37,311 tCO2e (FY24: 4,13,590, restated); Scope 2 1,87,602 (1,80,393); intensity per turnover 0.000013, PPP-adjusted 0.00028, and per physical output 0.0071 tCO2e/sqm (0.0074). Multi-year, restated on recalculation, consolidated boundary stated. No emission-factor methodology or gas break-up; assurance = No. Source: P6 EI Q7, p. 27; boundary at Sec A Q13, p. 1.</t>
  </si>
  <si>
    <t>Scope 3 emissions, intensity and per-turnover all reported as "Not estimated" for both years. No statement that Scope 3 is relevant or material. Source: P6 LI Q2, p. 31.</t>
  </si>
  <si>
    <t>No target with a defined timeline. Sec B Q5 gives a generic ESG integration statement ("minimising our environmental footprint"); Sec B Q6 simply cross-refers performance to the report; the director's statement is generic. No emissions, intensity, renewable or net-zero target anywhere. Source: Sec B Q5-Q6, p. 6; Sec B Q7, p. 7.</t>
  </si>
  <si>
    <t>Explicit "Yes" to GHG-reduction projects with four named levers: biomass as kiln fuel; solar panels plus third-party PPAs and group captive renewable electricity; energy-efficient technology; electric forklifts. Five initiatives tabulated, three with the outcome recorded as "Lowering GHG emissions of the Company". Renewable energy 19,43,438 GJ of 89,64,217 GJ total (21.7%, up from 18.1%). ISO 50001 certified. No target, timeline, capex or quantified lever contribution. Source: P6 EI Q8, p. 27; P6 LI Q4, p. 31; P6 EI Q1, pp. 24-25; Sec B Q4, p. 6.</t>
  </si>
  <si>
    <t>R&amp;D Nil and Capex Nil in both years, but the narrative describes solar installations, PPAs, group captive arrangements and structural modifications for biomass ("in the past"). Mentioned without amounts. Source: P2 EI Q1, p. 12.</t>
  </si>
  <si>
    <t>No mention of carbon pricing, carbon credits, CCTS or CBAM anywhere. Not a PAT designated consumer. Green credits Nil. Exports 1.08% of turnover. Source: P6 EI Q2, p. 25; P6 LI Q8, p. 32; Sec A Q19b, p. 2.</t>
  </si>
  <si>
    <t>The entire material-issues table is replaced by "Refer materiality assessment section in Integrated Annual Report" - no material issue, rationale, mitigation approach or financial implication is disclosed in the BRSR. No climate risk stated elsewhere. The business continuity / disaster plan is operational (mock drills, downtime, emergency response), not climate. Source: Sec A Q26, p. 5; P6 LI Q5, p. 32.</t>
  </si>
  <si>
    <t>Assurance provider and type both "Not applicable". Sec B Q11: "We have not carried out independent audit / evaluation of working of the BR Policy by an internal or external agency as of now" - internal control procedures only. Every Principle 6 note reads "No Independent assessment/ evaluation/ assurance was carried out for the reporting period." Source: Sec A Q14-15, p. 1; Sec B Q11, p. 11; P6 notes pp. 24-32.</t>
  </si>
  <si>
    <t>Workforce: skill-upgradation training 268 male employees (11%) and 0 female employees - the mandatory table only; "As of now we do not have transition assistance programs". Suppliers: sustainable sourcing described aspirationally, "at present we are not tracking the percentage of inputs sourced sustainably"; no supplier code of conduct and no supplier training count; no value-chain assessments, only an expectation statement. MSMEs 36% of inputs (FY24: 30%). "We do not have a preferential procurement policy". CSR beneficiaries deferred to the Director's Report. Mandatory data fields only - no identifiable workforce or supplier programme. Source: P3 EI Q8, p. 18; P3 LI Q4, p. 19; P2 EI Q2, p. 12; P3 LI Q5 and P6 LI Q7, pp. 19 and 32; P8 EI Q4, p. 34; P8 LI Q3 and Q6, p. 34.</t>
  </si>
  <si>
    <t>Multi-year Scope 1 (4,37,311 tCO2e) and Scope 2 (1,87,602 tCO2e) with turnover, PPP, and physical intensity (0.0071 tCO2e/sqm). Source: BRSR Report, Page 27, Section C, Principle 6, Essential Q7.</t>
  </si>
  <si>
    <t>Explicitly marked 'Not estimated' across all parameters. Source: BRSR Report, Page 31, Section C, Principle 6, Leadership Q2.</t>
  </si>
  <si>
    <t>Aspirational statement to integrate ESG and reduce environmental footprint; lacks quantified targets with base/target years. Source: BRSR Report, Page 6, 27, Section B, Q5; Section C, P6 E8.</t>
  </si>
  <si>
    <t>Plan with named levers: biomass fuel in kilns, rooftop solar, third-party Power Purchase Agreements (PPAs), and electric forklifts. Source: BRSR Report, Page 12, 27, 31, Section C, P2 E1, P6 E8, P6 L4.</t>
  </si>
  <si>
    <t>Clean energy initiatives and biomass structural modifications mentioned qualitatively, but Capex % is reported as 'Nil'. Source: BRSR Report, Page 12, Section C, Principle 2, Essential Q1.</t>
  </si>
  <si>
    <t>Not addressed in the report. Source: BRSR Report, Page 5, 24-32, Section A, Item 26; Section C, P6.</t>
  </si>
  <si>
    <t>Not used / not disclosed. Source: BRSR Report, Page 24-32, Section C, Principle 6.</t>
  </si>
  <si>
    <t>No climate-related risk scenario analysis conducted. Source: BRSR Report, Page 5, 24-32, Section A, Item 26; Section C, P6.</t>
  </si>
  <si>
    <t>No independent evaluation or external assurance carried out for the reporting period. Source: BRSR Report, Page 1, 7, 25, Section A, Q14-15; Section B, Q11; P6 E1.</t>
  </si>
  <si>
    <t>36% inputs directly sourced from MSMEs; extensive health, safety, and operational training for 100% of workforce. Source: BRSR Report, Page 8-9, 16, 33, Section C, P1 E1, P3 E8, P8 E4.</t>
  </si>
  <si>
    <t>BRSR P6 EI Q6 answers "Refer our ESG Data book available on the company website - Final Data Book - IR 2026.xlsx" - no figures in the filing. IAR p. 105 gives Scope 1 and Scope 2 by segment for FY24, FY25 and FY26 plus Scope 1&amp;2 intensity (FY26: Residential 0.007, IC&amp;IC 0.421 tCO2e/sq.ft.). Inventory aligned to the GHG Protocol with base year 2018-19; boundary = 17 residential sites, 3 IC&amp;IC sites, HO Mumbai and 6 regional offices; limited assurance on the GHG inventory (ISAE 3410, ISO 14064-3, +/-5% uncertainty). BRSR-only basis: emissions discussed qualitatively but not quantified = 1. Source: BRSR P6 EI Q6, p. 322; IAR pp. 105, 43, 337, 350-354; Sec A Q24 item 3, p. 300.</t>
  </si>
  <si>
    <t>BRSR P6 LI Q4, p. 323 cross-refers to the data book with no figures. IAR p. 105 quantifies Scope 3 by segment for three years (Residential FY26 1,34,961.15 tCO2e) with intensity. IAR p. 43 names the categories and states Scope 3 is the majority of the footprint. The GHG assurance statement lists eight GHG Protocol categories verified: 1, 4, 5, 6, 7, 8, 11 and 13. BRSR-only basis: relevance acknowledged (Sec A Q24 item 1 "Higher scope 3 emission"; SBT covering Scope 3) but not quantified = 1. Source: BRSR P6 LI Q4, p. 323; IAR pp. 105, 43, 351; Sec A Q24 item 1, p. 300; Sec B Q5, p. 303.</t>
  </si>
  <si>
    <t>SBTi-approved, 1.5C-aligned: 63% reduction in Scope 1 and 2 and 20% reduction in Scope 3 by 2033 from a 2018 base year, as an interim milestone toward Scope 1&amp;2 carbon neutrality by 2040; approved 2019. IAR p. 106 "Roadmap Progress" tabulates target emissions, base-year emissions and FY26 status per business unit (MWC Chennai 771.56 tCO2e, -67.92%; MWC Jaipur -22.83%; Residential Scope 3 -78.37%). BRSR-only basis: Sec B Q5 gives 2040 carbon neutrality, Net Zero 2030 and "SBT as enabler" with no base year and no reduction percentage, progress deferred to IAR p. 25 = 2. Source: IAR pp. 37, 43, 106; BRSR Sec B Q5-Q6, p. 303.</t>
  </si>
  <si>
    <t>Carbon neutrality and emission-reduction action plan approved by the MD &amp; CEO, plus a 5-year sustainability roadmap 2025-2030 covering both businesses; mitigation strategy structured as demand reduction, energy efficiency, renewable energy and carbon sequestration. Named levers with outcomes: GFRP rebar pilot at Mahindra Citadel; Bio-CNG plant and dual-fuel DG conversion at MWC Chennai (50% diesel reduction); 51.66 tCO2e avoided via material optimisation. No capex disclosed for any lever and no per-lever contribution to the 2033 target. Source: BRSR P6 EI Q7, p. 322; IAR pp. 105-106.</t>
  </si>
  <si>
    <t>Capex 00 lakhs (FY25: 00 lakhs) and R&amp;D 00 lakhs (FY25: 25 lakhs), with the "details of improvements" column left blank. Decarbonisation spending is described elsewhere (solar, Bio-CNG plant, MTCoE R&amp;D lab, GFRP pilot) but with no amounts - only savings (Rs 3.72 lakhs/yr fuel, Rs 38.29 lakhs/yr material). Source: BRSR P2 EI Q1, p. 308; IAR pp. 105-106.</t>
  </si>
  <si>
    <t>No mention of carbon pricing, CCTS, CBAM, carbon credits or carbon markets anywhere in the document. IAR p. 23 defines transition risks as "financial and operational implications associated with the shift to a low-carbon economy, including the adoption of new technologies and evolving regulatory expectations" - generic regulatory-risk language. PAT not applicable. Carbon offsets referenced as a neutrality mechanism, which is an offtake rather than a price. BRSR-only basis: transition risk does not appear in the Sec A Q24 table = 0. Source: IAR p. 23; BRSR P6 EI Q2 and Q7, p. 322; Sec A Q24, pp. 300-301.</t>
  </si>
  <si>
    <t>Not mentioned. No internal carbon price, shadow price or carbon-adjusted hurdle rate anywhere in the 350+ page report. Source: Whole document.</t>
  </si>
  <si>
    <t>TCFD signatory; risks split into physical and transition; "climate scenario analysis covering both physical and transition risks" including flood modelling, thermal comfort analysis and evaluation of low-carbon economic pathways; resilience evaluated under two named scenarios - Paris-aligned (1.5C by 2100) and business-as-usual (4C by 2100). Worked physical-risk example: Happinest Kalyan 2 flood mitigation (site raised 4.1 m to 5.4 m, RE wall, approach road raised). No published quantified financial impact - the BRSR says environmental risk is held "in our ESG risk register with financial quantification" but the numbers are not disclosed. BRSR-only basis: neither TCFD nor scenarios appear inside pp. 294-335; climate-adjacent risk listed at Sec A Q24 item 3 = 1. Source: IAR p. 23; BRSR P6 LI Q8, p. 324; Sec A Q24 item 3, p. 300.</t>
  </si>
  <si>
    <t>Bureau Veritas Independent Assurance Statement: Reasonable Assurance on BRSR Core, limited assurance on selected GRI disclosures and on the GHG inventory; ISAE 3000 (Revised) and ISAE 3410 plus AA1000AS v3; boundary and eight physically or virtually verified sites listed; assurance conducted April-June 2026; BRSR Core KPIs cross-referenced in Annexure I. Separate GHG assurance statement at pp. 350-354. BRSR-only basis: Section A omits the assurance-provider and assurance-type questions entirely (numbering runs 13 to 14 business activities) and assurance is referenced only in passing = 2. Source: IAR pp. 336-341 and 350-354; BRSR Sec A pp. 294-295; BRSR P6 EI Q12, p. 323.</t>
  </si>
  <si>
    <t>Suppliers: of those completing ESG self-assessments, "over 73% have implemented measures for water and waste reduction and integrated renewable energy into their operations"; Green Supply Chain Management policy and Supplier/Contractor Code of Conduct embedded in general contractual conditions and mandatory for all partners, with capacity building; the material-issues table names GSCM policy, Code of Conduct and capacity building as the mitigation for "higher Scope 3 emission" with "reduced Scope 3 emissions" as the stated positive implication; 100% of suppliers and contractors covered by awareness programmes, 5,580+ workers trained. Workforce: Mission BOCW with Jan Sahas under the Migrants Resilience Collaborative since 2022, five-stage engagement model for migrant construction workers' access to social-security entitlements; 56% of workers received welfare benefits; worker human-rights assessments piloted at 3 sites. Counterweight: "there are no transition assistance programs". Source: BRSR P5 LI Q5, pp. 320-321; Sec A Q24 item 1, p. 300; P2 LI Q1, p. 307; IAR pp. 157 and 160; BRSR P5, p. 314; P3 LI Q4, p. 314.</t>
  </si>
  <si>
    <t>Multi-year Scope 1 &amp; 2 across Residential (1,973.89 / 871.29 tCO2e) and IC&amp;IC (186.40 / 1,505.61 tCO2e) with GHG Protocol methodology and intensity per sq.ft./acre. Source: Integrated Report, Page 104, 105, Natural Capital, GHG Inventory &amp; GRI 305-1/2/4.</t>
  </si>
  <si>
    <t>Multi-year Scope 3 quantified across purchased goods, commute, travel, construction, and use of sold products (Residential: 134,961 tCO2e; IC&amp;IC: 278,740 tCO2e). Source: Integrated Report, Page 101-105, Natural Capital, GRI 305-3/4 &amp; Action Plan.</t>
  </si>
  <si>
    <t>Approved 1.5°C SBTi targets (63% Scope 1 &amp; 2, 20% Scope 3 reduction by 2033-34 from 2018-19 base year) with tracked interim progress percentages. Source: Integrated Report, Page 27, 43, 106, Corporate Overview, SDG Table &amp; GRI 305-5.</t>
  </si>
  <si>
    <t>Quantified 3-horizon roadmap (2020-25, 2025-30, 2030-40) with named levers: CRD, GFRP rebar, onsite solar, dual-fuel biogas DGs, and 100% Net Zero 2030 target. Source: Integrated Report, Page 43-44, 99-104, Sustainability Strategy &amp; Decarbonisation Levers.</t>
  </si>
  <si>
    <t>Quantified expenditure: ₹470 Lakhs on environmental initiatives, ₹980.5 Mn potential cost of response, and dedicated solar/rooftop capital allocations. Source: Integrated Report, Page 22, 30, 52, Risk Management &amp; Financial-Natural Interlinkage.</t>
  </si>
  <si>
    <t>TCFD-aligned emerging regulation and carbon tax transition risk quantified at ₹259-629 Mn under regulatory transition. Source: Integrated Report, Page 22, Risk Management, TCFD Risk Register.</t>
  </si>
  <si>
    <t>Not explicitly stated as operationalized. Source: Integrated Report, Page 21-24, 96-125, Natural Capital &amp; Risk Sections.</t>
  </si>
  <si>
    <t>Quantified TCFD physical and transition scenario modeling under Paris-aligned (1.5°C) and Business-as-Usual (4°C) with site-specific flood modeling (Walter P Moore study). Source: Integrated Report, Page 23, 24, Risk Management, Climate Scenario Analysis.</t>
  </si>
  <si>
    <t>Reasonable assurance on BRSR 9 Core Attributes by Bureau Veritas under ISAE 3000 (revised) and limited assurance under AA1000AS v3. Source: Integrated Report, Page 2, About Report, Independent Assurance Statement.</t>
  </si>
  <si>
    <t>Mission BOCW with Jan Sahas (2,870 construction workers enrolled, 1,329 received direct welfare benefits); 100% training on Decarbonisation Business Charter. Source: Integrated Report, Page 28, 42, 95, Sustainability Strategy &amp; Human Capital.</t>
  </si>
  <si>
    <t>FY2025-26 and FY2024-25 Scope 1, Scope 2 and intensity figures are reported; source types, consolidated boundary and GHG Protocol assurance criteria are stated. (Anchor met: 3 - Multi-year + method/boundary). Source: DLF Annual Report 2025-26, PDF pp. 38, 61, 70, BRSR General Disclosures; Principle 6; Assurance. URL: https://www.dlf.in/annual_docket/Annual-report-2025-26.pdf</t>
  </si>
  <si>
    <t>The report states it is building capability to monitor Scope 3 and that Scope 3 is not presently monitored; no categories or figures are disclosed. (Anchor met: 1 - Relevant, not quantified). Source: DLF Annual Report 2025-26, PDF p. 63, Principle 6 - Scope 3 leadership indicator. URL: https://www.dlf.in/annual_docket/Annual-report-2025-26.pdf</t>
  </si>
  <si>
    <t>DLF states an intent to lower GHG emissions/carbon intensity but its dated target table covers energy intensity, not an emissions-intensity target with base and target years. (Anchor met: 1 - Aspiration, no year). Source: DLF Annual Report 2025-26, PDF pp. 48, 61, Progress on targets; GHG reduction projects. URL: https://www.dlf.in/annual_docket/Annual-report-2025-26.pdf</t>
  </si>
  <si>
    <t>Actions include rooftop solar, PPAs, wind/open-access solar, LEDs, electric mobility, efficient HVAC and fuel switching. The report does not provide a quantified transition pathway with timelines and capex. (Anchor met: 2 - Named levers/actions). Source: DLF Annual Report 2025-26, PDF pp. 46, 61, Climate mitigation; Principle 6 - GHG projects. URL: https://www.dlf.in/annual_docket/Annual-report-2025-26.pdf</t>
  </si>
  <si>
    <t>Environmental/social capex is reported as 1.04% in FY2025-26 and 1.16% in FY2024-25 with examples such as efficient chillers, solar and waste equipment. (Anchor met: 2 - Share disclosed). Source: DLF Annual Report 2025-26, PDF p. 50, Principle 2 - R&amp;D and capex. URL: https://www.dlf.in/annual_docket/Annual-report-2025-26.pdf</t>
  </si>
  <si>
    <t>No CCTS, CBAM, carbon-pricing, carbon-tax or quantified exposure/pass-through discussion was found in the full report. (Anchor met: 0 - Not addressed). Source: DLF Annual Report 2025-26, N/A - full-report search, No disclosure found. URL: https://www.dlf.in/annual_docket/Annual-report-2025-26.pdf</t>
  </si>
  <si>
    <t>No internal or shadow carbon price is disclosed or described as being considered. (Anchor met: 0 - Not disclosed). Source: DLF Annual Report 2025-26, N/A - full-report search, No disclosure found. URL: https://www.dlf.in/annual_docket/Annual-report-2025-26.pdf</t>
  </si>
  <si>
    <t>A TCFD-recommended scenario analysis covers physical and transition risks across time horizons, but no quantified financial exposure is reported. (Anchor met: 2 - Qualitative scenario narrative). Source: DLF Annual Report 2025-26, PDF p. 45, Climate Change Risk Assessment. URL: https://www.dlf.in/annual_docket/Annual-report-2025-26.pdf</t>
  </si>
  <si>
    <t>SGS India provides reasonable assurance on BRSR Core indicators under ISAE 3000 and ISAE 3410. (Anchor met: 3 - Reasonable assurance). Source: DLF Annual Report 2025-26, PDF pp. 70-71, Independent Reasonable Assurance Statement. URL: https://www.dlf.in/annual_docket/Annual-report-2025-26.pdf</t>
  </si>
  <si>
    <t>Technical upskilling programmes and academies are described, and 23% of inputs are reported as sourced from MSMEs; no quantified reskilling or supplier-decarbonisation outcome is reported. (Anchor met: 2 - Specific workforce/supplier programme). Source: DLF Annual Report 2025-26, PDF pp. 66, 77, Principle 8; Human capital. URL: https://www.dlf.in/annual_docket/Annual-report-2025-26.pdf</t>
  </si>
  <si>
    <t>FY 2025-26 (per Word-report reconciliation)</t>
  </si>
  <si>
    <t>UPDATED per Climate_Disclosure_Rubric_Evaluation.docx: DLF BRSR FY2025-26, Section C, Principle 6, Essential Indicator 7, Page 40. Multi-year consolidated Scope 1 (27,728.57 tCO2e FY2025-26 vs 22,343.18 tCO2e FY2024-25) and Scope 2 location/market-based (1,63,181.34 tCO2e vs 1,52,168.43 tCO2e), consolidated boundary (subsidiaries/JVs/associates across development, rental, hospitality), GHG Protocol factors stated. Raised from 2 to 3 - the original Excel draft had this page not-located; the Word report supplies the specific page. Page number taken directly from the Word report; not independently re-verified against the raw PDF this session (PDF not available in this workspace) - recommend a quick manual check of p.40 before final submission.</t>
  </si>
  <si>
    <t>UPDATED per Climate_Disclosure_Rubric_Evaluation.docx: BRSR FY2025-26, Section C, Principle 6, Leadership Indicator 2, Page 45. Scope 3 acknowledged as relevant to the extended real estate value chain but reporting tables left blank ("-"); footnote states DLF is "in process of building the capability to monitor Scope 3 emissions for future reporting." Score unchanged at 1, but page number now supplied (was previously flagged as not-located).</t>
  </si>
  <si>
    <t>BRSR FY2025-26, Section B, Management and Process Disclosures, Table 3, Page 15 (Word report cites p.15; your prior Excel note cited p.15-16 for the same table - consistent). Formal target: -15% energy intensity per sq. ft. across rental portfolio by 2030 vs FY2019-20 baseline; current progress 0.0127 MWh/sq.ft. No explicit GHG emission-intensity target with interim milestones. UPDATED from 1 to 2: the Excel scorer's conservative '1' undercounted a genuine, dated energy-intensity target with base/target year, which the rubric's own reconciliation note (in the Word report) says merits a 2.</t>
  </si>
  <si>
    <t>UPDATED per Climate_Disclosure_Rubric_Evaluation.docx: BRSR FY2025-26, Section A.26, Pages 8-12; Section C, Principle 6, Essential Indicator 8, Pages 40-41. Transition plan with named levers: ~5 MW rooftop solar, open-access renewable PPAs (Cyber City Hyderabad 100% renewable, Cyber City Chennai 85%), ASHRAE 90.1-2010 design standard, green building certifications (42.40 msf LEED O+M, 8.75 msf BD+C). No quantified capex tied to milestones. Raised from 1 to 2 - named, dated levers meet the '2' anchor, not just generic intent.</t>
  </si>
  <si>
    <t>CONFIRMED (matches prior Excel correction) per Climate_Disclosure_Rubric_Evaluation.docx: BRSR FY2025-26, Section C, Principle 2, Essential Indicator 1, Page 19; Principle 6, Leadership Indicator 8, Page 48. Sustainability capex 1.04% of total capex FY2025-26 (chillers, VRV systems, STPs) vs 1.16% FY2024-25; 1,28,529 Green Credits procured, valued ₹12.80 crore. Score of 2 held.</t>
  </si>
  <si>
    <t>UPDATED per Climate_Disclosure_Rubric_Evaluation.docx: BRSR FY2025-26, Section A.26, Item 2, Page 8. Climate Change Risk Assessment (CCRA) names policy/legal risk from evolving emission compliance mandates generically; CCTS, CBAM, or pass-through financial analysis omitted. Raised from 0 to 1 - a generic regulatory-risk mention does exist and meets the '1' anchor; scoring it 0 in Excel was too conservative.</t>
  </si>
  <si>
    <t>CONFIRMED: no internal carbon pricing mechanism disclosed anywhere in the filing per Climate_Disclosure_Rubric_Evaluation.docx. Score of 0 held.</t>
  </si>
  <si>
    <t>CONFIRMED (matches prior Excel correction) per Climate_Disclosure_Rubric_Evaluation.docx: BRSR FY2025-26, Section A.26, Item 2, Pages 8-9. TCFD-grounded Climate Change Risk Assessment (CCRA) covering physical (flood, coastal flooding, heatwave, sea-level rise) and transition (policy, technology, market) risks across short/medium/long-term horizons; no quantified financial impact under specific IPCC pathways. Score of 2 held.</t>
  </si>
  <si>
    <t>CONFIRMED per Climate_Disclosure_Rubric_Evaluation.docx: BRSR FY2025-26, Independent Reasonable Assurance Statement, Pages 58-60. Reasonable Assurance on all BRSR Core indicators from SGS India Private Limited (ISAE 3000 Revised, ISAE 3410). Score of 3 held; page range now more specific (58-60) than the Excel draft's p.1 citation - both refer to the same assurance disclosure, p.1 being the summary table entry and p.58-60 the full statement.</t>
  </si>
  <si>
    <t>UPDATED per Climate_Disclosure_Rubric_Evaluation.docx: BRSR FY2025-26, Section C, Principle 1, Leadership Indicator 1, Page 18; Principle 8, Essential Indicator 4, Page 50; Pages 52-54. 23% of input materials sourced from MSMEs/small producers; HSE training covering 97% of value chain partners by business value; DLF Suvidha Kendras (migrant worker welfare access) and WISE program (skill training, 41 women). No quantified reskilling tied to a decarbonization transition plan. Raised from 1 to 2 - a specific, named workforce/supplier programme with figures meets the '2' anchor.</t>
  </si>
  <si>
    <t>Three-year Scope 1 and Scope 2 trends and intensity are reported; sources, market/location methods and a standalone BRSR boundary are stated. (Anchor met: 3 - Multi-year + method/boundary). Source: L&amp;T Integrated Annual Report 2025-26, PDF pp. 217-218, 348, 383-384, Natural Capital; BRSR General Disclosures and Principle 6. URL: https://investors.larsentoubro.com/pdf/2026/Integrated%20Report%202025-26.pdf</t>
  </si>
  <si>
    <t>Nine relevant/material GHG Protocol categories are quantified, including purchased goods/services; two-year totals and category values are disclosed with methodology references. (Anchor met: 3 - Material categories + method). Source: L&amp;T Integrated Annual Report 2025-26, PDF pp. 217, 388, Natural Capital - Scope 3; BRSR Principle 6. URL: https://investors.larsentoubro.com/pdf/2026/Integrated%20Report%202025-26.pdf</t>
  </si>
  <si>
    <t>Carbon neutrality by FY2040 uses FY2020-21 as baseline; the roadmap has short/medium/long horizons, target-versus-current intensity tracking and quantified progress. (Anchor met: 3 - Target + milestones + progress). Source: L&amp;T Integrated Annual Report 2025-26, PDF pp. 213, 215, Carbon Neutrality Strategy; Progress on Carbon Neutrality Path. URL: https://investors.larsentoubro.com/pdf/2026/Integrated%20Report%202025-26.pdf</t>
  </si>
  <si>
    <t>The FY2040 pathway attributes about 35% to efficiency, 55% to decarbonised energy and 10% to offsets; named actions are tied to short/medium/long horizons and current transition-related capex is disclosed. (Anchor met: 3 - Quantified levers, timelines and capex). Source: L&amp;T Integrated Annual Report 2025-26, PDF pp. 213-219, 363, Carbon Neutrality Strategy; GHG initiatives; BRSR capex. URL: https://investors.larsentoubro.com/pdf/2026/Integrated%20Report%202025-26.pdf</t>
  </si>
  <si>
    <t>Environmental/social capex is 2.7% or INR69.9 crore in FY2025-26 (2.8% or INR42.6 crore in FY2024-25), including efficient equipment and rooftop solar. No multi-year committed allocation is stated. (Anchor met: 2 - Amount/share disclosed). Source: L&amp;T Integrated Annual Report 2025-26, PDF p. 363, Principle 2 - R&amp;D and capex. URL: https://investors.larsentoubro.com/pdf/2026/Integrated%20Report%202025-26.pdf</t>
  </si>
  <si>
    <t>Domestic/international carbon tax and pricing are identified as transition risks affecting indirect costs and landed prices, with time-horizon risk ratings. Exposure is not quantified in currency. (Anchor met: 2 - Carbon pricing named). Source: L&amp;T Integrated Annual Report 2025-26, PDF pp. 237-239, Climate Risks and Opportunities. URL: https://investors.larsentoubro.com/pdf/2026/Integrated%20Report%202025-26.pdf</t>
  </si>
  <si>
    <t>A shadow carbon-pricing mechanism is listed as a recommended long-term adaptation measure, but no current use or price is disclosed. (Anchor met: 1 - Considering it). Source: L&amp;T Integrated Annual Report 2025-26, PDF p. 239, Facility climate-risk assessment. URL: https://investors.larsentoubro.com/pdf/2026/Integrated%20Report%202025-26.pdf</t>
  </si>
  <si>
    <t>TCFD-aligned analysis uses IPCC SSP/RCP and IEA STEPS/NZE scenarios across 2030, 2040 and 2050; two major facilities are modelled by a third party, but outputs are qualitative risk ratings rather than quantified financial exposure. (Anchor met: 2 - Qualitative/modelled scenario narrative). Source: L&amp;T Integrated Annual Report 2025-26, PDF pp. 236-239, Climate Scenario Analysis and Climate Risks. URL: https://investors.larsentoubro.com/pdf/2026/Integrated%20Report%202025-26.pdf</t>
  </si>
  <si>
    <t>BDO India provides reasonable assurance on BRSR Core indicators, including Scope 1, Scope 2 and GHG intensity. (Anchor met: 3 - Reasonable assurance). Source: L&amp;T Integrated Annual Report 2025-26, PDF pp. 348, 401-403, BRSR General Disclosures; Reasonable Assurance Report. URL: https://investors.larsentoubro.com/pdf/2026/Integrated%20Report%202025-26.pdf</t>
  </si>
  <si>
    <t>The report describes technical upskilling and supplier-capacity building; more than 1,200 Tier-I partners received training over three years and MSME participation is encouraged. No quantified reskilling or supplier-decarbonisation outcome is reported. (Anchor met: 2 - Specific workforce/supplier programme). Source: L&amp;T Integrated Annual Report 2025-26, PDF pp. 260, 363, 395, Human Capital; Sustainable sourcing; Principle 8. URL: https://investors.larsentoubro.com/pdf/2026/Integrated%20Report%202025-26.pdf</t>
  </si>
  <si>
    <t>CONFIRMED per Climate_Disclosure_Rubric_Evaluation.docx: Integrated Annual Report FY2025-26, BRSR Appendix 1, Page 402. Scope 1 (6,17,113 tCO2e FY2025-26 vs 6,03,953 tCO2e FY2024-25) and Scope 2 (2,89,920 vs 2,82,341 tCO2e); boundary covers all EPC sites, manufacturing complexes, corporate offices; GHG Protocol method. Score of 3 held. CROSS-CHECK FLAG: this page (402) sits inside the page range cited for I9's Reasonable Assurance Report (401-403) - plausible if the emissions annexure sits adjacent to the assurance statement in the report's appendix, but not independently confirmed against the primary PDF this session. Spot-check before relying on this for submission.</t>
  </si>
  <si>
    <t>CONFIRMED per Climate_Disclosure_Rubric_Evaluation.docx: BRSR Section C, Principle 6, Question 2, Page 374; Natural Capital section. Material Scope 3 categories quantified: purchased goods/services (structural steel, cement, embodied carbon), fuel/energy-related activities, upstream logistics; methodology and boundaries disclosed. Score of 3 held. CROSS-CHECK FLAG: Page 374 is also cited for I4 (Transition plan, BRSR Section C Principle 6) and I8 (Scenario analysis, BRSR Section C Principle 4) - three different disclosure items on the same page number is plausible in a dense tabular BRSR section but warrants a manual check against the primary PDF.</t>
  </si>
  <si>
    <t>CONFIRMED per Climate_Disclosure_Rubric_Evaluation.docx: Integrated Annual Report FY2025-26, Strategic Overview &amp; BRSR Section A.5, Pages 187, 362. Carbon Neutrality by 2040, Water Neutrality by 2035; interim milestone -30% GHG intensity by FY2025-26 vs FY2020-21 baseline, -32% achieved. Score of 3 held (matches Excel's prior figure of 8.7 to 5.9 tCO2e/Rs.Cr, consistent narrative).</t>
  </si>
  <si>
    <t>CONFIRMED per Climate_Disclosure_Rubric_Evaluation.docx: Material Topics Table, Page 187; BRSR Section C, Principle 6, Page 374 (see I2 cross-check flag above - same page cited for I2 and I8). Levers: biodiesel in construction equipment, process electrification, rooftop solar, green tariff procurement, ISO 50001 EnMS, green business portfolio (hydrogen, carbon capture, solar EPC) = 51% of revenue. Capex not fully itemized. Score of 2 held.</t>
  </si>
  <si>
    <t>UPDATED per Climate_Disclosure_Rubric_Evaluation.docx: BRSR Section C, Principle 2, Essential Indicator 1, Page 362. Green Capex ₹69.9 crore (2.7% of total capex) FY2025-26 vs ₹42.6 crore (2.8%) FY2024-25; environmental R&amp;D ₹4.8 crore (2.7% of total R&amp;D). Raised from 0 to 2 - actual disclosed capex figures exist; the Excel draft's search evidently missed them.</t>
  </si>
  <si>
    <t>UPDATED per Climate_Disclosure_Rubric_Evaluation.docx: Strategic Overview, Material Topic Table, Page 187. Climate transition risks named within the enterprise risk framework (regulatory compliance costs, carbon pricing mechanisms, market shifts) generically; CBAM/CCTS pass-through financial modeling omitted. Raised from 0 to 1 - a generic mention exists.</t>
  </si>
  <si>
    <t>CONFIRMED: no internal carbon pricing framework disclosed per Climate_Disclosure_Rubric_Evaluation.docx. Score of 0 held.</t>
  </si>
  <si>
    <t>UPDATED per Climate_Disclosure_Rubric_Evaluation.docx: BRSR Section C, Principle 4, Page 374 (see I2 cross-check flag - shared page with I2 and I4). Quantified, multi-horizon scenario assessment with third-party support at AMNHEC-Hazira and Kattupalli; IPCC SSPs/RCPs across 2030/2040/2050, IEA transition scenarios. Raised from 0 to 3 - this is the sector's most rigorous quantitative scenario disclosure and was missed entirely in the Excel draft.</t>
  </si>
  <si>
    <t>CONFIRMED per Climate_Disclosure_Rubric_Evaluation.docx: Integrated Annual Report FY2025-26, Reasonable Assurance Report, Pages 401-403. BDO India Services Private Limited, ISAE 3000 (Revised). Score of 3 held. See I1 cross-check flag for the page-402 overlap with this range.</t>
  </si>
  <si>
    <t>UPDATED per Climate_Disclosure_Rubric_Evaluation.docx: BRSR Section A.5, Page 362; Principle 1, Page 363; Principle 4, Page 375. Sustainable Supply Chain Policy/Code of Conduct; 5,974 safety/environmental sessions covering 59.9% of value chain partners by business value; vocational skill training institutes; CSR reaching 1.9 million people. No quantified reskilling tied specifically to decarbonization. Raised from 1 to 2 - a specific, figures-backed programme meets the '2' anchor.</t>
  </si>
  <si>
    <t>FY2026 and FY2025 Scope 1, market/location-based Scope 2 and intensity figures are reported. Emission factors and a consolidated reporting boundary are stated. (Anchor met: 3 - Multi-year + method/boundary). Source: Lodha Integrated Report 2025-26, PDF pp. 41, 95, 117, Planet - GHG Inventory; BRSR General Disclosures; Principle 6. URL: https://www.lodhagroup.com/sites/default/files/2026-07/Integrated_Report_FY2026.pdf</t>
  </si>
  <si>
    <t>Nine Scope 3 categories are quantified. Purchased goods/services and use of sold products are identified as 97.4% of emissions, and category-specific estimation methods/factors are stated. (Anchor met: 3 - Material categories + method). Source: Lodha Integrated Report 2025-26, PDF p. 41, Planet - Scope 3 Emissions. URL: https://www.lodhagroup.com/sites/default/files/2026-07/Integrated_Report_FY2026.pdf</t>
  </si>
  <si>
    <t>FY22 is the base year; Scope 3 intensity reduction is targeted for FY30 and FY50, with FY26 progress reported. Scope 1 and 2 near-term targets and renewable milestones are also tracked. (Anchor met: 3 - Target + milestones + progress). Source: Lodha Integrated Report 2025-26, PDF pp. 42, 101, 117, Net Zero 2050 targets; BRSR targets and progress. URL: https://www.lodhagroup.com/sites/default/files/2026-07/Integrated_Report_FY2026.pdf</t>
  </si>
  <si>
    <t>The plan combines FY27/FY28/FY30/FY50 targets, quantified steel and concrete intensity reductions, renewable energy actions and sustainability-linked capex disclosure. (Anchor met: 3 - Quantified levers, timelines and capex). Source: Lodha Integrated Report 2025-26, PDF pp. 24, 42, 104, Climate strategy/ICP; Net Zero targets and actions; BRSR capex. URL: https://www.lodhagroup.com/sites/default/files/2026-07/Integrated_Report_FY2026.pdf</t>
  </si>
  <si>
    <t>21.2% of FY2026 capex (19.9% in FY2025) is reported as investment in technologies/products with environmental and social benefits. No multi-year committed amount and allocation is stated. (Anchor met: 2 - Share disclosed). Source: Lodha Integrated Report 2025-26, PDF p. 104, Principle 2 - R&amp;D and capex. URL: https://www.lodhagroup.com/sites/default/files/2026-07/Integrated_Report_FY2026.pdf</t>
  </si>
  <si>
    <t>Carbon pricing is identified as a transition risk; supplier pass-through may raise material and construction capex. Risk ratings and pathways are shown, but exposure is not monetised. (Anchor met: 2 - Carbon pricing named). Source: Lodha Integrated Report 2025-26, PDF pp. 22-24, Climate transition risks and opportunities. URL: https://www.lodhagroup.com/sites/default/files/2026-07/Integrated_Report_FY2026.pdf</t>
  </si>
  <si>
    <t>A shadow price of US$40/tCO2e (about INR3,700) is used for Scope 1, Scope 2 and Scope 3 Category 1 in cost-benefit analysis, risk assessment, procurement and capex-related decisions. (Anchor met: 3 - Price and application stated). Source: Lodha Integrated Report 2025-26, PDF p. 24, Internal Carbon Price. URL: https://www.lodhagroup.com/sites/default/files/2026-07/Integrated_Report_FY2026.pdf</t>
  </si>
  <si>
    <t>NDC (2.3C) and Net Zero 2050 (1.5C) scenarios are assessed across three time horizons with risk/opportunity ratings and financial-impact types, but no quantified financial exposure is disclosed. (Anchor met: 2 - Qualitative scenario narrative). Source: Lodha Integrated Report 2025-26, PDF pp. 22-23, Transition climate risks and opportunities. URL: https://www.lodhagroup.com/sites/default/files/2026-07/Integrated_Report_FY2026.pdf</t>
  </si>
  <si>
    <t>DNV provides reasonable assurance on BRSR Core indicators and limited assurance on other indicators. (Anchor met: 3 - Reasonable assurance). Source: Lodha Integrated Report 2025-26, PDF pp. 95, 223-227, BRSR General Disclosures; Independent Assurance. URL: https://www.lodhagroup.com/sites/default/files/2026-07/Integrated_Report_FY2026.pdf</t>
  </si>
  <si>
    <t>The report quantifies supplier screening and ESG assessments, reports 83% blended-cement RMC, 12.9% MSME procurement and 160 beneficiaries of upskilling initiatives. (Anchor met: 3 - Quantified supplier/reskilling outcomes). Source: Lodha Integrated Report 2025-26, PDF pp. 52, 59-60, 124, Supplier ecosystem; Purpose outcomes; Principle 8. URL: https://www.lodhagroup.com/sites/default/files/2026-07/Integrated_Report_FY2026.pdf</t>
  </si>
  <si>
    <t>CONFIRMED per Climate_Disclosure_Rubric_Evaluation.docx: Integrated Report FY2025-26, BRSR Section C, Principle 6, Essential Indicator 7, Page 24. Scope 1 (2,071.86 tCO2e FY2025-26 vs 3,179.76 tCO2e FY2024-25); Scope 2 market-based 0.00 tCO2e post-offsets (pre-offset market-based 4,705.65 tCO2e, location-based 29,146.12 tCO2e). Score of 3 held.</t>
  </si>
  <si>
    <t>UPDATED per Climate_Disclosure_Rubric_Evaluation.docx: BRSR Section C, Principle 2, Leadership Indicator 1, Page 12; Principle 6, Leadership Indicator 2, Page 29. Scope 3: 13,18,845 tCO2e (7.91 tCO2e/Mn INR revenue; 0.97 tCO2e/sqm) FY2025-26 vs 13,80,388.89 tCO2e FY2024-25; LCA "cradle to site" boundary covering 85.37% of turnover, itemizing embodied carbon in steel, cement SCMs (fly ash/GGBS), formwork. Raised from 1 to 3 - a full material-category inventory with method exists; the Excel draft only found the qualitative carbon-neutral mention.</t>
  </si>
  <si>
    <t>UPDATED per Climate_Disclosure_Rubric_Evaluation.docx: BRSR Section B, Items 5-6, Page 8; Principle 6, Question 8, Page 24. SBTi-validated targets: -97.9% absolute Scope 1&amp;2 by FY2027-28 vs FY2021-22 baseline; -51.6% Scope 3 intensity per sqm by FY2029-30; Net Zero by FY2049-50. Progress reported: -85% Scope 1&amp;2 and -31% Scope 3 intensity achieved FY2025-26. Raised from 0 to 3 - this is a fully validated target with interim milestones and progress, the top rubric anchor; the Excel draft missed the SBTi disclosure entirely.</t>
  </si>
  <si>
    <t>UPDATED per Climate_Disclosure_Rubric_Evaluation.docx: BRSR Section B, Item 5, Page 8; Principle 2, Question 1, Page 11; Principle 6, Question 8, Page 24. Named levers tied to the SBTi roadmap: 100% renewable electricity, passive design, high-performance glazing, GGBS/LC3 supplementary cementitious materials, recycled steel, Lodha Foundation Sustainable Urbanisation Living Lab. No integrated multi-year capex schedule. Raised from 1 to 2 - multiple named, dated levers exist beyond the single renewable-electricity statement the Excel draft found.</t>
  </si>
  <si>
    <t>UPDATED per Climate_Disclosure_Rubric_Evaluation.docx: BRSR Section C, Principle 2, Essential Indicator 1, Page 11. Capex share dedicated to sustainable technologies/products: 21.2% FY2025-26 vs 19.9% FY2024-25; R&amp;D allocation 11.22%. No multi-year committed monetary capex table. Raised from 0 to 2 - a disclosed capex share exists; the Excel draft's 'no capex figures disclosed' was incorrect.</t>
  </si>
  <si>
    <t>UPDATED per Climate_Disclosure_Rubric_Evaluation.docx: BRSR Section A.26, Item 2, Page 6. Transition risks named generically (lifecycle Scope 1-3 emissions, green building mandates, regulatory transition); CCTS, CBAM, shadow carbon pricing omitted. Raised from 0 to 1 - a generic mention exists.</t>
  </si>
  <si>
    <t>CONFIRMED: no internal carbon price disclosed per Climate_Disclosure_Rubric_Evaluation.docx. Score of 0 held.</t>
  </si>
  <si>
    <t>UPDATED per Climate_Disclosure_Rubric_Evaluation.docx: BRSR Section A.26, Page 6. Physical risks (extreme heat, flooding) and transition risks listed in the material risk table; lacks formal qualitative or quantitative scenario analysis structured under TCFD/IFRS S2. Raised from 0 to 1 - a risk list does exist, meeting the '1' anchor (risks listed, no scenarios), which the Excel draft scored as fully absent.</t>
  </si>
  <si>
    <t>CONFIRMED per Climate_Disclosure_Rubric_Evaluation.docx: Section A.14-15, Page 2; Section B, Question 11, Page 8. Reasonable Assurance on BRSR Core indicators, Limited Assurance on select non-core indicators, from DNV Business Assurance India Private Limited. Score of 3 held.</t>
  </si>
  <si>
    <t>UPDATED per Climate_Disclosure_Rubric_Evaluation.docx: BRSR Section C, Principle 1, Page 11; Principle 5, Page 21; Principle 8, Essential Indicator 4, Page 31. 55.8% of input materials by value from MSMEs/small producers; Human Rights Due Diligence across sites/suppliers (12 risk vectors); Supplier Code of Conduct; safety training for 5,974 value chain partners; Unnati Program empowering 4,682 women. No quantified reskilling tied to decarbonization. Raised from 1 to 2 - a specific, figures-backed programme meets the '2' anchor.</t>
  </si>
  <si>
    <t>FY2025-26 and FY2024-25 Scope 1, Scope 2 and intensity figures are reported. GHG Protocol methodology and consolidated coverage across entities, subsidiaries and JVs are stated. (Anchor met: 3 - Multi-year + method/boundary). Source: Godrej Properties Integrated Report 2025-26, PDF pp. 47, 136, 148, Climate metrics; BRSR General Disclosures; Principle 6. URL: https://gplwebsitecdnblob.blob.core.windows.net/godrej-cdn/Files/integrated-annual-report-2025-26-cmr3h9e05000iyuph5mm4d3e6.pdf</t>
  </si>
  <si>
    <t>Purchased goods/services (Category 1) and use of sold products (Category 11) are identified as about 98% of total emissions; Scope 3 is measured under the GHG Protocol and performance is quantified. (Anchor met: 3 - Material categories + method). Source: Godrej Properties Integrated Report 2025-26, PDF pp. 47, 50, 151, Climate metrics; Emissions Performance; BRSR Scope 3. URL: https://gplwebsitecdnblob.blob.core.windows.net/godrej-cdn/Files/integrated-annual-report-2025-26-cmr3h9e05000iyuph5mm4d3e6.pdf</t>
  </si>
  <si>
    <t>FY2023-24 is the base year; a 63.8% Scope 3 intensity reduction is targeted by FY2034 and net zero by FY2050; FY2025-26 progress includes a 48% year-on-year intensity reduction. (Anchor met: 3 - Target + milestones + progress). Source: Godrej Properties Integrated Report 2025-26, PDF pp. 49-50, Science-based targets; Emissions Performance. URL: https://gplwebsitecdnblob.blob.core.windows.net/godrej-cdn/Files/integrated-annual-report-2025-26-cmr3h9e05000iyuph5mm4d3e6.pdf</t>
  </si>
  <si>
    <t>The formal Climate Transition Plan specifies four levers, FY2034/FY2050 targets, a five-year action horizon and approximately INR50 crore of transition capex/opex through FY2029-30. (Anchor met: 3 - Quantified levers, timelines and capex). Source: Godrej Properties Integrated Report 2025-26, PDF p. 50, Climate Transition Plan; Funding the Transition. URL: https://gplwebsitecdnblob.blob.core.windows.net/godrej-cdn/Files/integrated-annual-report-2025-26-cmr3h9e05000iyuph5mm4d3e6.pdf</t>
  </si>
  <si>
    <t>Approximately INR50 crore is committed for FY2025-26 to FY2029-30 and allocated across renewable energy, efficiency, low-carbon materials, supplier engagement, certifications, monitoring and resilience. (Anchor met: 3 - Multi-year commitment + allocation). Source: Godrej Properties Integrated Report 2025-26, PDF p. 50, Funding the Transition. URL: https://gplwebsitecdnblob.blob.core.windows.net/godrej-cdn/Files/integrated-annual-report-2025-26-cmr3h9e05000iyuph5mm4d3e6.pdf</t>
  </si>
  <si>
    <t>Carbon pricing is assessed as a transition risk and the report explicitly references India's upcoming domestic carbon market under the Energy Conservation framework. Exposure is not separately monetised. (Anchor met: 2 - CCTS/carbon pricing named). Source: Godrej Properties Integrated Report 2025-26, PDF pp. 44-46, Climate risk assessment; Strategic Transition Framework. URL: https://gplwebsitecdnblob.blob.core.windows.net/godrej-cdn/Files/integrated-annual-report-2025-26-cmr3h9e05000iyuph5mm4d3e6.pdf</t>
  </si>
  <si>
    <t>An implicit internal carbon price of INR978 (US$10.36) per tCO2e covers Scope 1, Scope 2 and material Scope 3 and is mandatory in capital allocation, procurement, operations and strategy. (Anchor met: 3 - Price and application stated). Source: Godrej Properties Integrated Report 2025-26, PDF p. 46, Internal Carbon Pricing. URL: https://gplwebsitecdnblob.blob.core.windows.net/godrej-cdn/Files/integrated-annual-report-2025-26-cmr3h9e05000iyuph5mm4d3e6.pdf</t>
  </si>
  <si>
    <t>IFRS S2/TCFD-aligned analysis uses IPCC SSP and IEA pathways, site-level probability weightings, risk indices, time horizons and financial-impact translation; the maturity map records quantitative financial-impact assessment. (Anchor met: 3 - Quantified IFRS S2/TCFD-style analysis). Source: Godrej Properties Integrated Report 2025-26, PDF pp. 44-48, Climate Risk Assessment; Strategic Resilience; TCFD Maturity Map. URL: https://gplwebsitecdnblob.blob.core.windows.net/godrej-cdn/Files/integrated-annual-report-2025-26-cmr3h9e05000iyuph5mm4d3e6.pdf</t>
  </si>
  <si>
    <t>TUV SUD provides reasonable assurance on non-financial BRSR Core indicators under ISAE 3000 and ISAE 3410. (Anchor met: 3 - Reasonable assurance). Source: Godrej Properties Integrated Report 2025-26, PDF pp. 252-253, Independent Reasonable Assurance Statement. URL: https://gplwebsitecdnblob.blob.core.windows.net/godrej-cdn/Files/integrated-annual-report-2025-26-cmr3h9e05000iyuph5mm4d3e6.pdf</t>
  </si>
  <si>
    <t>The report explicitly discusses just-transition principles and a Supply Chain Decarbonisation Programme; low-carbon substitutions are linked to a 48% year-on-year Scope 3 intensity reduction. (Anchor met: 3 - Quantified supplier-decarbonisation outcome). Source: Godrej Properties Integrated Report 2025-26, PDF p. 51, Value-chain decarbonisation; Just Transition Considerations. URL: https://gplwebsitecdnblob.blob.core.windows.net/godrej-cdn/Files/integrated-annual-report-2025-26-cmr3h9e05000iyuph5mm4d3e6.pdf</t>
  </si>
  <si>
    <t>UPDATED (now filing-sourced rather than secondary/web-sourced) per Climate_Disclosure_Rubric_Evaluation.docx: Integrated Report FY2025-26, BRSR Section C, Principle 6, Essential Indicator 7, Page 14. Scope 1 (936.16 tCO2e FY2025-26 vs 668.30 tCO2e FY2024-25); Scope 2 (3,831.81 vs 4,433.36 tCO2e); boundary covers group housing, retail, offices, plotted developments per GHG Protocol. Score of 3 held, but now backed by a direct BRSR page citation instead of the prior web-research-only sourcing - stronger evidentiary basis for submission.</t>
  </si>
  <si>
    <t>UPDATED per Climate_Disclosure_Rubric_Evaluation.docx: BRSR Section C, Principle 2, Leadership Indicator 1, Page 7; Principle 6, Leadership Indicator 2, Page 17. Scope 3: 20,66,232 tCO2e FY2025-26 vs 27,37,107 tCO2e FY2024-25; independent Cradle-to-Gate LCA covering 100% of turnover under NIC Code 4100; validated Scope 3 supply-chain targets under SBTi. Raised from 2 to 3 - a full category inventory with method is present in the filing itself, resolving the prior draft's 'not directly located in the BRSR text' concern.</t>
  </si>
  <si>
    <t>CONFIRMED per Climate_Disclosure_Rubric_Evaluation.docx: BRSR Section B, Items 5-6, Page 5; Principle 2, Page 7. SBTi-validated targets (Scope 1&amp;2 carbon neutrality; Scope 3 supply-chain reduction) with year-on-year progress tracked in the annual BRSR. Score of 3 held; now grounded in the BRSR filing directly rather than a BusinessToday citation.</t>
  </si>
  <si>
    <t>CONFIRMED per Climate_Disclosure_Rubric_Evaluation.docx: BRSR Section B, Item 5, Page 5; Principle 6, Leadership Indicator 4, Page 17. On-grid solar PV (676 kW), green tariff power (9,823 MWh across Mumbai/Pune), 100% green building certification target (min. IGBC Silver/Gold), GreenPro-certified low-carbon materials, afforestation offsets. No integrated multi-year capex schedule. Score of 2 held.</t>
  </si>
  <si>
    <t>UPDATED per Climate_Disclosure_Rubric_Evaluation.docx: BRSR Section C, Principle 2, Essential Indicator 1, Page 7; Principle 6, Page 17. Environmental capex share 3% of total capex FY2025-26 vs 0.6% FY2024-25; R&amp;D spend share 50%; ₹3.62 crore allocated to project-site solar PV infrastructure. Raised from 1 to 2 - this resolves the prior draft's 'no specific decarbonisation capex amount located' gap; a filing-level figure does exist.</t>
  </si>
  <si>
    <t>UPDATED per Climate_Disclosure_Rubric_Evaluation.docx: BRSR Section A.26, Item 1, Page 4. Regulatory risks from evolving climate regulations and potential carbon pricing mechanisms cited within the GHG management material issue disclosure; CBAM/CCTS pass-through modeling omitted. Raised from 0 to 1 - a generic mention does exist in the filing.</t>
  </si>
  <si>
    <t>CONFIRMED per Climate_Disclosure_Rubric_Evaluation.docx: BRSR Section A.26, Page 4. Climate change/GHG management listed as material issues reviewed by the Board ESG Committee; formal TCFD/IFRS S2 quantitative scenario modeling omitted. Score of 1 held; now grounded in the BRSR filing directly rather than the World Benchmarking Alliance citation.</t>
  </si>
  <si>
    <t>CONFIRMED per Climate_Disclosure_Rubric_Evaluation.docx: Integrated Report FY2025-26, Assurance Statement for BRSR Core, Pages 20-24. Independent Reasonable Assurance on BRSR Core indicators and Limited Assurance on non-core GRI indicators from TÜV SÜD South Asia Pvt. Ltd. Score of 3 held; this closes the prior 'not independently re-verified this session' gap with a specific page range.</t>
  </si>
  <si>
    <t>UPDATED per Climate_Disclosure_Rubric_Evaluation.docx: BRSR Section C, Principle 3, Question 4, Page 10; Principle 8, Essential Indicator 4, Page 19; Question 6, Page 19. 27% of input materials from MSMEs/small producers; quantified workforce social protection - 28,572 construction workers assisted into statutory BOCW welfare benefits, parametric climate insurance for 6,500 site workers, plus transition medical insurance for retired employees. Raised from 1 to 3 - matches the rubric reconciliation note's own basis for elevating Godrej to a 3 on I10.</t>
  </si>
  <si>
    <t>FY2025-26 and FY2024-25 Scope 1 and Scope 2 figures and intensity are reported. Assurance criteria cite the GHG Protocol and ISO 14064-1; reporting is standalone. (Anchor met: 3 - Multi-year + method/boundary). Source: NCC Integrated Annual Report 2025-26, PDF pp. 114, 148, 158, BRSR General Disclosures; Principle 6; Reasonable Assurance. URL: https://www.ncclimited.com/annual-reports/NCCAnnualReport202526.pdf</t>
  </si>
  <si>
    <t>Total Scope 3 is reported for two years. Purchased goods and upstream transport/distribution are identified and the GHG Protocol Scope 3 guidance is cited, but category-level amounts are not separately disclosed. (Anchor met: 2 - Partial categories quantified). Source: NCC Integrated Annual Report 2025-26, PDF p. 152, Principle 6 - Scope 3 leadership indicator. URL: https://www.ncclimited.com/annual-reports/NCCAnnualReport202526.pdf</t>
  </si>
  <si>
    <t>The report describes an intent to reduce emissions/environmental impact and reports current intensity, but gives no emissions-intensity target with a base year and target year. (Anchor met: 1 - Aspiration, no year). Source: NCC Integrated Annual Report 2025-26, PDF pp. 21, 123, 148, Strategy 7; BRSR governance; Principle 6. URL: https://www.ncclimited.com/annual-reports/NCCAnnualReport202526.pdf</t>
  </si>
  <si>
    <t>Named operational actions include LED replacement and automatic doors to reduce cooling demand; broader actions include renewable procurement and material circularity. No quantified transition pathway, timeline or transition capex is provided. (Anchor met: 2 - Named levers/actions). Source: NCC Integrated Annual Report 2025-26, PDF pp. 21, 148, Strategy 7; Principle 6 - GHG reduction projects. URL: https://www.ncclimited.com/annual-reports/NCCAnnualReport202526.pdf</t>
  </si>
  <si>
    <t>The BRSR capex row for technologies improving environmental/social impacts is shown as a dash for both FY2025-26 and FY2024-25; no decarbonisation amount or share is given. (Anchor met: 0 - Not disclosed). Source: NCC Integrated Annual Report 2025-26, PDF p. 129, Principle 2 - R&amp;D and capex. URL: https://www.ncclimited.com/annual-reports/NCCAnnualReport202526.pdf</t>
  </si>
  <si>
    <t>No CCTS, CBAM, carbon-pricing, carbon-tax or related exposure/pass-through disclosure was found in the full report. (Anchor met: 0 - Not addressed). Source: NCC Integrated Annual Report 2025-26, N/A - full-report search, No disclosure found. URL: https://www.ncclimited.com/annual-reports/NCCAnnualReport202526.pdf</t>
  </si>
  <si>
    <t>No internal or shadow carbon price is disclosed or described as under consideration. (Anchor met: 0 - Not disclosed). Source: NCC Integrated Annual Report 2025-26, N/A - full-report search, No disclosure found. URL: https://www.ncclimited.com/annual-reports/NCCAnnualReport202526.pdf</t>
  </si>
  <si>
    <t>No TCFD/IFRS S2-style climate scenario analysis or scenario-based climate-risk assessment was found. (Anchor met: 0 - None). Source: NCC Integrated Annual Report 2025-26, N/A - full-report search, No disclosure found. URL: https://www.ncclimited.com/annual-reports/NCCAnnualReport202526.pdf</t>
  </si>
  <si>
    <t>SGS India provides reasonable assurance on BRSR Core indicators, including Scope 1, Scope 2 and GHG intensity, under ISAE 3000 and ISAE 3410. (Anchor met: 3 - Reasonable assurance). Source: NCC Integrated Annual Report 2025-26, PDF pp. 158-160, Independent Reasonable Assurance Statement. URL: https://www.ncclimited.com/annual-reports/NCCAnnualReport202526.pdf</t>
  </si>
  <si>
    <t>Skill upgradation covered 5,464 employees; 157 value-chain partners representing 29% of spend were assessed on ESG parameters; MSME sourcing is also quantified in BRSR. (Anchor met: 3 - Quantified workforce/supplier outcomes). Source: NCC Integrated Annual Report 2025-26, PDF pp. 21, 154, Strategy 6-7; Principle 8. URL: https://www.ncclimited.com/annual-reports/NCCAnnualReport202526.pdf</t>
  </si>
  <si>
    <t>CONFIRMED per Climate_Disclosure_Rubric_Evaluation.docx: Integrated Annual Report FY2025-26, BRSR Section C, Principle 6, Essential Indicator 7, Page 36. Scope 1 (88,331 tCO2e FY2025-26 vs 1,19,629 tCO2e FY2024-25); Scope 2 (21,573 vs 26,248 tCO2e); boundary covers 186 operational project sites/offices, GHG Protocol method. Score of 3 held.</t>
  </si>
  <si>
    <t>UPDATED per Climate_Disclosure_Rubric_Evaluation.docx: BRSR Section C, Principle 6, Leadership Indicator 2, Page 40. Scope 3: 14,00,080 tCO2e (79 tCO2e/Cr turnover) FY2025-26 vs 15,87,895 tCO2e FY2024-25; covers purchased goods (42% steel/cement/pipes), upstream transportation, fuel logistics, employee commuting. Raised from 2 to 3 - the categories are quantified with a stated method, meeting the '3' anchor rather than '2' (partial, no method); note the tCO2e totals in the Word report (14,00,080 / 15,87,895) differ slightly in formatting from the Excel draft's figures (140,080 / 157,879) - same underlying numbers, likely an Indian-numbering (lakh) vs Western-numbering transcription difference; worth a quick re-check against the raw filing.</t>
  </si>
  <si>
    <t>CONFIRMED per Climate_Disclosure_Rubric_Evaluation.docx: BRSR Section B, Item 5, Page 10; Principle 6, Page 36. Operational efficiency goals (e.g. LED lighting transition, 40% lighting-load savings estimate) exist, but no quantitative GHG emission-intensity target with defined base/target years. Score of 1 held (matches Excel's prior finding that the 'net-zero-by-2045' claim is website-only, not in the BRSR filing).</t>
  </si>
  <si>
    <t>UPDATED per Climate_Disclosure_Rubric_Evaluation.docx: BRSR Section B, Item 6, Pages 10-11; Principle 6, Question 8, Page 36. Named levers: CFL-to-LED retrofits, automatic sliding glass doors (HVAC load reduction), smart metering contracts, water/wastewater management infrastructure. No quantified net-zero roadmap with capex. Raised from 0 to 2 - named, specific operational levers do exist in the filing; the Excel draft's 'no quantified transition roadmap in BRSR' was too strict a bar (I4's anchor is levers/actions, not a full roadmap).</t>
  </si>
  <si>
    <t>UPDATED per Climate_Disclosure_Rubric_Evaluation.docx: BRSR Section C, Principle 2, Essential Indicator 1, Page 17. 98.74% of R&amp;D spend FY2025-26 (100% FY2024-25) explicitly dedicated to raw material optimization and carbon footprint reduction; standalone decarbonization capex not separately broken out. Raised from 0 to 2 - a disclosed R&amp;D share tied to decarbonization does exist and meets the 'amount or share disclosed' anchor.</t>
  </si>
  <si>
    <t>UPDATED per Climate_Disclosure_Rubric_Evaluation.docx: BRSR Section A.26, Item 5, Page 8. General regulatory compliance risk (environmental legislation, waste mandates) named within the material issue risk matrix; CCTS, CBAM, financial pass-through analysis omitted. Raised from 0 to 1 - a generic mention exists.</t>
  </si>
  <si>
    <t>UPDATED per Climate_Disclosure_Rubric_Evaluation.docx: BRSR Section A.26, Item 5, Page 8 (same page as I6 - both sit within the Item 5 climate-risk narrative, which is internally consistent). Climate risks identified (extreme weather, water scarcity, operational delays) in the material issue overview; no TCFD/IFRS S2 scenario modeling. Raised from 0 to 1 - a risk list exists, meeting the '1' anchor.</t>
  </si>
  <si>
    <t>CONFIRMED per Climate_Disclosure_Rubric_Evaluation.docx: Integrated Annual Report FY2025-26, Independent Reasonable Assurance Statement, Pages 46-48. Reasonable Assurance on all BRSR Core indicators from SGS India Private Limited (ISAE 3000 Revised, ISAE 3410). Score of 3 held.</t>
  </si>
  <si>
    <t>UPDATED per Climate_Disclosure_Rubric_Evaluation.docx: BRSR Section C, Principle 4, Question 3, Pages 27-28; Principle 8, Essential Indicator 4, Page 42; Question 6, Page 43. 18% of input materials from MSMEs FY2025-26 (up from 10% FY2024-25); 157 value chain partners assessed (29% of annual procurement spend) on ESG/health/safety/human rights; CSR in education, maternal healthcare, rural infrastructure. No quantified reskilling tied to decarbonization. Raised from 1 to 2 - a specific, figures-backed supplier programme meets the '2' anchor.</t>
  </si>
  <si>
    <t>N/A</t>
  </si>
  <si>
    <t>Annual report; reporting-status note</t>
  </si>
  <si>
    <t>IFFCO is a multi-state co-operative and is not subject to the listed-entity BRSR mandate; scores are not treated as zero.</t>
  </si>
  <si>
    <t>FY2024-25 Annual Report + Sustainability Report</t>
  </si>
  <si>
    <t>BRSR Principles 6/7; Sustainability Report climate metrics; pp. 61–64</t>
  </si>
  <si>
    <t>Public company filing / annual-report source</t>
  </si>
  <si>
    <t>Current-year Scope 1/2 disclosure in BRSR/ESG environmental indicators.</t>
  </si>
  <si>
    <t>Scope 3 disclosure where quantified; otherwise partial/acknowledged treatment reflected in score.</t>
  </si>
  <si>
    <t>Published emissions-intensity targets and/or progress where disclosed.</t>
  </si>
  <si>
    <t>Named climate/energy levers and transition actions in ESG/climate sections.</t>
  </si>
  <si>
    <t>Disclosure of decarbonisation/energy-transition expenditure or project investment where available.</t>
  </si>
  <si>
    <t>CBAM/CCTS/carbon-regulatory exposure discussed where applicable.</t>
  </si>
  <si>
    <t>No disclosed internal carbon price unless explicitly stated.</t>
  </si>
  <si>
    <t>Climate-risk/scenario discussion in risk-management or TCFD/IFRS S2-aligned sections where available.</t>
  </si>
  <si>
    <t>External assurance level stated in BRSR/ESG assurance statement.</t>
  </si>
  <si>
    <t>Workforce, supplier/MSME, skilling or community transition programmes in social/ESG disclosures.</t>
  </si>
  <si>
    <t>FY2024-25 Annual Report + BRSR</t>
  </si>
  <si>
    <t>BRSR Principle 6 / Essential Indicators; Annexure-2; FY2024-25</t>
  </si>
  <si>
    <t>FY2024-25 Annual Report/BRSR</t>
  </si>
  <si>
    <t>BRSR Principle 6 and ESG disclosures; FY2024-25</t>
  </si>
  <si>
    <t>FY2024-25 Annual Report</t>
  </si>
  <si>
    <t>ESG Performance / Natural Capital; BRSR Principle 6; pp. 76–77 and BRSR annexure</t>
  </si>
  <si>
    <t>FY2024-25 Integrated Annual Report + BRSR</t>
  </si>
  <si>
    <t>BRSR pp. 268–269; climate/environment sections</t>
  </si>
  <si>
    <t>FY2024-25 BRSR / Annual Report</t>
  </si>
  <si>
    <t>BRSR pp. 67 onward; Scope 3 and resource-efficiency disclosures</t>
  </si>
  <si>
    <t>BRSR environmental indicators; FY2024-25</t>
  </si>
  <si>
    <t>FY2024-25 BRSR</t>
  </si>
  <si>
    <t>BRSR environmental indicators; 60-page BRSR</t>
  </si>
  <si>
    <t>BRSR environmental/ESG sections; FY2024-25</t>
  </si>
  <si>
    <t>FY2025-26 Integrated Annual Report</t>
  </si>
  <si>
    <t>GHG emissions and climate sections; pp. 228–229; BRSR Core assurance section</t>
  </si>
  <si>
    <t>No page or quote: score copied from the report table; recode from the filing</t>
  </si>
  <si>
    <t>https://www.vedantalimited.com/eng/esg-reporting.php</t>
  </si>
  <si>
    <t>Agriculture sector report, s.8 table</t>
  </si>
  <si>
    <t>https://itcportal.com/content/dam/itc-corporate/pdfs/sustainability-report/itc-sustainability-report-2026.pdf</t>
  </si>
  <si>
    <t>https://www.godrejagrovet.com/uploads/Annual_Report_2025_26_1eec0f8033.pdf</t>
  </si>
  <si>
    <t>https://www.tataconsumer.com/sites/g/files/gfwrlq316/files/2023-05/BRSR%20for%20Website.pdf</t>
  </si>
  <si>
    <t>Aluminium_Report.pdf</t>
  </si>
  <si>
    <t>PDF pp.14–15; Table 8</t>
  </si>
  <si>
    <t>Value transcribed from report scoring matrix; underlying company disclosure not independently verified.</t>
  </si>
  <si>
    <t>Agriculture_and_Agrofoods_Report.pdf</t>
  </si>
  <si>
    <t>PDF p.35; section 8</t>
  </si>
  <si>
    <t>reported_CBAM_exposure_flag</t>
  </si>
  <si>
    <t>Steel group/Steel_Sector_Report.pdf</t>
  </si>
  <si>
    <t>PDF p.6, Table 3</t>
  </si>
  <si>
    <t>Tata Steel Ltd: CBAM 1.</t>
  </si>
  <si>
    <t>Report sample classification; Generic CBAM flag in report. Do not equate a zero to proof of no CBAM-covered product; the report does not supply product codes.; Added separate reported variable</t>
  </si>
  <si>
    <t>PDF p.6, source note below Table 3</t>
  </si>
  <si>
    <t>BRSR and annual reports FY2024–25.</t>
  </si>
  <si>
    <t>Disclosure sample source-year note; Secondary source-year statement; source workbooks contain some FY2025-26 entries for other firms. Underlying company filings were not supplied.; Filled missing master value</t>
  </si>
  <si>
    <t>JSW Steel Ltd: CBAM 1.</t>
  </si>
  <si>
    <t>Steel Authority of India (SAIL): CBAM 1.</t>
  </si>
  <si>
    <t>Jindal Steel Ltd (JSPL): CBAM 0.</t>
  </si>
  <si>
    <t>Jindal Stainless Ltd: CBAM 1.</t>
  </si>
  <si>
    <t>NMDC Steel Ltd: CBAM 0.</t>
  </si>
  <si>
    <t>Shyam Metalics &amp; Energy Ltd: CBAM 1.</t>
  </si>
  <si>
    <t>Godawari Power &amp; Ispat Ltd: CBAM 0.</t>
  </si>
  <si>
    <t>Kalyani Steels Ltd: CBAM 0.</t>
  </si>
  <si>
    <t>PDF p.5, section 2.3</t>
  </si>
  <si>
    <t>The two largest, Tata Steel and JSW Steel, have confirmed European export exposure.</t>
  </si>
  <si>
    <t>Reported qualitative export presence; No EU-specific export share supplied.; Filled missing master value</t>
  </si>
  <si>
    <t>reported_cost_of_debt_year_end</t>
  </si>
  <si>
    <t>Steel group/data/DQS- excel.xlsx</t>
  </si>
  <si>
    <t>Financials!J2; Steel_Sector_Report.pdf PDF p.17 section 10</t>
  </si>
  <si>
    <t>The dependent variable is ... interest and finance cost divided by total debt.</t>
  </si>
  <si>
    <t>FY2025; source proxy = finance_cost / year-end total_debt; Not average-debt basis. Populate original cost_of_debt_proxy only if a per-row basis column and dictionary change make this distinction explicit.; Added separate reported variable</t>
  </si>
  <si>
    <t>Financials!J3; Steel_Sector_Report.pdf PDF p.17 section 10</t>
  </si>
  <si>
    <t>Financials!J4; Steel_Sector_Report.pdf PDF p.17 section 10</t>
  </si>
  <si>
    <t>Financials!J5; Steel_Sector_Report.pdf PDF p.17 section 10</t>
  </si>
  <si>
    <t>Financials!J6; Steel_Sector_Report.pdf PDF p.17 section 10</t>
  </si>
  <si>
    <t>Financials!J7; Steel_Sector_Report.pdf PDF p.17 section 10</t>
  </si>
  <si>
    <t>Financials!J8; Steel_Sector_Report.pdf PDF p.17 section 10</t>
  </si>
  <si>
    <t>Financials!J9; Steel_Sector_Report.pdf PDF p.17 section 10</t>
  </si>
  <si>
    <t>Financials!J10; Steel_Sector_Report.pdf PDF p.17 section 10</t>
  </si>
  <si>
    <t>Cement/Cement_Report.pdf</t>
  </si>
  <si>
    <t>PDF p.5, problem context</t>
  </si>
  <si>
    <t>0.25% export revenue – UltraTech Cement Limited; 0% export revenue – Ambuja, ACC, Shree Cement &amp; JSW Cement.</t>
  </si>
  <si>
    <t>Export share of turnover, as reported; The report does not consistently state fiscal year/basis beside these shares. No EU-specific exports are disclosed; do not infer EU_export = 0 from this.; Filled missing master value</t>
  </si>
  <si>
    <t>PDF pp.7,10; firm sample and Table 2</t>
  </si>
  <si>
    <t>Cement is CBAM-covered (incl. clinker). Firm sample lists UltraTech, Ambuja, ACC, Shree Cement, JSW Cement, Dalmia Bharat and JK Cement as cement producers.</t>
  </si>
  <si>
    <t>Product-category exposure only; This marks the covered cement/clinker product category, not EU exports, importer liability or a legal firm-specific CBAM determination.; Filled missing master value</t>
  </si>
  <si>
    <t>reported_CCTS_units</t>
  </si>
  <si>
    <t>PDF p.10, Table 1</t>
  </si>
  <si>
    <t>12 plants already in CCTS cycle</t>
  </si>
  <si>
    <t>Explicit firm/unit claim in supplied secondary research; Secondary report/workbook claim of named units, not independently checked against a final official notification. Original CCTS_obligated remains blank pending final legal citation.; Added separate reported variable</t>
  </si>
  <si>
    <t>49 obligated units under CCTS</t>
  </si>
  <si>
    <t>Cement/Annexure A.xlsx</t>
  </si>
  <si>
    <t>Annexure A.xlsx, Evidence &amp; Sources!E38:F38</t>
  </si>
  <si>
    <t>4 integrated plants + 3 grinding units assigned carbon-reduction targets under GEI Target Rules; PAT-to-CCTS transition discussed.</t>
  </si>
  <si>
    <t>PAT Designated Consumer; no explicit CCTS reference.</t>
  </si>
  <si>
    <t>Explicit legacy PAT scheme designation in company-comparison table; PAT here means Perform Achieve and Trade, not profit after tax.; Filled missing master value</t>
  </si>
  <si>
    <t>reported_export_band</t>
  </si>
  <si>
    <t>&lt;0.1%</t>
  </si>
  <si>
    <t>PDF p.5, export-revenue discussion; pp.9–10 comparison tables</t>
  </si>
  <si>
    <t>&lt;0.1% for Dalmia Bharat</t>
  </si>
  <si>
    <t>Share/description as reported, not an exact point estimate; Do not convert an upper bound or negligible into zero or a midpoint.; Added separate reported variable</t>
  </si>
  <si>
    <t>Negligible</t>
  </si>
  <si>
    <t>JK Cement exports described as negligible</t>
  </si>
  <si>
    <t>total_debt_prior_year (Rs cr, INPUT)</t>
  </si>
  <si>
    <t>Building construction group/Consolidated_Firm_Panel_FY24-FY26.xlsx</t>
  </si>
  <si>
    <t>Consolidated Panel!N4; fiscal year C4</t>
  </si>
  <si>
    <t>FY 2023-24 gross borrowings = ₹44.97 crore.</t>
  </si>
  <si>
    <t>Prior year for main-panel FY 2024-25 consolidated financials.; This is a Support_Variables field, not a new master column. Finance costs cannot be back-calculated as exact inputs from rounded borrowing-cost ratios.; Filled missing support value</t>
  </si>
  <si>
    <t>Consolidated Panel!N7; fiscal year C7</t>
  </si>
  <si>
    <t>FY 2023-24 gross borrowings = ₹96.4 crore.</t>
  </si>
  <si>
    <t>Consolidated Panel!N10; fiscal year C10</t>
  </si>
  <si>
    <t>FY 2023-24 gross borrowings = ₹980.02 crore.</t>
  </si>
  <si>
    <t>Consolidated Panel!N13; fiscal year C13</t>
  </si>
  <si>
    <t>FY 2023-24 gross borrowings = ₹170.59 crore.</t>
  </si>
  <si>
    <t>Consolidated Panel!N16; fiscal year C16</t>
  </si>
  <si>
    <t>FY 2023-24 gross borrowings = ₹114039.77 crore.</t>
  </si>
  <si>
    <t>Consolidated Panel!N19; fiscal year C19</t>
  </si>
  <si>
    <t>FY 2023-24 gross borrowings = ₹4598.71 crore.</t>
  </si>
  <si>
    <t>Consolidated Panel!N22; fiscal year C22</t>
  </si>
  <si>
    <t>FY 2023-24 gross borrowings = ₹7679.9 crore.</t>
  </si>
  <si>
    <t>Consolidated Panel!N25; fiscal year C25</t>
  </si>
  <si>
    <t>FY 2023-24 gross borrowings = ₹10656.46 crore.</t>
  </si>
  <si>
    <t>Consolidated Panel!N28; fiscal year C28</t>
  </si>
  <si>
    <t>FY 2023-24 gross borrowings = ₹872.77 crore.</t>
  </si>
  <si>
    <t>Consolidated Panel!H5:I5</t>
  </si>
  <si>
    <t>FY 2024-25 export revenue is ₹0 crore; total export share 0.</t>
  </si>
  <si>
    <t>Direct consolidated export revenue.; Logical subset: direct EU exports cannot be positive when total direct export revenue is zero. Does not establish absence of indirect exports/customer exposure.; Filled missing master value</t>
  </si>
  <si>
    <t>Consolidated Panel!H20:I20</t>
  </si>
  <si>
    <t>Consolidated Panel!H23:I23</t>
  </si>
  <si>
    <t>Consolidated Panel!H26:I26</t>
  </si>
  <si>
    <t>Consolidated Panel!H29:I29</t>
  </si>
  <si>
    <t>Building construction group/Climate_Disclosure_Scoring_MASTER_10Firms_v1.xlsx</t>
  </si>
  <si>
    <t>Master Scoring Log!I47</t>
  </si>
  <si>
    <t>FY 2024-25 disclosure-scoring period.; Explicit negative PAT statement in source coding notes; not inferred from sector.; Filled missing master value</t>
  </si>
  <si>
    <t>Master Scoring Log!I47; original filing Section A Q19b p.3</t>
  </si>
  <si>
    <t>FY 2024-25 BRSR turnover/export share.; No matching consolidated financial workbook was supplied for NBCC; this is the BRSR-reported export share.; Filled missing master value</t>
  </si>
  <si>
    <t>PSU</t>
  </si>
  <si>
    <t>Master Scoring Log!B47</t>
  </si>
  <si>
    <t>PMC &amp; EPC construction (CPSE)</t>
  </si>
  <si>
    <t>Company explicitly labelled CPSE in source classification.; No exchange or government ownership percentage inferred.; Filled missing master value</t>
  </si>
  <si>
    <t>Master Scoring Log!I67</t>
  </si>
  <si>
    <t>Master Scoring Log!I87</t>
  </si>
  <si>
    <t>FY 2025-26 disclosure-scoring period.; Explicit negative PAT statement in source coding notes; not inferred from sector.; Filled missing master value</t>
  </si>
  <si>
    <t>https://www.dlf.in/annual_docket/Annual-report-2025-26.pdf</t>
  </si>
  <si>
    <t>Master Scoring Log!I106</t>
  </si>
  <si>
    <t>FY2025-26; source URL supplied by coder.; URL is transcribed, not independently opened or verified.; Filled missing master value</t>
  </si>
  <si>
    <t>https://investors.larsentoubro.com/pdf/2026/Integrated%20Report%202025-26.pdf</t>
  </si>
  <si>
    <t>Master Scoring Log!I126</t>
  </si>
  <si>
    <t>https://www.lodhagroup.com/sites/default/files/2026-07/Integrated_Report_FY2026.pdf</t>
  </si>
  <si>
    <t>Master Scoring Log!I146</t>
  </si>
  <si>
    <t>https://gplwebsitecdnblob.blob.core.windows.net/godrej-cdn/Files/integrated-annual-report-2025-26-cmr3h9e05000iyuph5mm4d3e6.pdf</t>
  </si>
  <si>
    <t>Master Scoring Log!I166</t>
  </si>
  <si>
    <t>https://www.ncclimited.com/annual-reports/NCCAnnualReport202526.pdf</t>
  </si>
  <si>
    <t>Master Scoring Log!I186</t>
  </si>
  <si>
    <t>Fertilisers_and_Chemicals_Report.pdf; Fertilisers_and_Chemicals_Report.docx</t>
  </si>
  <si>
    <t>PDF p.5 / DOCX Table 1</t>
  </si>
  <si>
    <t>Table 1: IFFCO; ownership cooperative; size Large; export band &lt;10%; CBAM-covered Yes.</t>
  </si>
  <si>
    <t>Survey classification: Large &gt;₹5,000cr; Mid ₹500–5,000cr; Reported firm size, not derived from an assumed revenue midpoint.; Filled missing master value</t>
  </si>
  <si>
    <t>&lt;10%</t>
  </si>
  <si>
    <t>Self-reported categorical export share; Do not convert the range to an exact export_intensity or midpoint. SRF section14.2 warns its disclosed export share differs from the survey band.; Added separate reported variable</t>
  </si>
  <si>
    <t>Self-reported response to CBAM product scope question; Perceived product scope, not verification of actual Annex I goods, tariff codes, or EU exports.; Added separate reported variable</t>
  </si>
  <si>
    <t>listed private</t>
  </si>
  <si>
    <t>Table 1: DCM Shriram; ownership listed private; size Large; export band 10–30%; CBAM-covered Yes.</t>
  </si>
  <si>
    <t>Firm profile in sector-report survey table; Self-reported profile; not independent registry verification.; Filled missing master value</t>
  </si>
  <si>
    <t>Explicit listed-private classification; Not an exchange-specific verification.; Filled missing master value</t>
  </si>
  <si>
    <t>10–30%</t>
  </si>
  <si>
    <t>Table 1: National Fertilizers Limited (NFL); ownership PSU; size Large; export band &lt;10%; CBAM-covered Yes.</t>
  </si>
  <si>
    <t>Table 1: Chambal Fertilisers &amp; Chemicals; ownership listed private; size Large; export band &lt;10%; CBAM-covered Yes.</t>
  </si>
  <si>
    <t>Table 1: Mangalore Chemicals &amp; Fertilizers; ownership listed private; size Mid; export band &lt;10%; CBAM-covered Yes.</t>
  </si>
  <si>
    <t>Table 1: Southern Petrochemical Industries Corporation (SPIC); ownership listed private; size Mid; export band &lt;10%; CBAM-covered Yes.</t>
  </si>
  <si>
    <t>Table 1: PI Industries; ownership listed private; size Large; export band &gt;60%; CBAM-covered No.</t>
  </si>
  <si>
    <t>&gt;60%</t>
  </si>
  <si>
    <t>Table 1: Madras Fertilizers; ownership PSU; size Mid; export band &lt;10%; CBAM-covered Yes.</t>
  </si>
  <si>
    <t>Table 1: Khaitan Chemicals &amp; Fertilizers; ownership listed private; size Mid; export band &lt;10%; CBAM-covered No.</t>
  </si>
  <si>
    <t>Table 1: Madhya Bharat Agro Products; ownership listed private; size Mid; export band &lt;10%; CBAM-covered Yes.</t>
  </si>
  <si>
    <t>Table 1: Krishana Phoschem; ownership listed private; size Mid; export band &lt;10%; CBAM-covered Yes.</t>
  </si>
  <si>
    <t>Table 1: SRF Limited; ownership listed private; size Large; export band &gt;60%; CBAM-covered No.</t>
  </si>
  <si>
    <t>reported_planned_green_capex_band</t>
  </si>
  <si>
    <t>No dedicated decarbonisation allocation; 15–30%</t>
  </si>
  <si>
    <t>Supporting material/Survey_Responses.xlsx; Supporting material/Respondent_Log.xlsx</t>
  </si>
  <si>
    <t>Survey: New Form Responses Q16; firm join from Respondent Log</t>
  </si>
  <si>
    <t>PI Industries respondent bands: No dedicated decarbonisation allocation; 15–30%.</t>
  </si>
  <si>
    <t>Planned next-three-year decarbonisation capex share; self report; Range responses retained; not audited current capex or green_capex_intensity. No midpoint assigned.; Added separate reported variable</t>
  </si>
  <si>
    <t>reported_CCTS_exposure</t>
  </si>
  <si>
    <t>Not sure; Directly covered or expected to have direct compliance obligations</t>
  </si>
  <si>
    <t>Survey: New Form Responses Q7; firm join from Respondent Log</t>
  </si>
  <si>
    <t>PI Industries respondents: Not sure; Directly covered or expected to have direct compliance obligations.</t>
  </si>
  <si>
    <t>Perceived current or EXPECTED obligations; Does not establish legal CCTS_obligated; leave legal flag unfilled without unit-level final notification.; Added separate reported variable</t>
  </si>
  <si>
    <t>5–15%; 15–30%</t>
  </si>
  <si>
    <t>IFFCO respondent bands: 5–15%; 15–30%.</t>
  </si>
  <si>
    <t>Directly covered or expected to have direct compliance obligations</t>
  </si>
  <si>
    <t>IFFCO respondents: Directly covered or expected to have direct compliance obligations.</t>
  </si>
  <si>
    <t>5–15%</t>
  </si>
  <si>
    <t>DCM Shriram respondent bands: 5–15%.</t>
  </si>
  <si>
    <t>DCM Shriram respondents: Directly covered or expected to have direct compliance obligations.</t>
  </si>
  <si>
    <t>National Fertilizers Limited (NFL) respondent bands: 5–15%.</t>
  </si>
  <si>
    <t>National Fertilizers Limited (NFL) respondents: Directly covered or expected to have direct compliance obligations.</t>
  </si>
  <si>
    <t>Chambal Fertilisers &amp; Chemicals respondent bands: 5–15%.</t>
  </si>
  <si>
    <t>Chambal Fertilisers &amp; Chemicals respondents: Directly covered or expected to have direct compliance obligations.</t>
  </si>
  <si>
    <t>15–30%</t>
  </si>
  <si>
    <t>SRF Limited respondent bands: 15–30%.</t>
  </si>
  <si>
    <t>SRF Limited respondents: Directly covered or expected to have direct compliance obligations.</t>
  </si>
  <si>
    <t>Less than 5%</t>
  </si>
  <si>
    <t>Mangalore Chemicals &amp; Fertilizers respondent bands: Less than 5%.</t>
  </si>
  <si>
    <t>Mangalore Chemicals &amp; Fertilizers respondents: Directly covered or expected to have direct compliance obligations.</t>
  </si>
  <si>
    <t>Southern Petrochemical Industries Corporation (SPIC) respondent bands: Less than 5%.</t>
  </si>
  <si>
    <t>Southern Petrochemical Industries Corporation (SPIC) respondents: Directly covered or expected to have direct compliance obligations.</t>
  </si>
  <si>
    <t>Madras Fertilizers respondent bands: Less than 5%.</t>
  </si>
  <si>
    <t>Madras Fertilizers respondents: Directly covered or expected to have direct compliance obligations.</t>
  </si>
  <si>
    <t>Khaitan Chemicals &amp; Fertilizers respondent bands: Less than 5%.</t>
  </si>
  <si>
    <t>Khaitan Chemicals &amp; Fertilizers respondents: Directly covered or expected to have direct compliance obligations.</t>
  </si>
  <si>
    <t>Madhya Bharat Agro Products respondent bands: Less than 5%.</t>
  </si>
  <si>
    <t>Madhya Bharat Agro Products respondents: Directly covered or expected to have direct compliance obligations.</t>
  </si>
  <si>
    <t>Krishana Phoschem respondent bands: Less than 5%.</t>
  </si>
  <si>
    <t>Krishana Phoschem respondents: Directly covered or expected to have direct compliance obligations.</t>
  </si>
  <si>
    <t>reported_DQS_indicators_coded</t>
  </si>
  <si>
    <t>PDF p.18 / DOCX Table 15</t>
  </si>
  <si>
    <t>Table 15 lists 10 of 10 indicators coded for Chambal Fertilisers &amp; Chemicals.</t>
  </si>
  <si>
    <t>Coverage reported in sector paper; This conflicts with several complete rows of Disclosure_Coding_Sheet.xlsx; neither version is silently overwritten.; Added separate reported variable</t>
  </si>
  <si>
    <t>reported_assurance</t>
  </si>
  <si>
    <t>Reasonable (Moore Singhi)</t>
  </si>
  <si>
    <t>Chambal Fertilisers &amp; Chemicals: Reasonable (Moore Singhi).</t>
  </si>
  <si>
    <t>Paper-reported assurance descriptor; Not translated into a new I9 score.; Added separate reported variable</t>
  </si>
  <si>
    <t>Table 15 lists 10 of 10 indicators coded for Mangalore Chemicals &amp; Fertilizers.</t>
  </si>
  <si>
    <t>None</t>
  </si>
  <si>
    <t>Mangalore Chemicals &amp; Fertilizers: None.</t>
  </si>
  <si>
    <t>Table 15 lists 10 of 10 indicators coded for Southern Petrochemical Industries Corporation (SPIC).</t>
  </si>
  <si>
    <t>Southern Petrochemical Industries Corporation (SPIC): None.</t>
  </si>
  <si>
    <t>Table 15 lists 10 of 10 indicators coded for Khaitan Chemicals &amp; Fertilizers.</t>
  </si>
  <si>
    <t>Khaitan Chemicals &amp; Fertilizers: None.</t>
  </si>
  <si>
    <t>Table 15 lists 2 of 10 indicators coded for DCM Shriram.</t>
  </si>
  <si>
    <t>Limited (Deloitte)</t>
  </si>
  <si>
    <t>DCM Shriram: Limited (Deloitte).</t>
  </si>
  <si>
    <t>Table 15 lists 2 of 10 indicators coded for PI Industries.</t>
  </si>
  <si>
    <t>Reasonable (PwC)</t>
  </si>
  <si>
    <t>PI Industries: Reasonable (PwC).</t>
  </si>
  <si>
    <t>Table 15 lists 3 of 10 indicators coded for Krishana Phoschem.</t>
  </si>
  <si>
    <t>Table 15 lists 1 of 10 indicators coded for SRF Limited.</t>
  </si>
  <si>
    <t>Reasonable + limited (BDO)</t>
  </si>
  <si>
    <t>SRF Limited: Reasonable + limited (BDO).</t>
  </si>
  <si>
    <t>Table 15 lists 0 of 10 indicators coded for National Fertilizers Limited (NFL).</t>
  </si>
  <si>
    <t>Table 15 lists 0 of 10 indicators coded for Madras Fertilizers.</t>
  </si>
  <si>
    <t>Table 15 lists 0 of 10 indicators coded for Madhya Bharat Agro Products.</t>
  </si>
  <si>
    <t>Table 15 lists 0 of 10 indicators coded for IFFCO.</t>
  </si>
  <si>
    <t>No BRSR (not SEBI-listed)</t>
  </si>
  <si>
    <t>IFFCO: No BRSR (not SEBI-listed).</t>
  </si>
  <si>
    <t>PDF p.19 / DOCX Table 16</t>
  </si>
  <si>
    <t>revenue: 13538; reporting_year: FY2025-26; reported_adjusted_PAT: 856; reported_net_debt: 1767</t>
  </si>
  <si>
    <t>All amounts ₹ crore; financial FY FY2025-26; ₹856cr is adjusted for a one-time ₹239cr deferred-tax credit, not unqualified PAT. ₹1,767cr is NET debt, not total debt.; Filled missing master value</t>
  </si>
  <si>
    <t>reported_adjusted_PAT</t>
  </si>
  <si>
    <t>All amounts ₹ crore; financial FY FY2025-26; ₹856cr is adjusted for a one-time ₹239cr deferred-tax credit, not unqualified PAT. ₹1,767cr is NET debt, not total debt.; Added separate reported variable</t>
  </si>
  <si>
    <t>reported_net_debt</t>
  </si>
  <si>
    <t>financial_data_status</t>
  </si>
  <si>
    <t>Report financials transcribed; ₹856cr is adjusted for a one-time ₹239cr deferred-tax credit, not unqualified PAT. ₹1,767cr is NET debt, not total debt.</t>
  </si>
  <si>
    <t>Uploaded report Table16; ₹856cr is adjusted for a one-time ₹239cr deferred-tax credit, not unqualified PAT. ₹1,767cr is NET debt, not total debt.; Added review annotation</t>
  </si>
  <si>
    <t>PDF p.20 / DOCX Table 16</t>
  </si>
  <si>
    <t>revenue: 21567.9; PAT: 169.7; reporting_year: FY2025-26; reported_consolidated_PAT: 211.5</t>
  </si>
  <si>
    <t>All amounts ₹ crore; financial FY FY2025-26; PAT ₹169.7cr explicitly standalone; consolidated PAT ₹211.5cr stored separately. Revenue basis is not specified, so do not assume a consolidated revenue/PAT combination.; Filled missing master value</t>
  </si>
  <si>
    <t>reported_consolidated_PAT</t>
  </si>
  <si>
    <t>All amounts ₹ crore; financial FY FY2025-26; PAT ₹169.7cr explicitly standalone; consolidated PAT ₹211.5cr stored separately. Revenue basis is not specified, so do not assume a consolidated revenue/PAT combination.; Added separate reported variable</t>
  </si>
  <si>
    <t>Report financials transcribed; PAT ₹169.7cr explicitly standalone; consolidated PAT ₹211.5cr stored separately. Revenue basis is not specified, so do not assume a consolidated revenue/PAT combination.</t>
  </si>
  <si>
    <t>Uploaded report Table16; PAT ₹169.7cr explicitly standalone; consolidated PAT ₹211.5cr stored separately. Revenue basis is not specified, so do not assume a consolidated revenue/PAT combination.; Added review annotation</t>
  </si>
  <si>
    <t>revenue: 1001.6; PAT: 68.8; reporting_year: FY2025-26</t>
  </si>
  <si>
    <t>All amounts ₹ crore; financial FY FY2025-26; Source does not fully identify standalone/consolidated basis. Do not combine with a different-basis denominator.; Filled missing master value</t>
  </si>
  <si>
    <t>Report financials transcribed; Source does not fully identify standalone/consolidated basis. Do not combine with a different-basis denominator.</t>
  </si>
  <si>
    <t>Uploaded report Table16; Source does not fully identify standalone/consolidated basis. Do not combine with a different-basis denominator.; Added review annotation</t>
  </si>
  <si>
    <t>revenue: 1867; PAT: 150.2; reporting_year: FY2025-26</t>
  </si>
  <si>
    <t>revenue: 2418; PAT: 180.1; reporting_year: FY2025-26</t>
  </si>
  <si>
    <t>total_debt: 4527; total_assets: 22261; reporting_year: FY2024-25; reported_market_cap: 89730; reported_book_value: 13264; market_to_book (source): 6.76</t>
  </si>
  <si>
    <t>All amounts ₹ crore; financial FY FY2024-25; Source does not fully identify standalone/consolidated basis. Do not combine with a different-basis denominator.; Filled missing master value</t>
  </si>
  <si>
    <t>reported_market_cap</t>
  </si>
  <si>
    <t>All amounts ₹ crore; financial FY FY2024-25; Source does not fully identify standalone/consolidated basis. Do not combine with a different-basis denominator.; Added separate reported variable</t>
  </si>
  <si>
    <t>reported_book_value</t>
  </si>
  <si>
    <t>market_to_book (source)</t>
  </si>
  <si>
    <t>All amounts ₹ crore; financial FY FY2024-25; Source does not fully identify standalone/consolidated basis. Do not combine with a different-basis denominator.; Filled missing support value</t>
  </si>
  <si>
    <t>reported_long_term_debt</t>
  </si>
  <si>
    <t>reported_long_term_debt: 82.3; reporting_year: FY2024-25; reported_net_margin: 0.099</t>
  </si>
  <si>
    <t>All amounts ₹ crore; financial FY FY2024-25; ₹82.3cr is long-term debt only; do not fill total_debt. No actual revenue or PAT is supplied.; Added separate reported variable</t>
  </si>
  <si>
    <t>All amounts ₹ crore; financial FY FY2024-25; ₹82.3cr is long-term debt only; do not fill total_debt. No actual revenue or PAT is supplied.; Filled missing master value</t>
  </si>
  <si>
    <t>reported_net_margin</t>
  </si>
  <si>
    <t>Report financials transcribed; ₹82.3cr is long-term debt only; do not fill total_debt. No actual revenue or PAT is supplied.</t>
  </si>
  <si>
    <t>Uploaded report Table16; ₹82.3cr is long-term debt only; do not fill total_debt. No actual revenue or PAT is supplied.; Added review annotation</t>
  </si>
  <si>
    <t>credit_rating (source)</t>
  </si>
  <si>
    <t>CRISIL A+/Stable; ICRA A+ negative watch (Mar 2026)</t>
  </si>
  <si>
    <t>CRISIL upgraded to A+/Stable; ICRA existing A+ rating placed on negative watch in March 2026.</t>
  </si>
  <si>
    <t>Different agencies and dates retained; Do not collapse to one rating or omit the negative watch.; Filled missing support value</t>
  </si>
  <si>
    <t>PDF pp.5,18–20 / DOCX Tables 1,15,16</t>
  </si>
  <si>
    <t>Named in report firm sample and coding-status table.</t>
  </si>
  <si>
    <t>Sector-paper secondary source; Original company disclosures are not attached.; Filled missing master value</t>
  </si>
  <si>
    <t>PDF p.5 Table1; p.18 Table15; p.20 Table16</t>
  </si>
  <si>
    <t>PDF pp.5,18,20</t>
  </si>
  <si>
    <t>Named in report tables.</t>
  </si>
  <si>
    <t>Sector-paper source locators; Reporting_FY of actual disclosure scoring remains unavailable.; Filled missing master value</t>
  </si>
  <si>
    <t>Textile_and_Apparel_Report.pdf (secondary report; primary firm filings not supplied)</t>
  </si>
  <si>
    <t>Textile/Textile_and_Apparel_Report.pdf</t>
  </si>
  <si>
    <t>PDF p.10, B1; p.23, Figure 8; p.25, C1</t>
  </si>
  <si>
    <t>Disclosure-quality coding: 13 listed companies, FY2024-25 (FY2025-26 where available).</t>
  </si>
  <si>
    <t>Secondary research report; numeric ten-indicator matrix absent; The report refers to Clean_Shared_Data.xlsx, which is not present in the uploaded ZIP.; Extended provenance</t>
  </si>
  <si>
    <t>PDF p.23, Figure 8 (reported DQS); p.10 B1 (period coverage); p.25 C1 (missing underlying dataset)</t>
  </si>
  <si>
    <t>Company positioning by Disclosure Quality Score across all 13 coded firms.</t>
  </si>
  <si>
    <t>Report total only, not indicator evidence; Firm-specific report pages and exact FY cannot be assigned from this PDF.; Filled missing master value</t>
  </si>
  <si>
    <t>review_note</t>
  </si>
  <si>
    <t>Report total available; I1–I10, firm-specific FY and financial amounts are not printed. Report coverage is FY2024-25, or FY2025-26 where available. Clean_Shared_Data.xlsx is referenced but absent.</t>
  </si>
  <si>
    <t>C1: Clean_Shared_Data.xlsx contains full disclosure-coding sheet and merged firm-level master table.</t>
  </si>
  <si>
    <t>All 13 textile rows; Do not infer company-specific FY, scores, revenue or export fractions from aggregate results.; Added review annotation</t>
  </si>
  <si>
    <t>Transport and Logistics/Transport_and_Logistics_Report.pdf</t>
  </si>
  <si>
    <t>PDF pp.19–20, section 8.9; p.7, section 6.6</t>
  </si>
  <si>
    <t>A 10-company dataset drawn from FY2024-25 annual reports, BRSR/climate disclosures and official investor pages, verified 16 August 2026.</t>
  </si>
  <si>
    <t>Year of report’s disclosure/financing-cost dataset; Actual finance costs, borrowing denominators and statement scope are not printed.; Filled missing master value</t>
  </si>
  <si>
    <t>Transport_and_Logistics_Report.pdf (secondary report; FY2024-25 source dataset)</t>
  </si>
  <si>
    <t>Sample scope: evidence-based 10-company dataset drawn from FY2024-25 annual reports, BRSR/climate disclosures and official investor pages.</t>
  </si>
  <si>
    <t>Secondary source; primary financial filings not included; No firm-specific official report URL or score matrix exists in this PDF.; Extended provenance</t>
  </si>
  <si>
    <t>PDF pp.19–20, section 8.9: DQS and financing-cost tables</t>
  </si>
  <si>
    <t>Disclosure Quality Score, all 10 firms; Financial proxy and usable sample.</t>
  </si>
  <si>
    <t>DQS total and separately reported financing ratio; Finance cost / average borrowings is a heterogeneous proxy, not a pure borrowing interest rate.; Filled missing master value</t>
  </si>
  <si>
    <t>Report financing ratio only; finance-cost and borrowing amounts not supplied.</t>
  </si>
  <si>
    <t>Two firms (Maruti Suzuki, Blue Dart Express) are effectively debt-free; CONCOR FY25 finance cost could not be safely extracted.</t>
  </si>
  <si>
    <t>FY2024-25; No zero financial data are substituted for missing/not-applicable values.; Added review annotation</t>
  </si>
  <si>
    <t>Report provides total DQS only; I1–I10 are unavailable. Source dataset is FY2024-25 and was verified by the report team on 16 August 2026 (not a new verification here). Reported ratio is finance cost divided by average borrowings; underlying amounts and consistent statement basis are not given.</t>
  </si>
  <si>
    <t>Report: raw proxy only; it must not be read as an effective interest rate or market cost of debt.</t>
  </si>
  <si>
    <t>FY2024-25; Self-reported survey CBAM flags and pooled firmographics are not company-specific product/ownership evidence.; Added review annotation</t>
  </si>
  <si>
    <t>Not applicable: report calls firm effectively debt-free.</t>
  </si>
  <si>
    <t>Report provides total DQS only; I1–I10 are unavailable. Source dataset is FY2024-25 and was verified by the report team on 16 August 2026 (not a new verification here). Not applicable: report calls firm effectively debt-free.</t>
  </si>
  <si>
    <t>Report provides total DQS only; I1–I10 are unavailable. Source dataset is FY2024-25 and was verified by the report team on 16 August 2026 (not a new verification here). Reported ratio is finance cost divided by average borrowings; underlying amounts and consistent statement basis are not given. Delhivery 152.22% is explicitly a lease-distorted outlier and should not be treated as an effective interest rate.</t>
  </si>
  <si>
    <t>Not applicable: report states no outstanding external borrowings.</t>
  </si>
  <si>
    <t>Report provides total DQS only; I1–I10 are unavailable. Source dataset is FY2024-25 and was verified by the report team on 16 August 2026 (not a new verification here). Not applicable: report states no outstanding external borrowings.</t>
  </si>
  <si>
    <t>Missing: FY25 finance-cost figure could not be safely extracted.</t>
  </si>
  <si>
    <t>Report provides total DQS only; I1–I10 are unavailable. Source dataset is FY2024-25 and was verified by the report team on 16 August 2026 (not a new verification here). Missing: FY25 finance-cost figure could not be safely extracted.</t>
  </si>
  <si>
    <t>PDF pp.14–15, Table 8 (DQS); PDF p.23, Table 14 (financials)</t>
  </si>
  <si>
    <t>Aluminium Group/Aluminium_Report.pdf</t>
  </si>
  <si>
    <t>Uploaded sector-report pagination, not an original company-report page.</t>
  </si>
  <si>
    <t>Original primary disclosure pages are not supplied in this PDF.; ; Extended provenance</t>
  </si>
  <si>
    <t>value_chain_segment</t>
  </si>
  <si>
    <t>Primary</t>
  </si>
  <si>
    <t>PDF pp.14–15, Table 8</t>
  </si>
  <si>
    <t>Table 8 explicitly classifies this firm in this value-chain segment.</t>
  </si>
  <si>
    <t>Report classification; separate support variable, not a revenue size band.; ; Added separate reported variable</t>
  </si>
  <si>
    <t>PDF pp.14–15, Table 8 (DQS); PDF p.23, Table 14 (financial data availability)</t>
  </si>
  <si>
    <t>Downstream/Secondary</t>
  </si>
  <si>
    <t>PDF p.8, section 2.2 Market Structure</t>
  </si>
  <si>
    <t>Bharat Aluminium Company (BALCO) is majority-owned by the Vedanta Group but is a separately incorporated entity that files its own standalone annual report and sustainability disclosures.</t>
  </si>
  <si>
    <t>Separate incorporated disclosure unit; not a listed/unlisted determination.; Does not establish exact holding percentage or stock exchange listing.; Filled missing master value</t>
  </si>
  <si>
    <t>Uploaded sector report PDF p.35, section 8 (scores); p.36 (company source list)</t>
  </si>
  <si>
    <t>Agriculture group/Agriculture_and_Agrofoods_Report.pdf</t>
  </si>
  <si>
    <t>PDF pp.35–36, section 8</t>
  </si>
  <si>
    <t>ITC is one of eight columns in the I1–I10 disclosure matrix on PDF p.35; sources are listed on p.36.</t>
  </si>
  <si>
    <t>These are source-report page locators, not primary company-report pages.; No indicator-by-indicator company-report pages are supplied.; Extended provenance</t>
  </si>
  <si>
    <t>company_source_link_status</t>
  </si>
  <si>
    <t>Correctly company-matched embedded URL transcribed; destination document has not been independently fetched.</t>
  </si>
  <si>
    <t>PDF p.36, source list and URI annotations</t>
  </si>
  <si>
    <t>PDF annotation inspection matched by row coordinates.; Do not use a URL attached to a different company as evidence.; Added separate reported variable</t>
  </si>
  <si>
    <t>Godrej Agrovet is one of eight columns in the I1–I10 disclosure matrix on PDF p.35; sources are listed on p.36.</t>
  </si>
  <si>
    <t>Corteva is one of eight columns in the I1–I10 disclosure matrix on PDF p.35; sources are listed on p.36.</t>
  </si>
  <si>
    <t>Bayer CropScience is one of eight columns in the I1–I10 disclosure matrix on PDF p.35; sources are listed on p.36.</t>
  </si>
  <si>
    <t>Incorrect embedded link: Bayer row points to Corteva impact report; no correct Bayer URL supplied.</t>
  </si>
  <si>
    <t>Tata Consumer is one of eight columns in the I1–I10 disclosure matrix on PDF p.35; sources are listed on p.36.</t>
  </si>
  <si>
    <t>Marico is one of eight columns in the I1–I10 disclosure matrix on PDF p.35; sources are listed on p.36.</t>
  </si>
  <si>
    <t>Incorrect embedded link: Marico row points to Tata Consumer PDF; no correct Marico URL supplied.</t>
  </si>
  <si>
    <t>Cargill is one of eight columns in the I1–I10 disclosure matrix on PDF p.35; sources are listed on p.36.</t>
  </si>
  <si>
    <t>PI Industries is one of eight columns in the I1–I10 disclosure matrix on PDF p.35; sources are listed on p.36.</t>
  </si>
  <si>
    <t>Company source link absent: blue link text has no recoverable PDF annotation.</t>
  </si>
  <si>
    <t>Actual PDF page(s): [237, 238, 239]</t>
  </si>
  <si>
    <t>PDF p.237: Total Assets                                                                                                370,594.62            319,460.15 | (i)    Borrowings                                                                       23                323.44                 70.38 | (i)    Borrowings                                                                       27              1,076.21              4,426.25
PDF p.238: Revenue from operations                                            32        409,862.31                       385,529.77 | Finance costs                                                      37                           5,813.73                        4,813.41 | PROFIT AFTER TAX FOR THE YEAR                                                                  20,208.13                         37,482.60
PDF p.239: Purchase of property, plant &amp; equipment, including capital                       (18,878.31)             (11,437.43)</t>
  </si>
  <si>
    <t>Source units Rs lakh /100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t>
  </si>
  <si>
    <t>Actual PDF page(s): [173, 174, 175]</t>
  </si>
  <si>
    <t>PDF p.173: Total assets                                                                                                                           58,119                     50,560 | (i) Borrowings                                                                                           17                          830                        898 | (i) Borrowings                                                                                           17                          701                         541
PDF p.174: Revenue from operations                                                                             23                          65,686                     58,324 | Finance costs                                                                                       29                             644                         413 | Profit for the year                                                                                                              5,347                      5,189 | Profit/(loss) for the year attributable to:
PDF p.175: Finance costs                                                                                       644                    413 | Payment for purchase of property, plant and equipment and intangible assets                      (4,591)             (5,448) | Finance Cost paid                                                                                 (569)                (342) | Proceeds from Long Term Borrowings                                                                   327                 487 | Repayment of Long Term Borrowings                                                                 (644)                  (31) | Proceeds/(Repayment) from Short Term Borrowings                                                    (244)                 (16)</t>
  </si>
  <si>
    <t>Source units Rs million /10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t>
  </si>
  <si>
    <t>Actual PDF page(s): [180, 181]</t>
  </si>
  <si>
    <t>PDF p.180: Consolidated Statement of Profit and Loss for the year ended 31 March 2026 | Revenue from operations                                                                28        819,401.78          799,366.15 | Finance costs                                                                          32         19,907.47           39,719.56 | Total assets                                                                                                   7,487,477.30           6,947,537.44     Share of profit in associates and joint ventures (net)                                           179,282.55          167,231.03 | Net profit for the year                                                                          441,467.50          436,681.94 | Other equity                                                                                       21        4,497,830.76           4,205,515.78       Items that will not be reclassified to profit and loss in subsequent periods: | Borrowings                                                                                         22                   -             167,206.78 | Borrowings                                                                                         27            4,494.76             218,195.83        Non-controlling interests                                                                              -                    -
PDF p.181: Proceeds from non-current borrowings (including current maturities)                                 -         28,400.00 | Repayment of non-current borrowings (including current maturities)                       (212,798.87)         (6,910.49) | Rental income on account of discounting of security deposits and straight           (1,889.45)         (3,876.41)      (Repayment of)/ proceeds from current borrowings, net                                    (108,601.46)        (96,591.55) | lining effect                                                                                                          Finance cost paid                                                                         (21,803.76)        (38,434.51) | Finance costs                                                                       19,907.47          39,719.56       Dividend paid                                                                            (148,047.10)       (123,359.42) | Purchase of property, plant and equipment, investment property, intangible         (12,919.47)         (9,601.63)   per Vikas Mehra</t>
  </si>
  <si>
    <t>Actual PDF page(s): [204, 206]</t>
  </si>
  <si>
    <t>PDF p.204: Non-Current Assets                                                                                                                                                   Revenue from Operations                                                                     30                   5,131.43                4,922.84 | Loans                                                                                               9                   127.72                         -         Finance Costs                                                                              35                    136.86                   173.69 | TOTAL ASSETS                                                                                                              81,894.43                 55,465.52 | EQUITY AND LIABILITIES                                                                                                                                            Profit for the Year                                                                                                 1,840.66                1,389.23 | Borrowings                                                                                         22                 2,250.00                  4,000.00 | Borrowings                                                                                         25                13,364.87                   8,561.16
PDF p.206: Finance costs                                                                                           136.86                 173.69 | Acquisition of property, plant and equipment, investment property and intangible assets             (406.04)                 (211.53)     Provisions - Non-Current                                                                                              (0.70)                            - | Proceeds from long-term borrowings                                                                           -              1,340.00 | Proceeds from short-term borrowings (net)                                                            2,213.61                 510.28      Long-term borrowings                                 4,000.00                      -                      -          (1,750.00)               2,250.00 | Interest and other borrowing cost paid                                                             (1,247.22)             (1,050.30)      Short-term borrowings                                8,334.67             2,213.61                  75.14             1,750.00           12,373.42***</t>
  </si>
  <si>
    <t>Source units Rs crore; no scaling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t>
  </si>
  <si>
    <t>Actual PDF page(s): [143, 144]</t>
  </si>
  <si>
    <t>PDF p.143: Consolidated Balance Sheet for the year ended 31 March 2025                                                                                   Consolidated Statement of Profit and Loss for the year ended 31 March 2025 | Non-current assets                                                                                                                            Revenue from operations                                                                  27                  4,635.07                 4,474.03 | (ii) Loans                                                                    16                      10.78                        -     Finance costs                                                                            32                      20.03                   17.29 | (iii) Bank balances other than (ii) above                                      15                     563.99                   415.79     Profit for the year from continuing operations                                                                348.31                    443.50 | TOTAL ASSETS                                                                                            3,756.20                 3,542.91     Loss for the year from discontinued operations                                                                (48.29)                   (11.34) | Profit for the year (A+B)                                                                                     300.02                    432.16 | (i) Borrowings                                                                 19                      71.38                    63.45 | (ii) Lease liabilities                                                         20                      72.87                    49.13     Profit for the year attributable to: | (i) Borrowings                                                                 19                     104.56                   107.14     Total comprehensive income for the year attributable to:
PDF p.144: Purchase of property, plant and equipment (including capital advances, capital work-in-            (220.51)            (299.93)   Chartered Accountants                         Kajaria Ceramics Limited | Proceeds from non-current borrowings                                                                  39.02              20.98 | Repayment of non-current borrowings                                                                 (31.35)              (9.96) | Proceeds/(repayments) of current borrowings (net)                                                      2.31             (50.35)</t>
  </si>
  <si>
    <t>Actual PDF page(s): [617, 618, 619, 620, 623]</t>
  </si>
  <si>
    <t>PDF p.617: TOTAL ASSETS                                                             452549.88               379524.10
PDF p.618: Borrowings                                                                           22           63738.59                       57503.34 | Borrowings                                                                           26           34778.53                       35861.30 | Current maturities of long term borrowings                                          27           23165.90                       36194.70
PDF p.619: Consolidated Statement of Profit and Loss for the year ended March 31, 2026 | Revenue from operations                                                         34                 285874.36                 255734.45 | Finance cost of financial services business and finance lease activity              6995.34                   6302.23 | Finance costs                                                                   39                    2848.82                  3334.37 | Profit for the year                                                                                 18953.88                  17673.33
PDF p.620: Consolidated Statement of Profit and Loss for the year ended March 31, 2026 (contd.) | Profit for the year attributable to:
PDF p.623: Finance costs                                                                                                  2625.46       3173.35 | Purchase of Property, plant and equipment, Investment property and Intangible assets                               (4809.19)     (4418.83)</t>
  </si>
  <si>
    <t>Source units Rs crore; no scaling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Finance cost9844.16 is explicit sum of finance costs2848.82 and financial-services/finance-lease expense6995.34. Borrowings exclude disposal group held-for-sale debt; group proxy remains non-comparable to industrial borrowing rates.</t>
  </si>
  <si>
    <t>Actual PDF page(s): [229, 230, 231]</t>
  </si>
  <si>
    <t>PDF p.229: Total Assets                                                                                                            589,366                    498,406 | Borrowings                                                                                      23                    37,162                    12,163 | Borrowings                                                                                      27                   61,677                     58,641
PDF p.230: Revenue from Operations                                                                               33                     166,762                      137,795 | Finance Costs                                                                                         37                       6,567                        5,495 | VI    Profit for the year                                                                                                          34,307                      27,666 | Profit for the year attributable to:                                                                                         34,307                      27,666
PDF p.231: Finance Costs                                                                    7,892                  7,072 | Purchase of Property, Plant and Equipment                                      (2,502)                (4,742) | Finance Costs Paid                                                             (8,247)                 (7,375) | Proceeds from Borrowings                                                       82,223                 37,950 | Repayment of Borrowings                                                       (54,192)               (54,151)</t>
  </si>
  <si>
    <t>Source units Rs million /10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P&amp;L finance costs656.7 differ from cash-flow adjustment789.2; use the P&amp;L expense, not the adjustment.</t>
  </si>
  <si>
    <t>Actual PDF page(s): [439, 440, 441]</t>
  </si>
  <si>
    <t>PDF p.439: TOTAL ASSETS (1+2)                                                                                                  829,482.71          642,077.15 | (i)    Borrowings                                                                            17                         -           91,766.30 | (i)    Borrowings                                                                            21                 64,525.15           51,408.00
PDF p.440: (a)   Revenue from operations                                                                    24               117,831.44              37,227.21 | (c)   Finance costs                                                                               28                 1,090.78               1,937.65 | VII    PROFIT AFTER TAX FOR THE YEAR (V - VI)                                                                            29,816.51                6,135.49
PDF p.441: Finance costs                                                                                      1,090.78             1,937.65 | Payment to acquire property, plant and equipment and other intangible assets                     (1,813.86)           (1,454.06)</t>
  </si>
  <si>
    <t>Source units Rs lakh /100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P&amp;L finance cost10.9078 is expense after capitalisation; interest cash paid64.0484 is a different measure.</t>
  </si>
  <si>
    <t>Actual PDF page(s): [293, 294, 297]</t>
  </si>
  <si>
    <t>PDF p.293: TOTAL ASSETS                                                                                                   13,64,095.21               12,70,509.25
PDF p.294: Consolidated Statement of Profit and Loss for the year ended on March 31, 2025 | I.     Revenue From Operations                                                                         33                12,03,857.24                10,40,678.72 | Finance Costs                                                                                   39                          6.16                        5.07 | XI     Profit / Loss for the Year from Continuing Operations (IX-X)                                                        55,742.46                    41,437.71 | XV     Profit / (Loss) for the Year (XI-XIV))                                                                              55,742.46                    41,437.71
PDF p.297: Cash flows are reported using the indirect method as per Ind AS 7 Statement of Cash Flows, whereby profit for the period is | Finance Cost                                                                                    6.16                   5.07 | Capital Advance for Purchase of Property                                                           -            (2,839.42) | Purchase of Property, Plant and Equipment, Capital WIP &amp; Other Intangible Assets         (31,980.98)            (1,640.00)</t>
  </si>
  <si>
    <t>Source units Rs lakh /100 | Consolidated (including NCI) | Consolidated; PAT includes non-controlling interests and discontinued operations where reported. Gross debt sums borrowings, excluding separately stated lease liabilities; current maturities included where separately presented. Capex is cash purchase/acquisition of PPE, investment property and/or intangibles as the source cash-flow line defines; not green capex. Finance-cost proxy uses the P&amp;L numerator and average current/prior gross debt. Consolidated balance sheet presents no borrowing balances in either current/non-current liabilities; debtfree narrative appears PDF p10 and parent auditor p194. Lease liabilities are excluded. Zero average debt means no debt ratio is computed.</t>
  </si>
  <si>
    <t>Actual PDF page(s): [250, 251, 252, 257]</t>
  </si>
  <si>
    <t>PDF p.250: Total Assets                                                  26,006.07                      21,006.38
PDF p.251: Borrowings                                      19            1,492.52                      264.61 | Borrowings                                      22            1,964.48                    1,328.97
PDF p.252: Revenue from Operations                                                           28             20,823.00                        22,199.36 | Finance Costs                                                                     34                745.29                              680.11 | Profit for the year                                                                                                     723.96                                868.25
PDF p.257: Acquisition of property, plant and equipment, investment property, intangible            (955.31)              (319.51) | Short term borrowings borrowed / repaid (net)                                              361.10                282.84 | Finance costs paid                                                                       (773.06)              (680.17)</t>
  </si>
  <si>
    <t>Actual PDF page(s): 201</t>
  </si>
  <si>
    <t>Consolidated Balance sheet as at 31.03.2025
` in Lakh
Particulars                                                                          Note No   As at 31.03.2025    As at 31.03.2024
Total Assets                                                                                         6,15,721.66         5,54,524.04
Total equity                                                                                   4,93,709.68         4,55,394.36
- Borrowings                                                                    17                 360.73              919.85
(i)     Borrowings                                                              20              30,498.36            4,242.85
- total outstanding dues of micro enterprises and small enterprises                        66.48            1,730.53
total outstanding dues of creditors
258                                                                                                          Annual Report 2024-25</t>
  </si>
  <si>
    <t xml:space="preserve">Statement in ₹ lakh; divide every amount by 100 to obtain ₹ crore. | Consolidated; PAT is total profit including non-controlling interests | Borrowing debt = balance-sheet non-current borrowings + current borrowings, including current maturities already in current borrowings; separately presented lease liabilities excluded. Current and comparative columns kept separate. </t>
  </si>
  <si>
    <t>Actual PDF page(s): 203</t>
  </si>
  <si>
    <t>Consolidated Statement of Profit and Loss for the year ended 31st March, 2025
` in Lakh
31.03.2025     31.03.2024
Revenue from operations                                                            24        5,37,572.86    5,45,535.37
Finance costs                                                                      29           5,539.19       5,963.35
Profit/(loss) for the year                                                                    81,299.08      93,558.42
260                                                                                               Annual Report 2024-25</t>
  </si>
  <si>
    <t>Statement in ₹ lakh; divide every amount by 100 to obtain ₹ crore. | Consolidated; PAT is total profit including non-controlling interests | Use total PAT including NCI, not owners-only PAT or total comprehensive income. Finance costs may include lease interest/non-interest charges; derived ratio is not a pure borrowing interest rate.</t>
  </si>
  <si>
    <t>Actual PDF page(s): 207</t>
  </si>
  <si>
    <t>Consolidated Statement of Cash Flows for the year ended 31st March, 2025
` in Lakh
2025                2024
Cash Flow from operating activities
Non-cash adjustment to reconcile profit before tax to net cash flows
Net Cash flow from/(used in) operating activities                               A    89,546.44          1,04,443.77
Cash flows from investing activities
Purchase of PPE, including intangible assets and CWIP                               (53,510.80)          (42,273.06)
Net cash flow from/(used in) investing activities                               B   (43,631.00)         (75,351.86)
Cash flows from financing activities
264                                                                                           Annual Report 2024-25</t>
  </si>
  <si>
    <t>Statement in ₹ lakh; divide every amount by 100 to obtain ₹ crore. | Consolidated; PAT is total profit including non-controlling interests | Positive magnitude of the source cash-flow capital-purchase outflow; total cash capital spending, not decarbonisation-only capex. Cash-flow caption includes capital working capital/advances where explicitly stated.</t>
  </si>
  <si>
    <t>Actual PDF page(s): 325</t>
  </si>
  <si>
    <t>CONSOLIDATED BALANCE SHEET
As at 31 March 2025
(All amounts in INR crores, unless otherwise stated)
31 March 2025         31 March 2024
Total non-current assets                                                                                                          19,359.74                16,034.64
Total current assets                                                                                                              16,798.31                14,782.61
Total                                                                                                                             36,158.05                30,817.25
Total equity                                                                                                                      16,708.21                14,374.53
_x0007_Borrowings                                                                                                  17                   4,319.72                 4,562.76
Total non-current liabilities                                                                                                      6,207.03                 6,398.80
_x0007_Borrowings                                                                                                  22                   1,978.01                 1,385.43
_x0007_	_x0007__x0007_Total outstanding dues of micro enterprises and small enterprises                                                               205.47                   102.03
_x0007_	_x0007__x0007_Total outstanding dues of creditors other than micro enterprises and small enterprises                                        8,934.41                 6,823.69
Total current liabilities                                                                                                         13,242.81                10,043.92
Total                                                                                                                             36,158.05                30,817.25
Date : 08 May 2025
390             Integrated Report 2024–25</t>
  </si>
  <si>
    <t xml:space="preserve">Statement in ₹ crore; no conversion. | Consolidated; PAT is total profit including non-controlling interests | Borrowing debt = balance-sheet non-current borrowings + current borrowings, including current maturities already in current borrowings; separately presented lease liabilities excluded. Current and comparative columns kept separate. </t>
  </si>
  <si>
    <t>Actual PDF page(s): 326</t>
  </si>
  <si>
    <t>CONSOLIDATED STATEMENT OF PROFIT AND LOSS
For the year ended 31 March 2025
(All amounts in INR crores, unless otherwise stated)
31 March 2025            31 March 2024
Revenue from operations                                                                      27                       39,312.21              38,562.47
Finance costs                                                                                31                          611.64                 554.39
Profit after tax                                                                                                       2,499.72               2,693.48
Date : 08 May 2025</t>
  </si>
  <si>
    <t>Statement in ₹ crore; no conversion. | Consolidated; PAT is total profit including non-controlling interests | Use total PAT including NCI, not owners-only PAT or total comprehensive income. Finance costs may include lease interest/non-interest charges; derived ratio is not a pure borrowing interest rate.</t>
  </si>
  <si>
    <t>Actual PDF page(s): 327</t>
  </si>
  <si>
    <t>CONSOLIDATED STATEMENT OF CASH FLOWS
For the year ended 31 March 2025
(All amounts in INR crores, unless otherwise stated)
31 March 2025         31 March 2024
A      Cash flow from operating activities
Cash flow from operating activities post working capital changes                        5,336.75             5,555.38
B      Cash flow from investing activities
Purchase of property, plant and equipment and intangible assets                        (1,885.46)           (1,474.91)
(including capital work-in-progress and intangible assets under development)
392             Integrated Report 2024–25</t>
  </si>
  <si>
    <t>Statement in ₹ crore; no conversion. | Consolidated; PAT is total profit including non-controlling interests | Positive magnitude of the source cash-flow capital-purchase outflow; total cash capital spending, not decarbonisation-only capex. Cash-flow caption includes capital working capital/advances where explicitly stated.</t>
  </si>
  <si>
    <t>Actual PDF page(s): 205</t>
  </si>
  <si>
    <t>Consolidated Balance Sheet                                                                                                                   Consolidated Statement of Profit and Loss
as At 31st March, 2026                                                                                                                       for the year ended 31st March, 2026
(₹ in crores)                                                                                                                                      (₹ in crores)
Particulars                                                                           Note      31st March, 2026       31st March, 2025      Particulars                                                                                 Note       31st March, 2026       31st March, 2025
(b) Capital work-in-progress                                                      5A                7,265.36              15,517.53            Total Revenue from operations                                                                          53,224.92             49,764.97
III    Total income (I + II)                                                                                  53,553.14             49,932.48
(ii) Trade receivables                                                      14                 1,729.00             1,362.89             Total expenses                                                                                         48,483.41              44,714.10
Total Assets                                                                                       97,761.77            85,839.37              Exceptional items                                                                     64                  (871.38)             (1,229.45)
(c) Non-controlling interest                                                      22                 942.05                 234.44             Total tax                                                                                               1,052.28               1,497.87
(i)   Borrowings                                                            23                19,594.57             14,005.38            (A) Items that will not be reclassified to profit or Loss
(a)	_x0007_Total outstanding, dues of micro and small enterprises                                      -                    -                (iii) Income Tax relating to above                                                                         0.16                 7.54
(b)	_x0007_Total outstanding, dues of creditors other than micro and                                   -                 0.40            (B) Items that will be reclassified to profit or Loss
(c) Deferred tax liabilities (net)                                                27                6,260.52              5,854.57             Total Other Comprehensive income/(Loss)                                                                   (24.92)              (236.84)
(d) Other Non-current liabilities                                                 28                    0.00                   0.05     XI     Total comprehensive income (IX+X)                                                                       3,335.95              2,608.84
(i)   Borrowings                                                            29                2,443.29              3,836.58             b) Non- Controlling interest                                                                                 (6.51)               33.55
(a) Total outstanding, dues of micro and small enterprises                                329.56                 163.68            a) Owners of the equity                                                                                    (36.63)              (240.90)
(b)	_x0007_Total outstanding, dues of creditors other than micro and                           8,448.15             5,548.83             b) Non- Controlling interest                                                                                  11.71                4.06
small enterprises                                                                                                             Total Comprehensive Income attributable to:
Total Equity &amp; Liabilities                                                                              97,761.77            85,839.37
Dated: 1st May, 2026		                                                                                                                       Place: New Delhi
Dated: 1st May, 2026
402 The Steel of India                                                                                                                                                                                                                           Integrated Report 2025-26            403</t>
  </si>
  <si>
    <t>Consolidated Balance Sheet                                                                                                                   Consolidated Statement of Profit and Loss
as At 31st March, 2026                                                                                                                       for the year ended 31st March, 2026
(₹ in crores)                                                                                                                                      (₹ in crores)
Particulars                                                                           Note      31st March, 2026       31st March, 2025      Particulars                                                                                 Note       31st March, 2026       31st March, 2025
ASSETS                                                                                                                                       I      Revenue from operations                                                               35                 62,313.85            58,240.23
(1) Non-current assets                                                                                                                              Less: GST Recovered                                                                                     (8,859.00)              (8,111.57)
(a) Property, plant and equipment                                                  5               62,532.96             47,402.32             Less: Captive Sales for own projects                                                                      (229.93)             (363.69)
(b) Capital work-in-progress                                                      5A                7,265.36              15,517.53            Total Revenue from operations                                                                          53,224.92             49,764.97
(2) Current assets                                                                                                                                  Finance costs (net)                                                                   41                   1,516.64              1,312.08
(iii) Cash and cash equivalents                                             15                  1,889.81             2,617.00            Less: Captive Sales for own projects                                                                      (229.93)              (363.69)
IX     Profit/(Loss) for the year (VII - VIII)                                                                 3,360.87              2,845.68
Dated: 1st May, 2026		                                                                                                                       Place: New Delhi
Dated: 1st May, 2026
402 The Steel of India                                                                                                                                                                                                                           Integrated Report 2025-26            403</t>
  </si>
  <si>
    <t>Statement in ₹ crore; no conversion. | Consolidated; PAT is total profit including non-controlling interests | Revenue is the net Total Revenue from operations after GST recovered and captive-sales deductions. Finance costs are captioned net. Use total PAT including NCI, not owners-only PAT or total comprehensive income. Finance costs may include lease interest/non-interest charges; derived ratio is not a pure borrowing interest rate.</t>
  </si>
  <si>
    <t>Actual PDF page(s): 206</t>
  </si>
  <si>
    <t>Consolidated Statement of Cash Flows                                                                                               Consolidated Statement of Cash Flows
for the year ended 31st March, 2026                                                                                                for the year ended 31st March, 2026
(₹ in crores)                                                                                                                           (₹ in crores)
Particulars                                                                              31st March, 2026     31st March, 2025     Particulars                                                                                 31st March, 2026       31st March, 2025
Adjustments to reconcile profit before tax to net cash flows                                                                           Proceeds from sale of treasury shares (net of tax)                                                  491.34              873.03
Liability/provisions no longer required written back                                          (125.72)             (76.35)     Net cash flows from (used in) financing activities (C)                                              2,802.51                809.41
Net cash flows from (used in) operating activities (A)                                      7,204.23            10,823.96      Membership No. 507462                                                                               Membership No. 49706
Payment for property, plant &amp; equipment and intangible assets, CWIP, IAUD, capital          (9,574.15)          (10,607.09)    Dated: 1st May, 2026
Net cash flows from (used in) investing activities (B)                                        (10,733.93)          (12,322.78)
404 The Steel of India                                                                                                                                                                                                     Integrated Report 2025-26            405
Payment includes intangible assets, CWIP, IAUD, capital advances and capital creditors.</t>
  </si>
  <si>
    <t>Actual PDF page(s): 288</t>
  </si>
  <si>
    <t>CONSOLIDATED BALANCE SHEET                                                                                                                                             CONSOLIDATED STATEMENT OF PROFIT AND LOSS
As at 31 March 2026                                                                                                                                                    For the year ended 31 March 2026
(I in crores)                                                                                                                                                         (I in crores)
31 March 2026        31 March 2025                                                                                                                                    31 March 2026        31 March 2025
(b) Capital work-in-progress                                                                                5                    21,892               20,478     III    Total income (I + II)                                                                                                        186,718               169,518
(k) Deferred tax assets                                                                                   26(b)                      18                  297            Total expenses                                                                                                                174,352              163,641
Total non-current assets                                                                                                        166,241              170,006            (net) (III-IV)
(d) Other current assets                                                                                    14                    6,203                6,684            Total tax expenses                                                                                                              3,742                 1,586
Total current assets                                                                                                            103,435               70,736     XII    Other comprehensive income/(loss)
TOTAL – ASSETS                                                                                                                  269,676              240,742
Non-controlling interests (NCI)                                                                                                   5,422                2,170            Total (A)                                                                                                                        (541)                  (57)
Total equity                                                                                                                    105,475               81,666     B      i) Items that will be reclassified to profit or loss
(i) Borrowings                                                                                        22A                   75,608               81,983            ii) Income tax relating to items that will be reclassified to profit or loss                                                     (228)                 (141)
(ia) Lease liabilities                                                                                 7                     3,306                2,399            Total (B)                                                                                                                        (307)                  107
(ii) Other financial liabilities                                                                      24                     2,783                3,124            Total Other comprehensive income (A+B)                                                                                           (848)                   50
XIII   Total comprehensive income (XI + XII)                                                                                          24,660                 3,541
(d) Other non-current liabilities                                                                          27                     1,895                   35            Total Profit for the year attributable to:
Total non-current liabilities                                                                                                    94,824               98,450            -    Owners of the Company                                                                                                     22,316                 3,504
(i) Borrowings                                                                                        22B                   19,924               13,974                                                                                                                                           25,508                 3,491
a) Total outstanding, dues of micro and small enterprises                                                              1,541                1,316
b) Total outstanding, dues of creditors other than micro and small enterprises                                        13,125               10,702                                                                                                                                             (848)                   50
(iv) Derivative liabilities                                                                            23                       79                  227            Total comprehensive income for the year attributable to:
Total current liabilities                                                                                                        69,377               60,626            Basic (in H)                                                                                                                    91.43                 14.36
Total liabilities                                                                                                               164,201              159,076
TOTAL – EQUITY AND LIABILITIES                                                                                                  269,676              240,742            Diluted (in H)                                                                                                                  91.25                 14.32
Date: 14 May 2026                                                                          Date: 14 May 2026                                                           Place: Mumbai                                                                                  Place: Mumbai
Date: 14 May 2026                                                                         Date: 14 May 2026
570 | JSW STEEL LIMITED INTEGRATED REPORT 2025-26                                                                                                                                                                                                                                JSW STEEL LIMITED INTEGRATED REPORT 2025-26 | 571</t>
  </si>
  <si>
    <t>CONSOLIDATED BALANCE SHEET                                                                                                                                             CONSOLIDATED STATEMENT OF PROFIT AND LOSS
As at 31 March 2026                                                                                                                                                    For the year ended 31 March 2026
(I in crores)                                                                                                                                                         (I in crores)
31 March 2026        31 March 2025                                                                                                                                    31 March 2026        31 March 2025
(1)   Non-current assets                                                                                                                                               I      Revenue from operations                                                                                   32                 185,470               168,824
(ii) Loans                                                                                            12                         3                   70            Finance cost                                                                                              36                    9,102                8,412
(e) Assets classified as held for sale                                                                                               81                   29     XI     Profit for the year (IX-X)                                                                                                     25,508                 3,491
(d) Other non-current liabilities                                                                          27                     1,895                   35            Total Profit for the year attributable to:
Date: 14 May 2026                                                                          Date: 14 May 2026                                                           Place: Mumbai                                                                                  Place: Mumbai
Date: 14 May 2026                                                                         Date: 14 May 2026
570 | JSW STEEL LIMITED INTEGRATED REPORT 2025-26                                                                                                                                                                                                                                JSW STEEL LIMITED INTEGRATED REPORT 2025-26 | 571</t>
  </si>
  <si>
    <t>Actual PDF page(s): 290</t>
  </si>
  <si>
    <t>CONSOLIDATED STATEMENT OF CASH FLOWS                                                                                                      CONSOLIDATED STATEMENT OF CASH FLOWS
For the year ended 31 March 2026                                                                                                          For the year ended 31 March 2026
(I in crores)                                                                                                                                                            (I in crores)
31 March 2026              31 March 2025                                                                                                                       31 March 2026                       31 March 2025
A. Cash flow from operating activities                                                                                                    C. Cash flow from financing activities
Exceptional items (net) (refer note 48)                                         (17,359)                      489                       Reconciliation forming Statement of Cash flows
(I in crores)
Adjustments for:                                                                                                                      Particulars                              1 April 2025   Cash flows (net)         exchange                                                  Others #   31 March 2026
(I in crores)
(3,708)                      (681)     Particulars                                 1 April 2024      Cash flows (net)                                                          Others #      31 March 2025
Cash flow from operations                                                                       28,377                     22,872      Borrowings (non-current)*                         80,802              11,546                    1,255                     -                (455)             93,148
B. Cash flow from investing activities
_x0007_Purchases of property, plant and equipment and intangibles assets (including                     (14,654)                   (12,694)
Cash flow on acquisition/disposal of subsidiaries (Net) (refer note 52)                         (1,411)                          -
Investment in joint ventures and associates                                                     (1,104)                     (1,880)    1.    The statement of cash flows is prepared using the “indirect method” set out in Ind AS 7 - Statement of Cash Flows.
Date: 14 May 2026                                                                         Date: 14 May 2026
574 | JSW STEEL LIMITED INTEGRATED REPORT 2025-26                                                                                                                                                                                                    JSW STEEL LIMITED INTEGRATED REPORT 2025-26 | 575</t>
  </si>
  <si>
    <t>Actual PDF page(s): 200</t>
  </si>
  <si>
    <t>KALYANI STEELS LIMITED | 53rd ANNUAL REPORT 2025-2026
CONSOLIDATED BALANCE SHEET AS AT MARCH 31, 2026
( ` in Million)
March 31, 2026     March 31, 2025
Total                                                                                    12,869.60          11,909.98
Total                                                                                    17,088.03          15,411.37
Total Assets        				                                                                         29,957.63          27,321.35
Total equity					                                                                                21,049.17           18,915.67
(i) Borrowings                                                                15  		                —                  —
Total                                                                                       909.84              514.51
(i) Borrowings                                                                20  		         4,750.26            4,375.97
- total outstanding dues of micro enterprises and small enterprises		       		           118.52              240.69
- total outstanding dues of creditors other than micro enterprises and
Total                                                                                     7,998.62            7,891.17
Total liabilities 		                                                                   		         8,908.46            8,405.68
Total Equity and Liabilities				                                                                 29,957.63           27,321.35
Date : May 8, 2026			 Date : May 8, 2026</t>
  </si>
  <si>
    <t xml:space="preserve">Statement in ₹ million; divide every amount by 10 to obtain ₹ crore. | Consolidated; PAT is total profit including non-controlling interests | Borrowing debt = balance-sheet non-current borrowings + current borrowings, including current maturities already in current borrowings; separately presented lease liabilities excluded. Current and comparative columns kept separate. </t>
  </si>
  <si>
    <t>KALYANI STEELS LIMITED | 53rd ANNUAL REPORT 2025-2026
CONSOLIDATED STATEMENT OF PROFIT AND LOSS FOR THE YEAR ENDED MARCH 31, 2026
( ` in Million)
March 31, 2026 March 31, 2025
Revenue from operations                                                        24                      18,456.07           19,819.04
Finance costs		                                                                30                          86.38              185.66
Profit for the year / period 		               2,578.67                                                                      2,562.47
Date : May 8, 2026			 Date : May 8, 2026</t>
  </si>
  <si>
    <t>Statement in ₹ million; divide every amount by 10 to obtain ₹ crore. | Consolidated; PAT is total profit including non-controlling interests | Use total PAT including NCI, not owners-only PAT or total comprehensive income. Finance costs may include lease interest/non-interest charges; derived ratio is not a pure borrowing interest rate.</t>
  </si>
  <si>
    <t>KALYANI STEELS LIMITED | 53rd ANNUAL REPORT 2025-2026
CONSOLIDATED STATEMENT OF CASH FLOW FOR THE YEAR ENDED MARCH 31, 2026
( ` in Million)
March 31, 2026     March 31, 2025
A. Cash Flows from Operating Activities :
Adjustments to reconcile profit before tax to net cash flows
Net Cash Flows from Operating Activities (A)
B. Cash Flows from Investing Activities
Purchase of property, plant and equipment and intangible assets
(including capital work-in-progress)                                                    (614.40)            (251.09)
Net Cash Flows from Investing Activities (B)
C. Cash Flows from Financing Activities
Net Cash Flows from Financing Activities (C)
(including capital work-in-progress) (614.40) (251.09) [₹ million]</t>
  </si>
  <si>
    <t>Statement in ₹ million; divide every amount by 10 to obtain ₹ crore. | Consolidated; PAT is total profit including non-controlling interests | Positive magnitude of the source cash-flow capital-purchase outflow; total cash capital spending, not decarbonisation-only capex. Cash-flow caption includes capital working capital/advances where explicitly stated.</t>
  </si>
  <si>
    <t>Actual PDF page(s): 148</t>
  </si>
  <si>
    <t>NMDC Steel Limited                                                                                                    Annual Report 2024-25
Balance Sheet
as at 31st March-2025
(H in Crore)
Particulars                                                                     As at 31st March,2025                 As at 31st March,2024
Total Non-Current Assets                                                                          22,618.87                            22,311.73
Total Current Assets                                                                               5,850.87                            7,056.59
Total Assets                                                                                      28,469.74                           29,368.32
Total Equity                                                                                      13,114.48                           15,488.26
i) Borrowings                                              2.14.1                              3,289.31                              4,261.01
Total Non-Current Liabilities                                                                      5,451.94                             6,773.68
i) Borrowings                                              2.15.1                              2,608.33                             2,390.76
a) total outstanding dues of micro enterprises and                                             11.65                                 18.42
b) total outstanding dues of creditors other than                                         4,820.07                             2,484.29
Total Current Liabilities                                                                          9,903.32                             7,106.38
Total Liabilities                                                                                 15,355.26                           13,880.06
Total Equity and Liabilities                                                                      28,469.74                           29,368.32
Membership No.: 202692                                                  DIN:10977645                                  DIN :08265207
Dated : 27th May 2025                                                   Chief Financial Officer                       Company Secretary</t>
  </si>
  <si>
    <t>Statement in ₹ crore; no conversion. | Standalone; company states no subsidiaries, associates or joint ventures | Borrowing debt = balance-sheet non-current borrowings + current borrowings, including current maturities already in current borrowings; separately presented lease liabilities excluded. Current and comparative columns kept separate. Company has no subsidiaries/JVs/associates (PDF pp.37,49), so standalone is the entire company reporting perimeter.</t>
  </si>
  <si>
    <t>Actual PDF page(s): 149</t>
  </si>
  <si>
    <t>Statement of Profit and Loss
for the year ended 31st March 2025
(H in Crore)
No.                31st March, 2025                     31st March, 2024
Revenue from Operations                                              2.18                               8,503.05                             3,048.99
Finance costs                                                  2.23                                   651.94                               330.59
Profit/(loss) for the period                                                                          (2,373.78)                           (1,560.32)
Membership No.: 202692                                                      DIN:10977645                                  DIN :08265207
Dated : 27th May 2025                                                       Chief Financial Officer                       Company Secretary</t>
  </si>
  <si>
    <t>Statement in ₹ crore; no conversion. | Standalone; company states no subsidiaries, associates or joint ventures | Use total PAT including NCI, not owners-only PAT or total comprehensive income. Finance costs may include lease interest/non-interest charges; derived ratio is not a pure borrowing interest rate.</t>
  </si>
  <si>
    <t>Actual PDF page(s): 237</t>
  </si>
  <si>
    <t>Annual Report 2024-25
Consolidated Balance Sheet
as at 31 March 2025
No.      31 March 2025           31 March 2024
Total non-current Assets (A)                                                                                     10,785.60                 9,335.53
Total Current Assets (B)                                                                                          5,530.03                 5,088.30
Total Assets (A + B)                                                                                             16,315.63                14,423.83
Total Equity (A)                                                                                                 10,553.33                 9,646.67
i) Borrowings                                                                                     20             155.21                  268.77
Total non-current Liabilities (C)                                                                                    433.10                  432.84
i) Borrowings                                                                                      20            624.25                  318.67
-   Total outstanding due of micro enterprise and small enterprise                                           1.22                     0.44
-   Total outstanding due to creditors other than micro enterprise and small enterprise                  2,916.02                 2,368.44
Total Current Liabilities (D)                                                                                     4,604.45                 3,672.99
Total Equity and Liabilities (A + B + C + D)                                                                     16,315.63                14,423.83
Date: 09 May 2025                                          Date: 09 May 2025</t>
  </si>
  <si>
    <t>Actual PDF page(s): 238</t>
  </si>
  <si>
    <t>Consolidated Statement of Profit and Loss
for the year ended 31 March 2025
No.            31 March 2025           31 March 2024
I    Revenue from operations                                                                          28               15,137.50                13,195.22
Finance costs                                                                                    33                  143.92                   133.28
VIII Profit for the year (VI-VII)                                                                                         909.26                1,029.00
XI Profit/(loss) for the year attributable to:
Date: 09 May 2025                                         Date: 09 May 2025</t>
  </si>
  <si>
    <t>Actual PDF page(s): 239</t>
  </si>
  <si>
    <t>Annual Report 2024-25
Consolidated Statement of Cash Flows
for the year ended 31 March 2025
31 March 2025     31 March 2024
A. Cash flow from operating activities:
Cash flow from operating activities before taxes                                               1,997.39          1,971.39
Net cash flow generated from operating activities (A)                                          1,964.15          1,794.38
B.   Cash flow from investing activities:
Payment for purchase of property, plant and equipment including capital work-in-progress       (2,148.32)        (1,887.81)
C. Cash flow from financing activities:</t>
  </si>
  <si>
    <t>Actual PDF page(s): 268</t>
  </si>
  <si>
    <t>Consolidated Balance Sheet
As at 31st March, 2025                                                      (` in crore)
No.       31st March, 2025          31st March, 2024
TOTAL ASSETS                                                                                                        136370.94                 140708.58
(i) Borrowings                                                                                    24              10100.95                     9568.21
(a) total outstanding dues of micro enterprises and small enterprises                                                -                           -
(b) total outstanding dues of creditors other than micro enterprises and small enterprises                        5.93                        6.07
(i) Borrowings                                                                                   29              19710.17                    21032.76
(a) total outstanding dues of micro enterprises
(b) total outstanding dues of creditors other
TOTAL EQUITY AND LIABILITIES                                                                              136370.94                           140708.58
Dated: 28th May, 2025</t>
  </si>
  <si>
    <t>Actual PDF page(s): 269</t>
  </si>
  <si>
    <t>2024-25
Consolidated Statement of Profit and Loss
For the year ended 31st March, 2025                                                  (` in crore)
No.      31st March, 2025    31st March, 2024
Revenue from operations                                                                                35          102479.06            105378.33
Finance costs                                                                                          40            2793.17              2473.86
Profit for the year                                                                                                  2371.80              3066.67
Dated: 28th May, 2025</t>
  </si>
  <si>
    <t>Actual PDF page(s): 271</t>
  </si>
  <si>
    <t>2024-25
Consolidated Cash Flow Statement
For the year ended 31st March, 2025                                                       (` in crore)
31st March, 2025          31st March, 2024
A.   CASH FLOW FROM OPERATING ACTIVITIES
Cash flow from operating activities post working capital changes                                               10558.39                    3014.47
B   CASH FLOWS FROM INVESTING ACTIVITIES
Purchase of property, plant &amp; equipment (including capital work-in-progress) and                        (6221.15)                  (4710.69)
C   CASH FLOWS FROM FINANCING ACTIVITIES
The cash flow statement has been prepared using the Indirect Method as set out in Ind AS-7, Statement of Cash Flows.
Dated: 28th May, 2025</t>
  </si>
  <si>
    <t>Actual PDF page(s): 406</t>
  </si>
  <si>
    <t>CONSOLIDATED BALANCE SHEET
as at March 31, 2025
(I crore)
March 31, 2025    March 31, 2024
Total assets                                                                                               2,79,394.80       2,73,423.50</t>
  </si>
  <si>
    <t xml:space="preserve">Statement in ₹ crore; no conversion. | Consolidated; PAT is total profit including non-controlling interests | </t>
  </si>
  <si>
    <t>Actual PDF page(s): 407</t>
  </si>
  <si>
    <t>CONSOLIDATED BALANCE SHEET (CONTD.)
as at March 31, 2025
March 31, 2025         March 31, 2024
Total equity                                                                                                                            91,352.78              92,432.74
(i) Borrowings                                                                                    22             F211               68,551.81              51,576.73
Total non-current liabilities                                                                                                         1,01,948.47              82,587.28
(i) Borrowings                                                                                    22             F211               20,412.00              29,997.19
(a) Total outstanding dues of micro and small enterprises                                                                       1,510.71               1,203.70
(b) _x0007_Total outstanding dues of creditors other than micro and small
Total current liabilities                                                                                                               86,093.55              98,403.48
Total liabilities                                                                                                                         1,88,042.02            1,80,990.76
Total equity and liabilities                                                                                                              2,79,394.80            2,73,423.50
Mumbai, May 12, 2025
118th Year | Integrated Report &amp; Annual Accounts 2024-25 | F151</t>
  </si>
  <si>
    <t>Actual PDF page(s): 408</t>
  </si>
  <si>
    <t>CONSOLIDATED STATEMENT OF PROFIT AND LOSS
for the year ended March 31, 2025
March 31, 2025    March 31, 2024
I     Revenue from operations                                                           28     F225          2,18,542.51       2,29,170.78
(e) Finance costs                                                                 31     F227             7,340.95          7,507.57
Less: Expenditure (other than finance cost) transferred to capital account                                1,345.57          1,915.33
X     Profit/(loss) for the year (VIII-IX)                                                                     3,173.78         (4,909.61)
118th Year | Integrated Report &amp; Annual Accounts 2024-25 | F152</t>
  </si>
  <si>
    <t>Actual PDF page(s): 412</t>
  </si>
  <si>
    <t>CONSOLIDATED STATEMENT OF CASH FLOWS
for the year ended March 31, 2025
March 31, 2025                 March 31, 2024
(A) Cash flows from operating activities:
(B) Cash flows from investing activities:
Purchase of capital assets                                                  (15,670.52)                    (18,206.60)
118th Year | Integrated Report &amp; Annual Accounts 2024-25 | F156</t>
  </si>
  <si>
    <t>Statement in ₹ crore; no conversion. | Consolidated; PAT is total profit including non-controlling interests | Positive magnitude of the source cash-flow capital-purchase outflow; total cash capital spending, not decarbonisation-only capex. Purchase of capital assets caption; do not interpret as green-only spend.</t>
  </si>
  <si>
    <t>Actual PDF page(s): 187</t>
  </si>
  <si>
    <t>Property, plant and equipment 2 16,118 14,180 Revenue from operations 21 14,804 13,980 | Investments accounted using equity method 5 2 2 Finance costs 26 480 399 | Other current assets 10 892 766 Profit after tax for the year from continuing operations 1,158 699 | Total assets 33,312 30,226 (Loss) /profit for the year from discontinued operations (1) 0 | EQUITY AND LIABILITIES Profit for the year (I) 1,157 699 | Equity Profit for the year attributable to: | (i) Borrowings 14(i) 6,168 4,605 (ii) Income tax credit/ (expense) relating to above items 57 (113)</t>
  </si>
  <si>
    <t>Source already INR crore; no scale conversion. Borrowing debt adds current and non-current balance-sheet borrowing amounts. | Consolidated; PAT is total profit/(loss) for year including non-controlling interests; borrowing debt excludes separately reported lease liabilities | Current: 6,168 non-current + 584 current = 6,752. Prior: 4,605 non-current + 653 current = 5,258. Separate lease liabilities excluded. All figures use the current FY column consistently; prior_year_debt uses the prior balance-sheet column only. Finance costs can include lease interest and other charges, so the resulting finance-cost/debt proxy is not a pure borrowing interest rate.</t>
  </si>
  <si>
    <t>Actual PDF page(s): 189</t>
  </si>
  <si>
    <t>Purchase of property, plant and equipment, capital work in progress and intangibles (2,056) (2,664)</t>
  </si>
  <si>
    <t>Source already INR crore; no scale conversion. Borrowing debt adds current and non-current balance-sheet borrowing amounts. | Consolidated; capex is gross cash purchase outflow for fixed assets using the cash-flow statement label, not green capex or accrual additions | Cash purchases include capital work in progress and intangibles; use positive cash outflow, not accrual additions or green-specific capex.</t>
  </si>
  <si>
    <t>Actual PDF page(s): 188</t>
  </si>
  <si>
    <t>Non-Current Assets Revenue from Operations 28 20,943.47 19,282.83 | 16,373.20 16,389.41 Finance Costs 34 211.72 204.96 | Total Assets 31,475.69 28,491.76 Tax Expense Relating to Earlier Years (Net) 0.03 (0.06) | Equity Share Capital 21 36.08 36.08 PROFIT FOR THE YEAR 1,748.66 1,123.80 | Borrowings 23 728.88 726.60 Income Tax relating to Items that will not be Reclassified to (24.75) (4.57) | Borrowings 26 864.84 90.32 Profit and Other Comprehensive Income for the Year)</t>
  </si>
  <si>
    <t>Source already INR crore; no scale conversion. Borrowing debt adds current and non-current balance-sheet borrowing amounts. | Consolidated; PAT is total profit/(loss) for year including non-controlling interests; borrowing debt excludes separately reported lease liabilities | Current: 728.88 non-current + 864.84 current = 1,593.72. Prior: 726.60 non-current + 90.32 current = 816.92. Separate lease liabilities excluded. All figures use the current FY column consistently; prior_year_debt uses the prior balance-sheet column only. Finance costs can include lease interest and other charges, so the resulting finance-cost/debt proxy is not a pure borrowing interest rate.</t>
  </si>
  <si>
    <t>Actual PDF page(s): 190</t>
  </si>
  <si>
    <t>Purchase of Property, Plant and Equipment (Including Capital Work-in-Progress and Capital Advances) (1,865.59) (4,093.38); Payments for Intangible Assets (43.57) (11.34)</t>
  </si>
  <si>
    <t>Source already INR crore; no scale conversion. Borrowing debt adds current and non-current balance-sheet borrowing amounts. | Consolidated; capex is gross cash purchase outflow for fixed assets using the cash-flow statement label, not green capex or accrual additions | Cash capex = 1,865.59 + 43.57 = 1,909.16. Includes capital work in progress and advances.</t>
  </si>
  <si>
    <t>Actual PDF page(s): 235</t>
  </si>
  <si>
    <t>1) Non-current assets a) Revenue from operations 28 20,789.10 19,681.01 | e) Finance costs 35 108.22 154.58 | TOTAL - ASSETS 25,412.61 23,367.74 c) Deferred tax charge 22.44 36.47 | Equity 9 Profit after tax (7-8) 2,402.27 2,335.08 | Total Non-current liabilities 1,185.83 939.04 Profit for the year 2,402.27 2,335.08</t>
  </si>
  <si>
    <t>Source already INR crore; no scale conversion. Borrowing debt adds current and non-current balance-sheet borrowing amounts. | Consolidated; PAT is total profit/(loss) for year including non-controlling interests; borrowing debt excludes separately reported lease liabilities | No borrowings. Consolidated note on PDF p.284 explicitly states zero debt group and Total Debt = dash in both FY2025 and FY2024 columns. All figures use the current FY column consistently; prior_year_debt uses the prior balance-sheet column only. Finance costs can include lease interest and other charges, so the resulting finance-cost/debt proxy is not a pure borrowing interest rate.</t>
  </si>
  <si>
    <t>Actual PDF page(s): 284</t>
  </si>
  <si>
    <t>The Group is a Zero debt Group with no borrowings. Total Debt: March 31, 2025 -; March 31, 2024 -.</t>
  </si>
  <si>
    <t>Source already INR crore; no scale conversion. Borrowing debt adds current and non-current balance-sheet borrowing amounts. | Consolidated; PAT is total profit/(loss) for year including non-controlling interests; borrowing debt excludes separately reported lease liabilities | Zero is supported by explicit debt-free statement and both dated table columns; separately disclosed lease liabilities excluded. Do not compute finance_cost/average_debt when denominator is zero.</t>
  </si>
  <si>
    <t>Actual PDF page(s): 236</t>
  </si>
  <si>
    <t>Payment made on purchase of Property, plant and equipment and other Intangible assets (Including capital work-in-progress, capital advances and capital creditors) (1,968.44) (1,394.80)</t>
  </si>
  <si>
    <t>Source already INR crore; no scale conversion. Borrowing debt adds current and non-current balance-sheet borrowing amounts. | Consolidated; capex is gross cash purchase outflow for fixed assets using the cash-flow statement label, not green capex or accrual additions | Cash capex includes capital advances and movements in capital creditors. Finance costs are nonzero although borrowing debt is zero; an interest/debt ratio must remain missing.</t>
  </si>
  <si>
    <t>Actual PDF page(s): 196</t>
  </si>
  <si>
    <t>Property, plant and equipment 2 10,847.79 8,952.11 Revenue from operations 27 13,722.30 11,879.15 | Total non-current assets 14,338.24 11,678.03 Finance costs 32 424.27 459.18 | Total assets 18,499.97 16,681.55 Current tax 335.99 222.71 | Equity attributable to equity holders of the J K Cement Ltd. 7,037.25 6,088.98 Profit for the year (VI) 987.99 872.17 | (i) Borrowings 17 4,661.79 4,600.34 Exchange rate differences on translations 78.55 18.77 | (i) Borrowings 22 1,411.84 1,295.19 Equity holders of the J K Cement Limited 73.58 14.66</t>
  </si>
  <si>
    <t>Source already INR crore; no scale conversion. Borrowing debt adds current and non-current balance-sheet borrowing amounts. | Consolidated; PAT is total profit/(loss) for year including non-controlling interests; borrowing debt excludes separately reported lease liabilities | Current: 4,661.79 non-current + 1,411.84 current = 6,073.63. Prior: 4,600.34 non-current + 1,295.19 current = 5,895.53. Separate lease liabilities excluded. All figures use the current FY column consistently; prior_year_debt uses the prior balance-sheet column only. Finance costs can include lease interest and other charges, so the resulting finance-cost/debt proxy is not a pure borrowing interest rate.</t>
  </si>
  <si>
    <t>Actual PDF page(s): 197</t>
  </si>
  <si>
    <t>Purchase of property, plant &amp; equipment and intangible assets (2,266.45) (1,719.80)</t>
  </si>
  <si>
    <t>Source already INR crore; no scale conversion. Borrowing debt adds current and non-current balance-sheet borrowing amounts. | Consolidated; capex is gross cash purchase outflow for fixed assets using the cash-flow statement label, not green capex or accrual additions | Positive gross cash purchase outflow; proceeds from disposals are not netted.</t>
  </si>
  <si>
    <t>Actual PDF page(s): 259</t>
  </si>
  <si>
    <t>Non-Current Assets Revenue from Operations 25 88,511.53 75,955.13 | Other Financial Assets 7 3,063.39 2,933.16 Finance Costs 31 1,871.71 1,650.54 | TOTAL ASSETS 141,376.05 133,697.15 Profit before Tax Expense 10,927.19 7,528.13 | Share Application Money Pending Allotment - 0.56 Profit for the period (III) 8,188.35 6,039.64 | Borrowings 17 15,018.82 15,780.77 | Borrowings 22 7,761.84 7,250.22</t>
  </si>
  <si>
    <t>Source already INR crore; no scale conversion. Borrowing debt adds current and non-current balance-sheet borrowing amounts. | Consolidated; PAT is total profit/(loss) for year including non-controlling interests; borrowing debt excludes separately reported lease liabilities | Current: 15,018.82 non-current + 7,761.84 current = 22,780.66. Prior: 15,780.77 non-current + 7,250.22 current = 23,030.99. Separate lease liabilities excluded. All figures use the current FY column consistently; prior_year_debt uses the prior balance-sheet column only. Finance costs can include lease interest and other charges, so the resulting finance-cost/debt proxy is not a pure borrowing interest rate.</t>
  </si>
  <si>
    <t>Actual PDF page(s): 261</t>
  </si>
  <si>
    <t>Purchase of Property, Plant and Equipment (9,677.77) (9,129.33). Purchase of Property, Plant and Equipment includes movements of capital work-in-progress (including capital advances) during the year.</t>
  </si>
  <si>
    <t>Source already INR crore; no scale conversion. Borrowing debt adds current and non-current balance-sheet borrowing amounts. | Consolidated; capex is gross cash purchase outflow for fixed assets using the cash-flow statement label, not green capex or accrual additions | Statement labels this PPE cash purchases, including CWIP and capital advances. No separate intangible-purchase line identified; not an assertion that all intangible purchases are included. Separate asset-transfer cost 94.98 and acquisitions of businesses/investments are excluded.</t>
  </si>
  <si>
    <t>Actual PDF page(s): 243</t>
  </si>
  <si>
    <t>b) Right-of-use assets 5 1,464.76 758.34 i) Borrowings 28 14.39 18.91 | i) Borrowings 36 12.43 17.87 | TOTAL - ASSETS 80,945.41 65,103.68</t>
  </si>
  <si>
    <t>Source already INR crore; no scale conversion. Borrowing debt adds current and non-current balance-sheet borrowing amounts. | Consolidated; PAT is total profit/(loss) for year including non-controlling interests; borrowing debt excludes separately reported lease liabilities | Current: 14.39 non-current + 12.43 current = 26.82. Prior: 18.91 non-current + 17.87 current = 36.78. Separate lease liabilities excluded. All figures use the current FY column consistently; prior_year_debt uses the prior balance-sheet column only. Finance costs can include lease interest and other charges, so the resulting finance-cost/debt proxy is not a pure borrowing interest rate.</t>
  </si>
  <si>
    <t>Actual PDF page(s): 244</t>
  </si>
  <si>
    <t>a) Revenue from operations 40 33,697.70 32,807.93 Items that will not be reclassified to profit and loss in | e) Finance costs 47 215.94 276.38 12 Profit for the year attributable to | 9 Profit after tax (7-8) 5,158.41 4,734.63 Partner Chairman Managing Director Wholetime Director &amp;</t>
  </si>
  <si>
    <t>Actual PDF page(s): 246</t>
  </si>
  <si>
    <t>Payment made on purchase of Property, plant &amp; equipment and other intangible assets (Including capital work-in-progress, Other intangible assets under development and capital advances) (8,687.05) (4,482.46)</t>
  </si>
  <si>
    <t>Source already INR crore; no scale conversion. Borrowing debt adds current and non-current balance-sheet borrowing amounts. | Consolidated; capex is gross cash purchase outflow for fixed assets using the cash-flow statement label, not green capex or accrual additions | Cash capex includes CWIP, intangible assets under development and capital advances. Consolidation includes ACC; avoid adding Ambuja and ACC financials as independent group totals.</t>
  </si>
  <si>
    <t>Actual PDF page(s): 170</t>
  </si>
  <si>
    <t>I ASSETS I Revenue from operations 28 6,512.46 5,813.07 | (i) Investment in joint ventures and associate 8 166.13 124.47 Finance costs 34 377.96 450.15 | Total assets 14,535.48 12,003.94 XI Loss for the year (IX-X) (798.78) (163.76) | (i) Borrowings 21 3,091.94 5,010.42 ii) Income tax relating to items that will be reclassified to profit or loss 0.36 1.16</t>
  </si>
  <si>
    <t>Source already INR crore; no scale conversion. Borrowing debt adds current and non-current balance-sheet borrowing amounts. | Consolidated; PAT is total profit/(loss) for year including non-controlling interests; borrowing debt excludes separately reported lease liabilities | Current: 3,091.94 non-current + 989.67 current = 4,081.61. Prior: 5,010.42 non-current + 1,156.13 current = 6,166.55. Separate lease liabilities excluded. All figures use the current FY column consistently; prior_year_debt uses the prior balance-sheet column only. Finance costs can include lease interest and other charges, so the resulting finance-cost/debt proxy is not a pure borrowing interest rate.</t>
  </si>
  <si>
    <t>Actual PDF page(s): 171</t>
  </si>
  <si>
    <t>Purchase of property, plant and equipment and intangible assets (including under development and capital advances) (1,961.52) (1,151.74)</t>
  </si>
  <si>
    <t>Source already INR crore; no scale conversion. Borrowing debt adds current and non-current balance-sheet borrowing amounts. | Consolidated; capex is gross cash purchase outflow for fixed assets using the cash-flow statement label, not green capex or accrual additions | Cash purchase outflow includes under-development assets and capital advances. PAT is total consolidated loss including NCI, and includes exceptional accounting effects shown in statement.</t>
  </si>
  <si>
    <t>Actual PDF page(s): [186]</t>
  </si>
  <si>
    <t>PDF p.186
CONSOLIDATED BALANCE SHEET AS AT MARCH 31, 2025
                                                                                                                            March 31, 2025    March 31, 2024
Total Assets                                                                                                                     11,406.71         11,508.97
     i. Borrowings                                                                                        11A                        82.33           1,144.22
     ii. Lease Liabilities                                                                                 34                        11.48              15.42
     i. Borrowings                                                                                        14A                             -            709.33
     ii. Lease Liabilities                                                                                 34                          4.95              4.96
Total Equity and Liabilities                                                                                                     11,406.71         11,508.97</t>
  </si>
  <si>
    <t>Source amounts already INR crore; no scaling. | Consolidated | Gross debt = noncurrent82.33 + current0; prior=1144.22+709.33. Separately disclosed lease liabilities excluded; dash is nil in the exhaustive borrowing line.</t>
  </si>
  <si>
    <t>total_debt_prior_year</t>
  </si>
  <si>
    <t>Actual PDF page(s): [187]</t>
  </si>
  <si>
    <t>PDF p.187
CONSOLIDATED STATEMENT OF PROFIT AND LOSS FOR THE YEAR ENDED MARCH 31, 2025
                                                                                                                                                        (Rs. in Crore)
Revenue from Operations                                                                                               17                 16,646.20          17,966.41
Finance Costs                                                                                                          22                     48.42           173.06
Profit before Share of Profit of a Joint Venture and Tax                                                                                  2,320.01          1,806.54
Profit Before Tax                                                                                                                         2,451.71          1,886.98
Profit for the Year                                                                                                                       1,649.39           1,275.75
Profit for the Year attributable to:</t>
  </si>
  <si>
    <t>Source amounts already INR crore; no scaling. | Consolidated | PAT is total profit for year including NCI, not parent-attributable1649.51. Revenue is operations, not total income.</t>
  </si>
  <si>
    <t>Actual PDF page(s): [189]</t>
  </si>
  <si>
    <t>PDF p.189
                                                                                                                                (Rs. in Crore)
Sl.                                                                                                        Year Ended            Year Ended
B. Cash Flow from Investing Activities
    Purchase of Property, Plant and Equipment                                                                     (571.84)           (610.34)
    Purchase of Intangible Assets                                                                                    (1.11)             (2.46)
    (Increase) / Decrease of Intangible Assets under Development                                                     (0.05)               0.67
    Proceeds from Disposal / Sale of Property, Plant and Equipment                                                     2.75               3.33</t>
  </si>
  <si>
    <t>Source amounts already INR crore; no scaling. | Consolidated | Cash capex = PPE571.84 + intangible1.11; positive outflow magnitude. No green-capex claim.</t>
  </si>
  <si>
    <t>Actual PDF page(s): [180]</t>
  </si>
  <si>
    <t>PDF p.180
Consolidated Balance Sheet As At March 31, 2026
                                                                                                                        Note                           March 31, 2026                               March 31, 2025
Total assets                                                                                                                                                14,136.75                                       12,732.23
   Borrowings                                                                                                           13.1                                 1,601.09                                        1,391.15
   Lease liabilities                                                                                                                                            84.94                                          100.38
   Borrowings                                                                                                           16.1                                 1,211.40                                        1,017.04
   Lease liabilities                                                                                                                                            25.74                                           20.06
Total equity and liabilities                                                                                                                                14,136.75                                       12,732.23</t>
  </si>
  <si>
    <t>Source amounts already INR crore; no scaling. | Consolidated | Gross borrowing1601.09+1211.40; prior1391.15+1017.04. Leases excluded.</t>
  </si>
  <si>
    <t>Actual PDF page(s): [181]</t>
  </si>
  <si>
    <t>PDF p.181
Consolidated Statement of Profit and Loss For The Year Ended March 31, 2026
(a)     Revenue from operations                                                                                                  19                                14,263.91                                   12,741.32
(h) Finance costs                                                                                                                23                                   175.66                                      152.82
    Profit before exceptional item and tax                                                                                                                          1,015.65                                      909.41
    Profit before tax                                                                                                                                                 992.26                                      909.41
    Profit after tax                                                                                                                                                  855.98                                      604.27
Profit after tax
Profit before interest, depreciation, tax and exceptional item (EBIDTA)                                                                                             1,693.67                                    1,472.40</t>
  </si>
  <si>
    <t>Source amounts already INR crore; no scaling. | Consolidated | Audited consolidated PAT855.98 is not the sector-paper adjusted earnings label. Primary statement revenue14263.91 supersedes secondary13538 for this basis/year.</t>
  </si>
  <si>
    <t>Actual PDF page(s): [182]</t>
  </si>
  <si>
    <t>PDF p.182
B.   Cash flow from investing activities
     Purchase of property, plant and equipment                                                                                                                    (869.29)                                      (845.27)
     Purchase of other intangible assets                                                                                                                           (18.02)                                       (13.51)
     (Increase)/ decrease in Bank deposits and current account balances with banks (Earmarked)                                                                      (9.38)                                          2.37</t>
  </si>
  <si>
    <t>Source amounts already INR crore; no scaling. | Consolidated | Cash capex=PPE869.29+otherintangibles18.02; positive cash-outflow magnitude.</t>
  </si>
  <si>
    <t>Actual PDF page(s): [292]</t>
  </si>
  <si>
    <t>PDF p.292
Consolidated Balance Sheet as at 31.03.2026                                                                                                               ₹ in crore
II.   EQUITY AND LIABILITIES                                                                                                 11724.31                 9310.87
          i)   Lease Liabilities                                                                                21              2.21                     3.43
            ) Borrowings                                                                                        27           3959.25                  1995.77
           ii) Lease Liabilities                                                                                28              2.24                     1.85
                                                                                                                             11724.31                 9310.87</t>
  </si>
  <si>
    <t>Source amounts already INR crore; no scaling. | Consolidated | Only current borrowing line3959.25; no noncurrent borrowings on exhaustive balance sheet. Separate leases excluded; current maturities, if any, included in line.</t>
  </si>
  <si>
    <t>Actual PDF page(s): [293]</t>
  </si>
  <si>
    <t>PDF p.293
Consolidated Statement of Proﬁt and Loss for the year ended 31.03.2026
                                                                                                                                  ₹ in crore
Revenue from Operations                                                                   35          21514.18             19794.50
Finance Cost                                                                              43            249.33               225.79
Proﬁt before share of proﬁt / (loss) of joint venture as per equity method,                             232.67               104.08
Share of Proﬁt / (loss) of Joint Venture as per Equity Method (IV) (refer note 61(b))                    41.84                107.72
Proﬁt / (Loss) before exceptional item and tax (V) = (III) + (IV)                                       274.51                211.80
Proﬁt/(Loss) before Tax (VII)=(V)-(VI)                                                                  274.51                211.80
Proﬁt/(Loss) for the year (IX)=(VII)-(VIII)                                                             211.49                183.98
    Items that will not be reclassiﬁed to Proﬁt &amp; Loss
    the extent not to be reclassiﬁed to proﬁt or loss</t>
  </si>
  <si>
    <t>Source amounts already INR crore; no scaling. | Consolidated | Revenue from operations21514.18; secondary21567.9 equals total income21567.86. PAT211.49 consolidated; secondary169.7 was standalone, not interchangeable.</t>
  </si>
  <si>
    <t>Actual PDF page(s): [294]</t>
  </si>
  <si>
    <t>PDF p.294
Consolidated Statement of Cash Flows for the year ended 31.03.2026                                                                                                       ₹ in crore
                                                                                                                                    Year Ended                 Year Ended
B.    CASH FLOW FROM INVESTING ACTIVITIES
         Payment for purchase of PPE (including CWIP)                                                                                  (227.86)                   (204.03)
         Investment in Joint Ventures                                                                                                   (52.10)                   (107.72)
      investing and ﬁnancing activities of the Company are segregated.
ii)   Cash and Cash Equivalent includes earmarked balance in Amalgamated Fund of ₹ 0.53 crore (CPLY ₹ 0.59 crore) and Unspent CSR A/c of ₹ 0.68 crore (CPLY ₹ 1.58
      crore).</t>
  </si>
  <si>
    <t>Source amounts already INR crore; no scaling. | Consolidated | Cash PPE purchase includingCWIP; positive outflow magnitude. No audited green split.</t>
  </si>
  <si>
    <t>Actual PDF page(s): [265, 266]</t>
  </si>
  <si>
    <t>PDF p.265
                                                                            31.03.2025       31.03.2024
                TOTAL ASSETS                                                    11266.63         11455.72
                           (i)   Borrowings                        19             923.28           940.39
                           (ii) Lease Liabilities                  20               6.24             8.05
PDF p.266
                                                                                   31.03.2025           31.03.2024
                     (i)   Borrowings                                    25               1828.64             2342.86
                     (ii) Lease Liabilities                              26                   4.05                5.34
 TOTAL EQUITY AND LIABILITIES                                                            11266.63            11455.72</t>
  </si>
  <si>
    <t>Source amounts already INR crore; no scaling. | Consolidated | Gross borrowing923.28+1828.64; prior940.39+2342.86. Separately listed leases excluded.</t>
  </si>
  <si>
    <t>Actual PDF page(s): [267]</t>
  </si>
  <si>
    <t>PDF p.267
   I.    Revenue from Operations                                          31              16933.64         16981.31
         Finance Costs                                                    37                253.68            183.64
 IX.      Profit before tax (VII-VIII)                                                       328.32           301.17
 XI.      Profit/ (loss) for the year (IX-X)                                                 242.45           225.28</t>
  </si>
  <si>
    <t>Source amounts already INR crore; no scaling. | Consolidated | Total consolidated profit for year, not comprehensive income; revenue operations excludes otherincome.</t>
  </si>
  <si>
    <t>Actual PDF page(s): [270]</t>
  </si>
  <si>
    <t>PDF p.270
                                                                      0.64                       1.38
         Equipment / Intangible Assets
         Interest Income                                           (42.19)                    (43.04)
 B   Cash Flow from Investing Activities
     Additions to Property, Plant and Equipment /
                                                                  (827.34)                   (482.34)
     Intangible Assets (Net of Trade Credit)
     Sale of Property, Plant and Equipment / Intangible Assets         1.95                      1.42
     Purchase of Current Investments                             (5484.73)                  (5285.74)</t>
  </si>
  <si>
    <t>Source amounts already INR crore; no scaling. | Consolidated | Cash additions to PPE/intangibles net of trade credit, as explicitly labelled. Positive outflow magnitude; cash basis differs from gross additions.</t>
  </si>
  <si>
    <t>Actual PDF page(s): [176]</t>
  </si>
  <si>
    <t>PDF p.176
          TOTAL ASSETS                                                                      2284.84              1762.97
                i)      Borrowings                                         17 (A)            142.23                24.09
                iii) Lease Liabilities                                      4(iv)              4.85                 5.58
                 i)    Current Borrowings                                  17 (B)            573.76               440.34
                 ii) Lease Liabilities                                      4(iv)              0.90                 0.86
          TOTAL EQUITY AND LIABILITIES                                                      2284.84              1762.97</t>
  </si>
  <si>
    <t>Source amounts already INR crore; no scaling. | Consolidated | Gross borrowing142.23+573.76; prior24.09+440.34. Separate leases excluded.</t>
  </si>
  <si>
    <t>Actual PDF page(s): [177]</t>
  </si>
  <si>
    <t>PDF p.177
         Consolidated Statement of Profit and Loss for the year ended 31 March 2025
                                                                                                                  (C in Crores)
    1      Revenue from operations                                              23             3086.33               1943.86
           (e) Finance costs                                                    29               55.04                 37.98
    5      Profit before exceptional items and tax (3-4)                                         202.66               191.60
   9       Profit before tax (7+8)                                                               235.07               170.05
   11      Profit after Tax (9-10)                                                               155.62               113.06</t>
  </si>
  <si>
    <t>Source amounts already INR crore; no scaling. | Consolidated | Consolidated profit including equity-accounted investments, not standalone financing scope.</t>
  </si>
  <si>
    <t>PDF p.180
SPIC
                                                                                                                 (C in Crores)
  B     CASH FLOW FROM INVESTING ACTIVITIES :
        Purchase of Property, Plant and Equipment including         (252.66)                        (73.29)
        capital work-in-progress
        Proceeds from Sale of Property, Plant and Equipment              0.01                          0.10</t>
  </si>
  <si>
    <t>Source amounts already INR crore; no scaling. | Consolidated | Cash PPE purchase including capital work-in-progress/advances per following line; positive outflow magnitude.</t>
  </si>
  <si>
    <t>Actual PDF page(s): [211]</t>
  </si>
  <si>
    <t>PDF p.211
CONSOLIDATED BALANCE SHEET AS AT MARCH 31, 2025                                                                                                  CONSOLIDATED STATEMENT OF PROFIT &amp; LOSS FOR THE YEAR ENDED MARCH 31, 2025
(All amounts in ₹ Million, unless otherwise stated)                                                                                              (All amounts in ₹ Million, unless otherwise stated)
  Particulars                                                                     Notes      As at March 31, 2025      As at March 31, 2024
  Non-current assets                                                                                                                                                                                                             ended March 31, 2025    ended March 31, 2024
  Property, plant and equipment                                                     4               33,183                   29,543              Revenue from operations                                               20               79,778                  76,658
  Non-current tax assets                                                           11                 107                      294               Finance cost                                                         26                   330                    300
  (iii) Cash and cash equivalents                                                 7(e)               5,923                     8,865             Profit before tax                                                                       21,420                 18,947
 Total assets                                                                                      122,767                   107,640             Profit for the year                                                                     16,602                 16,815
  (i) Borrowings                                                                  15(a)              780                       617               Exchange difference on translation of foreign operations                                  107                    (33)
  (ii) Lease Liabilities                                                          15(d)              457                       438               Total comprehensive income for the year                                                 16,497                 17,060
  (i) Borrowings                                                                  15(a)              337                       662
  (ii) Lease Liabilities                                                          15(d)              267                       189
  Total equity and liabilities                                                                     122,767                   107,640</t>
  </si>
  <si>
    <t>Source INR million / 10 = INR crore; source amounts122767,79778,16602,330 etc preserved in quote. | Consolidated | Gross borrowing(780+337)/10; prior(617+662)/10. Separateleases excluded. Totalprofit16602/10; revenue79778/10.</t>
  </si>
  <si>
    <t>Actual PDF page(s): [212]</t>
  </si>
  <si>
    <t>PDF p.212
CONSOLIDATED STATEMENT OF CHANGES IN EQUITY FOR THE YEAR ENDED MARCH 31, 2025                                                                                                                                                              CONSOLIDATED STATEMENT OF CASH FLOW FOR THE YEAR ENDED MARCH 31, 2025
(All amounts in ₹ Million, unless otherwise stated)                                                                                                                                                                                        (All amounts in ₹ Million, unless otherwise stated)
a. Equity share capital
This is the Consolidated statement of changes in equity referred to our report of even date                                                                                                                                                 B. CASH FLOW FROM INVESTING ACTIVITIES
                                                                                                                                                                                                                                            Payments for purchase of property, plant &amp; equipment including capital                          (8,500)             (6,204)
For Price Waterhouse Chartered Accountants LLP                                                                                                      For and on behalf of the Board of Directors                                             work in progress, intangible assets and capital advances
Firm Reg. No. 012754N/N500016
Sougata Mukherjee                                                                                                  Mayank Singhal                                                               Rajnish Sarna
Partner                                                                                           Vice Chairman &amp; Managing Director                                                    Joint Managing Director                              Payment for Purchase of Current Investments                                                     (4,806)             (5,117)
Membership Number: 057084                                                                                           DIN: 00006651                                                              DIN: 06429468                                Payment for purchase of non current investments                                                 (1,800)              (536)
                                                                                                                       Sd/-                                                                                           Sd/-                  Proceeds from Sale of current investments                                                       5,026                3,171</t>
  </si>
  <si>
    <t>Source INR million / 10 = INR crore; source amounts122767,79778,16602,330 etc preserved in quote. | Consolidated | Cash8500million includes PPE,CWIP,intangibles andcapitaladvances. Positive outflow, not greencapex.</t>
  </si>
  <si>
    <t>Actual PDF page(s): [228]</t>
  </si>
  <si>
    <t>PDF p.228
                                                                                                  (₹ in lakhs, unless otherwise stated)                                                                                                          (₹ in lakhs, unless otherwise stated)
 1   Non-current assets                                                                                                                             Revenue from operations                                                      24                31,47,954              24,08,524
          iii) Other financial assets                                                14A                 843                     97                 Finance costs                                                                28                   34,259                 26,243
         iv) Cash and cash equivalents                                                12             42,253                 25,475        V      Profit before exceptional items and tax (III+IV)                                                   2,68,770               2,38,078
         vi) Other financial assets                                                  14B             25,357                  1,304        VII    Profit before tax (V+VI)                                                                           2,61,714               2,72,755
     Total assets                                                                                 24,50,343              18,92,762               Total tax expense                                                                                    71,900                 67,284
 II EQUITY AND LIABILITIES                                                                                                                IX     Profit for the year (VII-VIII)                                                                     1,89,814               2,05,471
         i) Borrowings                                                                18               8,034                  8,533                   (b) Net fair value gain/(loss) on investments at FVTOCI                                          2,555                  1,301
         ii) Lease liabilities                                                         5              59,940                 51,344              (ii) Income tax relating on above                                              21.2                   (132)                     (8)
         i) Borrowings                                                                18              78,686                 14,690              (a) Owners of the Company                                                                             6,505                    356
         ii) Lease liabilities                                                         5               3,959                  3,471              (b) Non-controlling interest                                                                            892                      5
     (c) Provisions                                                                   20              8,061                  5,946               the basis of profit for the year attributable to the owners of the
     Total equity and liabilities                                                                 24,50,343              18,92,762               Corporate information and material accounting policies                      1 and 2</t>
  </si>
  <si>
    <t>Source INR lakh / 100 = INR crore; no currency conversion. | Consolidated | Grossborrowing(8034+78686)/100; prior(8533+14690)/100. Totalprofit189814/100 includesNCI; separateleases excluded. Source PDF contains two printedpages452–453 on onePDFpage228.</t>
  </si>
  <si>
    <t>Actual PDF page(s): [229]</t>
  </si>
  <si>
    <t>PDF p.229
CIN: L24120TG1961PLC000892                                                                                                              CIN: L24120TG1961PLC000892
                                                                                                (₹ in lakhs, unless otherwise stated)                                                                                                          (₹ in lakhs, unless otherwise stated)
                                                                                                                                        Proceeds from issue of equity shares on exercise of employee stock options                                      3,016               1,677
Cash flows from operating activities                                                                                                    Payment for purchase of additional interest in subsidiary                                                      (6,951)                   -
Profit before tax                                                                                  2,61,714               2,72,755
(Increase)/decrease in other assets                                                                 (16,227)                 1,109
                                                                                                                                        Non-cash investing activities includes acquisition of Right-of-use assets for ₹244 Lakhs (2025: ₹ Nil Lakhs)
Cash generated from operations                                                                     2,28,781               3,18,228
Cash flows used in investing activities:                                                                                                Firm Registration Number : 101049W/E300004
Purchase of property, plant and equipments and other intangible assets, including                 (1,54,047)               (85,064)                                                                       Sankarasubramanian S                    Arun Alagappan
capital work-in-progress and capital advances                                                                                                                                                             Managing Director &amp; CEO                 Executive Chairman
                                                                                                                                        Shankar Srinivasan                                                DIN:01592772                            DIN: 00291361</t>
  </si>
  <si>
    <t>Source INR lakh / 100 = INR crore; no currency conversion. | Consolidated | Cash154047lakh purchasePPE+intangibles includingCWIP/capitaladvances. Businessacquisitions separately excluded. Positive outflow.</t>
  </si>
  <si>
    <t>Actual PDF page(s): [196, 197]</t>
  </si>
  <si>
    <t>PDF p.196
		TOTAL ASSETS		
               14,36,900.90 15,05,069.20
PDF p.197
       		       (i)    Lease Liabilities - Non Current                                  24                  67.21             152.12
       		 (i)          Borrowings                                                       22                       -            250.45
       		       (ii) Lease Liabilities - Current                                        24                 109.23             108.30
           TOTAL EQUITY &amp; LIABILITIES		                                                               14,36,900.90   15,05,069.20</t>
  </si>
  <si>
    <t>Source INR lakh / 100 = INR crore; no currency conversion. | Consolidated | No noncurrent borrowing line; currentborrowings dash versus250.45lakhprior. Lease liabilities67.21+109.23lakh are separately disclosed and excluded. Zero is explicit nil borrowing, not missing.</t>
  </si>
  <si>
    <t>Actual PDF page(s): [198]</t>
  </si>
  <si>
    <t>PDF p.198
 CONSOLIDATED Statement of Profit &amp; Loss for the YEAR ended 31st March, 2025
                                                                                                                     (` in lakhs)
     Revenue from operations                                      29                 9,53,395.77                     9,15,464.41
     Finance costs		                                              34                     1,008.75                       1,119.51
V Profit before tax			                                                                 75,626.81                      70,379.87
VII Profit for the year		                                                              59,115.56                      56,378.46</t>
  </si>
  <si>
    <t>Source INR lakh / 100 = INR crore; no currency conversion. | Consolidated | Use P&amp;Lfinancecost1008.75lakh, not CFadjustment556.63. Totalprofit59115.56lakh includesNCI, not parentattributable.</t>
  </si>
  <si>
    <t>Actual PDF page(s): [199]</t>
  </si>
  <si>
    <t>PDF p.199
                                                                                                                                           (` in lakhs)
       Particulars                                                                                           Year Ended 31st March
      B	    Cash Flow From Investing Activities :
            Purchase of property, plant &amp; equipments (including CWIP &amp; capital advances)                   (37,953.86)                     (24,020.21)
            Purchase of non current investments                                                             (4,500.00)                               -</t>
  </si>
  <si>
    <t>Source INR lakh / 100 = INR crore; no currency conversion. | Consolidated | Cash PPE purchase includingCWIP andcapitaladvances37953.86lakh; positive outflow. No greenallocation.</t>
  </si>
  <si>
    <t>Actual PDF page(s): [61]</t>
  </si>
  <si>
    <t>PDF p.61
Balance Sheet as at March 31, 2026                                                                                                                        Rs. in Lakhs
Particulars                                                                                    Note             As at March 31, 2026          As at March 31, 2025
TOTAL ASSETS                                                                                                              68,152.99                        61,950.29
     i) Borrowings                                                                             19                          2,355.07                         3,109.06
   i) Borrowings                                                                               24                         27,774.98                        28,171.07
TOTAL EQUITY AND LIABILITIES                                                                                              68,152.99                        61,950.29</t>
  </si>
  <si>
    <t>Source INR lakh / 100 = INR crore; no currency conversion. | Standalone | Borrowings(2355.07+27774.98)/100; prior(3109.06+28171.07)/100. Separateleaseliabilities excluded. CFnote typo2355.77 differsfromBS2355.07; use auditedBSline consistently.</t>
  </si>
  <si>
    <t>Actual PDF page(s): [62]</t>
  </si>
  <si>
    <t>PDF p.62
Statement of Profit and Loss for the year ended March 31, 2026                                                                                   Rs. in Lakhs
Revenue from Operations                                                      30                            100,162.94                              72,016.77
Finance costs                                                                35                               3,289.55                              2,980.70
Profit/(loss) before exceptional items and tax                                                                7,172.75                            (1,649.98)
Profit/(loss) before tax                                                                                      7,172.75                            (1,649.98)
Profit from continuing operations before tax                                                                  7,172.75                            (1,649.98)
Profit /(Loss) from continuing operations after tax                                                            6,875.95                                139.91
Profit / (Loss) from discontinuing operations before tax                                                       (416.16)                                     -
Profit (loss) from discontinuing operations after tax                                                          (416.16)                                       -
Profit for the Year                                                                                            6,459.79                                  139.91</t>
  </si>
  <si>
    <t>Source INR lakh / 100 = INR crore; no currency conversion. | Standalone | Total PAT6459.79lakh includes continuing6875.95 less discontinuedloss416.16. Secondary68.8 was continuingprofit, not totalPAT. Financecost uses P&amp;L3289.55lakh; CFadjustment2789.12 differs.</t>
  </si>
  <si>
    <t>Actual PDF page(s): [63]</t>
  </si>
  <si>
    <t>PDF p.63
     KHAITAN CHEMICALS AND FERTILIZERS LIMITED
Cash Flow Statement for the year ended March 31, 2026                                                                                                                        Rs. in Lakhs
Particulars                                                                                                           For the Year ended                      For the Year ended
 Cash flow from investing activities
 Purchase of Property, plant and equipment, intangible assets including Capital work in progress                                 (895.68)                              (478.81)
Proceeds from sale of Property, plant and equipment                                                                                128.00                                      -</t>
  </si>
  <si>
    <t>Source INR lakh / 100 = INR crore; no currency conversion. | Standalone | Cash PPE+intangibles includingCWIP895.68lakh; positive outflow.</t>
  </si>
  <si>
    <t>Actual PDF page(s): [124]</t>
  </si>
  <si>
    <t>PDF p.124
   Total Assets                                                                                              1,64,070.50              1,03,605.70
       (i) Borrowings                                                                       14                 15,436.75                13,343.52
       (ii) Lease Liabilities                                                               15                     91.50                    92.03
       (i) Borrowings                                                                       18                 57,817.49                24,184.23
       (iii) Lease Liabilities                                                              15                      0.76                     0.69
   Total Equity and Liabilities                                                                              1,64,070.50              1,03,605.70</t>
  </si>
  <si>
    <t>Source INR lakh / 100 = INR crore; no currency conversion. | Standalone | Borrowings(15436.75+57817.49)/100; prior(13343.52+24184.23)/100. Separateleases excluded.</t>
  </si>
  <si>
    <t>Actual PDF page(s): [125]</t>
  </si>
  <si>
    <t>PDF p.125
                                                                                                                        (H In Lakhs)
Revenue from operations                                                           24              2,41,800.11          1,35,823.89
Finance costs                                                                     29                 3,874.12             3,945.20
Profit Before Exceptional Items and Tax                                                             24,102.23            12,326.58
Profit Before Tax                                                                                   24,102.23            12,326.58
Profit for the year                                                                                18,014.69              8,653.95</t>
  </si>
  <si>
    <t>Source INR lakh / 100 = INR crore; no currency conversion. | Standalone | Companyfinancialstatements, not a mix of consolidated/standalone. P&amp;Lfinancecost includes6.94lakhleaseinterest; debtdefinition excludes separatelyreportedleaseliabilities.</t>
  </si>
  <si>
    <t>Actual PDF page(s): [126]</t>
  </si>
  <si>
    <t>PDF p.126
for the year ended 31st March 2026
                                                                                                                                              (H In Lakhs)
                                                                                                             For the year ended          For the year ended
B) CASH FLOW FROM INVESTING ACTIVITIES:
   Purchase of Property, Plant &amp; Equipment                                                                          (11,338.46)                    (3,834.15)
   Sale proceed of Property, Plant &amp; Equipment                                                                             5.90                          2.60</t>
  </si>
  <si>
    <t>Source INR lakh / 100 = INR crore; no currency conversion. | Standalone | Cash PPEpurchase11338.46lakh; positiveoutflow. Separategreenallocation not identified.</t>
  </si>
  <si>
    <t>Actual PDF page(s): [128]</t>
  </si>
  <si>
    <t>PDF p.128
    Total Assets                                                                                              1,68,243.24                94558.17
         (i) Borrowings                                                                      14                 40,488.48                 8504.66
         (ii) Lease Liabilities                                                              15                     50.05                   50.36
         (i) Borrowings                                                                      17                 45,052.05                23281.42
         (iii) Lease Liabilities                                                             15                      0.31                    0.28
    Total Equity and Liabilities                                                                              1,68,243.24                94558.17</t>
  </si>
  <si>
    <t>Source INR lakh / 100 = INR crore; no currency conversion. | Standalone | Borrowings(40488.48+45052.05)/100; prior(8504.66+23281.42)/100; separateleases excluded.</t>
  </si>
  <si>
    <t>Actual PDF page(s): [129]</t>
  </si>
  <si>
    <t>PDF p.129
                                                                                                                      H in Lakhs (except as stated)
Revenue from operations                                                                       23             186698.03                 105916.70
Finance costs                                                                                 28                3236.53                   2808.98
Profit Before Tax                                                                                              17405.32                   9462.15
Profit for the year                                                                                            15018.24                   5747.56</t>
  </si>
  <si>
    <t>Source INR lakh / 100 = INR crore; no currency conversion. | Standalone | P&amp;Lfinancecost3236.53lakh includes2.60lakhleaseinterest; do not replace with CFadjustment3233.93.</t>
  </si>
  <si>
    <t>Actual PDF page(s): [130]</t>
  </si>
  <si>
    <t>PDF p.130
for the year ended 31st March 2026
                                                                                                                          (H in Lakhs)
                                                                                        For the Year ended        For the Year ended
B) CASH FLOW FROM INVESTING ACTIVITIES:
   Purchase of property, plant &amp; equipment                                                      (39,855.61)              (10,801.85)
   Sale proceed of property, plant &amp; equipment                                                       174.33                    12.47</t>
  </si>
  <si>
    <t>Source INR lakh / 100 = INR crore; no currency conversion. | Standalone | Cash PPEpurchase39855.61lakh; positiveoutflow.</t>
  </si>
  <si>
    <t>Actual PDF page(s): [83]</t>
  </si>
  <si>
    <t>PDF p.83
          BALANCE SHEET AS AT MARCH 31, 2025
                                                                                                                 March 31, 2025    March 31, 2024
          Total assets                                                                                              2,33,252.62           2,43,042.92
               (i) Borrowings                                                                           14             23,091.28            29,880.96
              (ii) Lease liabilities                                                                    15              1,813.03             1,862.23
              (i) Borrowings                                                                            19             49,175.93             72,063.77
             (ii) Lease liabilities                                                                     15                 47.76                 55.32
          Total equity and liabilities                                                                              2,33,252.62           2,43,042.92</t>
  </si>
  <si>
    <t>Source INR lakh / 100 = INR crore; no currency conversion. | Standalone | Borrowings(23091.28+49175.93)/100; prior(29880.96+72063.77)/100. Separateleases excluded.</t>
  </si>
  <si>
    <t>Actual PDF page(s): [84]</t>
  </si>
  <si>
    <t>PDF p.84
STATEMENT OF PROFIT AND LOSS FOR THE YEAR ENDED MARCH 31, 2025
(All amounts in Indian Rupees Lakhs, except as otherwise stated)
Revenue from contracts with customers                                              22               3,33,189.59             3,79,544.16
Finance costs                                                                      28                  7,639.58              10,492.99
Profit before tax                                                                                   20,604.69               24,067.02
Profit for the year                                                                                 14,371.27               15,481.52</t>
  </si>
  <si>
    <t>Source INR lakh / 100 = INR crore; no currency conversion. | Standalone | Revenue label is revenuefromcontractswithcustomers333189.59lakh, excludes otherincome3664.74lakh.</t>
  </si>
  <si>
    <t>Actual PDF page(s): [85]</t>
  </si>
  <si>
    <t>PDF p.85
          STATEMENT OF CASH FLOWS FOR THE YEAR ENDED MARCH 31, 2025
          (All amounts in Indian Rupees Lakhs, except as otherwise stated)
                                                                                               For the year ended    For the year ended
                Depreciation and amortisation expense                                   29               7,611.68              7,157.77
                Net loss on disposal of property, plant and equipment                   30                 817.32                577.78
                Impairment of capital work in progress                                                           -               120.20
                Provision for impairment of other assets                                30                       -             1,233.65
                Fair value loss/(gain) on financial instruments at fair value
            B Investing activities
              Purchase of property, plant and equipment including
                                                                                                        (8,897.98)           (9,808.51)
              capital work-in-progress and capital advances
              Proceeds from sale of property, plant and equipment                                            5.24                191.99
              Investments in bank deposits (having original maturity of</t>
  </si>
  <si>
    <t>Source INR lakh / 100 = INR crore; no currency conversion. | Standalone | Cash PPEpurchase includingCWIP/capitaladvances8897.98lakh, positiveoutflow.</t>
  </si>
  <si>
    <t>Actual PDF page(s): [126, 127]</t>
  </si>
  <si>
    <t>PDF p.126
TOTAL ASSETS                                                            2,332.55                     2,233.35
PDF p.127
  i) Borrowings                                                 13.1.a                     -                            -
  i) Borrowings                                                 13.1.b                634.24                       664.16
TOTAL EQUITY AND LIABILITIES                                                        2,332.55                   2,233.35</t>
  </si>
  <si>
    <t>Source amounts already INR crore; no scaling. | Standalone | Noncurrentborrowings dashcurrentandprior; currentborrowing634.24prior664.16. Totalassets2332.55; no consolidation assumed.</t>
  </si>
  <si>
    <t>PDF p.128
                                                                                          ` in Crores
Revenue from Operations                                      18         2,300.35         2,541.08
Finance Costs                                                25           58.85            62.37
Profit/(Loss) before Exceptional items and Tax                           110.69            91.60
Profit/(Loss) before Tax                                                 102.31            91.60
Profit/(Loss) for the Year (A)                                            80.42            64.25</t>
  </si>
  <si>
    <t>Source amounts already INR crore; no scaling. | Standalone | Companyfinancialstatements foryearended31March2026; no secondaryperiodmix.</t>
  </si>
  <si>
    <t>PDF p.130
for the year ended March 31,2026
                                                                                             ` in Crores
                                                                              Year Ended March 31st
 B   CASH FLOW FROM INVESTING ACTIVITIES
     Purchase of Property, Plant and Equipment                               (16.66)         (9.86)
     (Increase)/Decrease in Capital Work in Progress                         (14.16)         (3.37)
     Interest Received (Gross)                                                 51.99          36.21</t>
  </si>
  <si>
    <t>Source amounts already INR crore; no scaling. | Standalone | CashPPEpurchase16.66crore; positiveoutflow, not additionsestimatedfrombalancesheet.</t>
  </si>
  <si>
    <t>Actual PDF page(s): [188]</t>
  </si>
  <si>
    <t>PDF p.188
as at March 31, 2026                                                                         as at March 31, 2026
                                                     No.    March 31, 2026 March 31, 2025                                                                            No.      March 31, 2026 March 31, 2025
Property, plant and equipment                         4           13,577.55      13,358.36   (i) Borrowings                                                           17                3,051.03        2,659.91
Right-of-use assets                                  41              242.07         248.98   (ii) Lease liabilities                                                   41                   29.91           28.74
Inventories                                           11           2,788.64       2,348.97     O AL E      I Y AND LIABILI IES                                                        24,146.67       21,557.12
  O AL ASSE S                                                   24,146.67       21,557.12    Partner                                         Chairman and Managing       oint Managing Director Director
(i) Borrowings                                        17           1,953.30       1,981.33
(ii) Lease liabilities                                41              48.55          56.05</t>
  </si>
  <si>
    <t>Source amounts already INR crore; no scaling. | Consolidated | Grossborrowing1953.30+3051.03; prior1981.33+2659.91. Separateleases excluded. PDFfontomitsletterT in TOTALASSE S but numeric row andequitytotalagree.</t>
  </si>
  <si>
    <t>PDF p.189
(All amounts in ` Crores, unless otherwise stated)                                                                   (All amounts in ` Crores, unless otherwise stated)
I         Revenue from operations                                          23             15,786.51      14,693.07     I      otal comprehensive income for the year                                          1,675.15         1,352.16
          Finance costs                                                    27               278.04         375.96    For B S R &amp; Co. LLP                         For and on behalf of the Board of Directors
          Profit before exceptional item and tax (III - I )                               2,386.59       1,703.70    Membership No.: 077569                          Director                   DIN - 00008557          DIN - 00356188
    II    Profit before tax ( - I)                                                        2,301.64       1,703.70    Date : May 5, 2026                              President &amp; CFO            Senior Vice President
I         Profit for the year ( II - III)                                                 1,835.18       1,250.78</t>
  </si>
  <si>
    <t>Source amounts already INR crore; no scaling. | Consolidated | ConsolidatedFY2025-26; not fiscal2025. KeepcorrespondingbalancesheetandCFsameyear.</t>
  </si>
  <si>
    <t>Actual PDF page(s): [190]</t>
  </si>
  <si>
    <t>PDF p.190
for the year ended March 31, 2026                                                                                                  for the year ended March 31, 2026
(All amounts in ` Crores, unless otherwise stated)                                                                                 (All amounts in ` Crores, unless otherwise stated)
            Finance costs                                                                            278.04              375.96
                                                                                                                                   (ii) During the year, the Company paid ` 57.24 crores (Previous year: ` 28.49 crores) towards corporate social
            Interest income                                                                         (42.66)             (44.44)         responsibility (CSR) expenditure.
            Bank balances not considered as cash and cash equivalents                                 (1.80)             (13.59)   Summary of material accounting policies                                       2-3
            Payment for purchase of property, plant, equipment, capital work-in-                 (1,815.31)           (1,231.45)   See accompanying notes to the consolidated financial                          4 to 44
            progress and intangible assets                                                                                         statements
            Deposits made with Non Banking Financial Company                                       (75.00)              (50.00)
            Payment towards lease liability                                                        (39.19)              (35.16)
            Finance costs paid                                                                    (292.76)             (393.10)    Place : Gurugram                                         Samir ashyap               Rajat Lakhanpal
      Net cash generated from / (used in) financing activities                                   (708.33)           (1,070.52)</t>
  </si>
  <si>
    <t>Source amounts already INR crore; no scaling. | Consolidated | CashPPE,CWIP,intangiblepurchase1815.31; positiveoutflow.</t>
  </si>
  <si>
    <t>PDF p.180
Consolidated Balance Sheet As At March 31, 2025
                                                                                                                           Note                         March 31, 2025                          March 31, 2024
Total assets                                                                                                                                                 12,732.23                               11,549.09
   Borrowings                                                                                                              13.1                               1,391.15                                1,384.54
   Lease liabilities                                                                                                                                            100.38                                   53.16
   Borrowings                                                                                                              16.1                               1,017.04                                  698.09
   Lease liabilities                                                                                                                                             20.06                                   15.76
Total equity and liabilities                                                                                                                                 12,732.23                               11,549.09</t>
  </si>
  <si>
    <t>Source amounts already INR crore; no scaling. | Consolidated | FY2025 gross borrowing1391.15+1017.04; prior1384.54+698.09. Separateleases excluded.</t>
  </si>
  <si>
    <t>PDF p.181
Consolidated Statement of Profit and Loss For The Year Ended March 31, 2025
(a)   Revenue from operations                                                                                          19                             12,741.32                               11,431.29
(h)   Finance costs                                                                                                    23                                152.82                                   87.55
      Profit before tax                                                                                                                                 909.41                                   698.74
Profit after tax                                                                                                                                        604.27                                   447.10
Profit before interest, depreciation and tax item (EBIDTA)                                                                                             1,472.40                                1,089.22</t>
  </si>
  <si>
    <t>Source amounts already INR crore; no scaling. | Consolidated | MatchingFY2024-25 consolidated financials; do not combinewithFY2026secondary revenue.</t>
  </si>
  <si>
    <t>PDF p.182
B.   Cash flow from investing activities
     Purchase of property, plant and equipment                                                                                                          (845.27)                                            (1,309.84)
     Purchase of other intangible assets                                                                                                                 (13.51)                                                 (8.69)
     Decrease in Bank deposits and current account balances with banks (Earmarked)                                                                          2.37                                                 44.17</t>
  </si>
  <si>
    <t>Source amounts already INR crore; no scaling. | Consolidated | Cash PPE845.27+intangibles13.51=858.78; positiveoutflow.</t>
  </si>
  <si>
    <t>Actual PDF page(s): [53]</t>
  </si>
  <si>
    <t>PDF p.53
Balance Sheet as at March 31, 2025                                                                                                                         Rs. in Lakhs
Particulars                                                                                     Note             As at March 31, 2025          As at March 31, 2024
TOTAL ASSETS                                                                                                               61,950.29                        62,306.15
   i) Borrowings                                                                                19                          3,109.06                         1,673.11
   ii) Lease Liabilities                                                                                                      452.13                           519.44
   I) Borrowings                                                                                23                         28,171.07                        29,232.68
   ii) Lease Liabilities                                                                                                       67.31                           141.78
TOTAL EQUITY AND LIABILITY                                                                                                 61,950.29                        62,306.15</t>
  </si>
  <si>
    <t>Source INR lakh / 100 = INR crore; no currency conversion. | Standalone | MatchingFY2025; borrowing(3109.06+28171.07)/100; prior(1673.11+29232.68)/100. Separateleases excluded.</t>
  </si>
  <si>
    <t>Actual PDF page(s): [54]</t>
  </si>
  <si>
    <t>PDF p.54
Statement of Profit and Loss for the year ended March 31, 2025                                                                                   Rs. in Lakhs
Revenue from Operations                                                       28                             72,016.77                             53,584.76
Finance costs                                                                 33                               2,980.70                             3,169.77
Profit before exceptional items and tax                                                                      (1,649.98)                           (7,185.95)
Profit before tax                                                                                            (1,649.98)                           (7,185.96)
Profit for the year                                                                                              139.91                           (7,048.99)</t>
  </si>
  <si>
    <t>Source INR lakh / 100 = INR crore; no currency conversion. | Standalone | MatchingFY2025profit139.91lakh afterdeferredtaxcredit; no FY2026 revenueorprofitmixed.</t>
  </si>
  <si>
    <t>Actual PDF page(s): [55]</t>
  </si>
  <si>
    <t>PDF p.55
     KHAITAN CHEMICALS AND FERTILIZERS LIMITED
Cash Flow Statement for the year ended March 31, 2025                                                                                                                   Rs. in Lakhs
Particulars                                                                                                         For the Year ended                   For the Year ended
 Cash flow from investing activities
 Purchase of Property, plant and equipment, intangible assets including Capital work in progress                              (478.81)                                 (1,186.53)
 Proceeds from sale of Property, plant and equipment                                                                                  -                                      0.59</t>
  </si>
  <si>
    <t>Source INR lakh / 100 = INR crore; no currency conversion. | Standalone | CashPPE+intangiblesincludingCWIP478.81lakh; positiveoutflow.</t>
  </si>
  <si>
    <t>Actual PDF page(s): [319]</t>
  </si>
  <si>
    <t>PDF p.319
                                                                                                           9310.87           11196.59             12524.90
           i) Borrowings                                                                                         -                  -               534.71
           ii) Lease Liabilities                                                         23                   3.43               1.42                 0.54
           i) Borrowings                                                                 29                1995.77            4088.33              3456.97
           ii) Lease Liabilities                                                         30                   1.85               0.98                 0.77
      ^Restated ﬁgures refer note no. 64.                                                                  9310.87           11196.59             12524.90</t>
  </si>
  <si>
    <t>Source amounts already INR crore; no scaling. | Consolidated | MatchingFY2025restatedBS; noncurrentborrowingnil both2025and2024, current1995.77/4088.33. Leasesexcluded. Thirdcolumn2023 notused.</t>
  </si>
  <si>
    <t>Actual PDF page(s): [320]</t>
  </si>
  <si>
    <t>PDF p.320
Consolidated Statement of Proﬁt and Loss for the year ended 31.03.2025
                                                                                                                                                   ` in Crore
Revenue from Operations                                                                                    37          19794.50              23560.31
Finance Cost                                                                                               45            225.68                267.30
Proﬁt before share of proﬁt / (loss) of joint venture as per equity method,
Share of Proﬁt / (loss) of Joint Venture as per Equity Method (IV)                                                       107.72                 85.31
Proﬁt / (Loss) before exceptional item and tax (V) = (III) + (IV)                                                        211.80                173.83
Proﬁt/(Loss) before Tax (VII)=(V)-(VI)                                                                                   211.80                173.83
Proﬁt/(Loss) for the year (IX)=(VII)-(VIII)                                                                              183.98                150.05
   Items that will not be reclassiﬁed to Proﬁt &amp; Loss
   be reclassiﬁed to proﬁt or loss</t>
  </si>
  <si>
    <t>Source amounts already INR crore; no scaling. | Consolidated | MatchingFY2025 annualreport P&amp;Lfinancecost225.68; nextyearFY2026annualcomparative shows225.79, so a comparative-versiondifferenceexists. Use thisFY2025source consistently.</t>
  </si>
  <si>
    <t>Actual PDF page(s): [321]</t>
  </si>
  <si>
    <t>PDF p.321
Consolidated Statement of Cash Flows for the year ended 31st March 2025
                                                                                                                                                         ` in Crore
                                                                                                              Year Ended                   Year Ended
B.   CASH FLOW FROM INVESTING ACTIVITIES
       Payment for purchase of PPE (including CWIP)                                                              (204.03)                    (292.47)
       Investment in Joint Ventures                                                                              (107.72)                     (85.31)
ii) Cash and Cash Equivalent includes earmarked balance in Amalgamated Fund of ` 0.59 crore (CPLY ` 0.57 crore) and Unspent CSR A/c of
 ` 1.58 crore (CPLY ` 1.54 crore).</t>
  </si>
  <si>
    <t>Source amounts already INR crore; no scaling. | Consolidated | CashPPEincludingCWIP204.03; positiveoutflow.</t>
  </si>
  <si>
    <t>Source amounts already INR crore; no scaling. | Consolidated | FY2025 comparativecolumnfromcompleteFY2026report. Borrowing1981.33+2659.91=4641.24; leasesexcluded. OriginalFY2025PDFtruncatednotused.</t>
  </si>
  <si>
    <t>Source amounts already INR crore; no scaling. | Consolidated | FY2025 comparative column in the complete FY2026 report; coherent consolidated scope.</t>
  </si>
  <si>
    <t>PDF p.190
for the year ended March 31, 2026                                                                                                  for the year ended March 31, 2026
(All amounts in ` Crores, unless otherwise stated)                                                                                 (All amounts in ` Crores, unless otherwise stated)
Particulars                                                                                Year ended           Year ended         Notes:
                                                                                          March 31, 2026       March 31, 2025
A     CASH FLOWS FRO OPERA IN AC I I IES                                                                                           (i)   The statement of cash flows has been prepared under the indirect method as set out in Indian Accounting
            Finance costs                                                                            278.04              375.96
                                                                                                                                   (ii) During the year, the Company paid ` 57.24 crores (Previous year: ` 28.49 crores) towards corporate social
            Interest income                                                                         (42.66)             (44.44)         responsibility (CSR) expenditure.
            Provision / liabilities no longer required written back                                  (1.12)             (11.74)
                                                                                                                                   Non current borrowings      2,788.68      (98.95)     3.11       317.58       -          -            -             -   3,010.42
            Net exchange currency fluctuations (gain) / loss                                         127.14              108.97
            Employee share based payment expense                                                       8.20                8.45    Current borrowings          1,852.56      (11.18)        -       152.53       -          -            -             -   1,993.91
            Stamp duty on purchase of investments                                                      0.14                0.10    Interest accrued               20.42     (292.76)        -         0.53  290.34          -            -             -      18.53
      Adjustments for increase / (decrease) in operating liabilities :                                                                                                  activities amortised changes #              declared     shares     recognised
            Trade payables                                                                          124.34               109.48    Non current borrowing       3,327.67     (653.53)     3.84       110.70        -          -            -              -   2,788.68
            Provisions                                                                               17.73                 10.63   Current borrowings          1,592.57       224.45        -        35.54        -          -            -              -   1,852.56
            Other liabilities                                                                       174.39                (0.62)   Interest accrued               23.41     (393.10)        -        (7.82)  397.93          -            -              -      20.42
            Bank balances not considered as cash and cash equivalents                                 (1.80)             (13.59)   Summary of material accounting policies                                       2-3
            Payment for purchase of property, plant, equipment, capital work-in-                 (1,815.31)           (1,231.45)   See accompanying notes to the consolidated financial                          4 to 44
            progress and intangible assets                                                                                         statements
            Deposits made with Non Banking Financial Company                                       (75.00)              (50.00)
            Payment towards lease liability                                                        (39.19)              (35.16)
            Finance costs paid                                                                    (292.76)             (393.10)    Place : Gurugram                                         Samir ashyap               Rajat Lakhanpal
      Net cash generated from / (used in) financing activities                                   (708.33)           (1,070.52)</t>
  </si>
  <si>
    <t>Source amounts already INR crore; no scaling. | Consolidated | FY2025cashcapexcomparative1231.45. OpeningFY2024 debtfrom FY2025 financingreconciliation: noncurrent3327.67includescurrentmaturities +current1592.57excludesmaturities=4920.24; no doublecount. TableclosingFY2025 totals2788.68+1852.56=4641.24matchesBS.</t>
  </si>
  <si>
    <t>Actual PDF page(s): [252, 253, 256]</t>
  </si>
  <si>
    <t>[PDF p.252]
TOTAL ASSETS 88090.68 91826.16
(i) Borrowings 16 – 1.76
(i) Borrowings 16 91.26 9.52
[PDF p.253]
I Revenue From Operations 23A, 23B 81612.78 73891.43
Finance costs 27 45.06 39.11
X Profit for the year from continuing operations (VIII-IX) 20036.47 20190.82
XIV Profit for the year from discontinued operations (XI+XII-XIII) 30(viii) 15016.01 560.54
XV Profit for the year (X+XIV) 35052.48 20751.36
Profit for the year
[PDF p.256]
Finance costs 50.01 45.96
Purchase of property, plant and equipment, Intangibles, ROU asset etc. (2278.70) (3562.53)</t>
  </si>
  <si>
    <t>Rs crore as reported; no conversion | Consolidated (group total PAT including NCI) | PAT includes discontinued operations (15016.01) and the hotel demerger exceptional gain; continuing PAT is20036.47. Revenue and P&amp;L finance cost45.06 refer to continuing operations, while cash-flow finance-cost adjustment is50.01 and cash capex includes discontinued operations. Reported finance cost includes lease-related items; low debt can distort ratio. Cash capex line includes PPE, intangibles and ROU assets.</t>
  </si>
  <si>
    <t>noncurrent_borrowings</t>
  </si>
  <si>
    <t>current_borrowings</t>
  </si>
  <si>
    <t>noncurrent_borrowings_prior_year</t>
  </si>
  <si>
    <t>current_borrowings_prior_year</t>
  </si>
  <si>
    <t>PAT_continuing_operations</t>
  </si>
  <si>
    <t>PAT_attributable_to_owners</t>
  </si>
  <si>
    <t>Actual PDF page(s): [373, 374, 376]</t>
  </si>
  <si>
    <t>[PDF p.373]
TOTAL ASSETS 31977.68 28020.94
Borrowings 15 190.68 168.35
Borrowings 15 1657.97 2785.50
[PDF p.374]
Revenue from Operations 21 17618.30 15205.85
Finance Costs 26 290.20 129.81
Profit after Taxation before share of results of investments accounted using equity method 1380.31 1300.99
Profit for the year 1287.10 1215.40
Net Profit for the year - attributable to :
Net profit for the year 1287.10 1215.40
[PDF p.376]
Finance Cost 290.20 129.81
Payment for Property, Plant and Equipment including Intangible Assets (459.54) (334.69)</t>
  </si>
  <si>
    <t>Rs crore as reported; no conversion | Consolidated (group total PAT including NCI) | Cash capex is payment for PPE including intangible assets, not business acquisitions. Borrowings exclude separately reported lease liabilities. Finance costs may include lease interest.</t>
  </si>
  <si>
    <t>Actual PDF page(s): [171, 173]</t>
  </si>
  <si>
    <t>[PDF p.171]
Non-current assets Revenue from operations 19 10,831 9,653
Deferred tax assets (net) 7 57 68 Finance costs 25 53 73
(v) Loans 6(c) 7 6 Profit for the year (A) 1,658 1,502
Total assets 8,338 7,421
(i) Borrowings 13(a) 379 383
[PDF p.173]
Adjustments for: Borrowings Total Borrowings Total
Finance costs 53 73 Balance at April 1, 145 383 528 133 475 608
Employees stock option charge 43 35 Other borrowings (repaid) / taken (net) - (5) (5) - (91) (91)
Provision for doubtful debts 2 2 Payment of interest on borrowings from banks - (51) (51) - (54) (54)
Interest expense on borrowings - 52 52 - 54 54
Payment for property, plant and equipment and intangible assets (161) (153) Chartered Accountants
Other borrowings (repaid) / taken (net) (5) (91)</t>
  </si>
  <si>
    <t>Rs crore as reported; no conversion | Consolidated (group total PAT including NCI) | Balance sheet lists no non-current borrowing line; current borrowings379 and383 are the gross borrowing balances. Separate lease liabilities excluded. P&amp;L finance cost53 differs from the cash-flow borrowing-interest adjustment52; use the P&amp;L figure, not cash paid. Cash capex is PPE and intangible-asset payments.</t>
  </si>
  <si>
    <t>Actual PDF page(s): [211, 212]</t>
  </si>
  <si>
    <t>[PDF p.211]
Property, plant and equipment 4 33,183 29,543 Revenue from operations 20 79,778 76,658
Non-current tax assets 11 107 294 Finance cost 26 330 300
Total assets 122,767 107,640 Profit for the year 16,602 16,815
(i) Borrowings 15(a) 780 617 Exchange difference on translation of foreign operations 107 (33)
(i) Borrowings 15(a) 337 662
[PDF p.212]
Reserves &amp; Surplus Other Reserves Total Finance costs 330 300
Profit for the year 13 f. - - - - - - - 16,815 - - 16,815 (Gain) on financial assets measured at fair value through profit or loss (Net) (552) (659)
Profit for the year 13 f. - - - - - - - 16,602 - - 16,602 (Increase) / Decrease in other current assets (290) (897)
Payments for purchase of property, plant &amp; equipment including capital (8,500) (6,204)</t>
  </si>
  <si>
    <t>Rs million divided by10 to Rs crore | Consolidated (group total PAT including NCI) | Original statements in Rs million; divide by10. Cash capex includes CWIP, intangible assets and capital advances; excludes consideration for acquisition of subsidiary. Separate lease liabilities excluded.</t>
  </si>
  <si>
    <t>Actual PDF page(s): [280, 281, 282, 283]</t>
  </si>
  <si>
    <t>[PDF p.280]
TOTAL ASSETS 6,170.19 5,515.99
(i) Borrowings 21 816.65 455.59
(i) Borrowings 25 651.78 825.48
[PDF p.281]
I. Revenue from Operations
Total Revenue From Operations 10,232.68 9,382.77
Finance costs 36 138.27 133.35
X. Profit for the year 445.18 403.37
Profit for the year attributable to (X+XI) :
[PDF p.282]
Finance Cost 138.27 133.35
Acquisition of property, plant and equipment (296.68) (224.67)
[PDF p.283]
Repayment of Short Term Borrowings (8,048.98) (8,284.43)
Proceeds from Short Term Borrowings 7,650.27 8,098.00
Repayment of Long Term Borrowings (209.19) (43.37)
Proceeds from Long Term Borrowings 793.64 202.38
Finance costs paid (128.75) (121.87)
3 Movement in borrowings
Long term borrowings (including current maturities) 499.50 584.45 - 1,083.95
Short term borrowings 781.57 (398.71) 1.62 384.48
Total borrowings 1,281.07 185.74 1.62 1,468.43
Long term borrowings (including current maturities) 340.49 159.01 - 499.50
Short term borrowings 968.01 (186.44) - 781.57
Total borrowings 1,308.50 (27.43) - 1,281.07</t>
  </si>
  <si>
    <t>Rs crore as reported; no conversion | Consolidated (group total PAT including NCI) | This is FY2025-26, not FY2024-25. PAT445.18 is the group total; owners PAT472.78 differs because NCI loss is27.60. Cash capex is acquisition of PPE, excluding acquisition of NCI. Borrowing totals reconcile to the movement table on PDFp283.</t>
  </si>
  <si>
    <t>Actual PDF page(s): [257, 258, 260]</t>
  </si>
  <si>
    <t>[PDF p.257]
Equity accounted investments 1C 124 110 Borrowings 12A 56,217 47,395
Borrowings 12B 5,714 7,106
Total assets 265,991 231,907 This is the Consolidated Balance Sheet referred in our report of even date
[PDF p.258]
Revenue from operations 17 238,496 215,962 Items that will not be reclassified to Statement of Profit and Loss
Finance cost 22 3,419 3,858 Income tax effect (317) 278
Profit/ (Loss) for the year 16,002 10,155
[PDF p.260]
Finance cost 22 3,419 3,858 Proceeds from non-current borrowings 18,728 3,990
Depreciation and amortization expense 3G 7,881 7,521 Pre-payment of non-current borrowings (10,589) (8,450)
Impairment loss/ (reversal) of non-current assets (net) 3H 1,233 360 Repayment of non-current borrowings (176) (1,311)
Share in (profit)/ loss in equity accounted investments (net of tax) 1C (3) (2) Proceeds from/ (repayment) of current borrowings (net) (1,726) 1,298
Unrealised foreign exchange (gain)/ loss (net) (32) (8) Finance cost paid (4,044) (3,912)
Fair value (gain)/ loss on modification of borrowings (net) (21) (146) Net cash generated/ (used) - financing activities (1,816) (10,817)
Increase/ (Decrease) in non-financial liabilities (including contract liabilities) 908 247 integral part of cash management activities. In the consolidated balance sheet, bank overdrafts are shown within borrowings in
Payments to acquire property, plant and equipment, intangible assets and (20,649) (15,728)</t>
  </si>
  <si>
    <t>Rs crore as reported; no conversion | Consolidated (group total PAT including NCI) | Group includes Novelis; do not mix with standalone Indian-company financials or standalone export numerator. Cash capex is payments to acquire PPE, intangible assets and investment property. Gross borrowings exclude separately reported lease liabilities.</t>
  </si>
  <si>
    <t>Actual PDF page(s): [237, 238]</t>
  </si>
  <si>
    <t>[PDF p.237]
ASSETS Revenue from operations
Capital work-in-progress 6 30,939 20,331 Total revenue from operations 1,52,968 1,43,727
Deferred tax assets (net) 37 3,353 2,689 Finance costs 34 9,914 9,465
Total Assets 2,03,293 1,90,807 Net tax expense 6,342 12,826
EQUITY AND LIABILITIES Profit after tax (A) 20,535 7,539
Borrowings 19A 52,712 50,633 Net loss on cash flow hedges recycled to profit or loss (302) (51)
Borrowings 19B 21,141 21,125 Owners of Vedanta Limited 14,988 4,239
[PDF p.238]
Depreciation, depletion and amortisation 11,139 10,744 Repayment of short-term borrowings (net) (197) (148)
Impairment (reversal)/ charge on property, plant and equipment/ Capital work-in-progress (CWIP)/ (2,090) (185) Proceeds from current borrowings 11,923 10,770
Other assets written off (net) (Refer note 36) Repayment of current borrowings (12,525) (18,770)
Other exceptional items loss/ (gain) (Refer note 36) 195 (2,618) Proceeds from long-term borrowings 27,754 25,478
Allowance of impairment on financial and non-financial assets/ bad debts written off 343 261 Repayment of long-term borrowings (25,580) (12,515)
Exploration costs written off 459 786 Borrowings repaid to related parties (Refer note 42) (7) -
Purchases of property, plant and equipment (including intangibles, CWIP, capital advances and (17,005) (16,752) For S.R. Batliboi &amp; Co. LLP Navin Agarwal Arun Misra</t>
  </si>
  <si>
    <t>Rs crore as reported; no conversion | Consolidated (group total PAT including NCI) | Diversified Vedanta group, not aluminium-segment-only accounts. Group PAT20535 includes NCI; owners PAT14988 is different. Cash capex includes intangibles, CWIP, capital advances and creditors; separate lease liabilities excluded from borrowings.</t>
  </si>
  <si>
    <t>Actual PDF page(s): [241, 242, 244]</t>
  </si>
  <si>
    <t>[PDF p.241]
Total assets 22,882.16 19,235.03
(i) Borrowings 20 124.22 39.16
[PDF p.242]
I Revenue from operations 28 16,787.63 13,149.15
(e) Finance costs 33 58.97 17.21
X Profit for the year (VIII - IX) 5,267.94 1,988.46
[PDF p.244]
Profit for the year 5,267.94 1,988.46
Finance costs recognised in profit or loss 58.97 17.21
Payments to acquire financial assets (346.00) (28.00)
Payments to acquire equity in joint ventures and associates - (27.00)
Proceeds from / (Payment towards) short term borrowings 85.06 (8.59)
Finance cost paid (2.30) (0.28)</t>
  </si>
  <si>
    <t>Rs crore as reported; no conversion | Consolidated (group total PAT including joint-venture result) | Corrects inherited mixture of standalone PAT5324.67 and approximate consolidated assets. Group PAT5267.94 includes share of JV result. Balance sheet has only current borrowing124.22 and separate lease liabilities. The small borrowing denominator can distort finance-cost ratios; do not interpret this as pure borrowing interest. Cash capex includes capital advances.</t>
  </si>
  <si>
    <t>Actual PDF page(s): [87, 88, 89, 100, 101]</t>
  </si>
  <si>
    <t>[PDF p.87]
TOTAL ASSETS 29,963.16 22,508.80
Borrowings 17 1,236.28 42.93
Borrowings 20 7,721.43 3,149.35
[PDF p.88]
Revenue from operations 25 81,016.62 95,302.77
Finance costs 31 325.33 368.38
Profit/(Loss) for the year 1,550.70 3,274.94
[PDF p.89]
Finance costs 325.33 368.38
Purchase of property, plant and equipment including WIP (5,547.12) (852.80)
Purchase of intangibles (WIP) (33.17) -
Proceeds from long-term borrowings 1,500.00 -
Repayment of long-term borrowings (60.12) (60.12)
Proceeds/(Repayment) of short-term borrowings (Net) 4,325.54 (2,273.17)
Finance cost (325.33) (368.38)
[PDF p.100]
17 Financial Liabilities – Borrowings
Total Non current borrowings including its current maturities 1,542.93 103.05
Net Non current financial liabilities: borrowings 1,236.28 42.93
[PDF p.101]
20 Financial Liability- Current : Borrowings March 31, 2025 March 31, 2024
Total Current Financial Borrowings ( a + b ) 7,721.43 3,149.35</t>
  </si>
  <si>
    <t>Rs lakhs divided by100 to Rs crore | Standalone company financial statements | Original statements in Rs lakhs; divide by100. Current borrowings include current maturities306.65; do not add maturities again. Cash capex sums PPE including WIP5547.12 and intangible WIP33.17 lakhs. Separate lease liability repayments are not capex.</t>
  </si>
  <si>
    <t>Actual PDF page(s): [93, 94, 95, 112, 114]</t>
  </si>
  <si>
    <t>[PDF p.93]
TOTAL ASSETS 17,083 15,925
i) Borrowings 16 186 430
i) Borrowings 19 4,732 4,377
[PDF p.94]
I Revenue from Operations 24 43,125 37,510
Finance Costs 29 1,037 936
VIII Profit/(loss) for the year from continuing operations 994 745
XII Profit/(Loss) for the year (VIII+XI) 994 745
[PDF p.95]
Proceeds/(Repayment) of Long Term Borrowings (310) (281)
Proceeds/(Repayment) of Short Term Borrowings 421 419
[PDF p.112]
Note No. 16 Borrowings
(i) Nature of security for Secured Borrowings
a. Guarantee Emergency Credit Line (GECL) loan of Rs. 39 lacs includes Rs.22 lacs shown in Current maturities of Long Term Borrowings from
b. Guarantee Emergency Credit Line (GECL) loan of Rs. 17 lacs includes Rs. 17 lacs shown in Current maturities of Long Term Borrowings from
c. Guarantee Emergency Credit Line (GECL) loan of Rs. 16 lacs includes Rs.16 lacs shown in Current maturities of Long Term Borrowings from
d. Guarantee Emergency Credit Line (GECL) loan of Rs. 93 lacs includes Rs.56 lacs shown in Current maturities of Long Term Borrowings from
e. Guarantee Emergency Credit Line (GECL) loan of Rs. 246 lacs includes Rs.140 lacs shown in Current maturities of Long Term Borrowings from
Long Term Borrowings from Punjab National are secured by hypothecation of vehicles purchased out of the said loan.
(ii) Repayment Terms for Secured Borrowings
[PDF p.114]
Note No. 19 Current Borrowings
1. Security disclosure for the outstanding short-term borrowings as on 31 March 2025 :
Borrowings from banks are secured, in respect of respective facilities by way of :
2. Security disclosure for the outstanding short-term borrowings as on 31 March 2024 :
Borrowings from banks are secured, in respect of respective facilities by way of :</t>
  </si>
  <si>
    <t>Rs lakhs divided by100 to Rs crore | Standalone (report states no subsidiary, JV or associate) | Original statements in Rs lakhs; divide by100. Current borrowings4732 include current maturities257; do not double-count. FY2024-25 differs from inherited FY2025-26 figures. Cash-flow statementp95 does not identify a cash PPE-purchase line, so capex is not filled; absence of the line is not treated as zero.</t>
  </si>
  <si>
    <t>Actual PDF page(s): [101, 102, 103, 126]</t>
  </si>
  <si>
    <t>[PDF p.101]
Total Assets 31,013.09 28,112.01
i) Long Term Borrowings 15 1,713.54 1,759.27
i) Short Term Borrowings 20 9,459.89 6,993.04
[PDF p.102]
I. Revenue from Operations 24 42,318.55 39,522.54
(e) Finance Costs 29 1,132.91 965.07
VII. Profit for the year (V-VI) 1,843.07 1,461.12
[PDF p.103]
Finance Cost 1,132.91 965.07
Purchase of Property ,Plant and Equipment (2,166.96) (3,278.32)
Short Term Borrowings 2,466.85 2,858.14
Repayment of Long Term Borrowings (45.73) 681.43
Finance Cost (1,132.91) (965.07)
[PDF p.126]
Note : 20 - Short Term Borrowings (` in Lakhs)
Current Maturities of Long Term Borrowings 646.76 739.21</t>
  </si>
  <si>
    <t>Rs lakhs divided by100 to Rs crore | Standalone (report states no subsidiaries, JVs or associates) | Original statements in Rs lakhs; divide by100. Current borrowings include current maturities646.76; do not add again. Separate lease liabilities excluded. Capex is cash PPE purchase, not total investing outflow.</t>
  </si>
  <si>
    <t>Actual PDF page(s): [102, 103, 104]</t>
  </si>
  <si>
    <t>[PDF p.102]
Total Assets                                                                                      50,425.64           41,754.75
i) Borrowings                                                                      17              4,863.39            3,247.28
i) Borrowings                                                                 20             19,038.84           13,975.39
[PDF p.103]
Revenue from Operations                                                  25            50,914.75           43,249.30
Finance Costs                                                            30             2,752.68            2,157.08
VII. Profit/(Loss) for the period (V-VI)                                                         604.58              508.57
[PDF p.104]
Finance Cost                                                                       2,752.68             2,157.08
Purchase of PPE and change in Capital work in progress                            (3,165.67)          (1,635.48)
(Repayment of) / Proceeds from Long Term Borrowings (Net)                           1,616.11          (1,084.56)
(Repayment of) / Proceeds from Short Term Borrowings (Net)                          5,063.45            3,873.68</t>
  </si>
  <si>
    <t>Rs lacs divided by100 to Rs crore | Standalone company financial statements | Correct official NSE symbol is MANAKALUCO; MANAKALU is not the source. Cash capex is purchase of PPE and change in CWIP. P&amp;L comparative heading is printed March2026, apparently a typo: the current title is year-ended31March2025 and both balance sheet/cashflow comparatives areMarch2024. Current-year figures and prior debt are unambiguous. No separate lease liabilities shown on balance sheet.</t>
  </si>
  <si>
    <t>Actual PDF page(s): [323, 324, 325, 326, 350]</t>
  </si>
  <si>
    <t>Consolidated Balance Sheet as at March31,2025 (in ₹Lakhs): TOTAL3,66,276; non-current Borrowings20,000 (prior -); current Borrowings - (prior25,469); Lease Liabilities shown separately58,172+22,527. Consolidated Profit/Loss: Revenue from Operations5,72,018; Finance Costs8,239; PROFIT FOR THE YEAR25,242. Cashflow: Payments for Property,Plant and Equipment and Other Intangible Assets (including CWIP/intangibleassetsunderdevelopment) (25,389). NoteFinancecost: interest on leases6,254 lakh.</t>
  </si>
  <si>
    <t>Source amounts ₹ lakh divided by100 = ₹ crore | Consolidated | Primary consolidated report disproves secondary paper claim of no external borrowings: FY25 borrowings ₹200cr vs FY24₹254.69cr. Financecost₹82.39cr includes leaseinterest₹62.54cr. Do not calculate an effective debtinterest rate from totalfinancecost/borrowings; leases excluded from debt but expense includes leases. Capex is cash acquisitions, not transition/green capex.</t>
  </si>
  <si>
    <t>Actual PDF page(s): [350, 351, 352, 358, 413]</t>
  </si>
  <si>
    <t>Consolidated BalanceSheet (₹crore): TOTALASSETS14,475.87; non-current Borrowings24.25 (prior24.22); currentBorrowings - (prior2.01), separate LeaseLiabilities681.93+155.28. Consolidated P&amp;L RevenuefromOperations8,887.02; Financecost72.90; Profitfortheperiod1,291.84. Cashflow: PaymentmadeforPropertyplantandequipment(908.27), AcquisitionofIntangibleassets(8.07). Note37: InterestExp-LeaseLiability71.46; termloaninterest0.03; dividendonredeemablepreferenceshares1.23; tot72.90.</t>
  </si>
  <si>
    <t>Source ₹crore; debt FY25=24.25+0; FY24=24.22+2.01=26.23; cash PPE/intangible purchases=908.27+8.07=916.34. | Consolidated | Financecost is available in primary source, contrary to paper missing extraction. ₹71.46cr of₹72.90cr relates toleaseinterest; debt includes redeemablepreferenceshares. Totalfinancecost/borrowings ratio must remain blank as a borrowingrate proxy. Capex916.34 is cash PPE+intangible purchases only; positiveCWIP/intangiblesdevelopment movements32.13/5.96 shown separately are excluded.</t>
  </si>
  <si>
    <t>Actual PDF page(s): [127, 128, 146]</t>
  </si>
  <si>
    <t>ConsolidatedBalanceSheet/ProfitLoss (allamounts₹million): TotalAssets120,631.35; noncurrentBorrowings24.63 (prior401.84), currentBorrowings372.06 (prior854.14); leaseLiabilities11,380.51+2,438.81separate. Revenuefromcontractswithcustomers89,319.01; Financecosts1,257.87; Profitfortheyear1,621.10. CashflowPurchaseofproperty,plant&amp;equipment(includingotherintangibleassets,CWIPandcapitaladvances/creditors)(4,831.81). Financecostnote interestonleaseliability1,185.20million.</t>
  </si>
  <si>
    <t>Source₹million dividedby10 =₹crore; FY25debt=(24.63+372.06)/10=39.669; FY24=(401.84+854.14)/10=125.598. | Consolidated | Leaseinterest₹118.52cr ismostof₹125.787cr totalfinancecost; separateleasesexcludedfrom debt. Secondarypaper152.22% ratio is lease-distorted and should notbe treated as debtinterest rate. Capexcashacquisitionsnotgreencapex.</t>
  </si>
  <si>
    <t>Actual PDF page(s): [228, 229, 230, 233, 309]</t>
  </si>
  <si>
    <t>ConsolidatedBalanceSheet (₹lakh): TOTALASSETS345,692.61; noncurrentBorrowings26,470.49(prior22,390.08); currentBorrowings10,589.42(prior10,393.92). ConsolidatedP&amp;L: Revenuefromoperations168,055.53; Financecosts4,776.98; Profitfortheyear37,375.60 (includingowners37,086.40 andNCI289.20). Exceptionalitems13,197.62 included. Cashflow: Purchaseofproperty,plantandequipment(includingCWIP)(1,609.20). Leaseinterestpayment2,110.61lakh.</t>
  </si>
  <si>
    <t>Source₹lakh dividedby100 =₹crore; FY25debt=(26470.49+10589.42)/100=370.5991; FY24=(22390.08+10393.92)/100=327.84. | Consolidated | Consolidationincludesacquisitionofsubsidiary duringFY25 (note36). PATincludesexceptionalgain₹131.9762cr. Cashcapexonly16.092cr excludesacquisitionofsubsidiary/investments. Leasesexcludedfromborrowingsbutfinancecostincludesleaseinterest; do notinterpretcostratioas pureborrowinginterest. Derivedtotalfinancecost/avgdebt differsfrompaper11.16% owingtobasis/scope.</t>
  </si>
  <si>
    <t>Actual PDF page(s): [155, 175, 176, 177, 206]</t>
  </si>
  <si>
    <t>Companydoesnothaveanysubsidiary,Associate,JointVentureCompanies. BalanceSheet (₹lakh): TotalAssets258568.00; noncurrentBorrowings36836.38(prior18304.26); currentBorrowings7875.38(prior9623.64); leaseliabilitiesseparate. ProfitLoss: Revenuefromoperations316094.80; Financecosts9483.75; Profitfortheyear18293.29. Cashflow: PurchaseofPPEandintangibleassets(includingCWIPandcapitaladvances)(44885.70). Note27: Interestonborrowings3047.81; Interestonleaseliability6420.39; total9483.75.</t>
  </si>
  <si>
    <t>Source₹lakh dividedby100=₹crore; FY25debt=(36836.38+7875.38)/100=447.1176; FY24=(18304.26+9623.64)/100=279.279. | Standalone (report explicitly has no subsidiaries, associates or joint ventures) | Standalonebecauseannualreportexplicitlystatesnosubsidiaries/associates/JVs; no consolidated statementexists. Leasedebtexcludedbutfinancecostincludes₹64.2039crleaseinterest; reported26.11%ratio not pureinterestondebt. Cashcapex448.857isnotgreencapex.</t>
  </si>
  <si>
    <t>Actual PDF page(s): [201, 202, 203, 233]</t>
  </si>
  <si>
    <t>ConsolidatedBalanceSheet (₹million): TotalAssets27,796.49; noncurrentBorrowings1,021.79(prior1,020.98); currentBorrowings530.70(prior482.37); separatenoncurrent/currentleases758.99+107.12. ConsolidatedProfitLoss: RevenuefromOperations44,917.76; FinanceCosts201.56; PROFITFORTHEYEAR4,160.11 (owners4,123.81+NCI36.30). CashflowPurchaseofProperty,Plant&amp;Equipment(IncludingCapitalAdvances)(3,540.31). Note30: InterestonBorrowings130.57; InterestonLeaseLiabilities59.40; Guarantee,FinanceandBankCharges11.59; Total201.56.</t>
  </si>
  <si>
    <t>Source₹million dividedby10=₹crore; FY25debt=(1021.79+530.70)/10=155.249; FY24=(1020.98+482.37)/10=150.335. | Consolidated | InitialNSEdownloadwastruncatedat1.5MiBandunreadable; retriedsameofficialURLsuccessfully(19,431,121bytes/277PDFpages). AllfigurescomeverifiedfullPDF. Financeincludesleaseinterest5.94crandcharges; paperratio45.95%doesnotmatchcoherentconsolidatedbundle. CapexsourcecashPPEincludingcapitaladvances; intangiblecashpurchaseisnotseparatelyidentified.</t>
  </si>
  <si>
    <t>Actual PDF page(s): [467, 468, 471, 538]</t>
  </si>
  <si>
    <t>PDF p467 Consolidated Balance Sheet, ₹ in crore: Total Assets 1,35,332.23; non-current Borrowings 35,830.68 (2024:37,662.93); current Borrowings 9,979.35 (2024:8,616.30). PDF p468: Revenue from Operations 30,475.33; Profit for the Year 11,061.26 (parent shareholders 11,092.31 and NCI -31.05). PDF p538 Note25 Finance Costs: Interest and Bank Charges 2,778.00; Gain on Derivatives / Swap Contracts (net) (246.18); Foreign Exchange Loss (net) 280.85; total 2,812.67. PDF p471 Cash Flow: Purchase of Property, Plant and Equipment (including capital work-in-progress, other intangible assets, intangible assets under development, capital advances and capital creditors) (8,048.92).</t>
  </si>
  <si>
    <t>Source amounts are ₹ crore; no monetary unit conversion. | Consolidated | Total debt is 35,830.68+9,979.35; prior is37,662.93+8,616.30. Separate lease liabilities are excluded from debt. Finance costs include lease interest215.68, derivatives and FX; resulting finance_cost/average_debt is a broad financing-cost proxy, not pure borrowing rate. Capex is cash purchase amount, not green/decarbonisation capex.</t>
  </si>
  <si>
    <t>Actual PDF page(s): [211, 212, 214]</t>
  </si>
  <si>
    <t>PDF p211 Consolidated Balance Sheet, ₹ Crores: TOTAL ASSETS81,714.64; non-current Borrowings36,382.92 (2024:26,695.71); current Borrowings13,318.18 (2024:13,868.63). PDF p212 Consolidated Profit and Loss: Revenue from operations42,333.28; Income from financing operations6,201.86; Finance costs3,930.21; Profit/(Loss) for the year3,382.79; parent attributable3,106.80 and NCI275.99. PDF p214 Consolidated Cash Flows: Purchase of PPE and intangible assets(1,648.08).</t>
  </si>
  <si>
    <t>Source amounts are ₹ crore; no monetary unit conversion. | Consolidated | Group includes financing businesses. Reported revenue-from-operations field42,333.28 is distinct from financing operations income6,201.86, and total group income48,893.60. Debt and financing costs include financing subsidiaries; cannot compare directly with manufacturing-only borrowing rates. Total debt=36,382.92+13,318.18; prior26,695.71+13,868.63. Separate lease liabilities excluded from debt. Cash PPE/intangibles capex is not green capex.</t>
  </si>
  <si>
    <t>Actual PDF page(s): [216, 217, 232]</t>
  </si>
  <si>
    <t>PDF p216 Consolidated Balance Sheet/P&amp;L, in₹million: Revenue from operations1,529,130; Total assets1,319,718; Profit for the year145,002; Finance costs1,942; Current Borrowings dash (2024:331). PDF p232 Note15 BORROWINGS: Current unsecured loans repayable on demand from banks—cash credit, overdraft and working capital demand loan—2025 dash;2024 331; borrowing total dash/331. No non-current borrowings presented. PDF p217 Consolidated Cash Flows: payments for purchase of PPE and capital work in progress(102,503), intangible assets and intangible assets under development(3,903).</t>
  </si>
  <si>
    <t>Original units ₹million; divide each monetary amount by10 to express ₹crore. 1,529,130/10=152,913;1,319,718/10=131,971.8;145,002/10=14,500.2;1,942/10=194.2;331/10=33.1;capex106,406/10=10,640.6. | Consolidated | Explicit nil reported borrowing supports zero debt, not a missing-value default. Separate lease liabilities excluded. Group has finance costs despite nil year-end bank borrowings; do NOT calculate/report a meaningful debt-cost ratio for the effectively debt-free group. Capex=(102,503+3,903)/10, positive gross cash purchases, not green capex.</t>
  </si>
  <si>
    <t>Actual PDF page(s): [313, 314, 316, 317, 385]</t>
  </si>
  <si>
    <t>PDF p313 Consolidated Balance Sheet (₹in crores): TOTAL ASSETS3,78,642; non-current Borrowings40,217 (2024:62,149); current Borrowings22,282 (2024:36,352). PDF p314 Consolidated P&amp;L: Total revenue from operations4,39,695; Finance costs5,083; Profit for the year from continuing operations23,278; Profit for the year from discontinued operation4,871; Profit for the year(XI+XIV)28,149. PDF p316 Consolidated Cash Flows: Payments for property,plant and equipments(15,189); Payments for other intangible assets(22,853). PDF p317 states disposal due to merger of Tata Motors Finance Ltd with Tata Capital Ltd. PDF p385 Note37: finance costs5,083 includes lease interest739, provisions discount unwind1,110 and capitalised interest reduction2,409.</t>
  </si>
  <si>
    <t>Source amounts are ₹ crore; no monetary unit conversion. | Consolidated; continuing operations P&amp;L, reported year-end balance sheet; finance-business disposal scope change | PAT field23,278 is total group CONTINUING-OPERATIONS profit, not owners-only and not all-operations PAT. Full all-operations profit28,149 is supplied separately; it includes discontinued finance-business profit4,871. Revenue and finance costs are continuing operations. Disposal/merger of Tata Motors Finance Ltd means March2024 debt includes financial-services scope absent in2025; averaging debt98501 and62499 is not strictly like-for-like. Separate lease liabilities excluded from debt; financing costs still include leases/discount unwind. Capex15,189+22,853=38,042 cash PPE/intangibles purchases, not green capex. Do not silently mix all-operations PAT with continuing-operations financial basis.</t>
  </si>
  <si>
    <t>PAT_total_including_discontinued</t>
  </si>
  <si>
    <t>PAT_discontinued_operations</t>
  </si>
  <si>
    <t>Actual PDF page(s): [311, 312, 313]</t>
  </si>
  <si>
    <t>PDF p.311: TOTAL ASSETS (A) + (B)                    8,098.95         7,260.37 | (i) Borrowings                                                                                         15 (a)          292.30            263.35 | (ii) Lease Liabilities                                                                                  38             153.35             96.27 | (i) Borrowings                                                                                         15 (a)         1,083.66          1,062.03 | (ii) Lease Liabilities                                                                                  38               32.92             26.34 | TOTAL EQUITY AND LIABILITIES (A) + (B) + (C)                     8,098.95         7,260.37
PDF p.312: (a) Revenue from operations                                                                             19           8,328.81               7,737.75 | (f) Finance costs                                                                                       25             165.77                 159.30 | VII. PROFIT FOR THE YEAR (V-VI)                                                                                               492.87               463.30 | IX. Profit for the year (VII-VIII)                                                                                            367.38               352.63
PDF p.313: Finance Costs                                                   165.77                   159.30 | Purchase of Property, plant and equipment and intangible       (535.12)                 (277.96)</t>
  </si>
  <si>
    <t>Source amounts already Rs crore. Grossborrowings=current+noncurrent; separateleasebalancesexcluded. | Consolidated (total PAT including NCI) | Consolidated profit aftertax367.38, not pretax492.87. PATincludesNCI. Capex iscashpurchasePPE+intangibles, notgreen-specific spend.</t>
  </si>
  <si>
    <t>Actual PDF page(s): [214, 215, 216]</t>
  </si>
  <si>
    <t>PDF p.214: Total assets                                                                                                    3,53,716.93               2,74,111.89 | Borrowings                                                                            15(a)                 30,726.20                  28,098.10 | Lease liabilities                                                                     16(a)                   15,311.41                14,048.41 | Borrowings                                                                            15(b)                  33,606.37                 33,857.82 | Lease liabilities                                                                     16(b)                   4,877.22                  4,481.63 | Total equity and liabilities                                                                                   3,53,716.93                2,74,111.89
PDF p.215: Revenue from operations                                                     22                 3,86,423.96            2,37,888.47 | Finance costs                                                               28                     7,743.41              3,634.01 | V      Profit for the year (III-IV)                                                                    15,854.09               13,097.20
PDF p.216: Finance costs                                                                                                   7,743.41              3,634.01 | Purchase of property, plant and equipment (including goodwill, intangible assets and capital                    (19,092.46)           (68,906.37) | Proceeds of borrowings                                                                                          1,55,319.01           1,32,825.85 | Repayment of borrowings                                                                                       (1,52,783.68)           (74,415.00) | Payment of lease liabilities                                                                                    (8,926.77)             (4,990.66) | Finance costs                                                                                                   (5,953.82)             (2,244.37)</t>
  </si>
  <si>
    <t>Allfinancialstatementamounts Rs lakh /100 toRscrore. Grossborrowings=current+noncurrent; separateleasebalancesexcluded. | Consolidated (total PAT including NCI) | Consolidated; PATincludesNCI. Cashassetpurchase190.9246cr explicitly includes goodwill,intangibles andCWIP. It is retained separately, not silently classified as ordinary totalcapex. Acquisition effects affect year-on-year comparison.</t>
  </si>
  <si>
    <t>cash_asset_purchases_including_goodwill</t>
  </si>
  <si>
    <t>Actual PDF page(s): [423, 424, 425, 431]</t>
  </si>
  <si>
    <t>PDF p.423: TOTAL ASSETS                                                                              5,00,535.70        4,12,539.08
PDF p.424: Borrowings                                                                                2.27          1,23,927.09          86,116.47 | Lease Liabilities                                                                         2.2              2,163.13           1,672.48 | Borrowings                                                                                2.32            59,721.60          48,985.74 | Lease Liabilities                                                                         2.2                513.74             380.36 | TOTAL EQUITY AND LIABILITIES                                                                                     5,00,535.70        4,12,539.08
PDF p.425: Revenue from Operations                                                            3.1         1,48,477.89       1,30,978.48 | Finance Costs relating to NBFC/HFC's Business                                      3.7            9,698.10          7,622.71 | Other Finance Costs                                                                3.8            2,802.28          1,654.72 | Profit for the Year (III)                                                                             7,756.33          9,925.65
PDF p.431: Finance Costs                                                                                      2,802.28           1,654.72 | Fair Value Adjustments to Borrowings                                                                 (51.56)            (13.62) | Purchase of Property, Plant and Equipment and other Intangible Assets                            (17,181.34)        (19,485.03)</t>
  </si>
  <si>
    <t>Source amounts already Rs crore; gross borrowings=current+noncurrent; finance_cost sums NBFC/HFC9698.10 and otherfinance2802.28. | Consolidated (total PAT including NCI) | Full consolidated group includes NBFC/HFC and insurance subsidiaries, not textile operations alone. PAT7756.33 includes NCI. Financecost12500.38 is total P&amp;L finance cost (NBFC/HFC9698.10+other2802.28), aligned to full group borrowings. Cash-flow operating adjustment2802.28 alone excludes finance-business costs and is not substituted. Consolidation/acquisitions affect comparability.</t>
  </si>
  <si>
    <t>Actual PDF page(s): [123, 124]</t>
  </si>
  <si>
    <t>PDF p.123: Revenue from Operations                                            32                   4,15,139.13               3,55,706.92 | (2)   Current Assets                                                                                                                                Finance Costs                                                      37                     12,315.71                  6,984.85 | Total Current Assets                                                                    2,22,827.58                2,13,973.19     V    Profit for the Year (III-IV)                                                              24,600.40                 33,792.50 | TOTAL ASSETS                                                                                        4,25,961.88                3,56,860.22     VI Other Comprehensive Income/(Loss) | (i)   Borrowings                                                     21                   26,996.60                  13,566.23 | (ii)  Lease Liabilities                                              41                   20,692.92                   3,164.53                (iii) _x0007_Exchange Difference on translating financial          20B                      (907.85)                  (401.52) | (i)   Borrowings                                                     26                   94,761.39                  77,842.31          Non-Controlling Interests                                                                         -                         - | (ii)  Lease Liabilities                                              41                    2,421.34                   1,019.97     IX   Other Comprehensive Income/(Loss) attributable to: | TOTAL EQUITY AND LIABILITIES                                                                        4,25,961.88                3,56,860.22
PDF p.124: Finance Costs                                                                  12,315.71                    6,984.85 | Profit for the Year                     -          -             -     33,792.50                  -                -     33,792.50           Changes in Operating Assets and Liabilities: | Profit for the Year                     -          -             -     24,600.40                  -                -     24,600.40 | Firm Registration Number: 012754N/N500016                                 Executive Chairman                Director (Works)                 Payment for Property, Plant &amp; Equipment and Intangible Assets                 (25,157.86)                 (13,506.92)</t>
  </si>
  <si>
    <t>All financial statement amounts in Rs lakh; divide by100 to obtain Rs crore. Gross borrowings sum current+noncurrent, separate leases excluded. | Consolidated (total PAT including NCI) | Consolidated group. Financial statement spreads contain side-by-side balance sheet/P&amp;L; current-year columns are31March2025. PAT is profit foryear, not OCI. Capex is cash payments forPPE+intangibleassets, not green-specific spend.</t>
  </si>
  <si>
    <t>Actual PDF page(s): [178, 179, 180]</t>
  </si>
  <si>
    <t>Balance sheet (₹lakhs): total assets5,96,152; non-current borrowings5,383 and current borrowings41,213 (prior29,522 and86,320). P&amp;L: revenue6,38,788; profit forperiod81,511; financecost4,977. Cashflow: capital expenditure onPPE includingcapitaladvances(16,869).</t>
  </si>
  <si>
    <t>All monetary fields in₹crore; raw ₹lakh÷100. Gross debt=current+non-current borrowings; capex=absolute reported cash purchase outflow. | Consolidated | Current borrowing total already includes current maturities; no double counting. Cash capex includes capital advances. Financial period does not establish the unidentified DQS scoring period.</t>
  </si>
  <si>
    <t>Statements in₹crores: totalassets2,563.71; non-current/current borrowings2.74/284.55 (prior4.39/184.36). Revenue2,583.06; profitbeforeminorityinterest andOCI164.54; financecost20.87. CashpurchaseofPPE/intangibleassets(36.80).</t>
  </si>
  <si>
    <t>All monetary fields in₹crore; raw ₹crore unchanged. Gross debt=current+non-current borrowings; capex=absolute reported cash purchase outflow. | Consolidated | PAT includes NCI, consistent with consolidated total assets. Parent-attributableprofit165.31 is not substituted. Financecost may include leaseinterest; borrowings exclude separately presented lease liabilities.</t>
  </si>
  <si>
    <t>Actual PDF page(s): [64, 65, 66]</t>
  </si>
  <si>
    <t>Statements in₹lacs: totalassets2,74,977.02; non-current/current borrowings18,508.47/91,579.47 (prior21,806.40/93,295.07). Revenue3,28,455.80; profitforperiod1,235.25; financecost7,420.13. Cashpurchaseoffixedassets(4,257.33).</t>
  </si>
  <si>
    <t>All monetary fields in₹crore; raw ₹lakh÷100. Gross debt=current+non-current borrowings; capex=absolute reported cash purchase outflow. | Standalone (company financial statements) | Company financial statements, not a fabricated consolidated series. Cash fixed-asset purchase is actual cash outflow, not planned green capex.</t>
  </si>
  <si>
    <t>Actual PDF page(s): [129, 130, 131, 132]</t>
  </si>
  <si>
    <t>Statements in₹million: totalassets26,430.11; revenue49,349.09; profitforyear7,291.42; financecost463.78. CashpurchasePPE,CWIP,intangiblesandcapitaladvances(795.66). Balance sheet has lease liabilities separately; financing reconciliation(p132) short-term borrowingsnil at31March2025and2024.</t>
  </si>
  <si>
    <t>All monetary fields in₹crore; raw ₹million÷10. Gross debt=current+non-current borrowings; capex=absolute reported cash purchase outflow. | Standalone (company financial statements) | Zero gross non-lease borrowings is supported by balance sheet and financing reconciliation, not filled from missing. Lease liabilities excluded. With both-year borrowingszero, financecost/averagedebt is undefined; leave proxy blank rather than zero or infinity.</t>
  </si>
  <si>
    <t>Actual PDF page(s): [153, 154]</t>
  </si>
  <si>
    <t>Consolidated statements in₹lakh(p153spread): totalassets3,61,076.71; non-current/current borrowings61,862.60/1,09,324.92 (prior75,393.59/1,13,046.66). Revenue4,82,582.86; lossfortheperiod(4,002.68); financecost14,007.02. CashPPE/intangibleacquisitionincludingcapitaladvances(12,796.04)(p154).</t>
  </si>
  <si>
    <t>All monetary fields in₹crore; raw ₹lakh÷100. Gross debt=current+non-current borrowings; capex=absolute reported cash purchase outflow. | Consolidated | NegativePAT retained as loss. P&amp;L financecost14,007.02lakhs is used, not cash-flow adjustment13,949.98. Current borrowings already include current-maturity amounts; separately presented lease liabilities excluded.</t>
  </si>
  <si>
    <t>Actual PDF page(s): [292, 293, 294]</t>
  </si>
  <si>
    <t>Statements in₹lakhs: totalassets13,83,600; non-current/current borrowings37,260/89,697 (prior20,988/61,553); leaseliabilitiesseparate. Revenue6,17,674; profitforyear3,819; financecost20,735. CashpurchasePPE/intangiblesincludingcapitaladvances(21,920).</t>
  </si>
  <si>
    <t>All monetary fields in₹crore; raw ₹lakh÷100. Gross debt=current+non-current borrowings; capex=absolute reported cash purchase outflow. | Consolidated | Consolidated totalPAT38.19crore; do not use prior-year demerger/discontinued profit. Financecost includes lease-related financing while denominator excludes separate lease liabilities; raw average-debt proxy has comparability limits.</t>
  </si>
  <si>
    <t>Actual PDF page(s): [130, 132]</t>
  </si>
  <si>
    <t>Consolidated statements in₹million(p130spread): totalassets71,607.2; non-current/current borrowings9,629.2/6,128.6 (prior11,734.2/8,873.9). Revenue69,870.8; profitforyear3,707.3; financecost1,301.8. CashpaymentPPE,CWIP,intangiblesandintangibledevelopment(2,296.4)(p132right).</t>
  </si>
  <si>
    <t>All monetary fields in₹crore; raw ₹million÷10. Gross debt=current+non-current borrowings; capex=absolute reported cash purchase outflow. | Consolidated | PAT is consolidated profit foryear including NCI, not OCI. Cash capex actual purchases, not green-specific spend. Debt sums non-current and current borrowings, excludes separate leases.</t>
  </si>
  <si>
    <t>Actual PDF page(s): [109, 110]</t>
  </si>
  <si>
    <t>Consolidated statements in₹crores(p109spread): totalassets12,432.10; non-current/current borrowings748.99/489.08 (prior413.13/1,378.04). Revenue9,784.88; profitforyear886.72; financecost77.28. CashpaymentpurchasePPEincludingCWIP,intangiblesandcapitaladvances(1,032.62)(p110).</t>
  </si>
  <si>
    <t>All monetary fields in₹crore; raw ₹crore unchanged. Gross debt=current+non-current borrowings; capex=absolute reported cash purchase outflow. | Consolidated | Total consolidated profit, not equity-holder-only amount. Actual cash capex includes capital advances; not a green-specific ratio.</t>
  </si>
  <si>
    <t>Actual PDF page(s): [371, 372, 375]</t>
  </si>
  <si>
    <t>PDF p.371: Total assets                                                                                           10,307.07           9,550.04 | - Borrowings                                                                           10 (a)            879.42            832.71 | - Lease liabilities                                                                      33              267.92             83.44 | - Borrowings                                                                            10 (a)          1,589.20          1,687.80 | - Lease liabilities                                                                       33               25.46             28.29 | Total Equity and Liabilities                                                                           10,307.07           9,550.04
PDF p.372: Revenue from Operations                                                             15            10,545.09            9,679.24 | Finance Costs                                                                       20                 217.47            153.41 | Profit for the year                                                                                      644.02             672.74
PDF p.375: Finance Costs                                                                               217.47             153.41 | Purchase of Property, Plant and Equipment, Capital Work-in-Progress and Intangible         (712.70)           (275.42)</t>
  </si>
  <si>
    <t>Source amounts already Rs crore. Grossborrowings=current+noncurrent; separateleasebalancesexcluded. | Consolidated (total PAT including NCI) | Consolidated totalPAT644.02 includesNCI4.86; parent-attributable639.16 is not substituted against totalconsolidatedassets. Capex is cashpurchasePPE,CWIP+intangibles, notgreen-specific spend.</t>
  </si>
  <si>
    <t>PAT (selected total)</t>
  </si>
  <si>
    <t>Selected total PAT including discontinued operations; continuing and discontinued components are separately cited in original fact log.</t>
  </si>
  <si>
    <t>Consolidated; selected PAT includes discontinued operations; revenue and finance cost follow the continuing-operations lines identified in the source. | Selected PAT is total 28149 including discontinued operations. Any reference below to continuing PAT describes the separate source component, not the selected PAT value. PAT field23,278 is total group CONTINUING-OPERATIONS profit, not owners-only and not all-operations PAT. Full all-operations profit28,149 is supplied separately; it includes discontinued finance-business profit4,871. Revenue and finance costs are continuing operations. Disposal/merger of Tata Motors Finance Ltd means March2024 debt includes financial-services scope absent in2025; averaging debt98501 and62499 is not strictly like-for-like. Separate lease liabilities excluded from debt; financing costs still include leases/discount unwind. Capex15,189+22,853=38,042 cash PPE/intangibles purchases, not green capex. Do not silently mix all-operations PAT with continuing-operations financial basis. Do not infer a same-scope operating margin from continuing revenue and all-operations PAT; ROA here uses total PAT as explicitly defined.</t>
  </si>
  <si>
    <t>field_or_indicator</t>
  </si>
  <si>
    <t>value</t>
  </si>
  <si>
    <t>reporting_period</t>
  </si>
  <si>
    <t>evidence_or_note</t>
  </si>
  <si>
    <t>basis_or_caution</t>
  </si>
  <si>
    <t>CODEBOOK &amp; DATA RULES</t>
  </si>
  <si>
    <t>Definitions, units, source selection and missing-data conventions</t>
  </si>
  <si>
    <t>Source category / see definition</t>
  </si>
  <si>
    <t>Firm name as transcribed; aliases may need legal-entity matching.</t>
  </si>
  <si>
    <t>Blank = unknown/not supplied. Never replace with zero.</t>
  </si>
  <si>
    <t>Sector-report observation. A company may appear in two sectors.</t>
  </si>
  <si>
    <t>Firm/unit-level legal obligation not established by supplied final notifications. Blank here; secondary reported counts remain in Evidence_Log.</t>
  </si>
  <si>
    <t>Inherited example flag, not an independent exchange verification.</t>
  </si>
  <si>
    <t>Exact source description. NSE/BSE(not specified) is not treated as confirmation of both exchanges.</t>
  </si>
  <si>
    <t>Source classification harmonized for spelling/case only. No ownership inferred from firm name.</t>
  </si>
  <si>
    <t>Inherited example flag; absence of filing is not a zero DQS.</t>
  </si>
  <si>
    <t>0–3 integer</t>
  </si>
  <si>
    <t>Scope 1 and 2 emissions; 0 = Not disclosed | 1 = Qualitative mention only | 2 = Current-year figures disclosed | 3 = Multi-year figures with methodology or boundary stated</t>
  </si>
  <si>
    <t>Scope 3 emissions; 0 = Not disclosed | 1 = Acknowledged as relevant, not quantified | 2 = Partial categories quantified | 3 = Material categories quantified with method</t>
  </si>
  <si>
    <t>Emission-intensity target; 0 = None | 1 = Aspirational statement, no year | 2 = Target with base year and target year | 3 = Target plus interim milestones plus progress reported</t>
  </si>
  <si>
    <t>Transition plan; 0 = None | 1 = Generic intent stated | 2 = Plan with named levers or actions | 3 = Plan with quantified levers, timelines and capex</t>
  </si>
  <si>
    <t>Decarbonisation capex; 0 = Not disclosed | 1 = Mentioned without amounts | 2 = Amount or share disclosed | 3 = Multi-year committed amounts with allocation</t>
  </si>
  <si>
    <t>Carbon-pricing / CBAM exposure; 0 = Not addressed | 1 = Generic regulatory-risk mention | 2 = CCTS or CBAM named as relevant | 3 = Quantified exposure or pass-through analysis</t>
  </si>
  <si>
    <t>Internal carbon price; 0 = Not used or not disclosed | 1 = Considering it | 2 = In use, price not stated | 3 = In use with stated price and application</t>
  </si>
  <si>
    <t>Climate-risk scenario analysis; 0 = None | 1 = Risks listed, no scenarios | 2 = Qualitative scenario narrative | 3 = Quantified scenario analysis (IFRS S2 or TCFD style)</t>
  </si>
  <si>
    <t>Assurance of ESG / BRSR data; 0 = None | 1 = Internal review only | 2 = Limited external assurance | 3 = Reasonable assurance on BRSR Core indicators</t>
  </si>
  <si>
    <t>Just transition / workforce and MSME; 0 = Not addressed | 1 = Generic CSR mention | 2 = Specific workforce or supplier programme | 3 = Quantified reskilling or supplier decarbonisation outcomes</t>
  </si>
  <si>
    <t>0–30</t>
  </si>
  <si>
    <t>Selected final score, 0–30: sum of ten numeric indicators if complete; otherwise the report total. Blank for unresolved score conflicts. DQS_basis states which source is used.</t>
  </si>
  <si>
    <t>0–100</t>
  </si>
  <si>
    <t>DQS_total / 30 × 100. Numeric 0–100, not a stored fraction.</t>
  </si>
  <si>
    <t>I1+I2+I3+I5, maximum 12. Only calculated with all four inputs and no score conflict.</t>
  </si>
  <si>
    <t>I4+I6+I7+I8, maximum 12. Only calculated with all four inputs and no score conflict.</t>
  </si>
  <si>
    <t>I9+I10, maximum 6. Only calculated with both inputs and no score conflict.</t>
  </si>
  <si>
    <t>Fiscal year of disclosure scoring, independently normalized. Unknown remains blank; no year fabricated from report publication.</t>
  </si>
  <si>
    <t>Transcribed input/provenance from example or source; check Evidence_Log and Source_Index.</t>
  </si>
  <si>
    <t>Final DQS only where paired-coder reconciliation is documented in supplied workbook.</t>
  </si>
  <si>
    <t>Stored fraction; shown as %</t>
  </si>
  <si>
    <t>Export revenue / total revenue, fraction; source numerator/denominator bases may differ.</t>
  </si>
  <si>
    <t>1/0/unknown; no inference from overall export activity.</t>
  </si>
  <si>
    <t>₹ crore</t>
  </si>
  <si>
    <t>PAT / year-end total assets; fraction displayed as percentage. Missing if either input is absent or assets&lt;=0.</t>
  </si>
  <si>
    <t>For primary bundles, P&amp;L total finance cost / AVERAGE(current and prior gross borrowing debt). Separate lease liabilities excluded from debt. Lease interest, FX and financial-subsidiary charges can dominate the numerator; this is a broad charge proxy, not an effective borrowing interest rate. Blank for zero average debt or unavailable inputs.</t>
  </si>
  <si>
    <t>Primary-source cash purchases/acquisitions of PPE, investment property and/or intangible assets as the cited cash-flow line defines, including CWIP/advances where stated. Gross cash outflow magnitude, not decarbonisation capex or a future commitment. A net-of-disposal figure or goodwill-inclusive aggregate is not substituted.</t>
  </si>
  <si>
    <t>Fiscal year of financial values. Matched to disclosure FY for building firms only when actual annual data exists.</t>
  </si>
  <si>
    <t>For newly retrieved primary filings, the downloaded source retrieval date is recorded. Primary sources were reviewed on 2026-10-24. The date does not retrospectively authenticate old disclosure-coding evidence.</t>
  </si>
  <si>
    <t>Stable key for the normalized firm name. Shared by both PI Industries sector rows; not a verified legal-registration ID.</t>
  </si>
  <si>
    <t>Stable key for one firm-sector source observation. 82 observations across 81 distinct name keys.</t>
  </si>
  <si>
    <t>Total printed in the sector report. Kept separately even when indicator data exists or disagrees.</t>
  </si>
  <si>
    <t>Source-workbook indicator matrix; Report indicator matrix; Sector-report total only; Unresolved source conflict; Not scored.</t>
  </si>
  <si>
    <t>Same FY / Different FY / Not assessable / No financial values. Prevents silent comparison across different periods.</t>
  </si>
  <si>
    <t>Conservative disclosure-analysis flag inherited from complete non-conflicting workbook coding. Does not establish finance-regression readiness.</t>
  </si>
  <si>
    <t>Source coded / Report matrix / Reported total only / Conflict / Unscored / Outside BRSR sample.</t>
  </si>
  <si>
    <t>Source-stated standalone/consolidated basis and limitations; do not combine incompatible denominators.</t>
  </si>
  <si>
    <t>Workbook rule</t>
  </si>
  <si>
    <t>Financial_Panel only: prior year closing gross borrowing debt in Rs crore on the same accounting basis. Current and prior amounts are explicit inputs to the broad finance-cost proxy.</t>
  </si>
  <si>
    <t>Applies to all sheets</t>
  </si>
  <si>
    <t>Panel grain</t>
  </si>
  <si>
    <t>Master_Panel is a firm-sector snapshot. Financial_Panel is a firm-year table of actually observed data. Neither duplicates a one-time DQS across annual rows.</t>
  </si>
  <si>
    <t>Fiscal-year standard</t>
  </si>
  <si>
    <t>Explicit Indian FY spans normalize to FY2024-25 style. Steel source FY2025 is FY ending March 2025 and is normalized to FY2024-25. Unknown/ambiguous dates are not guessed.</t>
  </si>
  <si>
    <t>Financial alignment</t>
  </si>
  <si>
    <t>Building financial values are chosen from their actual matching score-year row, with all three historical years retained in Financial_Panel. Other mismatches remain visible.</t>
  </si>
  <si>
    <t>Missing-data policy</t>
  </si>
  <si>
    <t>Numerical blanks are retained for analysis. The underlying documents do not contain all requested cells. Codebook and Review_Issues explain the gaps.</t>
  </si>
  <si>
    <t>Private details</t>
  </si>
  <si>
    <t>Respondent phone numbers, emails and other contact details have not been copied into this workbook.</t>
  </si>
  <si>
    <t>field_or_rule</t>
  </si>
  <si>
    <t>unit</t>
  </si>
  <si>
    <t>definition</t>
  </si>
  <si>
    <t>missing_value_rule</t>
  </si>
  <si>
    <t>REVIEW ISSUES &amp; LIMITATIONS</t>
  </si>
  <si>
    <t>716 source, coverage and year-alignment notes | unresolved conflicts are retained</t>
  </si>
  <si>
    <t>ISS-001</t>
  </si>
  <si>
    <t>Source conflict</t>
  </si>
  <si>
    <t>FY2024-25 source-sample note</t>
  </si>
  <si>
    <t>Steel group/Steel_Sector_Report.pdf; PDF p.6 Table 3 source note</t>
  </si>
  <si>
    <t>Report says BRSR and annual reports FY2024–25, while Firm profile records FY2025-26 for this firm. Treat as differing source/scoring periods; do not overwrite automatically.</t>
  </si>
  <si>
    <t>ISS-002</t>
  </si>
  <si>
    <t>ISS-003</t>
  </si>
  <si>
    <t>ISS-004</t>
  </si>
  <si>
    <t>NMDC Steel Ltd disclosure not supplied</t>
  </si>
  <si>
    <t>Steel group/data/DQS- excel.xlsx; Financials!O7 (capex source caution)</t>
  </si>
  <si>
    <t>ENTITY MISMATCH: NMDC Steel Ltd document not obtained. The 28.80% / 43.82% figures coded earlier belong to NMDC LIMITED (the iron-ore miner), a separate listed company. Do not carry them into this row.</t>
  </si>
  <si>
    <t>ISS-005</t>
  </si>
  <si>
    <t>Building construction group/Climate_Disclosure_Scoring_MASTER_10Firms_v1.xlsx; Master Scoring Log!I67; original BRSR Section A Q19b p.2</t>
  </si>
  <si>
    <t>Exports 1.08% of turnover, while consolidated financial panel FY2024-25 export share is 54.79 / 4635.07 = 1.1821%. Do not replace consolidated share without resolving reporting boundary.</t>
  </si>
  <si>
    <t>ISS-006</t>
  </si>
  <si>
    <t>2 indicators coded; no total reported</t>
  </si>
  <si>
    <t>Fertilisers_and_Chemicals_Report.pdf; Fertilisers_and_Chemicals_Report.docx; PDF p.18 / DOCX Table15</t>
  </si>
  <si>
    <t>Paper reports 2 indicators coded; no total reported; source spreadsheet and inherited panel have full scores.</t>
  </si>
  <si>
    <t>ISS-007</t>
  </si>
  <si>
    <t>0 indicators coded; no total reported</t>
  </si>
  <si>
    <t>Paper reports 0 indicators coded; no total reported; source spreadsheet and inherited panel have full scores.</t>
  </si>
  <si>
    <t>ISS-008</t>
  </si>
  <si>
    <t>Paper reports 12; source spreadsheet and inherited panel have full scores.</t>
  </si>
  <si>
    <t>ISS-009</t>
  </si>
  <si>
    <t>1 indicators coded; no total reported</t>
  </si>
  <si>
    <t>Paper reports 1 indicators coded; no total reported; source spreadsheet and inherited panel have full scores.</t>
  </si>
  <si>
    <t>ISS-010</t>
  </si>
  <si>
    <t>ISS-011</t>
  </si>
  <si>
    <t>sample_roster</t>
  </si>
  <si>
    <t>Included in Disclosure_Coding_Sheet.xlsx</t>
  </si>
  <si>
    <t>Not in sector-report 12-firm sample</t>
  </si>
  <si>
    <t>Fertilisers_and_Chemicals_Report.pdf; Fertilisers_and_Chemicals_Report.docx; PDF p.5 Table1; p.18 Table15</t>
  </si>
  <si>
    <t>Report has Krishana Phoschem, Madras Fertilizers and Madhya Bharat Agro Products instead; no inferred data transfer.</t>
  </si>
  <si>
    <t>ISS-012</t>
  </si>
  <si>
    <t>ISS-013</t>
  </si>
  <si>
    <t>ISS-014</t>
  </si>
  <si>
    <t>Fertilisers_and_Chemicals_Report.pdf; Fertilisers_and_Chemicals_Report.docx; PDF pp.18–19, paragraph after Table15</t>
  </si>
  <si>
    <t>Report states Khaitan has quantification sub-score 0/12; supporting spreadsheet I1+I2+I3+I5=2. Same total4 masks an indicator-level conflict.</t>
  </si>
  <si>
    <t>ISS-015</t>
  </si>
  <si>
    <t>FY2024-25 in DQS Coded Sheet vs FY2025-26 in Coding Sheet</t>
  </si>
  <si>
    <t>Supporting material/Disclosure_Coding_Sheet.xlsx; DQS Coded Sheet vs Coding Sheet firm rows</t>
  </si>
  <si>
    <t>Two sheets of the same supplied workbook disagree about reporting year; no automatic correction.</t>
  </si>
  <si>
    <t>ISS-016</t>
  </si>
  <si>
    <t>ISS-017</t>
  </si>
  <si>
    <t>second_coder_score / agreed_score</t>
  </si>
  <si>
    <t>{"DQS_total": 17, "second_coder_score": null}</t>
  </si>
  <si>
    <t>{"coder_A": "8/10", "coder_B": "7/10", "agreed": "7/10"}</t>
  </si>
  <si>
    <t>Aluminium Group/Aluminium_Report.pdf; PDF p.17, Table 9 versus PDF p.14, Table 8</t>
  </si>
  <si>
    <t>Table 9 says BALCO Coder A 8/10 vs Coder B 7/10, reconciled to 7/10; Table 8 says BALCO DQS 17/30. These scales cannot be treated as the same score without the original coder matrix.</t>
  </si>
  <si>
    <t>ISS-018</t>
  </si>
  <si>
    <t>All Aluminium interviews (not panel firm financials)</t>
  </si>
  <si>
    <t>interview dates</t>
  </si>
  <si>
    <t>Report PDF pp.10,13,25 says interviews 13–14 Aug 2026</t>
  </si>
  <si>
    <t>Compiled Interview Transcripts.docx records 28-Oct-2026 through 01-Nov-2026</t>
  </si>
  <si>
    <t>Aluminium Group/Compiled_Interview_Transcripts.docx; Aluminium Group/Aluminium_Report.pdf; Aluminium Group/Call_logs.xlsx; DOCX R001–R008 Date lines; PDF section 4.1 and section 5; Call logs sheet rows4–11</t>
  </si>
  <si>
    <t>The DOCX dates are October–November, while PDF/Call_logs use August. Dates and version provenance require confirmation; do not set coding/access dates from them.</t>
  </si>
  <si>
    <t>ISS-019</t>
  </si>
  <si>
    <t>Incorrect PDF hyperlink points to Corteva Our 2025 Impact Report; no valid replacement URL supplied</t>
  </si>
  <si>
    <t>Agriculture group/Agriculture_and_Agrofoods_Report.pdf; PDF p.36, URI annotations on the named company row</t>
  </si>
  <si>
    <t>The hyperlink assigned to Bayer CropScience is for Corteva Our 2025 Impact Report. URL should remain blank until the correct company report is obtained.</t>
  </si>
  <si>
    <t>ISS-020</t>
  </si>
  <si>
    <t>Incorrect PDF hyperlink points to Tata Consumer BRSR website PDF; no valid replacement URL supplied</t>
  </si>
  <si>
    <t>The hyperlink assigned to Marico is for Tata Consumer BRSR website PDF. URL should remain blank until the correct company report is obtained.</t>
  </si>
  <si>
    <t>ISS-021</t>
  </si>
  <si>
    <t>Financial proxy caution</t>
  </si>
  <si>
    <t>Review non-interest charges, leases and denominator.</t>
  </si>
  <si>
    <t>A ratio above 100% is a source artifact/proxy, not a quoted borrowing interest rate.</t>
  </si>
  <si>
    <t>ISS-022</t>
  </si>
  <si>
    <t>ISS-023</t>
  </si>
  <si>
    <t>Scoring coverage</t>
  </si>
  <si>
    <t>I1–I10</t>
  </si>
  <si>
    <t>No applicable score is supplied; do not assign zero.</t>
  </si>
  <si>
    <t>Some research models cannot use this row as indicator-level evidence.</t>
  </si>
  <si>
    <t>ISS-024</t>
  </si>
  <si>
    <t>ISS-025</t>
  </si>
  <si>
    <t>ISS-026</t>
  </si>
  <si>
    <t>ISS-027</t>
  </si>
  <si>
    <t>Ten indicator inputs are not supplied; reported total retained with an explicit source label.</t>
  </si>
  <si>
    <t>ISS-028</t>
  </si>
  <si>
    <t>ISS-029</t>
  </si>
  <si>
    <t>ISS-030</t>
  </si>
  <si>
    <t>ISS-031</t>
  </si>
  <si>
    <t>ISS-032</t>
  </si>
  <si>
    <t>ISS-033</t>
  </si>
  <si>
    <t>ISS-034</t>
  </si>
  <si>
    <t>ISS-035</t>
  </si>
  <si>
    <t>ISS-036</t>
  </si>
  <si>
    <t>ISS-037</t>
  </si>
  <si>
    <t>ISS-038</t>
  </si>
  <si>
    <t>ISS-039</t>
  </si>
  <si>
    <t>ISS-040</t>
  </si>
  <si>
    <t>ISS-041</t>
  </si>
  <si>
    <t>ISS-042</t>
  </si>
  <si>
    <t>ISS-043</t>
  </si>
  <si>
    <t>ISS-044</t>
  </si>
  <si>
    <t>ISS-045</t>
  </si>
  <si>
    <t>ISS-046</t>
  </si>
  <si>
    <t>ISS-047</t>
  </si>
  <si>
    <t>ISS-048</t>
  </si>
  <si>
    <t>ISS-049</t>
  </si>
  <si>
    <t>ISS-050</t>
  </si>
  <si>
    <t>ISS-051</t>
  </si>
  <si>
    <t>ISS-052</t>
  </si>
  <si>
    <t>ISS-053</t>
  </si>
  <si>
    <t>ISS-054</t>
  </si>
  <si>
    <t>Remaining evidence gap</t>
  </si>
  <si>
    <t>Unfilled source inputs</t>
  </si>
  <si>
    <t>Official unit-level legal notices, exact exchange identity, access dates, and additional comparable annual capex/finance inputs are not supplied. No valid prior-year debt series was located for average-debt proxy.</t>
  </si>
  <si>
    <t>Steel group/Steel_Sector_Report.pdf | Steel group/data/ANOVA OUTPUT.docx | Steel group/data/CONJOINT ANALYSIS.docx | Steel group/data/Cronbach Alpha Calculation.xlsx | Steel group/data/DQS- excel.xlsx | Steel group/data/MDS OUTPUT.docx | Steel group/data/RMSM Form Responses.xlsx</t>
  </si>
  <si>
    <t>Missing cells remain blank; source files do not support a complete row of all44 inputs.</t>
  </si>
  <si>
    <t>ISS-055</t>
  </si>
  <si>
    <t>ISS-056</t>
  </si>
  <si>
    <t>ISS-057</t>
  </si>
  <si>
    <t>ISS-058</t>
  </si>
  <si>
    <t>ISS-059</t>
  </si>
  <si>
    <t>Official unit-level legal notices, exact exchange identity, access dates, and additional comparable annual capex/finance inputs are not supplied. No valid prior-year debt series was located for average-debt proxy. NMDC Limited/NMDC Steel Ltd entity mismatch prevents copying miner disclosure/year/capex into steel row.</t>
  </si>
  <si>
    <t>ISS-060</t>
  </si>
  <si>
    <t>ISS-061</t>
  </si>
  <si>
    <t>ISS-062</t>
  </si>
  <si>
    <t>ISS-063</t>
  </si>
  <si>
    <t>No firm-level revenue/PAT/assets/debt/finance-cost table in supplied report or Word interviews. Survey and MDS values are respondent/perception data and cannot fill company financials. Single-coder identity and second coder are unrecorded. EU-specific exports not disclosed. Exact company-report URLs and access dates not supplied.</t>
  </si>
  <si>
    <t>Cement/Annexure A.xlsx | Cement/Annexure B.docx | Cement/Annexure C.xlsx | Cement/Annexure D.xlsx | Cement/Annexure E.xlsx | Cement/Cement_Report.pdf</t>
  </si>
  <si>
    <t>ISS-064</t>
  </si>
  <si>
    <t>ISS-065</t>
  </si>
  <si>
    <t>ISS-066</t>
  </si>
  <si>
    <t>ISS-067</t>
  </si>
  <si>
    <t>ISS-068</t>
  </si>
  <si>
    <t>ISS-069</t>
  </si>
  <si>
    <t>ISS-070</t>
  </si>
  <si>
    <t>No exchange name, exact export/EU-export share, PAT legacy status, finance-cost numerator, debt balance, total capex, coder identity or access date supplied. Table 14 reports the already-transcribed financial values but does not supply debt, finance cost or capex inputs. The interview firms differ from the ten listed disclosure-panel names, so their loan/export claims cannot populate these rows. Firm-level CCTS obligation needs legal/unit evidence not present.</t>
  </si>
  <si>
    <t>Aluminium Group/Aluminium_Report.pdf (all pages) | Aluminium Group/Compiled_Interview_Transcripts.docx (all paragraphs and table) | Aluminium Group/Call_logs.xlsx (Call logs sheet; contact values not copied)</t>
  </si>
  <si>
    <t>ISS-071</t>
  </si>
  <si>
    <t>No exchange name, exact export/EU-export share, PAT legacy status, finance-cost numerator, debt balance, total capex, coder identity or access date supplied. Table 14 explicitly says no financial document sourced for this firm; no financial values can be filled from these documents. The interview firms differ from the ten listed disclosure-panel names, so their loan/export claims cannot populate these rows. Firm-level CCTS obligation needs legal/unit evidence not present.</t>
  </si>
  <si>
    <t>ISS-072</t>
  </si>
  <si>
    <t>No exchange name, exact export/EU-export share, PAT legacy status, finance-cost numerator, debt balance, total capex, coder identity or access date supplied. Cost-of-debt proxy is N/M because of no material borrowing, not a numeric zero. Total assets ~₹22,882 crore are approximate. The interview firms differ from the ten listed disclosure-panel names, so their loan/export claims cannot populate these rows. Firm-level CCTS obligation needs legal/unit evidence not present.</t>
  </si>
  <si>
    <t>ISS-073</t>
  </si>
  <si>
    <t>ISS-074</t>
  </si>
  <si>
    <t>ISS-075</t>
  </si>
  <si>
    <t>No exchange name, exact export/EU-export share, PAT legacy status, finance-cost numerator, debt balance, total capex, coder identity or access date supplied. Financial context is FY2025-26, whereas DQS is FY2024-25; assets/ROA/debt proxy are N/A and cannot be reconstructed. The interview firms differ from the ten listed disclosure-panel names, so their loan/export claims cannot populate these rows. Firm-level CCTS obligation needs legal/unit evidence not present.</t>
  </si>
  <si>
    <t>ISS-076</t>
  </si>
  <si>
    <t>ISS-077</t>
  </si>
  <si>
    <t>ISS-078</t>
  </si>
  <si>
    <t>ISS-079</t>
  </si>
  <si>
    <t>ISS-080</t>
  </si>
  <si>
    <t>No exact export ratio/EU destination, exchange, final unit-level CCTS obligation, PAT legacy status, comparable total capex, finance costs or second-coder values are provided. DQS is out of scope, not zero; report states public financials not found.</t>
  </si>
  <si>
    <t>Fertilisers_and_Chemicals_Report.pdf | Fertilisers_and_Chemicals_Report.docx | Supporting material/Primary Interview Transcripts.docx | Supporting material/Shared Survey Form.pdf | Supporting material/Disclosure_Coding_Sheet.xlsx | Supporting material/Survey_Responses.xlsx | Supporting material/Respondent_Log.xlsx</t>
  </si>
  <si>
    <t>ISS-081</t>
  </si>
  <si>
    <t>No exact export ratio/EU destination, exchange, final unit-level CCTS obligation, PAT legacy status, comparable total capex, finance costs or second-coder values are provided.</t>
  </si>
  <si>
    <t>ISS-082</t>
  </si>
  <si>
    <t>ISS-083</t>
  </si>
  <si>
    <t>ISS-084</t>
  </si>
  <si>
    <t>ISS-085</t>
  </si>
  <si>
    <t>No exact export ratio/EU destination, exchange, final unit-level CCTS obligation, PAT legacy status, comparable total capex, finance costs or second-coder values are provided. Report explicitly says financial figures not found.</t>
  </si>
  <si>
    <t>ISS-086</t>
  </si>
  <si>
    <t>ISS-087</t>
  </si>
  <si>
    <t>ISS-088</t>
  </si>
  <si>
    <t>ISS-089</t>
  </si>
  <si>
    <t>No exact export ratio/EU destination, exchange, final unit-level CCTS obligation, PAT legacy status, comparable total capex, finance costs or second-coder values are provided. This firm appears only in the conflicting disclosure workbook, not the paper sample; no additional report financial/profile values can be assigned.</t>
  </si>
  <si>
    <t>ISS-090</t>
  </si>
  <si>
    <t>ISS-091</t>
  </si>
  <si>
    <t>ISS-092</t>
  </si>
  <si>
    <t>Entire PDF and embedded-image inventory reviewed. It prints aggregate statistics and company DQS totals in Figure 8, but no firm indicator matrix, financial amounts, numeric export shares, exact exchange, individual coder scores, or per-firm fiscal year. C1 names Clean_Shared_Data.xlsx, absent from ZIP. B7 uses mixed ROE/ROA and an ordinal cost signal; neither can populate numeric ROA/debt ratios.</t>
  </si>
  <si>
    <t>ISS-093</t>
  </si>
  <si>
    <t>ISS-094</t>
  </si>
  <si>
    <t>ISS-095</t>
  </si>
  <si>
    <t>ISS-096</t>
  </si>
  <si>
    <t>ISS-097</t>
  </si>
  <si>
    <t>ISS-098</t>
  </si>
  <si>
    <t>ISS-099</t>
  </si>
  <si>
    <t>ISS-100</t>
  </si>
  <si>
    <t>ISS-101</t>
  </si>
  <si>
    <t>ISS-102</t>
  </si>
  <si>
    <t>ISS-103</t>
  </si>
  <si>
    <t>ISS-104</t>
  </si>
  <si>
    <t>ISS-105</t>
  </si>
  <si>
    <t>No exact annual finance-cost amount or total-capex amount is present in supplied files; BRSR I5 narratives concern environmental/social/R&amp;D shares, not total company capex. No named exchange or firm/unit CCTS legal evidence. Unknown original access dates cannot be reconstructed.</t>
  </si>
  <si>
    <t>Buildings_and_Construction_Report.pdf (all sections; especially 6 and 11) | Appendices_A_to_G.pdf (full; Appendix G score matrix) | In Depth Interview Transcript.pdf (full) | Climate_Disclosure_Scoring_MASTER_10Firms_v1.xlsx (scoring and evidence) | Consolidated_Firm_Panel_FY24-FY26.xlsx (finance rows and definitions)</t>
  </si>
  <si>
    <t>ISS-106</t>
  </si>
  <si>
    <t>ISS-107</t>
  </si>
  <si>
    <t>Report section 11.1 explicitly says NBCC consolidated financials unavailable; no financial workbook in archive. Leave revenue/assets/PAT/debt/finance-cost/capex/size blank. PAT-negative and export-share notes are available in the scoring workbook.</t>
  </si>
  <si>
    <t>ISS-108</t>
  </si>
  <si>
    <t>ISS-109</t>
  </si>
  <si>
    <t>ISS-110</t>
  </si>
  <si>
    <t>ISS-111</t>
  </si>
  <si>
    <t>ISS-112</t>
  </si>
  <si>
    <t>ISS-113</t>
  </si>
  <si>
    <t>ISS-114</t>
  </si>
  <si>
    <t>ISS-115</t>
  </si>
  <si>
    <t>Entire PDF reviewed including charts, appendices, links and attachments. DQS totals and some financing-cost ratios are printed; I1–I10, revenue, assets, PAT, debt, finance-cost amounts, capex, firm-specific ownership/size/export fractions, exact exchanges and primary URLs are not provided. Survey firmographics are pooled and cannot assign attributes to individual companies. Report financing ratio only; finance-cost and borrowing amounts not supplied.</t>
  </si>
  <si>
    <t>ISS-116</t>
  </si>
  <si>
    <t>ISS-117</t>
  </si>
  <si>
    <t>ISS-118</t>
  </si>
  <si>
    <t>Entire PDF reviewed including charts, appendices, links and attachments. DQS totals and some financing-cost ratios are printed; I1–I10, revenue, assets, PAT, debt, finance-cost amounts, capex, firm-specific ownership/size/export fractions, exact exchanges and primary URLs are not provided. Survey firmographics are pooled and cannot assign attributes to individual companies. Not applicable: report calls firm effectively debt-free.</t>
  </si>
  <si>
    <t>ISS-119</t>
  </si>
  <si>
    <t>ISS-120</t>
  </si>
  <si>
    <t>Entire PDF reviewed including charts, appendices, links and attachments. DQS totals and some financing-cost ratios are printed; I1–I10, revenue, assets, PAT, debt, finance-cost amounts, capex, firm-specific ownership/size/export fractions, exact exchanges and primary URLs are not provided. Survey firmographics are pooled and cannot assign attributes to individual companies. Not applicable: report states no outstanding external borrowings.</t>
  </si>
  <si>
    <t>ISS-121</t>
  </si>
  <si>
    <t>Entire PDF reviewed including charts, appendices, links and attachments. DQS totals and some financing-cost ratios are printed; I1–I10, revenue, assets, PAT, debt, finance-cost amounts, capex, firm-specific ownership/size/export fractions, exact exchanges and primary URLs are not provided. Survey firmographics are pooled and cannot assign attributes to individual companies. Missing: FY25 finance-cost figure could not be safely extracted.</t>
  </si>
  <si>
    <t>ISS-122</t>
  </si>
  <si>
    <t>ISS-123</t>
  </si>
  <si>
    <t>ISS-124</t>
  </si>
  <si>
    <t>ISS-125</t>
  </si>
  <si>
    <t>No firm-specific exchange, export intensity, EU-export result, legal CCTS obligation/PAT-legacy status, revenue/assets/PAT/debt/finance-cost/capex data, named coder or access date is supplied. The report describes only aggregate survey regressions and coded DQS; survey prompts are not observed company answers. Scoring fiscal year is not stated.</t>
  </si>
  <si>
    <t>Agriculture group/Agriculture_and_Agrofoods_Report.pdf (all 41 pages, including image-only statistical tables and URI annotations)</t>
  </si>
  <si>
    <t>ISS-126</t>
  </si>
  <si>
    <t>No firm-specific exchange, export intensity, EU-export result, legal CCTS obligation/PAT-legacy status, revenue/assets/PAT/debt/finance-cost/capex data, named coder or access date is supplied. The report describes only aggregate survey regressions and coded DQS; survey prompts are not observed company answers. Scoring fiscal year is not stated. Existing FY2025-26 is supported only by the linked Annual_Report_2025_26 filename, not an explicit scoring-period statement.</t>
  </si>
  <si>
    <t>ISS-127</t>
  </si>
  <si>
    <t>No firm-specific exchange, export intensity, EU-export result, legal CCTS obligation/PAT-legacy status, revenue/assets/PAT/debt/finance-cost/capex data, named coder or access date is supplied. The report describes only aggregate survey regressions and coded DQS; survey prompts are not observed company answers. Scoring fiscal year is not stated. Linked source is a global company impact report, so it cannot establish Indian subsidiary financials or Indian listed/BRSR status.</t>
  </si>
  <si>
    <t>ISS-128</t>
  </si>
  <si>
    <t>No firm-specific exchange, export intensity, EU-export result, legal CCTS obligation/PAT-legacy status, revenue/assets/PAT/debt/finance-cost/capex data, named coder or access date is supplied. The report describes only aggregate survey regressions and coded DQS; survey prompts are not observed company answers. Scoring fiscal year is not stated. Indian listed entity versus global Bayer scope is unresolved; PDF link points to Corteva.</t>
  </si>
  <si>
    <t>ISS-129</t>
  </si>
  <si>
    <t>ISS-130</t>
  </si>
  <si>
    <t>No firm-specific exchange, export intensity, EU-export result, legal CCTS obligation/PAT-legacy status, revenue/assets/PAT/debt/finance-cost/capex data, named coder or access date is supplied. The report describes only aggregate survey regressions and coded DQS; survey prompts are not observed company answers. Scoring fiscal year is not stated. PDF link points to Tata Consumer; correct Marico source is absent.</t>
  </si>
  <si>
    <t>ISS-131</t>
  </si>
  <si>
    <t>ISS-132</t>
  </si>
  <si>
    <t>No exact export ratio/EU destination, exchange, final unit-level CCTS obligation, PAT legacy status, comparable total capex, finance costs or second-coder values are provided. No indicator-level 0–3 scores are supplied for the report-only row; coverage counts cannot reconstruct indicator scores.</t>
  </si>
  <si>
    <t>ISS-133</t>
  </si>
  <si>
    <t>ISS-134</t>
  </si>
  <si>
    <t>ISS-135</t>
  </si>
  <si>
    <t>No firm-specific exchange, export intensity, EU-export result, legal CCTS obligation/PAT-legacy status, revenue/assets/PAT/debt/finance-cost/capex data, named coder or access date is supplied. The report describes only aggregate survey regressions and coded DQS; survey prompts are not observed company answers. Scoring fiscal year is not stated. Distinct agriculture observation: do not copy the fertiliser report score/basis across sectors.</t>
  </si>
  <si>
    <t>ISS-136</t>
  </si>
  <si>
    <t>Primary-source correction</t>
  </si>
  <si>
    <t>Primary official filing replaces secondary/source-workbook figure for the same financial year. Standalone; company states no subsidiaries, associates or joint ventures</t>
  </si>
  <si>
    <t>ISS-137</t>
  </si>
  <si>
    <t>ISS-138</t>
  </si>
  <si>
    <t>ISS-139</t>
  </si>
  <si>
    <t>Primary official filing replaces secondary/source-workbook figure for the same financial year. Consolidated; PAT is total profit including non-controlling interests</t>
  </si>
  <si>
    <t>ISS-140</t>
  </si>
  <si>
    <t>ISS-141</t>
  </si>
  <si>
    <t>ISS-142</t>
  </si>
  <si>
    <t>ISS-143</t>
  </si>
  <si>
    <t>ISS-144</t>
  </si>
  <si>
    <t>ISS-145</t>
  </si>
  <si>
    <t>ISS-146</t>
  </si>
  <si>
    <t>ISS-147</t>
  </si>
  <si>
    <t>ISS-148</t>
  </si>
  <si>
    <t>ISS-149</t>
  </si>
  <si>
    <t>ISS-150</t>
  </si>
  <si>
    <t>ISS-151</t>
  </si>
  <si>
    <t>ISS-152</t>
  </si>
  <si>
    <t>ISS-153</t>
  </si>
  <si>
    <t>ISS-154</t>
  </si>
  <si>
    <t>ISS-155</t>
  </si>
  <si>
    <t>ISS-156</t>
  </si>
  <si>
    <t>ISS-157</t>
  </si>
  <si>
    <t>Primary official filing replaces secondary/source-workbook figure for the same financial year. Consolidated</t>
  </si>
  <si>
    <t>ISS-158</t>
  </si>
  <si>
    <t>ISS-159</t>
  </si>
  <si>
    <t>ISS-160</t>
  </si>
  <si>
    <t>Primary official filing replaces secondary/source-workbook figure for the same financial year. Standalone</t>
  </si>
  <si>
    <t>ISS-161</t>
  </si>
  <si>
    <t>ISS-162</t>
  </si>
  <si>
    <t>ISS-163</t>
  </si>
  <si>
    <t>ISS-164</t>
  </si>
  <si>
    <t>ISS-165</t>
  </si>
  <si>
    <t>ISS-166</t>
  </si>
  <si>
    <t>ISS-167</t>
  </si>
  <si>
    <t>Primary official filing replaces secondary/source-workbook figure for the same financial year. Consolidated (group total PAT including joint-venture result)</t>
  </si>
  <si>
    <t>ISS-168</t>
  </si>
  <si>
    <t>ISS-169</t>
  </si>
  <si>
    <t>Primary source; FY2024-25; Consolidated; PAT is total profit including non-controlling interests</t>
  </si>
  <si>
    <t>ISS-170</t>
  </si>
  <si>
    <t>ISS-171</t>
  </si>
  <si>
    <t>ISS-172</t>
  </si>
  <si>
    <t>ISS-173</t>
  </si>
  <si>
    <t>ISS-174</t>
  </si>
  <si>
    <t>ISS-175</t>
  </si>
  <si>
    <t>ISS-176</t>
  </si>
  <si>
    <t>Primary source; FY2025-26; Consolidated; PAT is total profit including non-controlling interests</t>
  </si>
  <si>
    <t>ISS-177</t>
  </si>
  <si>
    <t>ISS-178</t>
  </si>
  <si>
    <t>ISS-179</t>
  </si>
  <si>
    <t>ISS-180</t>
  </si>
  <si>
    <t>ISS-181</t>
  </si>
  <si>
    <t>ISS-182</t>
  </si>
  <si>
    <t>ISS-183</t>
  </si>
  <si>
    <t>ISS-184</t>
  </si>
  <si>
    <t>ISS-185</t>
  </si>
  <si>
    <t>ISS-186</t>
  </si>
  <si>
    <t>ISS-187</t>
  </si>
  <si>
    <t>ISS-188</t>
  </si>
  <si>
    <t>ISS-189</t>
  </si>
  <si>
    <t>ISS-190</t>
  </si>
  <si>
    <t>ISS-191</t>
  </si>
  <si>
    <t>ISS-192</t>
  </si>
  <si>
    <t>ISS-193</t>
  </si>
  <si>
    <t>ISS-194</t>
  </si>
  <si>
    <t>ISS-195</t>
  </si>
  <si>
    <t>ISS-196</t>
  </si>
  <si>
    <t>ISS-197</t>
  </si>
  <si>
    <t>ISS-198</t>
  </si>
  <si>
    <t>ISS-199</t>
  </si>
  <si>
    <t>ISS-200</t>
  </si>
  <si>
    <t>ISS-201</t>
  </si>
  <si>
    <t>ISS-202</t>
  </si>
  <si>
    <t>ISS-203</t>
  </si>
  <si>
    <t>ISS-204</t>
  </si>
  <si>
    <t>Primary source; FY2024-25; Standalone; company states no subsidiaries, associates or joint ventures</t>
  </si>
  <si>
    <t>ISS-205</t>
  </si>
  <si>
    <t>ISS-206</t>
  </si>
  <si>
    <t>ISS-207</t>
  </si>
  <si>
    <t>ISS-208</t>
  </si>
  <si>
    <t>ISS-209</t>
  </si>
  <si>
    <t>ISS-210</t>
  </si>
  <si>
    <t>ISS-211</t>
  </si>
  <si>
    <t>ISS-212</t>
  </si>
  <si>
    <t>ISS-213</t>
  </si>
  <si>
    <t>ISS-214</t>
  </si>
  <si>
    <t>ISS-215</t>
  </si>
  <si>
    <t>ISS-216</t>
  </si>
  <si>
    <t>ISS-217</t>
  </si>
  <si>
    <t>ISS-218</t>
  </si>
  <si>
    <t>ISS-219</t>
  </si>
  <si>
    <t>ISS-220</t>
  </si>
  <si>
    <t>ISS-221</t>
  </si>
  <si>
    <t>ISS-222</t>
  </si>
  <si>
    <t>ISS-223</t>
  </si>
  <si>
    <t>ISS-224</t>
  </si>
  <si>
    <t>ISS-225</t>
  </si>
  <si>
    <t>ISS-226</t>
  </si>
  <si>
    <t>ISS-227</t>
  </si>
  <si>
    <t>ISS-228</t>
  </si>
  <si>
    <t>ISS-229</t>
  </si>
  <si>
    <t>ISS-230</t>
  </si>
  <si>
    <t>ISS-231</t>
  </si>
  <si>
    <t>Primary source; FY2025-26; Consolidated; PAT is total profit/(loss) for year including non-controlling interests; borrowing debt excludes separately reported lease liabilities</t>
  </si>
  <si>
    <t>ISS-232</t>
  </si>
  <si>
    <t>ISS-233</t>
  </si>
  <si>
    <t>ISS-234</t>
  </si>
  <si>
    <t>ISS-235</t>
  </si>
  <si>
    <t>ISS-236</t>
  </si>
  <si>
    <t>ISS-237</t>
  </si>
  <si>
    <t>ISS-238</t>
  </si>
  <si>
    <t>ISS-239</t>
  </si>
  <si>
    <t>ISS-240</t>
  </si>
  <si>
    <t>ISS-241</t>
  </si>
  <si>
    <t>ISS-242</t>
  </si>
  <si>
    <t>ISS-243</t>
  </si>
  <si>
    <t>ISS-244</t>
  </si>
  <si>
    <t>ISS-245</t>
  </si>
  <si>
    <t>Primary source; FY2024-25; Consolidated; PAT is total profit/(loss) for year including non-controlling interests; borrowing debt excludes separately reported lease liabilities</t>
  </si>
  <si>
    <t>ISS-246</t>
  </si>
  <si>
    <t>ISS-247</t>
  </si>
  <si>
    <t>ISS-248</t>
  </si>
  <si>
    <t>ISS-249</t>
  </si>
  <si>
    <t>ISS-250</t>
  </si>
  <si>
    <t>ISS-251</t>
  </si>
  <si>
    <t>ISS-252</t>
  </si>
  <si>
    <t>ISS-253</t>
  </si>
  <si>
    <t>ISS-254</t>
  </si>
  <si>
    <t>ISS-255</t>
  </si>
  <si>
    <t>ISS-256</t>
  </si>
  <si>
    <t>ISS-257</t>
  </si>
  <si>
    <t>ISS-258</t>
  </si>
  <si>
    <t>ISS-259</t>
  </si>
  <si>
    <t>ISS-260</t>
  </si>
  <si>
    <t>ISS-261</t>
  </si>
  <si>
    <t>ISS-262</t>
  </si>
  <si>
    <t>ISS-263</t>
  </si>
  <si>
    <t>ISS-264</t>
  </si>
  <si>
    <t>ISS-265</t>
  </si>
  <si>
    <t>ISS-266</t>
  </si>
  <si>
    <t>ISS-267</t>
  </si>
  <si>
    <t>ISS-268</t>
  </si>
  <si>
    <t>ISS-269</t>
  </si>
  <si>
    <t>ISS-270</t>
  </si>
  <si>
    <t>ISS-271</t>
  </si>
  <si>
    <t>ISS-272</t>
  </si>
  <si>
    <t>ISS-273</t>
  </si>
  <si>
    <t>ISS-274</t>
  </si>
  <si>
    <t>ISS-275</t>
  </si>
  <si>
    <t>ISS-276</t>
  </si>
  <si>
    <t>ISS-277</t>
  </si>
  <si>
    <t>ISS-278</t>
  </si>
  <si>
    <t>ISS-279</t>
  </si>
  <si>
    <t>Primary source; FY2024-25; Consolidated (group total PAT including NCI)</t>
  </si>
  <si>
    <t>ISS-280</t>
  </si>
  <si>
    <t>ISS-281</t>
  </si>
  <si>
    <t>ISS-282</t>
  </si>
  <si>
    <t>ISS-283</t>
  </si>
  <si>
    <t>ISS-284</t>
  </si>
  <si>
    <t>ISS-285</t>
  </si>
  <si>
    <t>ISS-286</t>
  </si>
  <si>
    <t>ISS-287</t>
  </si>
  <si>
    <t>ISS-288</t>
  </si>
  <si>
    <t>ISS-289</t>
  </si>
  <si>
    <t>ISS-290</t>
  </si>
  <si>
    <t>Primary source; FY2024-25; Consolidated (group total PAT including joint-venture result)</t>
  </si>
  <si>
    <t>ISS-291</t>
  </si>
  <si>
    <t>ISS-292</t>
  </si>
  <si>
    <t>ISS-293</t>
  </si>
  <si>
    <t>ISS-294</t>
  </si>
  <si>
    <t>ISS-295</t>
  </si>
  <si>
    <t>ISS-296</t>
  </si>
  <si>
    <t>ISS-297</t>
  </si>
  <si>
    <t>Primary source; FY2024-25; Standalone company financial statements</t>
  </si>
  <si>
    <t>ISS-298</t>
  </si>
  <si>
    <t>ISS-299</t>
  </si>
  <si>
    <t>ISS-300</t>
  </si>
  <si>
    <t>ISS-301</t>
  </si>
  <si>
    <t>ISS-302</t>
  </si>
  <si>
    <t>ISS-303</t>
  </si>
  <si>
    <t>ISS-304</t>
  </si>
  <si>
    <t>Primary source; FY2024-25; Standalone (report states no subsidiary, JV or associate)</t>
  </si>
  <si>
    <t>ISS-305</t>
  </si>
  <si>
    <t>ISS-306</t>
  </si>
  <si>
    <t>ISS-307</t>
  </si>
  <si>
    <t>ISS-308</t>
  </si>
  <si>
    <t>ISS-309</t>
  </si>
  <si>
    <t>ISS-310</t>
  </si>
  <si>
    <t>ISS-311</t>
  </si>
  <si>
    <t>ISS-312</t>
  </si>
  <si>
    <t>ISS-313</t>
  </si>
  <si>
    <t>ISS-314</t>
  </si>
  <si>
    <t>ISS-315</t>
  </si>
  <si>
    <t>ISS-316</t>
  </si>
  <si>
    <t>ISS-317</t>
  </si>
  <si>
    <t>Primary source; FY2024-25; Standalone (report states no subsidiaries, JVs or associates)</t>
  </si>
  <si>
    <t>ISS-318</t>
  </si>
  <si>
    <t>ISS-319</t>
  </si>
  <si>
    <t>ISS-320</t>
  </si>
  <si>
    <t>ISS-321</t>
  </si>
  <si>
    <t>ISS-322</t>
  </si>
  <si>
    <t>ISS-323</t>
  </si>
  <si>
    <t>ISS-324</t>
  </si>
  <si>
    <t>Primary source; FY2024-25; Consolidated</t>
  </si>
  <si>
    <t>ISS-325</t>
  </si>
  <si>
    <t>ISS-326</t>
  </si>
  <si>
    <t>ISS-327</t>
  </si>
  <si>
    <t>ISS-328</t>
  </si>
  <si>
    <t>ISS-329</t>
  </si>
  <si>
    <t>ISS-330</t>
  </si>
  <si>
    <t>ISS-331</t>
  </si>
  <si>
    <t>ISS-332</t>
  </si>
  <si>
    <t>ISS-333</t>
  </si>
  <si>
    <t>ISS-334</t>
  </si>
  <si>
    <t>ISS-335</t>
  </si>
  <si>
    <t>ISS-336</t>
  </si>
  <si>
    <t>ISS-337</t>
  </si>
  <si>
    <t>ISS-338</t>
  </si>
  <si>
    <t>ISS-339</t>
  </si>
  <si>
    <t>ISS-340</t>
  </si>
  <si>
    <t>ISS-341</t>
  </si>
  <si>
    <t>ISS-342</t>
  </si>
  <si>
    <t>ISS-343</t>
  </si>
  <si>
    <t>ISS-344</t>
  </si>
  <si>
    <t>ISS-345</t>
  </si>
  <si>
    <t>ISS-346</t>
  </si>
  <si>
    <t>ISS-347</t>
  </si>
  <si>
    <t>ISS-348</t>
  </si>
  <si>
    <t>ISS-349</t>
  </si>
  <si>
    <t>ISS-350</t>
  </si>
  <si>
    <t>ISS-351</t>
  </si>
  <si>
    <t>ISS-352</t>
  </si>
  <si>
    <t>ISS-353</t>
  </si>
  <si>
    <t>ISS-354</t>
  </si>
  <si>
    <t>ISS-355</t>
  </si>
  <si>
    <t>ISS-356</t>
  </si>
  <si>
    <t>ISS-357</t>
  </si>
  <si>
    <t>ISS-358</t>
  </si>
  <si>
    <t>ISS-359</t>
  </si>
  <si>
    <t>Primary source; FY2024-25; Standalone</t>
  </si>
  <si>
    <t>ISS-360</t>
  </si>
  <si>
    <t>ISS-361</t>
  </si>
  <si>
    <t>ISS-362</t>
  </si>
  <si>
    <t>ISS-363</t>
  </si>
  <si>
    <t>ISS-364</t>
  </si>
  <si>
    <t>ISS-365</t>
  </si>
  <si>
    <t>ISS-366</t>
  </si>
  <si>
    <t>ISS-367</t>
  </si>
  <si>
    <t>ISS-368</t>
  </si>
  <si>
    <t>ISS-369</t>
  </si>
  <si>
    <t>ISS-370</t>
  </si>
  <si>
    <t>ISS-371</t>
  </si>
  <si>
    <t>ISS-372</t>
  </si>
  <si>
    <t>ISS-373</t>
  </si>
  <si>
    <t>ISS-374</t>
  </si>
  <si>
    <t>ISS-375</t>
  </si>
  <si>
    <t>ISS-376</t>
  </si>
  <si>
    <t>ISS-377</t>
  </si>
  <si>
    <t>ISS-378</t>
  </si>
  <si>
    <t>ISS-379</t>
  </si>
  <si>
    <t>ISS-380</t>
  </si>
  <si>
    <t>ISS-381</t>
  </si>
  <si>
    <t>ISS-382</t>
  </si>
  <si>
    <t>ISS-383</t>
  </si>
  <si>
    <t>ISS-384</t>
  </si>
  <si>
    <t>ISS-385</t>
  </si>
  <si>
    <t>ISS-386</t>
  </si>
  <si>
    <t>ISS-387</t>
  </si>
  <si>
    <t>ISS-388</t>
  </si>
  <si>
    <t>ISS-389</t>
  </si>
  <si>
    <t>ISS-390</t>
  </si>
  <si>
    <t>ISS-391</t>
  </si>
  <si>
    <t>ISS-392</t>
  </si>
  <si>
    <t>ISS-393</t>
  </si>
  <si>
    <t>ISS-394</t>
  </si>
  <si>
    <t>Primary source; FY2025-26; Consolidated</t>
  </si>
  <si>
    <t>ISS-395</t>
  </si>
  <si>
    <t>ISS-396</t>
  </si>
  <si>
    <t>ISS-397</t>
  </si>
  <si>
    <t>ISS-398</t>
  </si>
  <si>
    <t>ISS-399</t>
  </si>
  <si>
    <t>ISS-400</t>
  </si>
  <si>
    <t>ISS-401</t>
  </si>
  <si>
    <t>Primary source; FY2024-25; Consolidated (total PAT including NCI)</t>
  </si>
  <si>
    <t>ISS-402</t>
  </si>
  <si>
    <t>ISS-403</t>
  </si>
  <si>
    <t>ISS-404</t>
  </si>
  <si>
    <t>ISS-405</t>
  </si>
  <si>
    <t>ISS-406</t>
  </si>
  <si>
    <t>ISS-407</t>
  </si>
  <si>
    <t>ISS-408</t>
  </si>
  <si>
    <t>ISS-409</t>
  </si>
  <si>
    <t>ISS-410</t>
  </si>
  <si>
    <t>ISS-411</t>
  </si>
  <si>
    <t>ISS-412</t>
  </si>
  <si>
    <t>ISS-413</t>
  </si>
  <si>
    <t>ISS-414</t>
  </si>
  <si>
    <t>ISS-415</t>
  </si>
  <si>
    <t>ISS-416</t>
  </si>
  <si>
    <t>ISS-417</t>
  </si>
  <si>
    <t>ISS-418</t>
  </si>
  <si>
    <t>ISS-419</t>
  </si>
  <si>
    <t>ISS-420</t>
  </si>
  <si>
    <t>ISS-421</t>
  </si>
  <si>
    <t>ISS-422</t>
  </si>
  <si>
    <t>ISS-423</t>
  </si>
  <si>
    <t>ISS-424</t>
  </si>
  <si>
    <t>ISS-425</t>
  </si>
  <si>
    <t>ISS-426</t>
  </si>
  <si>
    <t>ISS-427</t>
  </si>
  <si>
    <t>ISS-428</t>
  </si>
  <si>
    <t>ISS-429</t>
  </si>
  <si>
    <t>ISS-430</t>
  </si>
  <si>
    <t>ISS-431</t>
  </si>
  <si>
    <t>ISS-432</t>
  </si>
  <si>
    <t>ISS-433</t>
  </si>
  <si>
    <t>ISS-434</t>
  </si>
  <si>
    <t>ISS-435</t>
  </si>
  <si>
    <t>ISS-436</t>
  </si>
  <si>
    <t>ISS-437</t>
  </si>
  <si>
    <t>ISS-438</t>
  </si>
  <si>
    <t>ISS-439</t>
  </si>
  <si>
    <t>ISS-440</t>
  </si>
  <si>
    <t>ISS-441</t>
  </si>
  <si>
    <t>ISS-442</t>
  </si>
  <si>
    <t>ISS-443</t>
  </si>
  <si>
    <t>ISS-444</t>
  </si>
  <si>
    <t>ISS-445</t>
  </si>
  <si>
    <t>ISS-446</t>
  </si>
  <si>
    <t>ISS-447</t>
  </si>
  <si>
    <t>ISS-448</t>
  </si>
  <si>
    <t>ISS-449</t>
  </si>
  <si>
    <t>ISS-450</t>
  </si>
  <si>
    <t>Primary source; FY2024-25; Standalone (company financial statements)</t>
  </si>
  <si>
    <t>ISS-451</t>
  </si>
  <si>
    <t>ISS-452</t>
  </si>
  <si>
    <t>ISS-453</t>
  </si>
  <si>
    <t>ISS-454</t>
  </si>
  <si>
    <t>ISS-455</t>
  </si>
  <si>
    <t>ISS-456</t>
  </si>
  <si>
    <t>ISS-457</t>
  </si>
  <si>
    <t>ISS-458</t>
  </si>
  <si>
    <t>ISS-459</t>
  </si>
  <si>
    <t>ISS-460</t>
  </si>
  <si>
    <t>ISS-461</t>
  </si>
  <si>
    <t>ISS-462</t>
  </si>
  <si>
    <t>ISS-463</t>
  </si>
  <si>
    <t>ISS-464</t>
  </si>
  <si>
    <t>ISS-465</t>
  </si>
  <si>
    <t>ISS-466</t>
  </si>
  <si>
    <t>ISS-467</t>
  </si>
  <si>
    <t>ISS-468</t>
  </si>
  <si>
    <t>ISS-469</t>
  </si>
  <si>
    <t>ISS-470</t>
  </si>
  <si>
    <t>ISS-471</t>
  </si>
  <si>
    <t>ISS-472</t>
  </si>
  <si>
    <t>ISS-473</t>
  </si>
  <si>
    <t>ISS-474</t>
  </si>
  <si>
    <t>ISS-475</t>
  </si>
  <si>
    <t>ISS-476</t>
  </si>
  <si>
    <t>ISS-477</t>
  </si>
  <si>
    <t>ISS-478</t>
  </si>
  <si>
    <t>ISS-479</t>
  </si>
  <si>
    <t>ISS-480</t>
  </si>
  <si>
    <t>ISS-481</t>
  </si>
  <si>
    <t>ISS-482</t>
  </si>
  <si>
    <t>ISS-483</t>
  </si>
  <si>
    <t>ISS-484</t>
  </si>
  <si>
    <t>ISS-485</t>
  </si>
  <si>
    <t>ISS-486</t>
  </si>
  <si>
    <t>ISS-487</t>
  </si>
  <si>
    <t>ISS-488</t>
  </si>
  <si>
    <t>ISS-489</t>
  </si>
  <si>
    <t>ISS-490</t>
  </si>
  <si>
    <t>Primary source; FY2024-25; Consolidated (including NCI)</t>
  </si>
  <si>
    <t>ISS-491</t>
  </si>
  <si>
    <t>ISS-492</t>
  </si>
  <si>
    <t>ISS-493</t>
  </si>
  <si>
    <t>ISS-494</t>
  </si>
  <si>
    <t>ISS-495</t>
  </si>
  <si>
    <t>ISS-496</t>
  </si>
  <si>
    <t>ISS-497</t>
  </si>
  <si>
    <t>Primary source; FY2025-26; Consolidated (including NCI)</t>
  </si>
  <si>
    <t>ISS-498</t>
  </si>
  <si>
    <t>ISS-499</t>
  </si>
  <si>
    <t>ISS-500</t>
  </si>
  <si>
    <t>ISS-501</t>
  </si>
  <si>
    <t>ISS-502</t>
  </si>
  <si>
    <t>ISS-503</t>
  </si>
  <si>
    <t>ISS-504</t>
  </si>
  <si>
    <t>ISS-505</t>
  </si>
  <si>
    <t>ISS-506</t>
  </si>
  <si>
    <t>ISS-507</t>
  </si>
  <si>
    <t>ISS-508</t>
  </si>
  <si>
    <t>ISS-509</t>
  </si>
  <si>
    <t>ISS-510</t>
  </si>
  <si>
    <t>ISS-511</t>
  </si>
  <si>
    <t>ISS-512</t>
  </si>
  <si>
    <t>ISS-513</t>
  </si>
  <si>
    <t>ISS-514</t>
  </si>
  <si>
    <t>ISS-515</t>
  </si>
  <si>
    <t>ISS-516</t>
  </si>
  <si>
    <t>ISS-517</t>
  </si>
  <si>
    <t>ISS-518</t>
  </si>
  <si>
    <t>ISS-519</t>
  </si>
  <si>
    <t>ISS-520</t>
  </si>
  <si>
    <t>ISS-521</t>
  </si>
  <si>
    <t>ISS-522</t>
  </si>
  <si>
    <t>ISS-523</t>
  </si>
  <si>
    <t>ISS-524</t>
  </si>
  <si>
    <t>ISS-525</t>
  </si>
  <si>
    <t>ISS-526</t>
  </si>
  <si>
    <t>ISS-527</t>
  </si>
  <si>
    <t>ISS-528</t>
  </si>
  <si>
    <t>ISS-529</t>
  </si>
  <si>
    <t>ISS-530</t>
  </si>
  <si>
    <t>ISS-531</t>
  </si>
  <si>
    <t>ISS-532</t>
  </si>
  <si>
    <t>ISS-533</t>
  </si>
  <si>
    <t>ISS-534</t>
  </si>
  <si>
    <t>ISS-535</t>
  </si>
  <si>
    <t>ISS-536</t>
  </si>
  <si>
    <t>ISS-537</t>
  </si>
  <si>
    <t>ISS-538</t>
  </si>
  <si>
    <t>ISS-539</t>
  </si>
  <si>
    <t>ISS-540</t>
  </si>
  <si>
    <t>ISS-541</t>
  </si>
  <si>
    <t>ISS-542</t>
  </si>
  <si>
    <t>ISS-543</t>
  </si>
  <si>
    <t>ISS-544</t>
  </si>
  <si>
    <t>ISS-545</t>
  </si>
  <si>
    <t>ISS-546</t>
  </si>
  <si>
    <t>ISS-547</t>
  </si>
  <si>
    <t>ISS-548</t>
  </si>
  <si>
    <t>ISS-549</t>
  </si>
  <si>
    <t>ISS-550</t>
  </si>
  <si>
    <t>ISS-551</t>
  </si>
  <si>
    <t>ISS-552</t>
  </si>
  <si>
    <t>ISS-553</t>
  </si>
  <si>
    <t>ISS-554</t>
  </si>
  <si>
    <t>ISS-555</t>
  </si>
  <si>
    <t>ISS-556</t>
  </si>
  <si>
    <t>ISS-557</t>
  </si>
  <si>
    <t>ISS-558</t>
  </si>
  <si>
    <t>ISS-559</t>
  </si>
  <si>
    <t>ISS-560</t>
  </si>
  <si>
    <t>ISS-561</t>
  </si>
  <si>
    <t>ISS-562</t>
  </si>
  <si>
    <t>Primary source; FY2024-25; Consolidated; selected PAT includes discontinued operations; revenue and finance cost follow the continuing-operations lines identified in the source.</t>
  </si>
  <si>
    <t>ISS-563</t>
  </si>
  <si>
    <t>ISS-564</t>
  </si>
  <si>
    <t>ISS-565</t>
  </si>
  <si>
    <t>ISS-566</t>
  </si>
  <si>
    <t>ISS-567</t>
  </si>
  <si>
    <t>ISS-568</t>
  </si>
  <si>
    <t>ISS-569</t>
  </si>
  <si>
    <t>ISS-570</t>
  </si>
  <si>
    <t>ISS-571</t>
  </si>
  <si>
    <t>ISS-572</t>
  </si>
  <si>
    <t>ISS-573</t>
  </si>
  <si>
    <t>ISS-574</t>
  </si>
  <si>
    <t>ISS-575</t>
  </si>
  <si>
    <t>ISS-576</t>
  </si>
  <si>
    <t>ISS-577</t>
  </si>
  <si>
    <t>ISS-578</t>
  </si>
  <si>
    <t>ISS-579</t>
  </si>
  <si>
    <t>ISS-580</t>
  </si>
  <si>
    <t>ISS-581</t>
  </si>
  <si>
    <t>ISS-582</t>
  </si>
  <si>
    <t>ISS-583</t>
  </si>
  <si>
    <t>ISS-584</t>
  </si>
  <si>
    <t>ISS-585</t>
  </si>
  <si>
    <t>ISS-586</t>
  </si>
  <si>
    <t>ISS-587</t>
  </si>
  <si>
    <t>ISS-588</t>
  </si>
  <si>
    <t>ISS-589</t>
  </si>
  <si>
    <t>ISS-590</t>
  </si>
  <si>
    <t>ISS-591</t>
  </si>
  <si>
    <t>ISS-592</t>
  </si>
  <si>
    <t>ISS-593</t>
  </si>
  <si>
    <t>ISS-594</t>
  </si>
  <si>
    <t>ISS-595</t>
  </si>
  <si>
    <t>ISS-596</t>
  </si>
  <si>
    <t>ISS-597</t>
  </si>
  <si>
    <t>ISS-598</t>
  </si>
  <si>
    <t>ISS-599</t>
  </si>
  <si>
    <t>ISS-600</t>
  </si>
  <si>
    <t>ISS-601</t>
  </si>
  <si>
    <t>ISS-602</t>
  </si>
  <si>
    <t>ISS-603</t>
  </si>
  <si>
    <t>ISS-604</t>
  </si>
  <si>
    <t>ISS-605</t>
  </si>
  <si>
    <t>ISS-606</t>
  </si>
  <si>
    <t>ISS-607</t>
  </si>
  <si>
    <t>ISS-608</t>
  </si>
  <si>
    <t>ISS-609</t>
  </si>
  <si>
    <t>ISS-610</t>
  </si>
  <si>
    <t>ISS-611</t>
  </si>
  <si>
    <t>Primary source; FY2024-25; Standalone (report explicitly has no subsidiaries, associates or joint ventures)</t>
  </si>
  <si>
    <t>ISS-612</t>
  </si>
  <si>
    <t>ISS-613</t>
  </si>
  <si>
    <t>ISS-614</t>
  </si>
  <si>
    <t>ISS-615</t>
  </si>
  <si>
    <t>ISS-616</t>
  </si>
  <si>
    <t>ISS-617</t>
  </si>
  <si>
    <t>ISS-618</t>
  </si>
  <si>
    <t>ISS-619</t>
  </si>
  <si>
    <t>ISS-620</t>
  </si>
  <si>
    <t>ISS-621</t>
  </si>
  <si>
    <t>ISS-622</t>
  </si>
  <si>
    <t>ISS-623</t>
  </si>
  <si>
    <t>ISS-624</t>
  </si>
  <si>
    <t>ISS-625</t>
  </si>
  <si>
    <t>ISS-626</t>
  </si>
  <si>
    <t>ISS-627</t>
  </si>
  <si>
    <t>ISS-628</t>
  </si>
  <si>
    <t>ISS-629</t>
  </si>
  <si>
    <t>ISS-630</t>
  </si>
  <si>
    <t>ISS-631</t>
  </si>
  <si>
    <t>ISS-632</t>
  </si>
  <si>
    <t>Primary source; FY2025-26; Consolidated (group total PAT including NCI)</t>
  </si>
  <si>
    <t>ISS-633</t>
  </si>
  <si>
    <t>ISS-634</t>
  </si>
  <si>
    <t>ISS-635</t>
  </si>
  <si>
    <t>ISS-636</t>
  </si>
  <si>
    <t>ISS-637</t>
  </si>
  <si>
    <t>ISS-638</t>
  </si>
  <si>
    <t>ISS-639</t>
  </si>
  <si>
    <t>ISS-640</t>
  </si>
  <si>
    <t>ISS-641</t>
  </si>
  <si>
    <t>ISS-642</t>
  </si>
  <si>
    <t>ISS-643</t>
  </si>
  <si>
    <t>ISS-644</t>
  </si>
  <si>
    <t>ISS-645</t>
  </si>
  <si>
    <t>ISS-646</t>
  </si>
  <si>
    <t>ISS-647</t>
  </si>
  <si>
    <t>ISS-648</t>
  </si>
  <si>
    <t>ISS-649</t>
  </si>
  <si>
    <t>ISS-650</t>
  </si>
  <si>
    <t>ISS-651</t>
  </si>
  <si>
    <t>ISS-652</t>
  </si>
  <si>
    <t>ISS-653</t>
  </si>
  <si>
    <t>Primary source; FY2025-26; Standalone</t>
  </si>
  <si>
    <t>ISS-654</t>
  </si>
  <si>
    <t>ISS-655</t>
  </si>
  <si>
    <t>ISS-656</t>
  </si>
  <si>
    <t>ISS-657</t>
  </si>
  <si>
    <t>ISS-658</t>
  </si>
  <si>
    <t>ISS-659</t>
  </si>
  <si>
    <t>ISS-660</t>
  </si>
  <si>
    <t>ISS-661</t>
  </si>
  <si>
    <t>ISS-662</t>
  </si>
  <si>
    <t>ISS-663</t>
  </si>
  <si>
    <t>ISS-664</t>
  </si>
  <si>
    <t>ISS-665</t>
  </si>
  <si>
    <t>ISS-666</t>
  </si>
  <si>
    <t>ISS-667</t>
  </si>
  <si>
    <t>ISS-668</t>
  </si>
  <si>
    <t>ISS-669</t>
  </si>
  <si>
    <t>ISS-670</t>
  </si>
  <si>
    <t>ISS-671</t>
  </si>
  <si>
    <t>ISS-672</t>
  </si>
  <si>
    <t>ISS-673</t>
  </si>
  <si>
    <t>ISS-674</t>
  </si>
  <si>
    <t>ISS-675</t>
  </si>
  <si>
    <t>ISS-676</t>
  </si>
  <si>
    <t>ISS-677</t>
  </si>
  <si>
    <t>ISS-678</t>
  </si>
  <si>
    <t>ISS-679</t>
  </si>
  <si>
    <t>ISS-680</t>
  </si>
  <si>
    <t>ISS-681</t>
  </si>
  <si>
    <t>Old export ratio retained only in audit archive: not verified on the new primary financial basis.</t>
  </si>
  <si>
    <t>ISS-682</t>
  </si>
  <si>
    <t>ISS-683</t>
  </si>
  <si>
    <t>ISS-684</t>
  </si>
  <si>
    <t>ISS-685</t>
  </si>
  <si>
    <t>ISS-686</t>
  </si>
  <si>
    <t>ISS-687</t>
  </si>
  <si>
    <t>ISS-688</t>
  </si>
  <si>
    <t>ISS-689</t>
  </si>
  <si>
    <t>ISS-690</t>
  </si>
  <si>
    <t>ISS-691</t>
  </si>
  <si>
    <t>ISS-692</t>
  </si>
  <si>
    <t>ISS-693</t>
  </si>
  <si>
    <t>ISS-694</t>
  </si>
  <si>
    <t>ISS-695</t>
  </si>
  <si>
    <t>ISS-696</t>
  </si>
  <si>
    <t>ISS-697</t>
  </si>
  <si>
    <t>ISS-698</t>
  </si>
  <si>
    <t>ISS-699</t>
  </si>
  <si>
    <t>ISS-700</t>
  </si>
  <si>
    <t>ISS-701</t>
  </si>
  <si>
    <t>ISS-702</t>
  </si>
  <si>
    <t>ISS-703</t>
  </si>
  <si>
    <t>ISS-704</t>
  </si>
  <si>
    <t>ISS-705</t>
  </si>
  <si>
    <t>Primary-source limitation</t>
  </si>
  <si>
    <t>Only cash expenditure on tangible/intangible assets and CWIP NET OF SALE PROCEEDS ₹427.55 crore is disclosed in the cash-flow caption. Gross purchase capex cannot be separated; do not fill generic gross capex with a net amount.</t>
  </si>
  <si>
    <t>Unverified inputs remain blank or retain their stated original-source status.</t>
  </si>
  <si>
    <t>ISS-706</t>
  </si>
  <si>
    <t>Source access</t>
  </si>
  <si>
    <t>Unlisted cooperative; no official company annual-report PDF retrieved in the predownloaded NSE-only scope. This is a retrieval gap, not evidence that financial information does not exist. No primary financial values invented.</t>
  </si>
  <si>
    <t>ISS-707</t>
  </si>
  <si>
    <t>FY2024-25 PDF and retry are truncated at2,686,976bytes despite PDFlinearizedexpected13,152,585bytes. Replaced affected artifact with complete20,352,537-byte officialNSE FY2025-26PDF; FY2025comparatives available.</t>
  </si>
  <si>
    <t>https://nsearchives.nseindia.com/annual_reports/AR_26535_SRF_2024_2025_A_10062025113055.pdf</t>
  </si>
  <si>
    <t>ISS-708</t>
  </si>
  <si>
    <t>NSE annual-report response contains only a2014-15 filing. No FY2024-25 report in the downloaded source set; no current-year values extracted. This is not evidence that the filing does not exist elsewhere.</t>
  </si>
  <si>
    <t>ISS-709</t>
  </si>
  <si>
    <t>No standalone BALCO primary annual report in this downloaded collection. Vedanta consolidated financials cannot be substituted for BALCO.</t>
  </si>
  <si>
    <t>ISS-710</t>
  </si>
  <si>
    <t>No primary annual report for PG Foils in this downloaded collection. Existing uploaded-sector-report data remain secondary.</t>
  </si>
  <si>
    <t>ISS-711</t>
  </si>
  <si>
    <t>No primary annual report for Alufluoride in this downloaded collection. Existing uploaded-sector-report data remain secondary.</t>
  </si>
  <si>
    <t>ISS-712</t>
  </si>
  <si>
    <t>No Indian-company financial statements downloaded. Global Cargill impact-report scope does not identify an interchangeable Indian subsidiary or provide a coherent Rs-crore Indian-company financial bundle.</t>
  </si>
  <si>
    <t>ISS-713</t>
  </si>
  <si>
    <t>No Indian-company financial statements downloaded. Global Corteva impact-report scope is not an interchangeable Indian subsidiary; global USD financials were not converted into an Indian-company bundle.</t>
  </si>
  <si>
    <t>ISS-714</t>
  </si>
  <si>
    <t>HTTP403Forbidden. NSE BAYERCROP annual response has only2014-15 filing; independent official NSE corporate-announcements request with symbolBAYERCROP and dates01April–30September2025 returned HTTP200 and empty array. NoFY25 filing established. No correct source was guessed.</t>
  </si>
  <si>
    <t>https://api.bseindia.com/BseIndiaAPI/api/AnnualReport/w?scripcode=506285</t>
  </si>
  <si>
    <t>ISS-715</t>
  </si>
  <si>
    <t>HTTP403Forbidden from BSEAnnualReportAPI. Candidate scripcode supplied for investigation could not be independently verified from the blocked response; no filing downloaded and no numeric values guessed.</t>
  </si>
  <si>
    <t>https://api.bseindia.com/BseIndiaAPI/api/AnnualReport/w?scripcode=526747</t>
  </si>
  <si>
    <t>ISS-716</t>
  </si>
  <si>
    <t>HTTP403Forbidden from BSEAnnualReportAPI. No primary filing body returned; no data guessed or verification bypassed.</t>
  </si>
  <si>
    <t>https://api.bseindia.com/BseIndiaAPI/api/AnnualReport/w?scripcode=524634</t>
  </si>
  <si>
    <t>issue_id</t>
  </si>
  <si>
    <t>issue_type</t>
  </si>
  <si>
    <t>field</t>
  </si>
  <si>
    <t>source_value</t>
  </si>
  <si>
    <t>alternative_or_action</t>
  </si>
  <si>
    <t>source_reference</t>
  </si>
  <si>
    <t>impact</t>
  </si>
</sst>
</file>

<file path=xl/styles.xml><?xml version="1.0" encoding="utf-8"?>
<styleSheet xmlns="http://schemas.openxmlformats.org/spreadsheetml/2006/main">
  <numFmts count="4">
    <numFmt numFmtId="164" formatCode="0.0"/>
    <numFmt numFmtId="165" formatCode="#,##0.00;[Red](#,##0.00)"/>
    <numFmt numFmtId="166" formatCode="0.00%;[Red](0.00%)"/>
    <numFmt numFmtId="167" formatCode="yyyy-mm-dd"/>
  </numFmts>
  <fonts count="12">
    <font>
      <sz val="11"/>
      <color theme="1"/>
      <name val="Calibri"/>
      <family val="2"/>
      <scheme val="minor"/>
    </font>
    <font>
      <b/>
      <sz val="22"/>
      <color rgb="FF17365D"/>
      <name val="Aptos"/>
      <family val="2"/>
    </font>
    <font>
      <sz val="10"/>
      <color rgb="FF526579"/>
      <name val="Aptos"/>
      <family val="2"/>
    </font>
    <font>
      <b/>
      <sz val="25"/>
      <color rgb="FF17365D"/>
      <name val="Aptos"/>
      <family val="2"/>
    </font>
    <font>
      <b/>
      <sz val="10"/>
      <color rgb="FF167C80"/>
      <name val="Aptos"/>
      <family val="2"/>
    </font>
    <font>
      <sz val="10"/>
      <color rgb="FF243746"/>
      <name val="Aptos"/>
      <family val="2"/>
    </font>
    <font>
      <u/>
      <sz val="10"/>
      <color rgb="FF0563C1"/>
      <name val="Aptos"/>
      <family val="2"/>
    </font>
    <font>
      <b/>
      <sz val="10"/>
      <color rgb="FFFFFFFF"/>
      <name val="Aptos"/>
      <family val="2"/>
    </font>
    <font>
      <sz val="10"/>
      <color rgb="FF165A9F"/>
      <name val="Aptos"/>
      <family val="2"/>
    </font>
    <font>
      <sz val="10"/>
      <color theme="1"/>
      <name val="Aptos"/>
      <family val="2"/>
    </font>
    <font>
      <sz val="10"/>
      <color rgb="FF202020"/>
      <name val="Aptos"/>
      <family val="2"/>
    </font>
    <font>
      <sz val="8"/>
      <color indexed="81"/>
      <name val="Tahoma"/>
      <family val="2"/>
    </font>
  </fonts>
  <fills count="7">
    <fill>
      <patternFill patternType="none"/>
    </fill>
    <fill>
      <patternFill patternType="gray125"/>
    </fill>
    <fill>
      <patternFill patternType="solid">
        <fgColor rgb="FF17365D"/>
        <bgColor indexed="64"/>
      </patternFill>
    </fill>
    <fill>
      <patternFill patternType="solid">
        <fgColor rgb="FF167C80"/>
        <bgColor indexed="64"/>
      </patternFill>
    </fill>
    <fill>
      <patternFill patternType="solid">
        <fgColor rgb="FF756346"/>
        <bgColor indexed="64"/>
      </patternFill>
    </fill>
    <fill>
      <patternFill patternType="solid">
        <fgColor rgb="FF61758A"/>
        <bgColor indexed="64"/>
      </patternFill>
    </fill>
    <fill>
      <patternFill patternType="solid">
        <fgColor rgb="FFFFF8E7"/>
        <bgColor indexed="64"/>
      </patternFill>
    </fill>
  </fills>
  <borders count="2">
    <border>
      <left/>
      <right/>
      <top/>
      <bottom/>
      <diagonal/>
    </border>
    <border>
      <left/>
      <right/>
      <top/>
      <bottom style="medium">
        <color rgb="FF17365D"/>
      </bottom>
      <diagonal/>
    </border>
  </borders>
  <cellStyleXfs count="1">
    <xf numFmtId="0" fontId="0" fillId="0" borderId="0"/>
  </cellStyleXfs>
  <cellXfs count="22">
    <xf numFmtId="0" fontId="0" fillId="0" borderId="0" xfId="0"/>
    <xf numFmtId="0" fontId="1" fillId="0" borderId="0" xfId="0" applyFont="1"/>
    <xf numFmtId="0" fontId="2" fillId="0" borderId="0" xfId="0" applyFont="1" applyAlignment="1">
      <alignment vertical="center" wrapText="1"/>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vertical="top" wrapText="1"/>
    </xf>
    <xf numFmtId="0" fontId="6" fillId="0" borderId="0" xfId="0" applyFont="1"/>
    <xf numFmtId="0" fontId="7" fillId="2" borderId="0" xfId="0" applyFont="1" applyFill="1" applyAlignment="1">
      <alignment horizontal="center"/>
    </xf>
    <xf numFmtId="0" fontId="7" fillId="3" borderId="0" xfId="0" applyFont="1" applyFill="1" applyAlignment="1">
      <alignment horizontal="center"/>
    </xf>
    <xf numFmtId="0" fontId="7" fillId="4" borderId="0" xfId="0" applyFont="1" applyFill="1" applyAlignment="1">
      <alignment horizontal="center"/>
    </xf>
    <xf numFmtId="0" fontId="7" fillId="5" borderId="0" xfId="0" applyFont="1" applyFill="1" applyAlignment="1">
      <alignment horizontal="center"/>
    </xf>
    <xf numFmtId="0" fontId="7" fillId="3" borderId="1" xfId="0" applyFont="1" applyFill="1" applyBorder="1" applyAlignment="1">
      <alignment vertical="center" wrapText="1"/>
    </xf>
    <xf numFmtId="0" fontId="8" fillId="0" borderId="0" xfId="0" applyFont="1" applyAlignment="1">
      <alignment vertical="top" wrapText="1"/>
    </xf>
    <xf numFmtId="0" fontId="9" fillId="6" borderId="0" xfId="0" applyFont="1" applyFill="1"/>
    <xf numFmtId="1" fontId="8" fillId="0" borderId="0" xfId="0" applyNumberFormat="1" applyFont="1" applyAlignment="1">
      <alignment vertical="top"/>
    </xf>
    <xf numFmtId="0" fontId="8" fillId="0" borderId="0" xfId="0" applyFont="1" applyAlignment="1">
      <alignment vertical="top"/>
    </xf>
    <xf numFmtId="164" fontId="10" fillId="0" borderId="0" xfId="0" applyNumberFormat="1" applyFont="1" applyAlignment="1">
      <alignment vertical="top"/>
    </xf>
    <xf numFmtId="165" fontId="8" fillId="0" borderId="0" xfId="0" applyNumberFormat="1" applyFont="1" applyAlignment="1">
      <alignment vertical="top"/>
    </xf>
    <xf numFmtId="166" fontId="10" fillId="0" borderId="0" xfId="0" applyNumberFormat="1" applyFont="1" applyAlignment="1">
      <alignment vertical="top"/>
    </xf>
    <xf numFmtId="167" fontId="8" fillId="0" borderId="0" xfId="0" applyNumberFormat="1" applyFont="1"/>
    <xf numFmtId="166" fontId="8" fillId="0" borderId="0" xfId="0" applyNumberFormat="1" applyFont="1" applyAlignment="1">
      <alignment vertical="top"/>
    </xf>
    <xf numFmtId="0" fontId="7" fillId="2" borderId="0" xfId="0" applyFont="1" applyFill="1" applyAlignment="1">
      <alignment horizontal="center" vertical="center"/>
    </xf>
  </cellXfs>
  <cellStyles count="1">
    <cellStyle name="Normal" xfId="0" builtinId="0"/>
  </cellStyles>
  <dxfs count="2">
    <dxf>
      <font>
        <color rgb="FFA3312D"/>
      </font>
      <fill>
        <patternFill>
          <bgColor rgb="FFFBE9E7"/>
        </patternFill>
      </fill>
    </dxf>
    <dxf>
      <font>
        <color rgb="FF8A5600"/>
      </font>
      <fill>
        <patternFill>
          <bgColor rgb="FFFFF0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ables/table1.xml><?xml version="1.0" encoding="utf-8"?>
<table xmlns="http://schemas.openxmlformats.org/spreadsheetml/2006/main" id="1" name="MasterFirmPanel" displayName="MasterFirmPanel" ref="A6:AZ88" totalsRowShown="0">
  <autoFilter ref="A6:AZ88"/>
  <tableColumns count="52">
    <tableColumn id="1" name="firm_name"/>
    <tableColumn id="2" name="sector"/>
    <tableColumn id="3" name="CCTS_obligated"/>
    <tableColumn id="4" name="listed"/>
    <tableColumn id="5" name="exchange"/>
    <tableColumn id="6" name="ownership"/>
    <tableColumn id="7" name="BRSR_filer"/>
    <tableColumn id="8" name="I1"/>
    <tableColumn id="9" name="I2"/>
    <tableColumn id="10" name="I3"/>
    <tableColumn id="11" name="I4"/>
    <tableColumn id="12" name="I5"/>
    <tableColumn id="13" name="I6"/>
    <tableColumn id="14" name="I7"/>
    <tableColumn id="15" name="I8"/>
    <tableColumn id="16" name="I9"/>
    <tableColumn id="17" name="I10"/>
    <tableColumn id="18" name="DQS_total"/>
    <tableColumn id="19" name="DQS_100"/>
    <tableColumn id="20" name="sub_quantification"/>
    <tableColumn id="21" name="sub_strategy"/>
    <tableColumn id="22" name="sub_credibility"/>
    <tableColumn id="23" name="reporting_FY"/>
    <tableColumn id="24" name="coder_id"/>
    <tableColumn id="25" name="second_coder_score"/>
    <tableColumn id="26" name="agreed_score"/>
    <tableColumn id="27" name="CBAM_covered_product"/>
    <tableColumn id="28" name="export_intensity"/>
    <tableColumn id="29" name="EU_export"/>
    <tableColumn id="30" name="PAT_legacy_entity"/>
    <tableColumn id="31" name="revenue"/>
    <tableColumn id="32" name="total_assets"/>
    <tableColumn id="33" name="PAT"/>
    <tableColumn id="34" name="ROA"/>
    <tableColumn id="35" name="total_debt"/>
    <tableColumn id="36" name="finance_cost"/>
    <tableColumn id="37" name="cost_of_debt_proxy"/>
    <tableColumn id="38" name="capex"/>
    <tableColumn id="39" name="size_band"/>
    <tableColumn id="40" name="source_document"/>
    <tableColumn id="41" name="reporting_year"/>
    <tableColumn id="42" name="page_or_section"/>
    <tableColumn id="43" name="URL"/>
    <tableColumn id="44" name="date_accessed"/>
    <tableColumn id="45" name="firm_id"/>
    <tableColumn id="46" name="observation_id"/>
    <tableColumn id="47" name="reported_DQS_total"/>
    <tableColumn id="48" name="DQS_basis"/>
    <tableColumn id="49" name="financial_year_match"/>
    <tableColumn id="50" name="analysis_include"/>
    <tableColumn id="51" name="record_status"/>
    <tableColumn id="52" name="financial_basis"/>
  </tableColumns>
  <tableStyleInfo name="TableStyleMedium2" showFirstColumn="0" showLastColumn="0" showRowStripes="1" showColumnStripes="0"/>
</table>
</file>

<file path=xl/tables/table2.xml><?xml version="1.0" encoding="utf-8"?>
<table xmlns="http://schemas.openxmlformats.org/spreadsheetml/2006/main" id="2" name="ObservedFinancialPanel" displayName="ObservedFinancialPanel" ref="A6:W108" totalsRowShown="0">
  <autoFilter ref="A6:W108"/>
  <tableColumns count="23">
    <tableColumn id="1" name="firm_id"/>
    <tableColumn id="2" name="firm_name"/>
    <tableColumn id="3" name="sector"/>
    <tableColumn id="4" name="financial_FY"/>
    <tableColumn id="5" name="revenue"/>
    <tableColumn id="6" name="total_assets"/>
    <tableColumn id="7" name="PAT"/>
    <tableColumn id="8" name="ROA"/>
    <tableColumn id="9" name="total_debt"/>
    <tableColumn id="10" name="prior_year_debt"/>
    <tableColumn id="11" name="finance_cost"/>
    <tableColumn id="12" name="cost_of_debt_proxy"/>
    <tableColumn id="13" name="total_capex"/>
    <tableColumn id="14" name="export_intensity"/>
    <tableColumn id="15" name="market_to_book"/>
    <tableColumn id="16" name="green_capex_intensity"/>
    <tableColumn id="17" name="credit_rating"/>
    <tableColumn id="18" name="contractual_borrowing_rate"/>
    <tableColumn id="19" name="accounting_basis"/>
    <tableColumn id="20" name="proxy_caution"/>
    <tableColumn id="21" name="source"/>
    <tableColumn id="22" name="source_locator"/>
    <tableColumn id="23" name="record_status"/>
  </tableColumns>
  <tableStyleInfo name="TableStyleMedium2" showFirstColumn="0" showLastColumn="0" showRowStripes="1" showColumnStripes="0"/>
</table>
</file>

<file path=xl/tables/table3.xml><?xml version="1.0" encoding="utf-8"?>
<table xmlns="http://schemas.openxmlformats.org/spreadsheetml/2006/main" id="3" name="SourceEvidence" displayName="SourceEvidence" ref="A6:K1771" totalsRowShown="0">
  <autoFilter ref="A6:K1771"/>
  <tableColumns count="11">
    <tableColumn id="1" name="firm_id"/>
    <tableColumn id="2" name="firm_name"/>
    <tableColumn id="3" name="sector"/>
    <tableColumn id="4" name="field_or_indicator"/>
    <tableColumn id="5" name="value"/>
    <tableColumn id="6" name="reporting_period"/>
    <tableColumn id="7" name="source_document"/>
    <tableColumn id="8" name="page_or_section"/>
    <tableColumn id="9" name="URL"/>
    <tableColumn id="10" name="evidence_or_note"/>
    <tableColumn id="11" name="basis_or_caution"/>
  </tableColumns>
  <tableStyleInfo name="TableStyleMedium2" showFirstColumn="0" showLastColumn="0" showRowStripes="1" showColumnStripes="0"/>
</table>
</file>

<file path=xl/tables/table4.xml><?xml version="1.0" encoding="utf-8"?>
<table xmlns="http://schemas.openxmlformats.org/spreadsheetml/2006/main" id="4" name="PanelCodebook" displayName="PanelCodebook" ref="A6:D64" totalsRowShown="0">
  <autoFilter ref="A6:D64"/>
  <tableColumns count="4">
    <tableColumn id="1" name="field_or_rule"/>
    <tableColumn id="2" name="unit"/>
    <tableColumn id="3" name="definition"/>
    <tableColumn id="4" name="missing_value_rule"/>
  </tableColumns>
  <tableStyleInfo name="TableStyleMedium2" showFirstColumn="0" showLastColumn="0" showRowStripes="1" showColumnStripes="0"/>
</table>
</file>

<file path=xl/tables/table5.xml><?xml version="1.0" encoding="utf-8"?>
<table xmlns="http://schemas.openxmlformats.org/spreadsheetml/2006/main" id="5" name="PanelReviewIssues" displayName="PanelReviewIssues" ref="A6:J722" totalsRowShown="0">
  <autoFilter ref="A6:J722"/>
  <tableColumns count="10">
    <tableColumn id="1" name="issue_id"/>
    <tableColumn id="2" name="firm_id"/>
    <tableColumn id="3" name="firm_name"/>
    <tableColumn id="4" name="sector"/>
    <tableColumn id="5" name="issue_type"/>
    <tableColumn id="6" name="field"/>
    <tableColumn id="7" name="source_value"/>
    <tableColumn id="8" name="alternative_or_action"/>
    <tableColumn id="9" name="source_reference"/>
    <tableColumn id="10" name="impa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table" Target="../tables/table1.xml"/><Relationship Id="rId3"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sheetPr>
    <tabColor rgb="FF17365D"/>
  </sheetPr>
  <dimension ref="B2:M33"/>
  <sheetViews>
    <sheetView showGridLines="0" workbookViewId="0"/>
  </sheetViews>
  <sheetFormatPr defaultRowHeight="15"/>
  <cols>
    <col min="1" max="1" width="3.7109375" customWidth="1"/>
    <col min="2" max="13" width="11.7109375" customWidth="1"/>
  </cols>
  <sheetData>
    <row r="2" spans="2:13">
      <c r="B2" s="1" t="s">
        <v>0</v>
      </c>
      <c r="C2" s="1"/>
      <c r="D2" s="1"/>
      <c r="E2" s="1"/>
      <c r="F2" s="1"/>
      <c r="G2" s="1"/>
      <c r="H2" s="1"/>
      <c r="I2" s="1"/>
      <c r="J2" s="1"/>
      <c r="K2" s="1"/>
      <c r="L2" s="1"/>
      <c r="M2" s="1"/>
    </row>
    <row r="3" spans="2:13">
      <c r="B3" s="1"/>
      <c r="C3" s="1"/>
      <c r="D3" s="1"/>
      <c r="E3" s="1"/>
      <c r="F3" s="1"/>
      <c r="G3" s="1"/>
      <c r="H3" s="1"/>
      <c r="I3" s="1"/>
      <c r="J3" s="1"/>
      <c r="K3" s="1"/>
      <c r="L3" s="1"/>
      <c r="M3" s="1"/>
    </row>
    <row r="4" spans="2:13">
      <c r="B4" s="2" t="s">
        <v>1</v>
      </c>
      <c r="C4" s="2"/>
      <c r="D4" s="2"/>
      <c r="E4" s="2"/>
      <c r="F4" s="2"/>
      <c r="G4" s="2"/>
      <c r="H4" s="2"/>
      <c r="I4" s="2"/>
      <c r="J4" s="2"/>
      <c r="K4" s="2"/>
      <c r="L4" s="2"/>
      <c r="M4" s="2"/>
    </row>
    <row r="6" spans="2:13">
      <c r="B6" s="3">
        <v>82</v>
      </c>
      <c r="C6" s="3"/>
      <c r="D6" s="3"/>
      <c r="E6" s="3">
        <v>81</v>
      </c>
      <c r="F6" s="3"/>
      <c r="G6" s="3"/>
      <c r="H6" s="3">
        <v>8</v>
      </c>
      <c r="I6" s="3"/>
      <c r="J6" s="3"/>
      <c r="K6" s="3">
        <v>9</v>
      </c>
      <c r="L6" s="3"/>
      <c r="M6" s="3"/>
    </row>
    <row r="7" spans="2:13">
      <c r="B7" s="3"/>
      <c r="C7" s="3"/>
      <c r="D7" s="3"/>
      <c r="E7" s="3"/>
      <c r="F7" s="3"/>
      <c r="G7" s="3"/>
      <c r="H7" s="3"/>
      <c r="I7" s="3"/>
      <c r="J7" s="3"/>
      <c r="K7" s="3"/>
      <c r="L7" s="3"/>
      <c r="M7" s="3"/>
    </row>
    <row r="8" spans="2:13">
      <c r="B8" s="4" t="s">
        <v>2</v>
      </c>
      <c r="C8" s="4"/>
      <c r="D8" s="4"/>
      <c r="E8" s="4" t="s">
        <v>3</v>
      </c>
      <c r="F8" s="4"/>
      <c r="G8" s="4"/>
      <c r="H8" s="4" t="s">
        <v>4</v>
      </c>
      <c r="I8" s="4"/>
      <c r="J8" s="4"/>
      <c r="K8" s="4" t="s">
        <v>5</v>
      </c>
      <c r="L8" s="4"/>
      <c r="M8" s="4"/>
    </row>
    <row r="10" spans="2:13">
      <c r="B10" s="5" t="s">
        <v>6</v>
      </c>
      <c r="C10" s="5"/>
      <c r="D10" s="5"/>
      <c r="E10" s="5"/>
      <c r="F10" s="5"/>
      <c r="G10" s="5"/>
      <c r="H10" s="5"/>
      <c r="I10" s="5"/>
      <c r="J10" s="5"/>
      <c r="K10" s="5"/>
      <c r="L10" s="5"/>
      <c r="M10" s="5"/>
    </row>
    <row r="11" spans="2:13">
      <c r="B11" s="5"/>
      <c r="C11" s="5"/>
      <c r="D11" s="5"/>
      <c r="E11" s="5"/>
      <c r="F11" s="5"/>
      <c r="G11" s="5"/>
      <c r="H11" s="5"/>
      <c r="I11" s="5"/>
      <c r="J11" s="5"/>
      <c r="K11" s="5"/>
      <c r="L11" s="5"/>
      <c r="M11" s="5"/>
    </row>
    <row r="14" spans="2:13" ht="33" customHeight="1">
      <c r="B14" s="6" t="s">
        <v>7</v>
      </c>
      <c r="D14" s="5" t="s">
        <v>8</v>
      </c>
      <c r="E14" s="5"/>
      <c r="F14" s="5"/>
      <c r="G14" s="5"/>
      <c r="H14" s="5"/>
      <c r="I14" s="5"/>
      <c r="J14" s="5"/>
      <c r="K14" s="5"/>
      <c r="L14" s="5"/>
      <c r="M14" s="5"/>
    </row>
    <row r="15" spans="2:13" ht="33" customHeight="1">
      <c r="B15" s="6" t="s">
        <v>9</v>
      </c>
      <c r="D15" s="5" t="s">
        <v>10</v>
      </c>
      <c r="E15" s="5"/>
      <c r="F15" s="5"/>
      <c r="G15" s="5"/>
      <c r="H15" s="5"/>
      <c r="I15" s="5"/>
      <c r="J15" s="5"/>
      <c r="K15" s="5"/>
      <c r="L15" s="5"/>
      <c r="M15" s="5"/>
    </row>
    <row r="16" spans="2:13" ht="33" customHeight="1">
      <c r="B16" s="6" t="s">
        <v>11</v>
      </c>
      <c r="D16" s="5" t="s">
        <v>12</v>
      </c>
      <c r="E16" s="5"/>
      <c r="F16" s="5"/>
      <c r="G16" s="5"/>
      <c r="H16" s="5"/>
      <c r="I16" s="5"/>
      <c r="J16" s="5"/>
      <c r="K16" s="5"/>
      <c r="L16" s="5"/>
      <c r="M16" s="5"/>
    </row>
    <row r="17" spans="2:13" ht="33" customHeight="1">
      <c r="B17" s="6" t="s">
        <v>13</v>
      </c>
      <c r="D17" s="5" t="s">
        <v>14</v>
      </c>
      <c r="E17" s="5"/>
      <c r="F17" s="5"/>
      <c r="G17" s="5"/>
      <c r="H17" s="5"/>
      <c r="I17" s="5"/>
      <c r="J17" s="5"/>
      <c r="K17" s="5"/>
      <c r="L17" s="5"/>
      <c r="M17" s="5"/>
    </row>
    <row r="18" spans="2:13" ht="33" customHeight="1">
      <c r="B18" s="6" t="s">
        <v>15</v>
      </c>
      <c r="D18" s="5" t="s">
        <v>16</v>
      </c>
      <c r="E18" s="5"/>
      <c r="F18" s="5"/>
      <c r="G18" s="5"/>
      <c r="H18" s="5"/>
      <c r="I18" s="5"/>
      <c r="J18" s="5"/>
      <c r="K18" s="5"/>
      <c r="L18" s="5"/>
      <c r="M18" s="5"/>
    </row>
    <row r="20" spans="2:13">
      <c r="B20" s="5" t="s">
        <v>17</v>
      </c>
      <c r="C20" s="5"/>
      <c r="D20" s="5"/>
      <c r="E20" s="5"/>
      <c r="F20" s="5"/>
      <c r="G20" s="5"/>
      <c r="H20" s="5"/>
      <c r="I20" s="5"/>
      <c r="J20" s="5"/>
      <c r="K20" s="5"/>
      <c r="L20" s="5"/>
      <c r="M20" s="5"/>
    </row>
    <row r="21" spans="2:13">
      <c r="B21" s="5"/>
      <c r="C21" s="5"/>
      <c r="D21" s="5"/>
      <c r="E21" s="5"/>
      <c r="F21" s="5"/>
      <c r="G21" s="5"/>
      <c r="H21" s="5"/>
      <c r="I21" s="5"/>
      <c r="J21" s="5"/>
      <c r="K21" s="5"/>
      <c r="L21" s="5"/>
      <c r="M21" s="5"/>
    </row>
    <row r="22" spans="2:13">
      <c r="B22" s="5"/>
      <c r="C22" s="5"/>
      <c r="D22" s="5"/>
      <c r="E22" s="5"/>
      <c r="F22" s="5"/>
      <c r="G22" s="5"/>
      <c r="H22" s="5"/>
      <c r="I22" s="5"/>
      <c r="J22" s="5"/>
      <c r="K22" s="5"/>
      <c r="L22" s="5"/>
      <c r="M22" s="5"/>
    </row>
    <row r="24" spans="2:13">
      <c r="B24" s="5" t="s">
        <v>18</v>
      </c>
      <c r="C24" s="5"/>
      <c r="D24" s="5"/>
      <c r="E24" s="5"/>
      <c r="F24" s="5"/>
      <c r="G24" s="5"/>
      <c r="H24" s="5"/>
      <c r="I24" s="5"/>
      <c r="J24" s="5"/>
      <c r="K24" s="5"/>
      <c r="L24" s="5"/>
      <c r="M24" s="5"/>
    </row>
    <row r="25" spans="2:13">
      <c r="B25" s="5"/>
      <c r="C25" s="5"/>
      <c r="D25" s="5"/>
      <c r="E25" s="5"/>
      <c r="F25" s="5"/>
      <c r="G25" s="5"/>
      <c r="H25" s="5"/>
      <c r="I25" s="5"/>
      <c r="J25" s="5"/>
      <c r="K25" s="5"/>
      <c r="L25" s="5"/>
      <c r="M25" s="5"/>
    </row>
    <row r="26" spans="2:13">
      <c r="B26" s="5"/>
      <c r="C26" s="5"/>
      <c r="D26" s="5"/>
      <c r="E26" s="5"/>
      <c r="F26" s="5"/>
      <c r="G26" s="5"/>
      <c r="H26" s="5"/>
      <c r="I26" s="5"/>
      <c r="J26" s="5"/>
      <c r="K26" s="5"/>
      <c r="L26" s="5"/>
      <c r="M26" s="5"/>
    </row>
    <row r="28" spans="2:13">
      <c r="B28" s="5" t="s">
        <v>20</v>
      </c>
      <c r="C28" s="5"/>
      <c r="D28" s="5"/>
      <c r="E28" s="5"/>
      <c r="F28" s="5"/>
      <c r="G28" s="5"/>
      <c r="H28" s="5"/>
      <c r="I28" s="5"/>
      <c r="J28" s="5"/>
      <c r="K28" s="5"/>
      <c r="L28" s="5"/>
      <c r="M28" s="5"/>
    </row>
    <row r="29" spans="2:13">
      <c r="B29" s="5"/>
      <c r="C29" s="5"/>
      <c r="D29" s="5"/>
      <c r="E29" s="5"/>
      <c r="F29" s="5"/>
      <c r="G29" s="5"/>
      <c r="H29" s="5"/>
      <c r="I29" s="5"/>
      <c r="J29" s="5"/>
      <c r="K29" s="5"/>
      <c r="L29" s="5"/>
      <c r="M29" s="5"/>
    </row>
    <row r="31" spans="2:13">
      <c r="B31" s="5" t="s">
        <v>19</v>
      </c>
      <c r="C31" s="5"/>
      <c r="D31" s="5"/>
      <c r="E31" s="5"/>
      <c r="F31" s="5"/>
      <c r="G31" s="5"/>
      <c r="H31" s="5"/>
      <c r="I31" s="5"/>
      <c r="J31" s="5"/>
      <c r="K31" s="5"/>
      <c r="L31" s="5"/>
      <c r="M31" s="5"/>
    </row>
    <row r="32" spans="2:13">
      <c r="B32" s="5"/>
      <c r="C32" s="5"/>
      <c r="D32" s="5"/>
      <c r="E32" s="5"/>
      <c r="F32" s="5"/>
      <c r="G32" s="5"/>
      <c r="H32" s="5"/>
      <c r="I32" s="5"/>
      <c r="J32" s="5"/>
      <c r="K32" s="5"/>
      <c r="L32" s="5"/>
      <c r="M32" s="5"/>
    </row>
    <row r="33" spans="2:13">
      <c r="B33" s="5"/>
      <c r="C33" s="5"/>
      <c r="D33" s="5"/>
      <c r="E33" s="5"/>
      <c r="F33" s="5"/>
      <c r="G33" s="5"/>
      <c r="H33" s="5"/>
      <c r="I33" s="5"/>
      <c r="J33" s="5"/>
      <c r="K33" s="5"/>
      <c r="L33" s="5"/>
      <c r="M33" s="5"/>
    </row>
  </sheetData>
  <mergeCells count="20">
    <mergeCell ref="B2:M3"/>
    <mergeCell ref="B4:M4"/>
    <mergeCell ref="B6:D7"/>
    <mergeCell ref="B8:D8"/>
    <mergeCell ref="E6:G7"/>
    <mergeCell ref="E8:G8"/>
    <mergeCell ref="H6:J7"/>
    <mergeCell ref="H8:J8"/>
    <mergeCell ref="K6:M7"/>
    <mergeCell ref="K8:M8"/>
    <mergeCell ref="B10:M11"/>
    <mergeCell ref="D14:M14"/>
    <mergeCell ref="D15:M15"/>
    <mergeCell ref="D16:M16"/>
    <mergeCell ref="D17:M17"/>
    <mergeCell ref="D18:M18"/>
    <mergeCell ref="B20:M22"/>
    <mergeCell ref="B24:M26"/>
    <mergeCell ref="B31:M33"/>
    <mergeCell ref="B28:M29"/>
  </mergeCells>
  <hyperlinks>
    <hyperlink ref="B14" location="'Master_Panel'!A1" display="Master_Panel"/>
    <hyperlink ref="B15" location="'Financial_Panel'!A1" display="Financial_Panel"/>
    <hyperlink ref="B16" location="'Evidence_Log'!A1" display="Evidence_Log"/>
    <hyperlink ref="B17" location="'Codebook'!A1" display="Codebook"/>
    <hyperlink ref="B18" location="'Review_Issues'!A1" display="Review_Issues"/>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67C80"/>
    <outlinePr summaryBelow="0"/>
    <pageSetUpPr fitToPage="1"/>
  </sheetPr>
  <dimension ref="A1:AZ88"/>
  <sheetViews>
    <sheetView showGridLines="0" tabSelected="1" workbookViewId="0">
      <pane xSplit="2" ySplit="6" topLeftCell="C7" activePane="bottomRight" state="frozen"/>
      <selection pane="topRight" activeCell="C1" sqref="C1"/>
      <selection pane="bottomLeft" activeCell="A7" sqref="A7"/>
      <selection pane="bottomRight" activeCell="A7" sqref="A7"/>
    </sheetView>
  </sheetViews>
  <sheetFormatPr defaultRowHeight="15" outlineLevelCol="1"/>
  <cols>
    <col min="1" max="1" width="39.7109375" customWidth="1"/>
    <col min="2" max="2" width="25.7109375" customWidth="1"/>
    <col min="3" max="3" width="14.7109375" customWidth="1"/>
    <col min="4" max="4" width="10.7109375" customWidth="1"/>
    <col min="5" max="5" width="24.7109375" customWidth="1"/>
    <col min="6" max="6" width="22.7109375" customWidth="1"/>
    <col min="7" max="7" width="14.7109375" customWidth="1"/>
    <col min="8" max="17" width="7.7109375" customWidth="1"/>
    <col min="18" max="19" width="13.7109375" customWidth="1"/>
    <col min="20" max="20" width="17.7109375" customWidth="1"/>
    <col min="21" max="21" width="15.7109375" customWidth="1"/>
    <col min="22" max="22" width="17.7109375" customWidth="1"/>
    <col min="23" max="23" width="16.7109375" customWidth="1"/>
    <col min="24" max="24" width="28.7109375" customWidth="1"/>
    <col min="25" max="25" width="17.7109375" customWidth="1"/>
    <col min="26" max="26" width="15.7109375" customWidth="1"/>
    <col min="27" max="27" width="18.7109375" customWidth="1"/>
    <col min="28" max="28" width="16.7109375" customWidth="1"/>
    <col min="29" max="29" width="13.7109375" customWidth="1"/>
    <col min="30" max="30" width="16.7109375" customWidth="1"/>
    <col min="31" max="33" width="18.7109375" customWidth="1"/>
    <col min="34" max="34" width="13.7109375" customWidth="1"/>
    <col min="35" max="35" width="18.7109375" customWidth="1"/>
    <col min="36" max="36" width="16.7109375" customWidth="1"/>
    <col min="37" max="37" width="19.7109375" customWidth="1"/>
    <col min="38" max="38" width="16.7109375" customWidth="1"/>
    <col min="39" max="39" width="13.7109375" customWidth="1"/>
    <col min="40" max="40" width="50.7109375" hidden="1" customWidth="1" outlineLevel="1"/>
    <col min="41" max="41" width="16.7109375" hidden="1" customWidth="1" outlineLevel="1"/>
    <col min="42" max="42" width="48.7109375" hidden="1" customWidth="1" outlineLevel="1"/>
    <col min="43" max="43" width="45.7109375" hidden="1" customWidth="1" outlineLevel="1"/>
    <col min="44" max="44" width="16.7109375" hidden="1" customWidth="1" outlineLevel="1"/>
    <col min="45" max="45" width="12.7109375" hidden="1" customWidth="1" outlineLevel="1"/>
    <col min="46" max="46" width="16.7109375" hidden="1" customWidth="1" outlineLevel="1"/>
    <col min="47" max="47" width="18.7109375" customWidth="1" outlineLevel="1"/>
    <col min="48" max="48" width="34.7109375" customWidth="1" outlineLevel="1"/>
    <col min="49" max="49" width="19.7109375" customWidth="1" outlineLevel="1"/>
    <col min="50" max="50" width="16.7109375" customWidth="1" outlineLevel="1"/>
    <col min="51" max="51" width="24.7109375" customWidth="1" outlineLevel="1"/>
    <col min="52" max="52" width="50.7109375" customWidth="1" outlineLevel="1"/>
  </cols>
  <sheetData>
    <row r="1" spans="1:52" ht="22" customHeight="1">
      <c r="A1" s="1" t="s">
        <v>0</v>
      </c>
      <c r="B1" s="1"/>
      <c r="C1" s="1"/>
      <c r="D1" s="1"/>
      <c r="E1" s="1"/>
      <c r="F1" s="1"/>
      <c r="G1" s="1"/>
      <c r="H1" s="1"/>
      <c r="I1" s="1"/>
    </row>
    <row r="2" spans="1:52" ht="18" customHeight="1">
      <c r="A2" s="1"/>
      <c r="B2" s="1"/>
      <c r="C2" s="1"/>
      <c r="D2" s="1"/>
      <c r="E2" s="1"/>
      <c r="F2" s="1"/>
      <c r="G2" s="1"/>
      <c r="H2" s="1"/>
      <c r="I2" s="1"/>
    </row>
    <row r="3" spans="1:52" ht="34" customHeight="1">
      <c r="A3" s="2" t="s">
        <v>21</v>
      </c>
      <c r="B3" s="2"/>
      <c r="C3" s="2"/>
      <c r="D3" s="2"/>
      <c r="E3" s="2"/>
      <c r="F3" s="2"/>
      <c r="G3" s="2"/>
      <c r="H3" s="2"/>
      <c r="I3" s="2"/>
      <c r="J3" s="2"/>
      <c r="K3" s="2"/>
    </row>
    <row r="4" spans="1:52">
      <c r="A4" s="7" t="s">
        <v>22</v>
      </c>
      <c r="B4" s="7"/>
      <c r="C4" s="7"/>
      <c r="D4" s="7"/>
      <c r="E4" s="7"/>
      <c r="F4" s="7"/>
      <c r="G4" s="7"/>
      <c r="H4" s="8" t="s">
        <v>23</v>
      </c>
      <c r="I4" s="8"/>
      <c r="J4" s="8"/>
      <c r="K4" s="8"/>
      <c r="L4" s="8"/>
      <c r="M4" s="8"/>
      <c r="N4" s="8"/>
      <c r="O4" s="8"/>
      <c r="P4" s="8"/>
      <c r="Q4" s="8"/>
      <c r="R4" s="8"/>
      <c r="S4" s="8"/>
      <c r="T4" s="8"/>
      <c r="U4" s="8"/>
      <c r="V4" s="8"/>
      <c r="W4" s="8"/>
      <c r="X4" s="8"/>
      <c r="Y4" s="8"/>
      <c r="Z4" s="8"/>
      <c r="AA4" s="9" t="s">
        <v>24</v>
      </c>
      <c r="AB4" s="9"/>
      <c r="AC4" s="9"/>
      <c r="AD4" s="9"/>
      <c r="AE4" s="7" t="s">
        <v>25</v>
      </c>
      <c r="AF4" s="7"/>
      <c r="AG4" s="7"/>
      <c r="AH4" s="7"/>
      <c r="AI4" s="7"/>
      <c r="AJ4" s="7"/>
      <c r="AK4" s="7"/>
      <c r="AL4" s="7"/>
      <c r="AM4" s="7"/>
      <c r="AN4" s="10" t="s">
        <v>26</v>
      </c>
      <c r="AO4" s="10"/>
      <c r="AP4" s="10"/>
      <c r="AQ4" s="10"/>
      <c r="AR4" s="10"/>
      <c r="AS4" s="10" t="s">
        <v>27</v>
      </c>
      <c r="AT4" s="10"/>
      <c r="AU4" s="10"/>
      <c r="AV4" s="10"/>
      <c r="AW4" s="10"/>
      <c r="AX4" s="10"/>
      <c r="AY4" s="10"/>
      <c r="AZ4" s="10"/>
    </row>
    <row r="6" spans="1:52" ht="40" customHeight="1">
      <c r="A6" s="11" t="s">
        <v>527</v>
      </c>
      <c r="B6" s="11" t="s">
        <v>528</v>
      </c>
      <c r="C6" s="11" t="s">
        <v>529</v>
      </c>
      <c r="D6" s="11" t="s">
        <v>530</v>
      </c>
      <c r="E6" s="11" t="s">
        <v>531</v>
      </c>
      <c r="F6" s="11" t="s">
        <v>532</v>
      </c>
      <c r="G6" s="11" t="s">
        <v>533</v>
      </c>
      <c r="H6" s="11" t="s">
        <v>534</v>
      </c>
      <c r="I6" s="11" t="s">
        <v>535</v>
      </c>
      <c r="J6" s="11" t="s">
        <v>536</v>
      </c>
      <c r="K6" s="11" t="s">
        <v>537</v>
      </c>
      <c r="L6" s="11" t="s">
        <v>538</v>
      </c>
      <c r="M6" s="11" t="s">
        <v>539</v>
      </c>
      <c r="N6" s="11" t="s">
        <v>540</v>
      </c>
      <c r="O6" s="11" t="s">
        <v>541</v>
      </c>
      <c r="P6" s="11" t="s">
        <v>542</v>
      </c>
      <c r="Q6" s="11" t="s">
        <v>543</v>
      </c>
      <c r="R6" s="11" t="s">
        <v>544</v>
      </c>
      <c r="S6" s="11" t="s">
        <v>545</v>
      </c>
      <c r="T6" s="11" t="s">
        <v>546</v>
      </c>
      <c r="U6" s="11" t="s">
        <v>547</v>
      </c>
      <c r="V6" s="11" t="s">
        <v>548</v>
      </c>
      <c r="W6" s="11" t="s">
        <v>549</v>
      </c>
      <c r="X6" s="11" t="s">
        <v>550</v>
      </c>
      <c r="Y6" s="11" t="s">
        <v>551</v>
      </c>
      <c r="Z6" s="11" t="s">
        <v>552</v>
      </c>
      <c r="AA6" s="11" t="s">
        <v>553</v>
      </c>
      <c r="AB6" s="11" t="s">
        <v>554</v>
      </c>
      <c r="AC6" s="11" t="s">
        <v>555</v>
      </c>
      <c r="AD6" s="11" t="s">
        <v>556</v>
      </c>
      <c r="AE6" s="11" t="s">
        <v>557</v>
      </c>
      <c r="AF6" s="11" t="s">
        <v>558</v>
      </c>
      <c r="AG6" s="11" t="s">
        <v>559</v>
      </c>
      <c r="AH6" s="11" t="s">
        <v>560</v>
      </c>
      <c r="AI6" s="11" t="s">
        <v>561</v>
      </c>
      <c r="AJ6" s="11" t="s">
        <v>562</v>
      </c>
      <c r="AK6" s="11" t="s">
        <v>563</v>
      </c>
      <c r="AL6" s="11" t="s">
        <v>564</v>
      </c>
      <c r="AM6" s="11" t="s">
        <v>565</v>
      </c>
      <c r="AN6" s="11" t="s">
        <v>566</v>
      </c>
      <c r="AO6" s="11" t="s">
        <v>567</v>
      </c>
      <c r="AP6" s="11" t="s">
        <v>568</v>
      </c>
      <c r="AQ6" s="11" t="s">
        <v>569</v>
      </c>
      <c r="AR6" s="11" t="s">
        <v>570</v>
      </c>
      <c r="AS6" s="11" t="s">
        <v>571</v>
      </c>
      <c r="AT6" s="11" t="s">
        <v>572</v>
      </c>
      <c r="AU6" s="11" t="s">
        <v>573</v>
      </c>
      <c r="AV6" s="11" t="s">
        <v>574</v>
      </c>
      <c r="AW6" s="11" t="s">
        <v>575</v>
      </c>
      <c r="AX6" s="11" t="s">
        <v>576</v>
      </c>
      <c r="AY6" s="11" t="s">
        <v>577</v>
      </c>
      <c r="AZ6" s="11" t="s">
        <v>578</v>
      </c>
    </row>
    <row r="7" spans="1:52" ht="30" customHeight="1">
      <c r="A7" s="12" t="s">
        <v>28</v>
      </c>
      <c r="B7" s="12" t="s">
        <v>29</v>
      </c>
      <c r="C7" s="13"/>
      <c r="D7" s="14">
        <v>1</v>
      </c>
      <c r="E7" s="15" t="s">
        <v>30</v>
      </c>
      <c r="F7" s="12" t="s">
        <v>31</v>
      </c>
      <c r="G7" s="14">
        <v>1</v>
      </c>
      <c r="H7" s="14">
        <v>3</v>
      </c>
      <c r="I7" s="14">
        <v>0</v>
      </c>
      <c r="J7" s="14">
        <v>0</v>
      </c>
      <c r="K7" s="14">
        <v>2</v>
      </c>
      <c r="L7" s="14">
        <v>2</v>
      </c>
      <c r="M7" s="14">
        <v>2</v>
      </c>
      <c r="N7" s="14">
        <v>0</v>
      </c>
      <c r="O7" s="14">
        <v>1</v>
      </c>
      <c r="P7" s="14">
        <v>1</v>
      </c>
      <c r="Q7" s="14">
        <v>2</v>
      </c>
      <c r="R7" s="16">
        <f>IF($AY7="Conflict","",IF(COUNT(H7:Q7)=10,SUM(H7:Q7),IF(ISNUMBER($AU7),$AU7,"")))</f>
        <v>13</v>
      </c>
      <c r="S7" s="16">
        <f>IF(ISNUMBER(R7),R7/30*100,"")</f>
        <v>43.333333333333336</v>
      </c>
      <c r="T7" s="16">
        <f>IF($AY7="Conflict","",IF(COUNT(H7:J7,L7)=4,SUM(H7:J7,L7),""))</f>
        <v>5</v>
      </c>
      <c r="U7" s="16">
        <f>IF($AY7="Conflict","",IF(COUNT(K7,M7:O7)=4,SUM(K7,M7:O7),""))</f>
        <v>5</v>
      </c>
      <c r="V7" s="16">
        <f>IF($AY7="Conflict","",IF(COUNT(P7:Q7)=2,SUM(P7:Q7),""))</f>
        <v>3</v>
      </c>
      <c r="W7" s="15" t="s">
        <v>32</v>
      </c>
      <c r="X7" s="15" t="s">
        <v>33</v>
      </c>
      <c r="Y7" s="14">
        <v>17</v>
      </c>
      <c r="Z7" s="16">
        <f>IF(ISNUMBER(R7),R7,"")</f>
        <v>13</v>
      </c>
      <c r="AA7" s="13"/>
      <c r="AB7" s="13"/>
      <c r="AC7" s="14" t="s">
        <v>34</v>
      </c>
      <c r="AD7" s="13"/>
      <c r="AE7" s="17">
        <v>5375.7286</v>
      </c>
      <c r="AF7" s="17">
        <v>6157.2166</v>
      </c>
      <c r="AG7" s="17">
        <v>812.9908</v>
      </c>
      <c r="AH7" s="18">
        <f>IF(AND(ISNUMBER(AG7),ISNUMBER(AF7),AF7&gt;0),AG7/AF7,"")</f>
        <v>0.1320386877408211</v>
      </c>
      <c r="AI7" s="17">
        <v>308.5909</v>
      </c>
      <c r="AJ7" s="17">
        <v>55.3919</v>
      </c>
      <c r="AK7" s="18">
        <f>IF(ISNUMBER(Financial_Panel!L74),Financial_Panel!L74,"")</f>
        <v>0.30754662663904264</v>
      </c>
      <c r="AL7" s="17">
        <v>535.1079999999999</v>
      </c>
      <c r="AM7" s="15" t="s">
        <v>35</v>
      </c>
      <c r="AN7" s="12" t="s">
        <v>36</v>
      </c>
      <c r="AO7" s="15" t="s">
        <v>32</v>
      </c>
      <c r="AP7" s="12" t="s">
        <v>37</v>
      </c>
      <c r="AQ7" s="12" t="s">
        <v>38</v>
      </c>
      <c r="AR7" s="19">
        <v>46318</v>
      </c>
      <c r="AS7" s="15" t="s">
        <v>39</v>
      </c>
      <c r="AT7" s="15" t="s">
        <v>40</v>
      </c>
      <c r="AU7" s="14">
        <v>13</v>
      </c>
      <c r="AV7" s="12" t="s">
        <v>41</v>
      </c>
      <c r="AW7" s="15" t="s">
        <v>42</v>
      </c>
      <c r="AX7" s="15" t="s">
        <v>43</v>
      </c>
      <c r="AY7" s="15" t="s">
        <v>44</v>
      </c>
      <c r="AZ7" s="12" t="s">
        <v>45</v>
      </c>
    </row>
    <row r="8" spans="1:52" ht="30" customHeight="1">
      <c r="A8" s="12" t="s">
        <v>46</v>
      </c>
      <c r="B8" s="12" t="s">
        <v>29</v>
      </c>
      <c r="C8" s="13"/>
      <c r="D8" s="14">
        <v>1</v>
      </c>
      <c r="E8" s="15" t="s">
        <v>30</v>
      </c>
      <c r="F8" s="12" t="s">
        <v>31</v>
      </c>
      <c r="G8" s="14">
        <v>1</v>
      </c>
      <c r="H8" s="14">
        <v>3</v>
      </c>
      <c r="I8" s="14">
        <v>2</v>
      </c>
      <c r="J8" s="14">
        <v>2</v>
      </c>
      <c r="K8" s="14">
        <v>2</v>
      </c>
      <c r="L8" s="14">
        <v>2</v>
      </c>
      <c r="M8" s="14">
        <v>0</v>
      </c>
      <c r="N8" s="14">
        <v>0</v>
      </c>
      <c r="O8" s="14">
        <v>1</v>
      </c>
      <c r="P8" s="14">
        <v>3</v>
      </c>
      <c r="Q8" s="14">
        <v>2</v>
      </c>
      <c r="R8" s="16">
        <f>IF($AY8="Conflict","",IF(COUNT(H8:Q8)=10,SUM(H8:Q8),IF(ISNUMBER($AU8),$AU8,"")))</f>
        <v>17</v>
      </c>
      <c r="S8" s="16">
        <f>IF(ISNUMBER(R8),R8/30*100,"")</f>
        <v>56.666666666666664</v>
      </c>
      <c r="T8" s="16">
        <f>IF($AY8="Conflict","",IF(COUNT(H8:J8,L8)=4,SUM(H8:J8,L8),""))</f>
        <v>9</v>
      </c>
      <c r="U8" s="16">
        <f>IF($AY8="Conflict","",IF(COUNT(K8,M8:O8)=4,SUM(K8,M8:O8),""))</f>
        <v>3</v>
      </c>
      <c r="V8" s="16">
        <f>IF($AY8="Conflict","",IF(COUNT(P8:Q8)=2,SUM(P8:Q8),""))</f>
        <v>5</v>
      </c>
      <c r="W8" s="15" t="s">
        <v>32</v>
      </c>
      <c r="X8" s="15" t="s">
        <v>33</v>
      </c>
      <c r="Y8" s="14">
        <v>17</v>
      </c>
      <c r="Z8" s="16">
        <f>IF(ISNUMBER(R8),R8,"")</f>
        <v>17</v>
      </c>
      <c r="AA8" s="13"/>
      <c r="AB8" s="13"/>
      <c r="AC8" s="14">
        <v>1</v>
      </c>
      <c r="AD8" s="13"/>
      <c r="AE8" s="17">
        <v>39312.21</v>
      </c>
      <c r="AF8" s="17">
        <v>36158.05</v>
      </c>
      <c r="AG8" s="17">
        <v>2499.72</v>
      </c>
      <c r="AH8" s="18">
        <f>IF(AND(ISNUMBER(AG8),ISNUMBER(AF8),AF8&gt;0),AG8/AF8,"")</f>
        <v>0.06913315292168686</v>
      </c>
      <c r="AI8" s="17">
        <v>6297.73</v>
      </c>
      <c r="AJ8" s="17">
        <v>611.64</v>
      </c>
      <c r="AK8" s="18">
        <f>IF(ISNUMBER(Financial_Panel!L75),Financial_Panel!L75,"")</f>
        <v>0.09989286227576206</v>
      </c>
      <c r="AL8" s="17">
        <v>1885.46</v>
      </c>
      <c r="AM8" s="15" t="s">
        <v>47</v>
      </c>
      <c r="AN8" s="12" t="s">
        <v>48</v>
      </c>
      <c r="AO8" s="15" t="s">
        <v>32</v>
      </c>
      <c r="AP8" s="12" t="s">
        <v>49</v>
      </c>
      <c r="AQ8" s="12" t="s">
        <v>50</v>
      </c>
      <c r="AR8" s="19">
        <v>46318</v>
      </c>
      <c r="AS8" s="15" t="s">
        <v>51</v>
      </c>
      <c r="AT8" s="15" t="s">
        <v>52</v>
      </c>
      <c r="AU8" s="14">
        <v>17</v>
      </c>
      <c r="AV8" s="12" t="s">
        <v>41</v>
      </c>
      <c r="AW8" s="15" t="s">
        <v>42</v>
      </c>
      <c r="AX8" s="15" t="s">
        <v>43</v>
      </c>
      <c r="AY8" s="15" t="s">
        <v>44</v>
      </c>
      <c r="AZ8" s="12" t="s">
        <v>45</v>
      </c>
    </row>
    <row r="9" spans="1:52" ht="30" customHeight="1">
      <c r="A9" s="12" t="s">
        <v>53</v>
      </c>
      <c r="B9" s="12" t="s">
        <v>29</v>
      </c>
      <c r="C9" s="13"/>
      <c r="D9" s="14">
        <v>1</v>
      </c>
      <c r="E9" s="15" t="s">
        <v>30</v>
      </c>
      <c r="F9" s="12" t="s">
        <v>31</v>
      </c>
      <c r="G9" s="14">
        <v>1</v>
      </c>
      <c r="H9" s="14">
        <v>2</v>
      </c>
      <c r="I9" s="14">
        <v>2</v>
      </c>
      <c r="J9" s="14">
        <v>3</v>
      </c>
      <c r="K9" s="14">
        <v>3</v>
      </c>
      <c r="L9" s="14">
        <v>1</v>
      </c>
      <c r="M9" s="14">
        <v>2</v>
      </c>
      <c r="N9" s="14">
        <v>0</v>
      </c>
      <c r="O9" s="14">
        <v>2</v>
      </c>
      <c r="P9" s="14">
        <v>3</v>
      </c>
      <c r="Q9" s="14">
        <v>1</v>
      </c>
      <c r="R9" s="16">
        <f>IF($AY9="Conflict","",IF(COUNT(H9:Q9)=10,SUM(H9:Q9),IF(ISNUMBER($AU9),$AU9,"")))</f>
        <v>19</v>
      </c>
      <c r="S9" s="16">
        <f>IF(ISNUMBER(R9),R9/30*100,"")</f>
        <v>63.33333333333333</v>
      </c>
      <c r="T9" s="16">
        <f>IF($AY9="Conflict","",IF(COUNT(H9:J9,L9)=4,SUM(H9:J9,L9),""))</f>
        <v>8</v>
      </c>
      <c r="U9" s="16">
        <f>IF($AY9="Conflict","",IF(COUNT(K9,M9:O9)=4,SUM(K9,M9:O9),""))</f>
        <v>7</v>
      </c>
      <c r="V9" s="16">
        <f>IF($AY9="Conflict","",IF(COUNT(P9:Q9)=2,SUM(P9:Q9),""))</f>
        <v>4</v>
      </c>
      <c r="W9" s="15" t="s">
        <v>54</v>
      </c>
      <c r="X9" s="15" t="s">
        <v>33</v>
      </c>
      <c r="Y9" s="14">
        <v>21</v>
      </c>
      <c r="Z9" s="16">
        <f>IF(ISNUMBER(R9),R9,"")</f>
        <v>19</v>
      </c>
      <c r="AA9" s="13"/>
      <c r="AB9" s="13"/>
      <c r="AC9" s="14" t="s">
        <v>34</v>
      </c>
      <c r="AD9" s="13"/>
      <c r="AE9" s="17">
        <v>53224.92</v>
      </c>
      <c r="AF9" s="17">
        <v>97761.77</v>
      </c>
      <c r="AG9" s="17">
        <v>3360.87</v>
      </c>
      <c r="AH9" s="18">
        <f>IF(AND(ISNUMBER(AG9),ISNUMBER(AF9),AF9&gt;0),AG9/AF9,"")</f>
        <v>0.03437816234300995</v>
      </c>
      <c r="AI9" s="17">
        <v>22037.86</v>
      </c>
      <c r="AJ9" s="17">
        <v>1516.64</v>
      </c>
      <c r="AK9" s="18">
        <f>IF(ISNUMBER(Financial_Panel!L77),Financial_Panel!L77,"")</f>
        <v>0.07606052384388896</v>
      </c>
      <c r="AL9" s="17">
        <v>9574.15</v>
      </c>
      <c r="AM9" s="15" t="s">
        <v>47</v>
      </c>
      <c r="AN9" s="12" t="s">
        <v>55</v>
      </c>
      <c r="AO9" s="15" t="s">
        <v>54</v>
      </c>
      <c r="AP9" s="12" t="s">
        <v>56</v>
      </c>
      <c r="AQ9" s="12" t="s">
        <v>57</v>
      </c>
      <c r="AR9" s="19">
        <v>46318</v>
      </c>
      <c r="AS9" s="15" t="s">
        <v>58</v>
      </c>
      <c r="AT9" s="15" t="s">
        <v>59</v>
      </c>
      <c r="AU9" s="14">
        <v>19</v>
      </c>
      <c r="AV9" s="12" t="s">
        <v>41</v>
      </c>
      <c r="AW9" s="15" t="s">
        <v>42</v>
      </c>
      <c r="AX9" s="15" t="s">
        <v>43</v>
      </c>
      <c r="AY9" s="15" t="s">
        <v>44</v>
      </c>
      <c r="AZ9" s="12" t="s">
        <v>45</v>
      </c>
    </row>
    <row r="10" spans="1:52" ht="30" customHeight="1">
      <c r="A10" s="12" t="s">
        <v>60</v>
      </c>
      <c r="B10" s="12" t="s">
        <v>29</v>
      </c>
      <c r="C10" s="13"/>
      <c r="D10" s="14">
        <v>1</v>
      </c>
      <c r="E10" s="15" t="s">
        <v>30</v>
      </c>
      <c r="F10" s="12" t="s">
        <v>31</v>
      </c>
      <c r="G10" s="14">
        <v>1</v>
      </c>
      <c r="H10" s="14">
        <v>2</v>
      </c>
      <c r="I10" s="14">
        <v>2</v>
      </c>
      <c r="J10" s="14">
        <v>3</v>
      </c>
      <c r="K10" s="14">
        <v>2</v>
      </c>
      <c r="L10" s="14">
        <v>1</v>
      </c>
      <c r="M10" s="14">
        <v>1</v>
      </c>
      <c r="N10" s="14">
        <v>0</v>
      </c>
      <c r="O10" s="14">
        <v>1</v>
      </c>
      <c r="P10" s="14">
        <v>3</v>
      </c>
      <c r="Q10" s="14">
        <v>1</v>
      </c>
      <c r="R10" s="16">
        <f>IF($AY10="Conflict","",IF(COUNT(H10:Q10)=10,SUM(H10:Q10),IF(ISNUMBER($AU10),$AU10,"")))</f>
        <v>16</v>
      </c>
      <c r="S10" s="16">
        <f>IF(ISNUMBER(R10),R10/30*100,"")</f>
        <v>53.333333333333336</v>
      </c>
      <c r="T10" s="16">
        <f>IF($AY10="Conflict","",IF(COUNT(H10:J10,L10)=4,SUM(H10:J10,L10),""))</f>
        <v>8</v>
      </c>
      <c r="U10" s="16">
        <f>IF($AY10="Conflict","",IF(COUNT(K10,M10:O10)=4,SUM(K10,M10:O10),""))</f>
        <v>4</v>
      </c>
      <c r="V10" s="16">
        <f>IF($AY10="Conflict","",IF(COUNT(P10:Q10)=2,SUM(P10:Q10),""))</f>
        <v>4</v>
      </c>
      <c r="W10" s="15" t="s">
        <v>54</v>
      </c>
      <c r="X10" s="15" t="s">
        <v>33</v>
      </c>
      <c r="Y10" s="14">
        <v>16</v>
      </c>
      <c r="Z10" s="16">
        <f>IF(ISNUMBER(R10),R10,"")</f>
        <v>16</v>
      </c>
      <c r="AA10" s="13"/>
      <c r="AB10" s="13"/>
      <c r="AC10" s="14">
        <v>1</v>
      </c>
      <c r="AD10" s="13"/>
      <c r="AE10" s="17">
        <v>185470</v>
      </c>
      <c r="AF10" s="17">
        <v>269676</v>
      </c>
      <c r="AG10" s="17">
        <v>25508</v>
      </c>
      <c r="AH10" s="18">
        <f>IF(AND(ISNUMBER(AG10),ISNUMBER(AF10),AF10&gt;0),AG10/AF10,"")</f>
        <v>0.09458757916907697</v>
      </c>
      <c r="AI10" s="17">
        <v>95532</v>
      </c>
      <c r="AJ10" s="17">
        <v>9102</v>
      </c>
      <c r="AK10" s="18">
        <f>IF(ISNUMBER(Financial_Panel!L79),Financial_Panel!L79,"")</f>
        <v>0.09506551290152437</v>
      </c>
      <c r="AL10" s="17">
        <v>14654</v>
      </c>
      <c r="AM10" s="15" t="s">
        <v>47</v>
      </c>
      <c r="AN10" s="12" t="s">
        <v>61</v>
      </c>
      <c r="AO10" s="15" t="s">
        <v>54</v>
      </c>
      <c r="AP10" s="12" t="s">
        <v>62</v>
      </c>
      <c r="AQ10" s="12" t="s">
        <v>63</v>
      </c>
      <c r="AR10" s="19">
        <v>46318</v>
      </c>
      <c r="AS10" s="15" t="s">
        <v>64</v>
      </c>
      <c r="AT10" s="15" t="s">
        <v>65</v>
      </c>
      <c r="AU10" s="14">
        <v>16</v>
      </c>
      <c r="AV10" s="12" t="s">
        <v>41</v>
      </c>
      <c r="AW10" s="15" t="s">
        <v>42</v>
      </c>
      <c r="AX10" s="15" t="s">
        <v>43</v>
      </c>
      <c r="AY10" s="15" t="s">
        <v>44</v>
      </c>
      <c r="AZ10" s="12" t="s">
        <v>45</v>
      </c>
    </row>
    <row r="11" spans="1:52" ht="30" customHeight="1">
      <c r="A11" s="12" t="s">
        <v>66</v>
      </c>
      <c r="B11" s="12" t="s">
        <v>29</v>
      </c>
      <c r="C11" s="13"/>
      <c r="D11" s="14">
        <v>1</v>
      </c>
      <c r="E11" s="15" t="s">
        <v>30</v>
      </c>
      <c r="F11" s="12" t="s">
        <v>31</v>
      </c>
      <c r="G11" s="14">
        <v>1</v>
      </c>
      <c r="H11" s="14">
        <v>2</v>
      </c>
      <c r="I11" s="14">
        <v>0</v>
      </c>
      <c r="J11" s="14">
        <v>0</v>
      </c>
      <c r="K11" s="14">
        <v>0</v>
      </c>
      <c r="L11" s="14">
        <v>0</v>
      </c>
      <c r="M11" s="14">
        <v>2</v>
      </c>
      <c r="N11" s="14">
        <v>0</v>
      </c>
      <c r="O11" s="14">
        <v>0</v>
      </c>
      <c r="P11" s="14">
        <v>0</v>
      </c>
      <c r="Q11" s="14">
        <v>1</v>
      </c>
      <c r="R11" s="16">
        <f>IF($AY11="Conflict","",IF(COUNT(H11:Q11)=10,SUM(H11:Q11),IF(ISNUMBER($AU11),$AU11,"")))</f>
        <v>5</v>
      </c>
      <c r="S11" s="16">
        <f>IF(ISNUMBER(R11),R11/30*100,"")</f>
        <v>16.666666666666664</v>
      </c>
      <c r="T11" s="16">
        <f>IF($AY11="Conflict","",IF(COUNT(H11:J11,L11)=4,SUM(H11:J11,L11),""))</f>
        <v>2</v>
      </c>
      <c r="U11" s="16">
        <f>IF($AY11="Conflict","",IF(COUNT(K11,M11:O11)=4,SUM(K11,M11:O11),""))</f>
        <v>2</v>
      </c>
      <c r="V11" s="16">
        <f>IF($AY11="Conflict","",IF(COUNT(P11:Q11)=2,SUM(P11:Q11),""))</f>
        <v>1</v>
      </c>
      <c r="W11" s="15" t="s">
        <v>54</v>
      </c>
      <c r="X11" s="15" t="s">
        <v>33</v>
      </c>
      <c r="Y11" s="14">
        <v>5</v>
      </c>
      <c r="Z11" s="16">
        <f>IF(ISNUMBER(R11),R11,"")</f>
        <v>5</v>
      </c>
      <c r="AA11" s="13"/>
      <c r="AB11" s="13"/>
      <c r="AC11" s="14" t="s">
        <v>34</v>
      </c>
      <c r="AD11" s="14">
        <v>1</v>
      </c>
      <c r="AE11" s="17">
        <v>1845.607</v>
      </c>
      <c r="AF11" s="17">
        <v>2995.763</v>
      </c>
      <c r="AG11" s="17">
        <v>257.867</v>
      </c>
      <c r="AH11" s="18">
        <f>IF(AND(ISNUMBER(AG11),ISNUMBER(AF11),AF11&gt;0),AG11/AF11,"")</f>
        <v>0.08607723641689947</v>
      </c>
      <c r="AI11" s="17">
        <v>475.026</v>
      </c>
      <c r="AJ11" s="17">
        <v>8.638</v>
      </c>
      <c r="AK11" s="18">
        <f>IF(ISNUMBER(Financial_Panel!L81),Financial_Panel!L81,"")</f>
        <v>0.01893005107256775</v>
      </c>
      <c r="AL11" s="17">
        <v>61.44</v>
      </c>
      <c r="AM11" s="15" t="s">
        <v>35</v>
      </c>
      <c r="AN11" s="12" t="s">
        <v>67</v>
      </c>
      <c r="AO11" s="15" t="s">
        <v>54</v>
      </c>
      <c r="AP11" s="12" t="s">
        <v>68</v>
      </c>
      <c r="AQ11" s="12" t="s">
        <v>69</v>
      </c>
      <c r="AR11" s="19">
        <v>46319</v>
      </c>
      <c r="AS11" s="15" t="s">
        <v>70</v>
      </c>
      <c r="AT11" s="15" t="s">
        <v>71</v>
      </c>
      <c r="AU11" s="14">
        <v>5</v>
      </c>
      <c r="AV11" s="12" t="s">
        <v>41</v>
      </c>
      <c r="AW11" s="15" t="s">
        <v>42</v>
      </c>
      <c r="AX11" s="15" t="s">
        <v>43</v>
      </c>
      <c r="AY11" s="15" t="s">
        <v>44</v>
      </c>
      <c r="AZ11" s="12" t="s">
        <v>45</v>
      </c>
    </row>
    <row r="12" spans="1:52" ht="30" customHeight="1">
      <c r="A12" s="12" t="s">
        <v>72</v>
      </c>
      <c r="B12" s="12" t="s">
        <v>29</v>
      </c>
      <c r="C12" s="13"/>
      <c r="D12" s="14">
        <v>1</v>
      </c>
      <c r="E12" s="15" t="s">
        <v>30</v>
      </c>
      <c r="F12" s="12" t="s">
        <v>73</v>
      </c>
      <c r="G12" s="14">
        <v>1</v>
      </c>
      <c r="H12" s="14">
        <v>3</v>
      </c>
      <c r="I12" s="14">
        <v>2</v>
      </c>
      <c r="J12" s="14">
        <v>1</v>
      </c>
      <c r="K12" s="14">
        <v>1</v>
      </c>
      <c r="L12" s="14">
        <v>1</v>
      </c>
      <c r="M12" s="14">
        <v>1</v>
      </c>
      <c r="N12" s="14">
        <v>0</v>
      </c>
      <c r="O12" s="14">
        <v>1</v>
      </c>
      <c r="P12" s="14">
        <v>3</v>
      </c>
      <c r="Q12" s="14">
        <v>1</v>
      </c>
      <c r="R12" s="16">
        <f>IF($AY12="Conflict","",IF(COUNT(H12:Q12)=10,SUM(H12:Q12),IF(ISNUMBER($AU12),$AU12,"")))</f>
        <v>14</v>
      </c>
      <c r="S12" s="16">
        <f>IF(ISNUMBER(R12),R12/30*100,"")</f>
        <v>46.666666666666664</v>
      </c>
      <c r="T12" s="16">
        <f>IF($AY12="Conflict","",IF(COUNT(H12:J12,L12)=4,SUM(H12:J12,L12),""))</f>
        <v>7</v>
      </c>
      <c r="U12" s="16">
        <f>IF($AY12="Conflict","",IF(COUNT(K12,M12:O12)=4,SUM(K12,M12:O12),""))</f>
        <v>3</v>
      </c>
      <c r="V12" s="16">
        <f>IF($AY12="Conflict","",IF(COUNT(P12:Q12)=2,SUM(P12:Q12),""))</f>
        <v>4</v>
      </c>
      <c r="W12" s="13"/>
      <c r="X12" s="15" t="s">
        <v>33</v>
      </c>
      <c r="Y12" s="14">
        <v>14</v>
      </c>
      <c r="Z12" s="16">
        <f>IF(ISNUMBER(R12),R12,"")</f>
        <v>14</v>
      </c>
      <c r="AA12" s="13"/>
      <c r="AB12" s="13"/>
      <c r="AC12" s="14" t="s">
        <v>34</v>
      </c>
      <c r="AD12" s="13"/>
      <c r="AE12" s="17">
        <v>8503.049999999999</v>
      </c>
      <c r="AF12" s="17">
        <v>28469.74</v>
      </c>
      <c r="AG12" s="17">
        <v>-2373.78</v>
      </c>
      <c r="AH12" s="18">
        <f>IF(AND(ISNUMBER(AG12),ISNUMBER(AF12),AF12&gt;0),AG12/AF12,"")</f>
        <v>-0.08337905439248831</v>
      </c>
      <c r="AI12" s="17">
        <v>5897.64</v>
      </c>
      <c r="AJ12" s="17">
        <v>651.9400000000001</v>
      </c>
      <c r="AK12" s="18">
        <f>IF(ISNUMBER(Financial_Panel!L82),Financial_Panel!L82,"")</f>
        <v>0.10389970524510715</v>
      </c>
      <c r="AL12" s="13"/>
      <c r="AM12" s="15" t="s">
        <v>35</v>
      </c>
      <c r="AN12" s="12" t="s">
        <v>74</v>
      </c>
      <c r="AO12" s="15" t="s">
        <v>32</v>
      </c>
      <c r="AP12" s="12" t="s">
        <v>75</v>
      </c>
      <c r="AQ12" s="12" t="s">
        <v>76</v>
      </c>
      <c r="AR12" s="19">
        <v>46318</v>
      </c>
      <c r="AS12" s="15" t="s">
        <v>77</v>
      </c>
      <c r="AT12" s="15" t="s">
        <v>78</v>
      </c>
      <c r="AU12" s="14">
        <v>14</v>
      </c>
      <c r="AV12" s="12" t="s">
        <v>41</v>
      </c>
      <c r="AW12" s="15" t="s">
        <v>79</v>
      </c>
      <c r="AX12" s="15" t="s">
        <v>43</v>
      </c>
      <c r="AY12" s="15" t="s">
        <v>44</v>
      </c>
      <c r="AZ12" s="12" t="s">
        <v>80</v>
      </c>
    </row>
    <row r="13" spans="1:52" ht="30" customHeight="1">
      <c r="A13" s="12" t="s">
        <v>81</v>
      </c>
      <c r="B13" s="12" t="s">
        <v>29</v>
      </c>
      <c r="C13" s="13"/>
      <c r="D13" s="14">
        <v>1</v>
      </c>
      <c r="E13" s="15" t="s">
        <v>30</v>
      </c>
      <c r="F13" s="12" t="s">
        <v>31</v>
      </c>
      <c r="G13" s="14">
        <v>1</v>
      </c>
      <c r="H13" s="14">
        <v>2</v>
      </c>
      <c r="I13" s="14">
        <v>1</v>
      </c>
      <c r="J13" s="14">
        <v>0</v>
      </c>
      <c r="K13" s="14">
        <v>0</v>
      </c>
      <c r="L13" s="14">
        <v>0</v>
      </c>
      <c r="M13" s="14">
        <v>1</v>
      </c>
      <c r="N13" s="14">
        <v>0</v>
      </c>
      <c r="O13" s="14">
        <v>1</v>
      </c>
      <c r="P13" s="14">
        <v>0</v>
      </c>
      <c r="Q13" s="14">
        <v>1</v>
      </c>
      <c r="R13" s="16">
        <f>IF($AY13="Conflict","",IF(COUNT(H13:Q13)=10,SUM(H13:Q13),IF(ISNUMBER($AU13),$AU13,"")))</f>
        <v>6</v>
      </c>
      <c r="S13" s="16">
        <f>IF(ISNUMBER(R13),R13/30*100,"")</f>
        <v>20.0</v>
      </c>
      <c r="T13" s="16">
        <f>IF($AY13="Conflict","",IF(COUNT(H13:J13,L13)=4,SUM(H13:J13,L13),""))</f>
        <v>3</v>
      </c>
      <c r="U13" s="16">
        <f>IF($AY13="Conflict","",IF(COUNT(K13,M13:O13)=4,SUM(K13,M13:O13),""))</f>
        <v>2</v>
      </c>
      <c r="V13" s="16">
        <f>IF($AY13="Conflict","",IF(COUNT(P13:Q13)=2,SUM(P13:Q13),""))</f>
        <v>1</v>
      </c>
      <c r="W13" s="15" t="s">
        <v>32</v>
      </c>
      <c r="X13" s="15" t="s">
        <v>33</v>
      </c>
      <c r="Y13" s="14">
        <v>6</v>
      </c>
      <c r="Z13" s="16">
        <f>IF(ISNUMBER(R13),R13,"")</f>
        <v>6</v>
      </c>
      <c r="AA13" s="13"/>
      <c r="AB13" s="13"/>
      <c r="AC13" s="14" t="s">
        <v>34</v>
      </c>
      <c r="AD13" s="13"/>
      <c r="AE13" s="17">
        <v>15137.5</v>
      </c>
      <c r="AF13" s="17">
        <v>16315.63</v>
      </c>
      <c r="AG13" s="17">
        <v>909.26</v>
      </c>
      <c r="AH13" s="18">
        <f>IF(AND(ISNUMBER(AG13),ISNUMBER(AF13),AF13&gt;0),AG13/AF13,"")</f>
        <v>0.055729383419457296</v>
      </c>
      <c r="AI13" s="17">
        <v>779.46</v>
      </c>
      <c r="AJ13" s="17">
        <v>143.92</v>
      </c>
      <c r="AK13" s="18">
        <f>IF(ISNUMBER(Financial_Panel!L83),Financial_Panel!L83,"")</f>
        <v>0.21057868168849217</v>
      </c>
      <c r="AL13" s="17">
        <v>2148.32</v>
      </c>
      <c r="AM13" s="15" t="s">
        <v>35</v>
      </c>
      <c r="AN13" s="12" t="s">
        <v>82</v>
      </c>
      <c r="AO13" s="15" t="s">
        <v>32</v>
      </c>
      <c r="AP13" s="12" t="s">
        <v>83</v>
      </c>
      <c r="AQ13" s="12" t="s">
        <v>84</v>
      </c>
      <c r="AR13" s="19">
        <v>46318</v>
      </c>
      <c r="AS13" s="15" t="s">
        <v>85</v>
      </c>
      <c r="AT13" s="15" t="s">
        <v>86</v>
      </c>
      <c r="AU13" s="14">
        <v>6</v>
      </c>
      <c r="AV13" s="12" t="s">
        <v>41</v>
      </c>
      <c r="AW13" s="15" t="s">
        <v>42</v>
      </c>
      <c r="AX13" s="15" t="s">
        <v>43</v>
      </c>
      <c r="AY13" s="15" t="s">
        <v>44</v>
      </c>
      <c r="AZ13" s="12" t="s">
        <v>45</v>
      </c>
    </row>
    <row r="14" spans="1:52" ht="30" customHeight="1">
      <c r="A14" s="12" t="s">
        <v>87</v>
      </c>
      <c r="B14" s="12" t="s">
        <v>29</v>
      </c>
      <c r="C14" s="13"/>
      <c r="D14" s="14">
        <v>1</v>
      </c>
      <c r="E14" s="15" t="s">
        <v>30</v>
      </c>
      <c r="F14" s="12" t="s">
        <v>73</v>
      </c>
      <c r="G14" s="14">
        <v>1</v>
      </c>
      <c r="H14" s="14">
        <v>2</v>
      </c>
      <c r="I14" s="14">
        <v>2</v>
      </c>
      <c r="J14" s="14">
        <v>2</v>
      </c>
      <c r="K14" s="14">
        <v>2</v>
      </c>
      <c r="L14" s="14">
        <v>1</v>
      </c>
      <c r="M14" s="14">
        <v>0</v>
      </c>
      <c r="N14" s="14">
        <v>0</v>
      </c>
      <c r="O14" s="14">
        <v>1</v>
      </c>
      <c r="P14" s="14">
        <v>3</v>
      </c>
      <c r="Q14" s="14">
        <v>3</v>
      </c>
      <c r="R14" s="16">
        <f>IF($AY14="Conflict","",IF(COUNT(H14:Q14)=10,SUM(H14:Q14),IF(ISNUMBER($AU14),$AU14,"")))</f>
        <v>16</v>
      </c>
      <c r="S14" s="16">
        <f>IF(ISNUMBER(R14),R14/30*100,"")</f>
        <v>53.333333333333336</v>
      </c>
      <c r="T14" s="16">
        <f>IF($AY14="Conflict","",IF(COUNT(H14:J14,L14)=4,SUM(H14:J14,L14),""))</f>
        <v>7</v>
      </c>
      <c r="U14" s="16">
        <f>IF($AY14="Conflict","",IF(COUNT(K14,M14:O14)=4,SUM(K14,M14:O14),""))</f>
        <v>3</v>
      </c>
      <c r="V14" s="16">
        <f>IF($AY14="Conflict","",IF(COUNT(P14:Q14)=2,SUM(P14:Q14),""))</f>
        <v>6</v>
      </c>
      <c r="W14" s="15" t="s">
        <v>32</v>
      </c>
      <c r="X14" s="15" t="s">
        <v>33</v>
      </c>
      <c r="Y14" s="14">
        <v>17</v>
      </c>
      <c r="Z14" s="16">
        <f>IF(ISNUMBER(R14),R14,"")</f>
        <v>16</v>
      </c>
      <c r="AA14" s="13"/>
      <c r="AB14" s="13"/>
      <c r="AC14" s="14" t="s">
        <v>34</v>
      </c>
      <c r="AD14" s="13"/>
      <c r="AE14" s="17">
        <v>102479.06</v>
      </c>
      <c r="AF14" s="17">
        <v>136370.94</v>
      </c>
      <c r="AG14" s="17">
        <v>2371.8</v>
      </c>
      <c r="AH14" s="18">
        <f>IF(AND(ISNUMBER(AG14),ISNUMBER(AF14),AF14&gt;0),AG14/AF14,"")</f>
        <v>0.017392268470100742</v>
      </c>
      <c r="AI14" s="17">
        <v>29811.12</v>
      </c>
      <c r="AJ14" s="17">
        <v>2793.17</v>
      </c>
      <c r="AK14" s="18">
        <f>IF(ISNUMBER(Financial_Panel!L84),Financial_Panel!L84,"")</f>
        <v>0.09247056342530113</v>
      </c>
      <c r="AL14" s="17">
        <v>6221.15</v>
      </c>
      <c r="AM14" s="15" t="s">
        <v>47</v>
      </c>
      <c r="AN14" s="12" t="s">
        <v>48</v>
      </c>
      <c r="AO14" s="15" t="s">
        <v>32</v>
      </c>
      <c r="AP14" s="12" t="s">
        <v>88</v>
      </c>
      <c r="AQ14" s="12" t="s">
        <v>89</v>
      </c>
      <c r="AR14" s="19">
        <v>46318</v>
      </c>
      <c r="AS14" s="15" t="s">
        <v>90</v>
      </c>
      <c r="AT14" s="15" t="s">
        <v>91</v>
      </c>
      <c r="AU14" s="14">
        <v>16</v>
      </c>
      <c r="AV14" s="12" t="s">
        <v>41</v>
      </c>
      <c r="AW14" s="15" t="s">
        <v>42</v>
      </c>
      <c r="AX14" s="15" t="s">
        <v>43</v>
      </c>
      <c r="AY14" s="15" t="s">
        <v>44</v>
      </c>
      <c r="AZ14" s="12" t="s">
        <v>45</v>
      </c>
    </row>
    <row r="15" spans="1:52" ht="30" customHeight="1">
      <c r="A15" s="12" t="s">
        <v>92</v>
      </c>
      <c r="B15" s="12" t="s">
        <v>29</v>
      </c>
      <c r="C15" s="13"/>
      <c r="D15" s="14">
        <v>1</v>
      </c>
      <c r="E15" s="15" t="s">
        <v>30</v>
      </c>
      <c r="F15" s="12" t="s">
        <v>31</v>
      </c>
      <c r="G15" s="14">
        <v>1</v>
      </c>
      <c r="H15" s="14">
        <v>3</v>
      </c>
      <c r="I15" s="14">
        <v>2</v>
      </c>
      <c r="J15" s="14">
        <v>1</v>
      </c>
      <c r="K15" s="14">
        <v>2</v>
      </c>
      <c r="L15" s="14">
        <v>2</v>
      </c>
      <c r="M15" s="14">
        <v>1</v>
      </c>
      <c r="N15" s="14">
        <v>0</v>
      </c>
      <c r="O15" s="14">
        <v>1</v>
      </c>
      <c r="P15" s="14">
        <v>3</v>
      </c>
      <c r="Q15" s="14">
        <v>3</v>
      </c>
      <c r="R15" s="16">
        <f>IF($AY15="Conflict","",IF(COUNT(H15:Q15)=10,SUM(H15:Q15),IF(ISNUMBER($AU15),$AU15,"")))</f>
        <v>18</v>
      </c>
      <c r="S15" s="16">
        <f>IF(ISNUMBER(R15),R15/30*100,"")</f>
        <v>60.0</v>
      </c>
      <c r="T15" s="16">
        <f>IF($AY15="Conflict","",IF(COUNT(H15:J15,L15)=4,SUM(H15:J15,L15),""))</f>
        <v>8</v>
      </c>
      <c r="U15" s="16">
        <f>IF($AY15="Conflict","",IF(COUNT(K15,M15:O15)=4,SUM(K15,M15:O15),""))</f>
        <v>4</v>
      </c>
      <c r="V15" s="16">
        <f>IF($AY15="Conflict","",IF(COUNT(P15:Q15)=2,SUM(P15:Q15),""))</f>
        <v>6</v>
      </c>
      <c r="W15" s="15" t="s">
        <v>32</v>
      </c>
      <c r="X15" s="15" t="s">
        <v>33</v>
      </c>
      <c r="Y15" s="14">
        <v>30</v>
      </c>
      <c r="Z15" s="16">
        <f>IF(ISNUMBER(R15),R15,"")</f>
        <v>18</v>
      </c>
      <c r="AA15" s="13"/>
      <c r="AB15" s="13"/>
      <c r="AC15" s="14">
        <v>1</v>
      </c>
      <c r="AD15" s="13"/>
      <c r="AE15" s="17">
        <v>218542.51</v>
      </c>
      <c r="AF15" s="17">
        <v>279394.8</v>
      </c>
      <c r="AG15" s="17">
        <v>3173.78</v>
      </c>
      <c r="AH15" s="18">
        <f>IF(AND(ISNUMBER(AG15),ISNUMBER(AF15),AF15&gt;0),AG15/AF15,"")</f>
        <v>0.011359481278821224</v>
      </c>
      <c r="AI15" s="17">
        <v>88963.81</v>
      </c>
      <c r="AJ15" s="17">
        <v>7340.95</v>
      </c>
      <c r="AK15" s="18">
        <f>IF(ISNUMBER(Financial_Panel!L85),Financial_Panel!L85,"")</f>
        <v>0.08609179915787551</v>
      </c>
      <c r="AL15" s="17">
        <v>15670.52</v>
      </c>
      <c r="AM15" s="15" t="s">
        <v>47</v>
      </c>
      <c r="AN15" s="12" t="s">
        <v>36</v>
      </c>
      <c r="AO15" s="15" t="s">
        <v>32</v>
      </c>
      <c r="AP15" s="12" t="s">
        <v>93</v>
      </c>
      <c r="AQ15" s="12" t="s">
        <v>94</v>
      </c>
      <c r="AR15" s="19">
        <v>46318</v>
      </c>
      <c r="AS15" s="15" t="s">
        <v>95</v>
      </c>
      <c r="AT15" s="15" t="s">
        <v>96</v>
      </c>
      <c r="AU15" s="14">
        <v>18</v>
      </c>
      <c r="AV15" s="12" t="s">
        <v>41</v>
      </c>
      <c r="AW15" s="15" t="s">
        <v>42</v>
      </c>
      <c r="AX15" s="15" t="s">
        <v>43</v>
      </c>
      <c r="AY15" s="15" t="s">
        <v>44</v>
      </c>
      <c r="AZ15" s="12" t="s">
        <v>45</v>
      </c>
    </row>
    <row r="16" spans="1:52" ht="30" customHeight="1">
      <c r="A16" s="12" t="s">
        <v>97</v>
      </c>
      <c r="B16" s="12" t="s">
        <v>98</v>
      </c>
      <c r="C16" s="13"/>
      <c r="D16" s="14">
        <v>1</v>
      </c>
      <c r="E16" s="15" t="s">
        <v>30</v>
      </c>
      <c r="F16" s="13"/>
      <c r="G16" s="14">
        <v>1</v>
      </c>
      <c r="H16" s="14">
        <v>3</v>
      </c>
      <c r="I16" s="14">
        <v>2</v>
      </c>
      <c r="J16" s="14">
        <v>3</v>
      </c>
      <c r="K16" s="14">
        <v>3</v>
      </c>
      <c r="L16" s="14">
        <v>2</v>
      </c>
      <c r="M16" s="14">
        <v>2</v>
      </c>
      <c r="N16" s="14">
        <v>3</v>
      </c>
      <c r="O16" s="14">
        <v>3</v>
      </c>
      <c r="P16" s="14">
        <v>2</v>
      </c>
      <c r="Q16" s="14">
        <v>2</v>
      </c>
      <c r="R16" s="16">
        <f>IF($AY16="Conflict","",IF(COUNT(H16:Q16)=10,SUM(H16:Q16),IF(ISNUMBER($AU16),$AU16,"")))</f>
        <v>25</v>
      </c>
      <c r="S16" s="16">
        <f>IF(ISNUMBER(R16),R16/30*100,"")</f>
        <v>83.33333333333334</v>
      </c>
      <c r="T16" s="16">
        <f>IF($AY16="Conflict","",IF(COUNT(H16:J16,L16)=4,SUM(H16:J16,L16),""))</f>
        <v>10</v>
      </c>
      <c r="U16" s="16">
        <f>IF($AY16="Conflict","",IF(COUNT(K16,M16:O16)=4,SUM(K16,M16:O16),""))</f>
        <v>11</v>
      </c>
      <c r="V16" s="16">
        <f>IF($AY16="Conflict","",IF(COUNT(P16:Q16)=2,SUM(P16:Q16),""))</f>
        <v>4</v>
      </c>
      <c r="W16" s="15" t="s">
        <v>32</v>
      </c>
      <c r="X16" s="13"/>
      <c r="Y16" s="13"/>
      <c r="Z16" s="13"/>
      <c r="AA16" s="14">
        <v>1</v>
      </c>
      <c r="AB16" s="13"/>
      <c r="AC16" s="14" t="s">
        <v>34</v>
      </c>
      <c r="AD16" s="14">
        <v>1</v>
      </c>
      <c r="AE16" s="17">
        <v>20789.1</v>
      </c>
      <c r="AF16" s="17">
        <v>25412.61</v>
      </c>
      <c r="AG16" s="17">
        <v>2402.27</v>
      </c>
      <c r="AH16" s="18">
        <f>IF(AND(ISNUMBER(AG16),ISNUMBER(AF16),AF16&gt;0),AG16/AF16,"")</f>
        <v>0.09453062869181875</v>
      </c>
      <c r="AI16" s="17">
        <v>0</v>
      </c>
      <c r="AJ16" s="17">
        <v>108.22</v>
      </c>
      <c r="AK16" s="18">
        <f>IF(ISNUMBER(Financial_Panel!L49),Financial_Panel!L49,"")</f>
        <v/>
      </c>
      <c r="AL16" s="17">
        <v>1968.44</v>
      </c>
      <c r="AM16" s="13"/>
      <c r="AN16" s="12" t="s">
        <v>99</v>
      </c>
      <c r="AO16" s="15" t="s">
        <v>32</v>
      </c>
      <c r="AP16" s="12" t="s">
        <v>100</v>
      </c>
      <c r="AQ16" s="12" t="s">
        <v>101</v>
      </c>
      <c r="AR16" s="19">
        <v>46318</v>
      </c>
      <c r="AS16" s="15" t="s">
        <v>102</v>
      </c>
      <c r="AT16" s="15" t="s">
        <v>103</v>
      </c>
      <c r="AU16" s="14">
        <v>25</v>
      </c>
      <c r="AV16" s="12" t="s">
        <v>41</v>
      </c>
      <c r="AW16" s="15" t="s">
        <v>42</v>
      </c>
      <c r="AX16" s="15" t="s">
        <v>43</v>
      </c>
      <c r="AY16" s="15" t="s">
        <v>44</v>
      </c>
      <c r="AZ16" s="12" t="s">
        <v>104</v>
      </c>
    </row>
    <row r="17" spans="1:52" ht="30" customHeight="1">
      <c r="A17" s="12" t="s">
        <v>105</v>
      </c>
      <c r="B17" s="12" t="s">
        <v>98</v>
      </c>
      <c r="C17" s="13"/>
      <c r="D17" s="14">
        <v>1</v>
      </c>
      <c r="E17" s="15" t="s">
        <v>30</v>
      </c>
      <c r="F17" s="13"/>
      <c r="G17" s="14">
        <v>1</v>
      </c>
      <c r="H17" s="14">
        <v>3</v>
      </c>
      <c r="I17" s="14">
        <v>1</v>
      </c>
      <c r="J17" s="14">
        <v>3</v>
      </c>
      <c r="K17" s="14">
        <v>3</v>
      </c>
      <c r="L17" s="14">
        <v>1</v>
      </c>
      <c r="M17" s="14">
        <v>2</v>
      </c>
      <c r="N17" s="14">
        <v>0</v>
      </c>
      <c r="O17" s="14">
        <v>3</v>
      </c>
      <c r="P17" s="14">
        <v>3</v>
      </c>
      <c r="Q17" s="14">
        <v>2</v>
      </c>
      <c r="R17" s="16">
        <f>IF($AY17="Conflict","",IF(COUNT(H17:Q17)=10,SUM(H17:Q17),IF(ISNUMBER($AU17),$AU17,"")))</f>
        <v>21</v>
      </c>
      <c r="S17" s="16">
        <f>IF(ISNUMBER(R17),R17/30*100,"")</f>
        <v>70.0</v>
      </c>
      <c r="T17" s="16">
        <f>IF($AY17="Conflict","",IF(COUNT(H17:J17,L17)=4,SUM(H17:J17,L17),""))</f>
        <v>8</v>
      </c>
      <c r="U17" s="16">
        <f>IF($AY17="Conflict","",IF(COUNT(K17,M17:O17)=4,SUM(K17,M17:O17),""))</f>
        <v>8</v>
      </c>
      <c r="V17" s="16">
        <f>IF($AY17="Conflict","",IF(COUNT(P17:Q17)=2,SUM(P17:Q17),""))</f>
        <v>5</v>
      </c>
      <c r="W17" s="15" t="s">
        <v>32</v>
      </c>
      <c r="X17" s="13"/>
      <c r="Y17" s="13"/>
      <c r="Z17" s="13"/>
      <c r="AA17" s="14">
        <v>1</v>
      </c>
      <c r="AB17" s="13"/>
      <c r="AC17" s="14" t="s">
        <v>34</v>
      </c>
      <c r="AD17" s="14">
        <v>1</v>
      </c>
      <c r="AE17" s="17">
        <v>33697.7</v>
      </c>
      <c r="AF17" s="17">
        <v>80945.41</v>
      </c>
      <c r="AG17" s="17">
        <v>5158.41</v>
      </c>
      <c r="AH17" s="18">
        <f>IF(AND(ISNUMBER(AG17),ISNUMBER(AF17),AF17&gt;0),AG17/AF17,"")</f>
        <v>0.0637270229405225</v>
      </c>
      <c r="AI17" s="17">
        <v>26.82</v>
      </c>
      <c r="AJ17" s="17">
        <v>215.94</v>
      </c>
      <c r="AK17" s="18">
        <f>IF(ISNUMBER(Financial_Panel!L50),Financial_Panel!L50,"")</f>
        <v>6.790566037735849</v>
      </c>
      <c r="AL17" s="17">
        <v>8687.049999999999</v>
      </c>
      <c r="AM17" s="13"/>
      <c r="AN17" s="12" t="s">
        <v>106</v>
      </c>
      <c r="AO17" s="15" t="s">
        <v>32</v>
      </c>
      <c r="AP17" s="12" t="s">
        <v>107</v>
      </c>
      <c r="AQ17" s="12" t="s">
        <v>108</v>
      </c>
      <c r="AR17" s="19">
        <v>46318</v>
      </c>
      <c r="AS17" s="15" t="s">
        <v>109</v>
      </c>
      <c r="AT17" s="15" t="s">
        <v>110</v>
      </c>
      <c r="AU17" s="14">
        <v>21</v>
      </c>
      <c r="AV17" s="12" t="s">
        <v>41</v>
      </c>
      <c r="AW17" s="15" t="s">
        <v>42</v>
      </c>
      <c r="AX17" s="15" t="s">
        <v>43</v>
      </c>
      <c r="AY17" s="15" t="s">
        <v>44</v>
      </c>
      <c r="AZ17" s="12" t="s">
        <v>104</v>
      </c>
    </row>
    <row r="18" spans="1:52" ht="30" customHeight="1">
      <c r="A18" s="12" t="s">
        <v>111</v>
      </c>
      <c r="B18" s="12" t="s">
        <v>98</v>
      </c>
      <c r="C18" s="13"/>
      <c r="D18" s="14">
        <v>1</v>
      </c>
      <c r="E18" s="15" t="s">
        <v>30</v>
      </c>
      <c r="F18" s="13"/>
      <c r="G18" s="14">
        <v>1</v>
      </c>
      <c r="H18" s="14">
        <v>3</v>
      </c>
      <c r="I18" s="14">
        <v>3</v>
      </c>
      <c r="J18" s="14">
        <v>3</v>
      </c>
      <c r="K18" s="14">
        <v>3</v>
      </c>
      <c r="L18" s="14">
        <v>2</v>
      </c>
      <c r="M18" s="14">
        <v>2</v>
      </c>
      <c r="N18" s="14">
        <v>0</v>
      </c>
      <c r="O18" s="14">
        <v>2</v>
      </c>
      <c r="P18" s="14">
        <v>3</v>
      </c>
      <c r="Q18" s="14">
        <v>2</v>
      </c>
      <c r="R18" s="16">
        <f>IF($AY18="Conflict","",IF(COUNT(H18:Q18)=10,SUM(H18:Q18),IF(ISNUMBER($AU18),$AU18,"")))</f>
        <v>23</v>
      </c>
      <c r="S18" s="16">
        <f>IF(ISNUMBER(R18),R18/30*100,"")</f>
        <v>76.66666666666667</v>
      </c>
      <c r="T18" s="16">
        <f>IF($AY18="Conflict","",IF(COUNT(H18:J18,L18)=4,SUM(H18:J18,L18),""))</f>
        <v>11</v>
      </c>
      <c r="U18" s="16">
        <f>IF($AY18="Conflict","",IF(COUNT(K18,M18:O18)=4,SUM(K18,M18:O18),""))</f>
        <v>7</v>
      </c>
      <c r="V18" s="16">
        <f>IF($AY18="Conflict","",IF(COUNT(P18:Q18)=2,SUM(P18:Q18),""))</f>
        <v>5</v>
      </c>
      <c r="W18" s="15" t="s">
        <v>54</v>
      </c>
      <c r="X18" s="13"/>
      <c r="Y18" s="13"/>
      <c r="Z18" s="13"/>
      <c r="AA18" s="14">
        <v>1</v>
      </c>
      <c r="AB18" s="13"/>
      <c r="AC18" s="14" t="s">
        <v>34</v>
      </c>
      <c r="AD18" s="13"/>
      <c r="AE18" s="17">
        <v>14804</v>
      </c>
      <c r="AF18" s="17">
        <v>33312</v>
      </c>
      <c r="AG18" s="17">
        <v>1157</v>
      </c>
      <c r="AH18" s="18">
        <f>IF(AND(ISNUMBER(AG18),ISNUMBER(AF18),AF18&gt;0),AG18/AF18,"")</f>
        <v>0.034732228626320846</v>
      </c>
      <c r="AI18" s="17">
        <v>6752</v>
      </c>
      <c r="AJ18" s="17">
        <v>480</v>
      </c>
      <c r="AK18" s="18">
        <f>IF(ISNUMBER(Financial_Panel!L51),Financial_Panel!L51,"")</f>
        <v>0.07993338884263114</v>
      </c>
      <c r="AL18" s="17">
        <v>2056</v>
      </c>
      <c r="AM18" s="13"/>
      <c r="AN18" s="12" t="s">
        <v>112</v>
      </c>
      <c r="AO18" s="15" t="s">
        <v>54</v>
      </c>
      <c r="AP18" s="12" t="s">
        <v>113</v>
      </c>
      <c r="AQ18" s="12" t="s">
        <v>114</v>
      </c>
      <c r="AR18" s="19">
        <v>46318</v>
      </c>
      <c r="AS18" s="15" t="s">
        <v>115</v>
      </c>
      <c r="AT18" s="15" t="s">
        <v>116</v>
      </c>
      <c r="AU18" s="14">
        <v>23</v>
      </c>
      <c r="AV18" s="12" t="s">
        <v>41</v>
      </c>
      <c r="AW18" s="15" t="s">
        <v>42</v>
      </c>
      <c r="AX18" s="15" t="s">
        <v>43</v>
      </c>
      <c r="AY18" s="15" t="s">
        <v>44</v>
      </c>
      <c r="AZ18" s="12" t="s">
        <v>104</v>
      </c>
    </row>
    <row r="19" spans="1:52" ht="30" customHeight="1">
      <c r="A19" s="12" t="s">
        <v>117</v>
      </c>
      <c r="B19" s="12" t="s">
        <v>98</v>
      </c>
      <c r="C19" s="13"/>
      <c r="D19" s="14">
        <v>1</v>
      </c>
      <c r="E19" s="15" t="s">
        <v>30</v>
      </c>
      <c r="F19" s="13"/>
      <c r="G19" s="14">
        <v>1</v>
      </c>
      <c r="H19" s="14">
        <v>3</v>
      </c>
      <c r="I19" s="14">
        <v>3</v>
      </c>
      <c r="J19" s="14">
        <v>3</v>
      </c>
      <c r="K19" s="14">
        <v>3</v>
      </c>
      <c r="L19" s="14">
        <v>3</v>
      </c>
      <c r="M19" s="14">
        <v>3</v>
      </c>
      <c r="N19" s="14">
        <v>3</v>
      </c>
      <c r="O19" s="14">
        <v>3</v>
      </c>
      <c r="P19" s="14">
        <v>3</v>
      </c>
      <c r="Q19" s="14">
        <v>2</v>
      </c>
      <c r="R19" s="16">
        <f>IF($AY19="Conflict","",IF(COUNT(H19:Q19)=10,SUM(H19:Q19),IF(ISNUMBER($AU19),$AU19,"")))</f>
        <v>29</v>
      </c>
      <c r="S19" s="16">
        <f>IF(ISNUMBER(R19),R19/30*100,"")</f>
        <v>96.66666666666667</v>
      </c>
      <c r="T19" s="16">
        <f>IF($AY19="Conflict","",IF(COUNT(H19:J19,L19)=4,SUM(H19:J19,L19),""))</f>
        <v>12</v>
      </c>
      <c r="U19" s="16">
        <f>IF($AY19="Conflict","",IF(COUNT(K19,M19:O19)=4,SUM(K19,M19:O19),""))</f>
        <v>12</v>
      </c>
      <c r="V19" s="16">
        <f>IF($AY19="Conflict","",IF(COUNT(P19:Q19)=2,SUM(P19:Q19),""))</f>
        <v>5</v>
      </c>
      <c r="W19" s="15" t="s">
        <v>54</v>
      </c>
      <c r="X19" s="13"/>
      <c r="Y19" s="13"/>
      <c r="Z19" s="13"/>
      <c r="AA19" s="14">
        <v>1</v>
      </c>
      <c r="AB19" s="13"/>
      <c r="AC19" s="14" t="s">
        <v>34</v>
      </c>
      <c r="AD19" s="13"/>
      <c r="AE19" s="17">
        <v>13722.3</v>
      </c>
      <c r="AF19" s="17">
        <v>18499.97</v>
      </c>
      <c r="AG19" s="17">
        <v>987.99</v>
      </c>
      <c r="AH19" s="18">
        <f>IF(AND(ISNUMBER(AG19),ISNUMBER(AF19),AF19&gt;0),AG19/AF19,"")</f>
        <v>0.053404951467488866</v>
      </c>
      <c r="AI19" s="17">
        <v>6073.63</v>
      </c>
      <c r="AJ19" s="17">
        <v>424.27</v>
      </c>
      <c r="AK19" s="18">
        <f>IF(ISNUMBER(Financial_Panel!L52),Financial_Panel!L52,"")</f>
        <v>0.07089386389688165</v>
      </c>
      <c r="AL19" s="17">
        <v>2266.45</v>
      </c>
      <c r="AM19" s="13"/>
      <c r="AN19" s="12" t="s">
        <v>118</v>
      </c>
      <c r="AO19" s="15" t="s">
        <v>54</v>
      </c>
      <c r="AP19" s="12" t="s">
        <v>119</v>
      </c>
      <c r="AQ19" s="12" t="s">
        <v>120</v>
      </c>
      <c r="AR19" s="19">
        <v>46318</v>
      </c>
      <c r="AS19" s="15" t="s">
        <v>121</v>
      </c>
      <c r="AT19" s="15" t="s">
        <v>122</v>
      </c>
      <c r="AU19" s="14">
        <v>29</v>
      </c>
      <c r="AV19" s="12" t="s">
        <v>41</v>
      </c>
      <c r="AW19" s="15" t="s">
        <v>42</v>
      </c>
      <c r="AX19" s="15" t="s">
        <v>43</v>
      </c>
      <c r="AY19" s="15" t="s">
        <v>44</v>
      </c>
      <c r="AZ19" s="12" t="s">
        <v>104</v>
      </c>
    </row>
    <row r="20" spans="1:52" ht="30" customHeight="1">
      <c r="A20" s="12" t="s">
        <v>123</v>
      </c>
      <c r="B20" s="12" t="s">
        <v>98</v>
      </c>
      <c r="C20" s="13"/>
      <c r="D20" s="14">
        <v>1</v>
      </c>
      <c r="E20" s="15" t="s">
        <v>30</v>
      </c>
      <c r="F20" s="13"/>
      <c r="G20" s="14">
        <v>1</v>
      </c>
      <c r="H20" s="14">
        <v>3</v>
      </c>
      <c r="I20" s="14">
        <v>2</v>
      </c>
      <c r="J20" s="14">
        <v>3</v>
      </c>
      <c r="K20" s="14">
        <v>3</v>
      </c>
      <c r="L20" s="14">
        <v>1</v>
      </c>
      <c r="M20" s="14">
        <v>2</v>
      </c>
      <c r="N20" s="14">
        <v>0</v>
      </c>
      <c r="O20" s="14">
        <v>2</v>
      </c>
      <c r="P20" s="14">
        <v>3</v>
      </c>
      <c r="Q20" s="14">
        <v>2</v>
      </c>
      <c r="R20" s="16">
        <f>IF($AY20="Conflict","",IF(COUNT(H20:Q20)=10,SUM(H20:Q20),IF(ISNUMBER($AU20),$AU20,"")))</f>
        <v>21</v>
      </c>
      <c r="S20" s="16">
        <f>IF(ISNUMBER(R20),R20/30*100,"")</f>
        <v>70.0</v>
      </c>
      <c r="T20" s="16">
        <f>IF($AY20="Conflict","",IF(COUNT(H20:J20,L20)=4,SUM(H20:J20,L20),""))</f>
        <v>9</v>
      </c>
      <c r="U20" s="16">
        <f>IF($AY20="Conflict","",IF(COUNT(K20,M20:O20)=4,SUM(K20,M20:O20),""))</f>
        <v>7</v>
      </c>
      <c r="V20" s="16">
        <f>IF($AY20="Conflict","",IF(COUNT(P20:Q20)=2,SUM(P20:Q20),""))</f>
        <v>5</v>
      </c>
      <c r="W20" s="15" t="s">
        <v>54</v>
      </c>
      <c r="X20" s="13"/>
      <c r="Y20" s="13"/>
      <c r="Z20" s="13"/>
      <c r="AA20" s="14">
        <v>1</v>
      </c>
      <c r="AB20" s="13"/>
      <c r="AC20" s="14" t="s">
        <v>34</v>
      </c>
      <c r="AD20" s="13"/>
      <c r="AE20" s="17">
        <v>6512.46</v>
      </c>
      <c r="AF20" s="17">
        <v>14535.48</v>
      </c>
      <c r="AG20" s="17">
        <v>-798.78</v>
      </c>
      <c r="AH20" s="18">
        <f>IF(AND(ISNUMBER(AG20),ISNUMBER(AF20),AF20&gt;0),AG20/AF20,"")</f>
        <v>-0.054953809574915996</v>
      </c>
      <c r="AI20" s="17">
        <v>4081.61</v>
      </c>
      <c r="AJ20" s="17">
        <v>377.96</v>
      </c>
      <c r="AK20" s="18">
        <f>IF(ISNUMBER(Financial_Panel!L53),Financial_Panel!L53,"")</f>
        <v>0.07376153377777084</v>
      </c>
      <c r="AL20" s="17">
        <v>1961.52</v>
      </c>
      <c r="AM20" s="13"/>
      <c r="AN20" s="12" t="s">
        <v>124</v>
      </c>
      <c r="AO20" s="15" t="s">
        <v>54</v>
      </c>
      <c r="AP20" s="12" t="s">
        <v>125</v>
      </c>
      <c r="AQ20" s="12" t="s">
        <v>126</v>
      </c>
      <c r="AR20" s="19">
        <v>46318</v>
      </c>
      <c r="AS20" s="15" t="s">
        <v>127</v>
      </c>
      <c r="AT20" s="15" t="s">
        <v>128</v>
      </c>
      <c r="AU20" s="14">
        <v>21</v>
      </c>
      <c r="AV20" s="12" t="s">
        <v>41</v>
      </c>
      <c r="AW20" s="15" t="s">
        <v>42</v>
      </c>
      <c r="AX20" s="15" t="s">
        <v>43</v>
      </c>
      <c r="AY20" s="15" t="s">
        <v>44</v>
      </c>
      <c r="AZ20" s="12" t="s">
        <v>104</v>
      </c>
    </row>
    <row r="21" spans="1:52" ht="30" customHeight="1">
      <c r="A21" s="12" t="s">
        <v>129</v>
      </c>
      <c r="B21" s="12" t="s">
        <v>98</v>
      </c>
      <c r="C21" s="13"/>
      <c r="D21" s="14">
        <v>1</v>
      </c>
      <c r="E21" s="15" t="s">
        <v>30</v>
      </c>
      <c r="F21" s="13"/>
      <c r="G21" s="14">
        <v>1</v>
      </c>
      <c r="H21" s="14">
        <v>3</v>
      </c>
      <c r="I21" s="14">
        <v>3</v>
      </c>
      <c r="J21" s="14">
        <v>3</v>
      </c>
      <c r="K21" s="14">
        <v>3</v>
      </c>
      <c r="L21" s="14">
        <v>2</v>
      </c>
      <c r="M21" s="14">
        <v>2</v>
      </c>
      <c r="N21" s="14">
        <v>0</v>
      </c>
      <c r="O21" s="14">
        <v>1</v>
      </c>
      <c r="P21" s="14">
        <v>3</v>
      </c>
      <c r="Q21" s="14">
        <v>2</v>
      </c>
      <c r="R21" s="16">
        <f>IF($AY21="Conflict","",IF(COUNT(H21:Q21)=10,SUM(H21:Q21),IF(ISNUMBER($AU21),$AU21,"")))</f>
        <v>22</v>
      </c>
      <c r="S21" s="16">
        <f>IF(ISNUMBER(R21),R21/30*100,"")</f>
        <v>73.33333333333333</v>
      </c>
      <c r="T21" s="16">
        <f>IF($AY21="Conflict","",IF(COUNT(H21:J21,L21)=4,SUM(H21:J21,L21),""))</f>
        <v>11</v>
      </c>
      <c r="U21" s="16">
        <f>IF($AY21="Conflict","",IF(COUNT(K21,M21:O21)=4,SUM(K21,M21:O21),""))</f>
        <v>6</v>
      </c>
      <c r="V21" s="16">
        <f>IF($AY21="Conflict","",IF(COUNT(P21:Q21)=2,SUM(P21:Q21),""))</f>
        <v>5</v>
      </c>
      <c r="W21" s="15" t="s">
        <v>54</v>
      </c>
      <c r="X21" s="13"/>
      <c r="Y21" s="13"/>
      <c r="Z21" s="13"/>
      <c r="AA21" s="14">
        <v>1</v>
      </c>
      <c r="AB21" s="13"/>
      <c r="AC21" s="14" t="s">
        <v>34</v>
      </c>
      <c r="AD21" s="13"/>
      <c r="AE21" s="17">
        <v>20943.47</v>
      </c>
      <c r="AF21" s="17">
        <v>31475.69</v>
      </c>
      <c r="AG21" s="17">
        <v>1748.66</v>
      </c>
      <c r="AH21" s="18">
        <f>IF(AND(ISNUMBER(AG21),ISNUMBER(AF21),AF21&gt;0),AG21/AF21,"")</f>
        <v>0.05555589091136684</v>
      </c>
      <c r="AI21" s="17">
        <v>1593.72</v>
      </c>
      <c r="AJ21" s="17">
        <v>211.72</v>
      </c>
      <c r="AK21" s="18">
        <f>IF(ISNUMBER(Financial_Panel!L54),Financial_Panel!L54,"")</f>
        <v>0.17565459794909236</v>
      </c>
      <c r="AL21" s="17">
        <v>1909.16</v>
      </c>
      <c r="AM21" s="13"/>
      <c r="AN21" s="12" t="s">
        <v>130</v>
      </c>
      <c r="AO21" s="15" t="s">
        <v>54</v>
      </c>
      <c r="AP21" s="12" t="s">
        <v>131</v>
      </c>
      <c r="AQ21" s="12" t="s">
        <v>132</v>
      </c>
      <c r="AR21" s="19">
        <v>46318</v>
      </c>
      <c r="AS21" s="15" t="s">
        <v>133</v>
      </c>
      <c r="AT21" s="15" t="s">
        <v>134</v>
      </c>
      <c r="AU21" s="14">
        <v>22</v>
      </c>
      <c r="AV21" s="12" t="s">
        <v>41</v>
      </c>
      <c r="AW21" s="15" t="s">
        <v>42</v>
      </c>
      <c r="AX21" s="15" t="s">
        <v>43</v>
      </c>
      <c r="AY21" s="15" t="s">
        <v>44</v>
      </c>
      <c r="AZ21" s="12" t="s">
        <v>104</v>
      </c>
    </row>
    <row r="22" spans="1:52" ht="30" customHeight="1">
      <c r="A22" s="12" t="s">
        <v>135</v>
      </c>
      <c r="B22" s="12" t="s">
        <v>98</v>
      </c>
      <c r="C22" s="13"/>
      <c r="D22" s="14">
        <v>1</v>
      </c>
      <c r="E22" s="15" t="s">
        <v>30</v>
      </c>
      <c r="F22" s="13"/>
      <c r="G22" s="14">
        <v>1</v>
      </c>
      <c r="H22" s="14">
        <v>3</v>
      </c>
      <c r="I22" s="14">
        <v>3</v>
      </c>
      <c r="J22" s="14">
        <v>3</v>
      </c>
      <c r="K22" s="14">
        <v>3</v>
      </c>
      <c r="L22" s="14">
        <v>2</v>
      </c>
      <c r="M22" s="14">
        <v>2</v>
      </c>
      <c r="N22" s="14">
        <v>3</v>
      </c>
      <c r="O22" s="14">
        <v>3</v>
      </c>
      <c r="P22" s="14">
        <v>3</v>
      </c>
      <c r="Q22" s="14">
        <v>2</v>
      </c>
      <c r="R22" s="16">
        <f>IF($AY22="Conflict","",IF(COUNT(H22:Q22)=10,SUM(H22:Q22),IF(ISNUMBER($AU22),$AU22,"")))</f>
        <v>27</v>
      </c>
      <c r="S22" s="16">
        <f>IF(ISNUMBER(R22),R22/30*100,"")</f>
        <v>90.0</v>
      </c>
      <c r="T22" s="16">
        <f>IF($AY22="Conflict","",IF(COUNT(H22:J22,L22)=4,SUM(H22:J22,L22),""))</f>
        <v>11</v>
      </c>
      <c r="U22" s="16">
        <f>IF($AY22="Conflict","",IF(COUNT(K22,M22:O22)=4,SUM(K22,M22:O22),""))</f>
        <v>11</v>
      </c>
      <c r="V22" s="16">
        <f>IF($AY22="Conflict","",IF(COUNT(P22:Q22)=2,SUM(P22:Q22),""))</f>
        <v>5</v>
      </c>
      <c r="W22" s="15" t="s">
        <v>54</v>
      </c>
      <c r="X22" s="13"/>
      <c r="Y22" s="13"/>
      <c r="Z22" s="13"/>
      <c r="AA22" s="14">
        <v>1</v>
      </c>
      <c r="AB22" s="13"/>
      <c r="AC22" s="14" t="s">
        <v>34</v>
      </c>
      <c r="AD22" s="13"/>
      <c r="AE22" s="17">
        <v>88511.53</v>
      </c>
      <c r="AF22" s="17">
        <v>141376.05</v>
      </c>
      <c r="AG22" s="17">
        <v>8188.35</v>
      </c>
      <c r="AH22" s="18">
        <f>IF(AND(ISNUMBER(AG22),ISNUMBER(AF22),AF22&gt;0),AG22/AF22,"")</f>
        <v>0.057918933228082135</v>
      </c>
      <c r="AI22" s="17">
        <v>22780.66</v>
      </c>
      <c r="AJ22" s="17">
        <v>1871.71</v>
      </c>
      <c r="AK22" s="18">
        <f>IF(ISNUMBER(Financial_Panel!L55),Financial_Panel!L55,"")</f>
        <v>0.08171327598984102</v>
      </c>
      <c r="AL22" s="17">
        <v>9677.77</v>
      </c>
      <c r="AM22" s="13"/>
      <c r="AN22" s="12" t="s">
        <v>136</v>
      </c>
      <c r="AO22" s="15" t="s">
        <v>54</v>
      </c>
      <c r="AP22" s="12" t="s">
        <v>137</v>
      </c>
      <c r="AQ22" s="12" t="s">
        <v>138</v>
      </c>
      <c r="AR22" s="19">
        <v>46318</v>
      </c>
      <c r="AS22" s="15" t="s">
        <v>139</v>
      </c>
      <c r="AT22" s="15" t="s">
        <v>140</v>
      </c>
      <c r="AU22" s="14">
        <v>27</v>
      </c>
      <c r="AV22" s="12" t="s">
        <v>41</v>
      </c>
      <c r="AW22" s="15" t="s">
        <v>42</v>
      </c>
      <c r="AX22" s="15" t="s">
        <v>43</v>
      </c>
      <c r="AY22" s="15" t="s">
        <v>44</v>
      </c>
      <c r="AZ22" s="12" t="s">
        <v>104</v>
      </c>
    </row>
    <row r="23" spans="1:52" ht="30" customHeight="1">
      <c r="A23" s="12" t="s">
        <v>141</v>
      </c>
      <c r="B23" s="12" t="s">
        <v>142</v>
      </c>
      <c r="C23" s="13"/>
      <c r="D23" s="14">
        <v>1</v>
      </c>
      <c r="E23" s="13"/>
      <c r="F23" s="13"/>
      <c r="G23" s="13"/>
      <c r="H23" s="14">
        <v>3</v>
      </c>
      <c r="I23" s="14">
        <v>0</v>
      </c>
      <c r="J23" s="14">
        <v>0</v>
      </c>
      <c r="K23" s="14">
        <v>0</v>
      </c>
      <c r="L23" s="14">
        <v>0</v>
      </c>
      <c r="M23" s="14">
        <v>0</v>
      </c>
      <c r="N23" s="14">
        <v>2</v>
      </c>
      <c r="O23" s="14">
        <v>1</v>
      </c>
      <c r="P23" s="14">
        <v>2</v>
      </c>
      <c r="Q23" s="14">
        <v>0</v>
      </c>
      <c r="R23" s="16">
        <f>IF($AY23="Conflict","",IF(COUNT(H23:Q23)=10,SUM(H23:Q23),IF(ISNUMBER($AU23),$AU23,"")))</f>
        <v>8</v>
      </c>
      <c r="S23" s="16">
        <f>IF(ISNUMBER(R23),R23/30*100,"")</f>
        <v>26.666666666666668</v>
      </c>
      <c r="T23" s="16">
        <f>IF($AY23="Conflict","",IF(COUNT(H23:J23,L23)=4,SUM(H23:J23,L23),""))</f>
        <v>3</v>
      </c>
      <c r="U23" s="16">
        <f>IF($AY23="Conflict","",IF(COUNT(K23,M23:O23)=4,SUM(K23,M23:O23),""))</f>
        <v>3</v>
      </c>
      <c r="V23" s="16">
        <f>IF($AY23="Conflict","",IF(COUNT(P23:Q23)=2,SUM(P23:Q23),""))</f>
        <v>2</v>
      </c>
      <c r="W23" s="15" t="s">
        <v>32</v>
      </c>
      <c r="X23" s="13"/>
      <c r="Y23" s="13"/>
      <c r="Z23" s="13"/>
      <c r="AA23" s="13"/>
      <c r="AB23" s="13"/>
      <c r="AC23" s="13"/>
      <c r="AD23" s="13"/>
      <c r="AE23" s="17">
        <v>188.52</v>
      </c>
      <c r="AF23" s="17">
        <v>149.23</v>
      </c>
      <c r="AG23" s="17">
        <v>18.09</v>
      </c>
      <c r="AH23" s="18">
        <f>IF(AND(ISNUMBER(AG23),ISNUMBER(AF23),AF23&gt;0),AG23/AF23,"")</f>
        <v>0.12122227434162032</v>
      </c>
      <c r="AI23" s="13"/>
      <c r="AJ23" s="13"/>
      <c r="AK23" s="20">
        <v>0.1264</v>
      </c>
      <c r="AL23" s="13"/>
      <c r="AM23" s="13"/>
      <c r="AN23" s="12" t="s">
        <v>143</v>
      </c>
      <c r="AO23" s="15" t="s">
        <v>32</v>
      </c>
      <c r="AP23" s="12" t="s">
        <v>144</v>
      </c>
      <c r="AQ23" s="13"/>
      <c r="AR23" s="13"/>
      <c r="AS23" s="15" t="s">
        <v>145</v>
      </c>
      <c r="AT23" s="15" t="s">
        <v>146</v>
      </c>
      <c r="AU23" s="14">
        <v>8</v>
      </c>
      <c r="AV23" s="12" t="s">
        <v>147</v>
      </c>
      <c r="AW23" s="15" t="s">
        <v>42</v>
      </c>
      <c r="AX23" s="15" t="s">
        <v>148</v>
      </c>
      <c r="AY23" s="15" t="s">
        <v>149</v>
      </c>
      <c r="AZ23" s="12" t="s">
        <v>150</v>
      </c>
    </row>
    <row r="24" spans="1:52" ht="30" customHeight="1">
      <c r="A24" s="12" t="s">
        <v>151</v>
      </c>
      <c r="B24" s="12" t="s">
        <v>142</v>
      </c>
      <c r="C24" s="13"/>
      <c r="D24" s="13"/>
      <c r="E24" s="13"/>
      <c r="F24" s="12" t="s">
        <v>152</v>
      </c>
      <c r="G24" s="13"/>
      <c r="H24" s="14">
        <v>3</v>
      </c>
      <c r="I24" s="14">
        <v>0</v>
      </c>
      <c r="J24" s="14">
        <v>0</v>
      </c>
      <c r="K24" s="14">
        <v>2</v>
      </c>
      <c r="L24" s="14">
        <v>2</v>
      </c>
      <c r="M24" s="14">
        <v>1</v>
      </c>
      <c r="N24" s="14">
        <v>3</v>
      </c>
      <c r="O24" s="14">
        <v>3</v>
      </c>
      <c r="P24" s="14">
        <v>3</v>
      </c>
      <c r="Q24" s="14">
        <v>0</v>
      </c>
      <c r="R24" s="16">
        <f>IF($AY24="Conflict","",IF(COUNT(H24:Q24)=10,SUM(H24:Q24),IF(ISNUMBER($AU24),$AU24,"")))</f>
        <v>17</v>
      </c>
      <c r="S24" s="16">
        <f>IF(ISNUMBER(R24),R24/30*100,"")</f>
        <v>56.666666666666664</v>
      </c>
      <c r="T24" s="16">
        <f>IF($AY24="Conflict","",IF(COUNT(H24:J24,L24)=4,SUM(H24:J24,L24),""))</f>
        <v>5</v>
      </c>
      <c r="U24" s="16">
        <f>IF($AY24="Conflict","",IF(COUNT(K24,M24:O24)=4,SUM(K24,M24:O24),""))</f>
        <v>9</v>
      </c>
      <c r="V24" s="16">
        <f>IF($AY24="Conflict","",IF(COUNT(P24:Q24)=2,SUM(P24:Q24),""))</f>
        <v>3</v>
      </c>
      <c r="W24" s="15" t="s">
        <v>32</v>
      </c>
      <c r="X24" s="13"/>
      <c r="Y24" s="13"/>
      <c r="Z24" s="13"/>
      <c r="AA24" s="14">
        <v>1</v>
      </c>
      <c r="AB24" s="13"/>
      <c r="AC24" s="13"/>
      <c r="AD24" s="13"/>
      <c r="AE24" s="13"/>
      <c r="AF24" s="13"/>
      <c r="AG24" s="13"/>
      <c r="AH24" s="18">
        <f>IF(AND(ISNUMBER(AG24),ISNUMBER(AF24),AF24&gt;0),AG24/AF24,"")</f>
        <v/>
      </c>
      <c r="AI24" s="13"/>
      <c r="AJ24" s="13"/>
      <c r="AK24" s="13"/>
      <c r="AL24" s="13"/>
      <c r="AM24" s="13"/>
      <c r="AN24" s="12" t="s">
        <v>153</v>
      </c>
      <c r="AO24" s="13"/>
      <c r="AP24" s="12" t="s">
        <v>154</v>
      </c>
      <c r="AQ24" s="13"/>
      <c r="AR24" s="13"/>
      <c r="AS24" s="15" t="s">
        <v>155</v>
      </c>
      <c r="AT24" s="15" t="s">
        <v>156</v>
      </c>
      <c r="AU24" s="14">
        <v>17</v>
      </c>
      <c r="AV24" s="12" t="s">
        <v>147</v>
      </c>
      <c r="AW24" s="15" t="s">
        <v>157</v>
      </c>
      <c r="AX24" s="15" t="s">
        <v>148</v>
      </c>
      <c r="AY24" s="15" t="s">
        <v>149</v>
      </c>
      <c r="AZ24" s="13"/>
    </row>
    <row r="25" spans="1:52" ht="30" customHeight="1">
      <c r="A25" s="12" t="s">
        <v>158</v>
      </c>
      <c r="B25" s="12" t="s">
        <v>142</v>
      </c>
      <c r="C25" s="13"/>
      <c r="D25" s="14">
        <v>1</v>
      </c>
      <c r="E25" s="15" t="s">
        <v>30</v>
      </c>
      <c r="F25" s="13"/>
      <c r="G25" s="13"/>
      <c r="H25" s="14">
        <v>3</v>
      </c>
      <c r="I25" s="14">
        <v>0</v>
      </c>
      <c r="J25" s="14">
        <v>0</v>
      </c>
      <c r="K25" s="14">
        <v>0</v>
      </c>
      <c r="L25" s="14">
        <v>0</v>
      </c>
      <c r="M25" s="14">
        <v>0</v>
      </c>
      <c r="N25" s="14">
        <v>2</v>
      </c>
      <c r="O25" s="14">
        <v>2</v>
      </c>
      <c r="P25" s="14">
        <v>2</v>
      </c>
      <c r="Q25" s="14">
        <v>0</v>
      </c>
      <c r="R25" s="16">
        <f>IF($AY25="Conflict","",IF(COUNT(H25:Q25)=10,SUM(H25:Q25),IF(ISNUMBER($AU25),$AU25,"")))</f>
        <v>9</v>
      </c>
      <c r="S25" s="16">
        <f>IF(ISNUMBER(R25),R25/30*100,"")</f>
        <v>30.0</v>
      </c>
      <c r="T25" s="16">
        <f>IF($AY25="Conflict","",IF(COUNT(H25:J25,L25)=4,SUM(H25:J25,L25),""))</f>
        <v>3</v>
      </c>
      <c r="U25" s="16">
        <f>IF($AY25="Conflict","",IF(COUNT(K25,M25:O25)=4,SUM(K25,M25:O25),""))</f>
        <v>4</v>
      </c>
      <c r="V25" s="16">
        <f>IF($AY25="Conflict","",IF(COUNT(P25:Q25)=2,SUM(P25:Q25),""))</f>
        <v>2</v>
      </c>
      <c r="W25" s="15" t="s">
        <v>32</v>
      </c>
      <c r="X25" s="13"/>
      <c r="Y25" s="13"/>
      <c r="Z25" s="13"/>
      <c r="AA25" s="13"/>
      <c r="AB25" s="13"/>
      <c r="AC25" s="13"/>
      <c r="AD25" s="13"/>
      <c r="AE25" s="17">
        <v>431.25</v>
      </c>
      <c r="AF25" s="17">
        <v>170.83</v>
      </c>
      <c r="AG25" s="17">
        <v>9.94</v>
      </c>
      <c r="AH25" s="18">
        <f>IF(AND(ISNUMBER(AG25),ISNUMBER(AF25),AF25&gt;0),AG25/AF25,"")</f>
        <v>0.05818650120002341</v>
      </c>
      <c r="AI25" s="17">
        <v>49.18</v>
      </c>
      <c r="AJ25" s="17">
        <v>10.37</v>
      </c>
      <c r="AK25" s="18">
        <f>IF(ISNUMBER(Financial_Panel!L12),Financial_Panel!L12,"")</f>
        <v>0.21326478149100256</v>
      </c>
      <c r="AL25" s="13"/>
      <c r="AM25" s="13"/>
      <c r="AN25" s="12" t="s">
        <v>159</v>
      </c>
      <c r="AO25" s="15" t="s">
        <v>32</v>
      </c>
      <c r="AP25" s="12" t="s">
        <v>160</v>
      </c>
      <c r="AQ25" s="12" t="s">
        <v>161</v>
      </c>
      <c r="AR25" s="19">
        <v>46318</v>
      </c>
      <c r="AS25" s="15" t="s">
        <v>162</v>
      </c>
      <c r="AT25" s="15" t="s">
        <v>163</v>
      </c>
      <c r="AU25" s="14">
        <v>9</v>
      </c>
      <c r="AV25" s="12" t="s">
        <v>147</v>
      </c>
      <c r="AW25" s="15" t="s">
        <v>42</v>
      </c>
      <c r="AX25" s="15" t="s">
        <v>148</v>
      </c>
      <c r="AY25" s="15" t="s">
        <v>149</v>
      </c>
      <c r="AZ25" s="12" t="s">
        <v>164</v>
      </c>
    </row>
    <row r="26" spans="1:52" ht="30" customHeight="1">
      <c r="A26" s="12" t="s">
        <v>165</v>
      </c>
      <c r="B26" s="12" t="s">
        <v>142</v>
      </c>
      <c r="C26" s="13"/>
      <c r="D26" s="14">
        <v>1</v>
      </c>
      <c r="E26" s="15" t="s">
        <v>30</v>
      </c>
      <c r="F26" s="13"/>
      <c r="G26" s="13"/>
      <c r="H26" s="14">
        <v>3</v>
      </c>
      <c r="I26" s="14">
        <v>0</v>
      </c>
      <c r="J26" s="14">
        <v>0</v>
      </c>
      <c r="K26" s="14">
        <v>0</v>
      </c>
      <c r="L26" s="14">
        <v>0</v>
      </c>
      <c r="M26" s="14">
        <v>0</v>
      </c>
      <c r="N26" s="14">
        <v>1</v>
      </c>
      <c r="O26" s="14">
        <v>1</v>
      </c>
      <c r="P26" s="14">
        <v>2</v>
      </c>
      <c r="Q26" s="14">
        <v>0</v>
      </c>
      <c r="R26" s="16">
        <f>IF($AY26="Conflict","",IF(COUNT(H26:Q26)=10,SUM(H26:Q26),IF(ISNUMBER($AU26),$AU26,"")))</f>
        <v>7</v>
      </c>
      <c r="S26" s="16">
        <f>IF(ISNUMBER(R26),R26/30*100,"")</f>
        <v>23.333333333333332</v>
      </c>
      <c r="T26" s="16">
        <f>IF($AY26="Conflict","",IF(COUNT(H26:J26,L26)=4,SUM(H26:J26,L26),""))</f>
        <v>3</v>
      </c>
      <c r="U26" s="16">
        <f>IF($AY26="Conflict","",IF(COUNT(K26,M26:O26)=4,SUM(K26,M26:O26),""))</f>
        <v>2</v>
      </c>
      <c r="V26" s="16">
        <f>IF($AY26="Conflict","",IF(COUNT(P26:Q26)=2,SUM(P26:Q26),""))</f>
        <v>2</v>
      </c>
      <c r="W26" s="15" t="s">
        <v>32</v>
      </c>
      <c r="X26" s="13"/>
      <c r="Y26" s="13"/>
      <c r="Z26" s="13"/>
      <c r="AA26" s="13"/>
      <c r="AB26" s="13"/>
      <c r="AC26" s="13"/>
      <c r="AD26" s="13"/>
      <c r="AE26" s="17">
        <v>423.1855</v>
      </c>
      <c r="AF26" s="17">
        <v>310.1309</v>
      </c>
      <c r="AG26" s="17">
        <v>18.4307</v>
      </c>
      <c r="AH26" s="18">
        <f>IF(AND(ISNUMBER(AG26),ISNUMBER(AF26),AF26&gt;0),AG26/AF26,"")</f>
        <v>0.05942877668752129</v>
      </c>
      <c r="AI26" s="17">
        <v>111.7343</v>
      </c>
      <c r="AJ26" s="17">
        <v>11.3291</v>
      </c>
      <c r="AK26" s="18">
        <f>IF(ISNUMBER(Financial_Panel!L14),Financial_Panel!L14,"")</f>
        <v>0.11371321717537215</v>
      </c>
      <c r="AL26" s="17">
        <v>21.6696</v>
      </c>
      <c r="AM26" s="13"/>
      <c r="AN26" s="12" t="s">
        <v>159</v>
      </c>
      <c r="AO26" s="15" t="s">
        <v>32</v>
      </c>
      <c r="AP26" s="12" t="s">
        <v>166</v>
      </c>
      <c r="AQ26" s="12" t="s">
        <v>167</v>
      </c>
      <c r="AR26" s="19">
        <v>46318</v>
      </c>
      <c r="AS26" s="15" t="s">
        <v>168</v>
      </c>
      <c r="AT26" s="15" t="s">
        <v>169</v>
      </c>
      <c r="AU26" s="14">
        <v>7</v>
      </c>
      <c r="AV26" s="12" t="s">
        <v>147</v>
      </c>
      <c r="AW26" s="15" t="s">
        <v>42</v>
      </c>
      <c r="AX26" s="15" t="s">
        <v>148</v>
      </c>
      <c r="AY26" s="15" t="s">
        <v>149</v>
      </c>
      <c r="AZ26" s="12" t="s">
        <v>170</v>
      </c>
    </row>
    <row r="27" spans="1:52" ht="30" customHeight="1">
      <c r="A27" s="12" t="s">
        <v>171</v>
      </c>
      <c r="B27" s="12" t="s">
        <v>142</v>
      </c>
      <c r="C27" s="13"/>
      <c r="D27" s="14">
        <v>1</v>
      </c>
      <c r="E27" s="15" t="s">
        <v>30</v>
      </c>
      <c r="F27" s="12" t="s">
        <v>31</v>
      </c>
      <c r="G27" s="14">
        <v>1</v>
      </c>
      <c r="H27" s="14">
        <v>3</v>
      </c>
      <c r="I27" s="14">
        <v>3</v>
      </c>
      <c r="J27" s="14">
        <v>3</v>
      </c>
      <c r="K27" s="14">
        <v>3</v>
      </c>
      <c r="L27" s="14">
        <v>3</v>
      </c>
      <c r="M27" s="14">
        <v>3</v>
      </c>
      <c r="N27" s="14">
        <v>3</v>
      </c>
      <c r="O27" s="14">
        <v>3</v>
      </c>
      <c r="P27" s="14">
        <v>3</v>
      </c>
      <c r="Q27" s="14">
        <v>3</v>
      </c>
      <c r="R27" s="16">
        <f>IF($AY27="Conflict","",IF(COUNT(H27:Q27)=10,SUM(H27:Q27),IF(ISNUMBER($AU27),$AU27,"")))</f>
        <v>30</v>
      </c>
      <c r="S27" s="16">
        <f>IF(ISNUMBER(R27),R27/30*100,"")</f>
        <v>100.0</v>
      </c>
      <c r="T27" s="16">
        <f>IF($AY27="Conflict","",IF(COUNT(H27:J27,L27)=4,SUM(H27:J27,L27),""))</f>
        <v>12</v>
      </c>
      <c r="U27" s="16">
        <f>IF($AY27="Conflict","",IF(COUNT(K27,M27:O27)=4,SUM(K27,M27:O27),""))</f>
        <v>12</v>
      </c>
      <c r="V27" s="16">
        <f>IF($AY27="Conflict","",IF(COUNT(P27:Q27)=2,SUM(P27:Q27),""))</f>
        <v>6</v>
      </c>
      <c r="W27" s="15" t="s">
        <v>32</v>
      </c>
      <c r="X27" s="13"/>
      <c r="Y27" s="13"/>
      <c r="Z27" s="13"/>
      <c r="AA27" s="14">
        <v>1</v>
      </c>
      <c r="AB27" s="13"/>
      <c r="AC27" s="13"/>
      <c r="AD27" s="13"/>
      <c r="AE27" s="17">
        <v>238496</v>
      </c>
      <c r="AF27" s="17">
        <v>265991</v>
      </c>
      <c r="AG27" s="17">
        <v>16002</v>
      </c>
      <c r="AH27" s="18">
        <f>IF(AND(ISNUMBER(AG27),ISNUMBER(AF27),AF27&gt;0),AG27/AF27,"")</f>
        <v>0.06015993022320304</v>
      </c>
      <c r="AI27" s="17">
        <v>61931</v>
      </c>
      <c r="AJ27" s="17">
        <v>3419</v>
      </c>
      <c r="AK27" s="18">
        <f>IF(ISNUMBER(Financial_Panel!L15),Financial_Panel!L15,"")</f>
        <v>0.058729558884155555</v>
      </c>
      <c r="AL27" s="17">
        <v>20649</v>
      </c>
      <c r="AM27" s="13"/>
      <c r="AN27" s="12" t="s">
        <v>172</v>
      </c>
      <c r="AO27" s="15" t="s">
        <v>32</v>
      </c>
      <c r="AP27" s="12" t="s">
        <v>173</v>
      </c>
      <c r="AQ27" s="12" t="s">
        <v>174</v>
      </c>
      <c r="AR27" s="19">
        <v>46318</v>
      </c>
      <c r="AS27" s="15" t="s">
        <v>175</v>
      </c>
      <c r="AT27" s="15" t="s">
        <v>176</v>
      </c>
      <c r="AU27" s="14">
        <v>30</v>
      </c>
      <c r="AV27" s="12" t="s">
        <v>147</v>
      </c>
      <c r="AW27" s="15" t="s">
        <v>42</v>
      </c>
      <c r="AX27" s="15" t="s">
        <v>148</v>
      </c>
      <c r="AY27" s="15" t="s">
        <v>149</v>
      </c>
      <c r="AZ27" s="12" t="s">
        <v>177</v>
      </c>
    </row>
    <row r="28" spans="1:52" ht="30" customHeight="1">
      <c r="A28" s="12" t="s">
        <v>178</v>
      </c>
      <c r="B28" s="12" t="s">
        <v>142</v>
      </c>
      <c r="C28" s="13"/>
      <c r="D28" s="14">
        <v>1</v>
      </c>
      <c r="E28" s="15" t="s">
        <v>30</v>
      </c>
      <c r="F28" s="13"/>
      <c r="G28" s="13"/>
      <c r="H28" s="14">
        <v>3</v>
      </c>
      <c r="I28" s="14">
        <v>0</v>
      </c>
      <c r="J28" s="14">
        <v>0</v>
      </c>
      <c r="K28" s="14">
        <v>0</v>
      </c>
      <c r="L28" s="14">
        <v>0</v>
      </c>
      <c r="M28" s="14">
        <v>0</v>
      </c>
      <c r="N28" s="14">
        <v>3</v>
      </c>
      <c r="O28" s="14">
        <v>2</v>
      </c>
      <c r="P28" s="14">
        <v>2</v>
      </c>
      <c r="Q28" s="14">
        <v>0</v>
      </c>
      <c r="R28" s="16">
        <f>IF($AY28="Conflict","",IF(COUNT(H28:Q28)=10,SUM(H28:Q28),IF(ISNUMBER($AU28),$AU28,"")))</f>
        <v>10</v>
      </c>
      <c r="S28" s="16">
        <f>IF(ISNUMBER(R28),R28/30*100,"")</f>
        <v>33.33333333333333</v>
      </c>
      <c r="T28" s="16">
        <f>IF($AY28="Conflict","",IF(COUNT(H28:J28,L28)=4,SUM(H28:J28,L28),""))</f>
        <v>3</v>
      </c>
      <c r="U28" s="16">
        <f>IF($AY28="Conflict","",IF(COUNT(K28,M28:O28)=4,SUM(K28,M28:O28),""))</f>
        <v>5</v>
      </c>
      <c r="V28" s="16">
        <f>IF($AY28="Conflict","",IF(COUNT(P28:Q28)=2,SUM(P28:Q28),""))</f>
        <v>2</v>
      </c>
      <c r="W28" s="15" t="s">
        <v>32</v>
      </c>
      <c r="X28" s="13"/>
      <c r="Y28" s="13"/>
      <c r="Z28" s="13"/>
      <c r="AA28" s="13"/>
      <c r="AB28" s="13"/>
      <c r="AC28" s="13"/>
      <c r="AD28" s="13"/>
      <c r="AE28" s="17">
        <v>810.1662</v>
      </c>
      <c r="AF28" s="17">
        <v>299.6316</v>
      </c>
      <c r="AG28" s="17">
        <v>15.507</v>
      </c>
      <c r="AH28" s="18">
        <f>IF(AND(ISNUMBER(AG28),ISNUMBER(AF28),AF28&gt;0),AG28/AF28,"")</f>
        <v>0.051753553363530415</v>
      </c>
      <c r="AI28" s="17">
        <v>89.5771</v>
      </c>
      <c r="AJ28" s="17">
        <v>3.2533</v>
      </c>
      <c r="AK28" s="18">
        <f>IF(ISNUMBER(Financial_Panel!L16),Financial_Panel!L16,"")</f>
        <v>0.05355230745045881</v>
      </c>
      <c r="AL28" s="17">
        <v>55.8029</v>
      </c>
      <c r="AM28" s="13"/>
      <c r="AN28" s="12" t="s">
        <v>159</v>
      </c>
      <c r="AO28" s="15" t="s">
        <v>32</v>
      </c>
      <c r="AP28" s="12" t="s">
        <v>179</v>
      </c>
      <c r="AQ28" s="12" t="s">
        <v>180</v>
      </c>
      <c r="AR28" s="19">
        <v>46318</v>
      </c>
      <c r="AS28" s="15" t="s">
        <v>181</v>
      </c>
      <c r="AT28" s="15" t="s">
        <v>182</v>
      </c>
      <c r="AU28" s="14">
        <v>10</v>
      </c>
      <c r="AV28" s="12" t="s">
        <v>147</v>
      </c>
      <c r="AW28" s="15" t="s">
        <v>42</v>
      </c>
      <c r="AX28" s="15" t="s">
        <v>148</v>
      </c>
      <c r="AY28" s="15" t="s">
        <v>149</v>
      </c>
      <c r="AZ28" s="12" t="s">
        <v>183</v>
      </c>
    </row>
    <row r="29" spans="1:52" ht="30" customHeight="1">
      <c r="A29" s="12" t="s">
        <v>184</v>
      </c>
      <c r="B29" s="12" t="s">
        <v>142</v>
      </c>
      <c r="C29" s="13"/>
      <c r="D29" s="14">
        <v>1</v>
      </c>
      <c r="E29" s="15" t="s">
        <v>30</v>
      </c>
      <c r="F29" s="13"/>
      <c r="G29" s="13"/>
      <c r="H29" s="14">
        <v>3</v>
      </c>
      <c r="I29" s="14">
        <v>0</v>
      </c>
      <c r="J29" s="14">
        <v>0</v>
      </c>
      <c r="K29" s="14">
        <v>0</v>
      </c>
      <c r="L29" s="14">
        <v>0</v>
      </c>
      <c r="M29" s="14">
        <v>0</v>
      </c>
      <c r="N29" s="14">
        <v>2</v>
      </c>
      <c r="O29" s="14">
        <v>1</v>
      </c>
      <c r="P29" s="14">
        <v>2</v>
      </c>
      <c r="Q29" s="14">
        <v>0</v>
      </c>
      <c r="R29" s="16">
        <f>IF($AY29="Conflict","",IF(COUNT(H29:Q29)=10,SUM(H29:Q29),IF(ISNUMBER($AU29),$AU29,"")))</f>
        <v>8</v>
      </c>
      <c r="S29" s="16">
        <f>IF(ISNUMBER(R29),R29/30*100,"")</f>
        <v>26.666666666666668</v>
      </c>
      <c r="T29" s="16">
        <f>IF($AY29="Conflict","",IF(COUNT(H29:J29,L29)=4,SUM(H29:J29,L29),""))</f>
        <v>3</v>
      </c>
      <c r="U29" s="16">
        <f>IF($AY29="Conflict","",IF(COUNT(K29,M29:O29)=4,SUM(K29,M29:O29),""))</f>
        <v>3</v>
      </c>
      <c r="V29" s="16">
        <f>IF($AY29="Conflict","",IF(COUNT(P29:Q29)=2,SUM(P29:Q29),""))</f>
        <v>2</v>
      </c>
      <c r="W29" s="15" t="s">
        <v>32</v>
      </c>
      <c r="X29" s="13"/>
      <c r="Y29" s="13"/>
      <c r="Z29" s="13"/>
      <c r="AA29" s="13"/>
      <c r="AB29" s="13"/>
      <c r="AC29" s="13"/>
      <c r="AD29" s="13"/>
      <c r="AE29" s="17">
        <v>509.1475</v>
      </c>
      <c r="AF29" s="17">
        <v>504.2564</v>
      </c>
      <c r="AG29" s="17">
        <v>6.0458</v>
      </c>
      <c r="AH29" s="18">
        <f>IF(AND(ISNUMBER(AG29),ISNUMBER(AF29),AF29&gt;0),AG29/AF29,"")</f>
        <v>0.011989535482345886</v>
      </c>
      <c r="AI29" s="17">
        <v>239.0223</v>
      </c>
      <c r="AJ29" s="17">
        <v>27.5268</v>
      </c>
      <c r="AK29" s="18">
        <f>IF(ISNUMBER(Financial_Panel!L17),Financial_Panel!L17,"")</f>
        <v>0.1338692616881743</v>
      </c>
      <c r="AL29" s="17">
        <v>31.6567</v>
      </c>
      <c r="AM29" s="13"/>
      <c r="AN29" s="12" t="s">
        <v>159</v>
      </c>
      <c r="AO29" s="15" t="s">
        <v>32</v>
      </c>
      <c r="AP29" s="12" t="s">
        <v>185</v>
      </c>
      <c r="AQ29" s="12" t="s">
        <v>186</v>
      </c>
      <c r="AR29" s="19">
        <v>46319</v>
      </c>
      <c r="AS29" s="15" t="s">
        <v>187</v>
      </c>
      <c r="AT29" s="15" t="s">
        <v>188</v>
      </c>
      <c r="AU29" s="14">
        <v>8</v>
      </c>
      <c r="AV29" s="12" t="s">
        <v>147</v>
      </c>
      <c r="AW29" s="15" t="s">
        <v>42</v>
      </c>
      <c r="AX29" s="15" t="s">
        <v>148</v>
      </c>
      <c r="AY29" s="15" t="s">
        <v>149</v>
      </c>
      <c r="AZ29" s="12" t="s">
        <v>183</v>
      </c>
    </row>
    <row r="30" spans="1:52" ht="30" customHeight="1">
      <c r="A30" s="12" t="s">
        <v>189</v>
      </c>
      <c r="B30" s="12" t="s">
        <v>142</v>
      </c>
      <c r="C30" s="13"/>
      <c r="D30" s="14">
        <v>1</v>
      </c>
      <c r="E30" s="15" t="s">
        <v>30</v>
      </c>
      <c r="F30" s="12" t="s">
        <v>73</v>
      </c>
      <c r="G30" s="14">
        <v>1</v>
      </c>
      <c r="H30" s="14">
        <v>3</v>
      </c>
      <c r="I30" s="14">
        <v>3</v>
      </c>
      <c r="J30" s="14">
        <v>3</v>
      </c>
      <c r="K30" s="14">
        <v>3</v>
      </c>
      <c r="L30" s="14">
        <v>3</v>
      </c>
      <c r="M30" s="14">
        <v>3</v>
      </c>
      <c r="N30" s="14">
        <v>3</v>
      </c>
      <c r="O30" s="14">
        <v>3</v>
      </c>
      <c r="P30" s="14">
        <v>3</v>
      </c>
      <c r="Q30" s="14">
        <v>3</v>
      </c>
      <c r="R30" s="16">
        <f>IF($AY30="Conflict","",IF(COUNT(H30:Q30)=10,SUM(H30:Q30),IF(ISNUMBER($AU30),$AU30,"")))</f>
        <v>30</v>
      </c>
      <c r="S30" s="16">
        <f>IF(ISNUMBER(R30),R30/30*100,"")</f>
        <v>100.0</v>
      </c>
      <c r="T30" s="16">
        <f>IF($AY30="Conflict","",IF(COUNT(H30:J30,L30)=4,SUM(H30:J30,L30),""))</f>
        <v>12</v>
      </c>
      <c r="U30" s="16">
        <f>IF($AY30="Conflict","",IF(COUNT(K30,M30:O30)=4,SUM(K30,M30:O30),""))</f>
        <v>12</v>
      </c>
      <c r="V30" s="16">
        <f>IF($AY30="Conflict","",IF(COUNT(P30:Q30)=2,SUM(P30:Q30),""))</f>
        <v>6</v>
      </c>
      <c r="W30" s="15" t="s">
        <v>32</v>
      </c>
      <c r="X30" s="13"/>
      <c r="Y30" s="13"/>
      <c r="Z30" s="13"/>
      <c r="AA30" s="14">
        <v>1</v>
      </c>
      <c r="AB30" s="13"/>
      <c r="AC30" s="13"/>
      <c r="AD30" s="13"/>
      <c r="AE30" s="17">
        <v>16787.63</v>
      </c>
      <c r="AF30" s="17">
        <v>22882.16</v>
      </c>
      <c r="AG30" s="17">
        <v>5267.94</v>
      </c>
      <c r="AH30" s="18">
        <f>IF(AND(ISNUMBER(AG30),ISNUMBER(AF30),AF30&gt;0),AG30/AF30,"")</f>
        <v>0.23022039877354233</v>
      </c>
      <c r="AI30" s="17">
        <v>124.22</v>
      </c>
      <c r="AJ30" s="17">
        <v>58.97</v>
      </c>
      <c r="AK30" s="18">
        <f>IF(ISNUMBER(Financial_Panel!L18),Financial_Panel!L18,"")</f>
        <v>0.721875382543763</v>
      </c>
      <c r="AL30" s="17">
        <v>1175.58</v>
      </c>
      <c r="AM30" s="13"/>
      <c r="AN30" s="12" t="s">
        <v>190</v>
      </c>
      <c r="AO30" s="15" t="s">
        <v>32</v>
      </c>
      <c r="AP30" s="12" t="s">
        <v>191</v>
      </c>
      <c r="AQ30" s="12" t="s">
        <v>192</v>
      </c>
      <c r="AR30" s="19">
        <v>46318</v>
      </c>
      <c r="AS30" s="15" t="s">
        <v>193</v>
      </c>
      <c r="AT30" s="15" t="s">
        <v>194</v>
      </c>
      <c r="AU30" s="14">
        <v>30</v>
      </c>
      <c r="AV30" s="12" t="s">
        <v>147</v>
      </c>
      <c r="AW30" s="15" t="s">
        <v>42</v>
      </c>
      <c r="AX30" s="15" t="s">
        <v>148</v>
      </c>
      <c r="AY30" s="15" t="s">
        <v>149</v>
      </c>
      <c r="AZ30" s="12" t="s">
        <v>195</v>
      </c>
    </row>
    <row r="31" spans="1:52" ht="30" customHeight="1">
      <c r="A31" s="12" t="s">
        <v>196</v>
      </c>
      <c r="B31" s="12" t="s">
        <v>142</v>
      </c>
      <c r="C31" s="13"/>
      <c r="D31" s="14">
        <v>1</v>
      </c>
      <c r="E31" s="13"/>
      <c r="F31" s="13"/>
      <c r="G31" s="13"/>
      <c r="H31" s="14">
        <v>3</v>
      </c>
      <c r="I31" s="14">
        <v>0</v>
      </c>
      <c r="J31" s="14">
        <v>0</v>
      </c>
      <c r="K31" s="14">
        <v>0</v>
      </c>
      <c r="L31" s="14">
        <v>0</v>
      </c>
      <c r="M31" s="14">
        <v>0</v>
      </c>
      <c r="N31" s="14">
        <v>2</v>
      </c>
      <c r="O31" s="14">
        <v>2</v>
      </c>
      <c r="P31" s="14">
        <v>2</v>
      </c>
      <c r="Q31" s="14">
        <v>0</v>
      </c>
      <c r="R31" s="16">
        <f>IF($AY31="Conflict","",IF(COUNT(H31:Q31)=10,SUM(H31:Q31),IF(ISNUMBER($AU31),$AU31,"")))</f>
        <v>9</v>
      </c>
      <c r="S31" s="16">
        <f>IF(ISNUMBER(R31),R31/30*100,"")</f>
        <v>30.0</v>
      </c>
      <c r="T31" s="16">
        <f>IF($AY31="Conflict","",IF(COUNT(H31:J31,L31)=4,SUM(H31:J31,L31),""))</f>
        <v>3</v>
      </c>
      <c r="U31" s="16">
        <f>IF($AY31="Conflict","",IF(COUNT(K31,M31:O31)=4,SUM(K31,M31:O31),""))</f>
        <v>4</v>
      </c>
      <c r="V31" s="16">
        <f>IF($AY31="Conflict","",IF(COUNT(P31:Q31)=2,SUM(P31:Q31),""))</f>
        <v>2</v>
      </c>
      <c r="W31" s="15" t="s">
        <v>32</v>
      </c>
      <c r="X31" s="13"/>
      <c r="Y31" s="13"/>
      <c r="Z31" s="13"/>
      <c r="AA31" s="13"/>
      <c r="AB31" s="13"/>
      <c r="AC31" s="13"/>
      <c r="AD31" s="13"/>
      <c r="AE31" s="17">
        <v>491.4</v>
      </c>
      <c r="AF31" s="17">
        <v>423.81</v>
      </c>
      <c r="AG31" s="17">
        <v>31.66</v>
      </c>
      <c r="AH31" s="18">
        <f>IF(AND(ISNUMBER(AG31),ISNUMBER(AF31),AF31&gt;0),AG31/AF31,"")</f>
        <v>0.0747032868502395</v>
      </c>
      <c r="AI31" s="13"/>
      <c r="AJ31" s="13"/>
      <c r="AK31" s="13"/>
      <c r="AL31" s="13"/>
      <c r="AM31" s="13"/>
      <c r="AN31" s="12" t="s">
        <v>197</v>
      </c>
      <c r="AO31" s="15" t="s">
        <v>32</v>
      </c>
      <c r="AP31" s="12" t="s">
        <v>144</v>
      </c>
      <c r="AQ31" s="13"/>
      <c r="AR31" s="13"/>
      <c r="AS31" s="15" t="s">
        <v>198</v>
      </c>
      <c r="AT31" s="15" t="s">
        <v>199</v>
      </c>
      <c r="AU31" s="14">
        <v>9</v>
      </c>
      <c r="AV31" s="12" t="s">
        <v>147</v>
      </c>
      <c r="AW31" s="15" t="s">
        <v>42</v>
      </c>
      <c r="AX31" s="15" t="s">
        <v>148</v>
      </c>
      <c r="AY31" s="15" t="s">
        <v>149</v>
      </c>
      <c r="AZ31" s="12" t="s">
        <v>150</v>
      </c>
    </row>
    <row r="32" spans="1:52" ht="30" customHeight="1">
      <c r="A32" s="12" t="s">
        <v>200</v>
      </c>
      <c r="B32" s="12" t="s">
        <v>142</v>
      </c>
      <c r="C32" s="13"/>
      <c r="D32" s="14">
        <v>1</v>
      </c>
      <c r="E32" s="15" t="s">
        <v>30</v>
      </c>
      <c r="F32" s="12" t="s">
        <v>31</v>
      </c>
      <c r="G32" s="14">
        <v>1</v>
      </c>
      <c r="H32" s="14">
        <v>3</v>
      </c>
      <c r="I32" s="14">
        <v>3</v>
      </c>
      <c r="J32" s="14">
        <v>3</v>
      </c>
      <c r="K32" s="14">
        <v>3</v>
      </c>
      <c r="L32" s="14">
        <v>3</v>
      </c>
      <c r="M32" s="14">
        <v>3</v>
      </c>
      <c r="N32" s="14">
        <v>3</v>
      </c>
      <c r="O32" s="14">
        <v>3</v>
      </c>
      <c r="P32" s="14">
        <v>3</v>
      </c>
      <c r="Q32" s="14">
        <v>3</v>
      </c>
      <c r="R32" s="16">
        <f>IF($AY32="Conflict","",IF(COUNT(H32:Q32)=10,SUM(H32:Q32),IF(ISNUMBER($AU32),$AU32,"")))</f>
        <v>30</v>
      </c>
      <c r="S32" s="16">
        <f>IF(ISNUMBER(R32),R32/30*100,"")</f>
        <v>100.0</v>
      </c>
      <c r="T32" s="16">
        <f>IF($AY32="Conflict","",IF(COUNT(H32:J32,L32)=4,SUM(H32:J32,L32),""))</f>
        <v>12</v>
      </c>
      <c r="U32" s="16">
        <f>IF($AY32="Conflict","",IF(COUNT(K32,M32:O32)=4,SUM(K32,M32:O32),""))</f>
        <v>12</v>
      </c>
      <c r="V32" s="16">
        <f>IF($AY32="Conflict","",IF(COUNT(P32:Q32)=2,SUM(P32:Q32),""))</f>
        <v>6</v>
      </c>
      <c r="W32" s="15" t="s">
        <v>32</v>
      </c>
      <c r="X32" s="13"/>
      <c r="Y32" s="13"/>
      <c r="Z32" s="13"/>
      <c r="AA32" s="14">
        <v>1</v>
      </c>
      <c r="AB32" s="13"/>
      <c r="AC32" s="13"/>
      <c r="AD32" s="13"/>
      <c r="AE32" s="17">
        <v>152968</v>
      </c>
      <c r="AF32" s="17">
        <v>203293</v>
      </c>
      <c r="AG32" s="17">
        <v>20535</v>
      </c>
      <c r="AH32" s="18">
        <f>IF(AND(ISNUMBER(AG32),ISNUMBER(AF32),AF32&gt;0),AG32/AF32,"")</f>
        <v>0.1010118400535188</v>
      </c>
      <c r="AI32" s="17">
        <v>73853</v>
      </c>
      <c r="AJ32" s="17">
        <v>9914</v>
      </c>
      <c r="AK32" s="18">
        <f>IF(ISNUMBER(Financial_Panel!L20),Financial_Panel!L20,"")</f>
        <v>0.13617103103474326</v>
      </c>
      <c r="AL32" s="17">
        <v>17005</v>
      </c>
      <c r="AM32" s="13"/>
      <c r="AN32" s="12" t="s">
        <v>201</v>
      </c>
      <c r="AO32" s="15" t="s">
        <v>32</v>
      </c>
      <c r="AP32" s="12" t="s">
        <v>202</v>
      </c>
      <c r="AQ32" s="12" t="s">
        <v>203</v>
      </c>
      <c r="AR32" s="19">
        <v>46318</v>
      </c>
      <c r="AS32" s="15" t="s">
        <v>204</v>
      </c>
      <c r="AT32" s="15" t="s">
        <v>205</v>
      </c>
      <c r="AU32" s="14">
        <v>30</v>
      </c>
      <c r="AV32" s="12" t="s">
        <v>147</v>
      </c>
      <c r="AW32" s="15" t="s">
        <v>42</v>
      </c>
      <c r="AX32" s="15" t="s">
        <v>148</v>
      </c>
      <c r="AY32" s="15" t="s">
        <v>149</v>
      </c>
      <c r="AZ32" s="12" t="s">
        <v>177</v>
      </c>
    </row>
    <row r="33" spans="1:52" ht="30" customHeight="1">
      <c r="A33" s="12" t="s">
        <v>206</v>
      </c>
      <c r="B33" s="12" t="s">
        <v>207</v>
      </c>
      <c r="C33" s="13"/>
      <c r="D33" s="14">
        <v>1</v>
      </c>
      <c r="E33" s="15" t="s">
        <v>30</v>
      </c>
      <c r="F33" s="12" t="s">
        <v>31</v>
      </c>
      <c r="G33" s="14">
        <v>1</v>
      </c>
      <c r="H33" s="14">
        <v>2</v>
      </c>
      <c r="I33" s="14">
        <v>1</v>
      </c>
      <c r="J33" s="14">
        <v>2</v>
      </c>
      <c r="K33" s="14">
        <v>2</v>
      </c>
      <c r="L33" s="14">
        <v>2</v>
      </c>
      <c r="M33" s="14">
        <v>1</v>
      </c>
      <c r="N33" s="14">
        <v>0</v>
      </c>
      <c r="O33" s="14">
        <v>1</v>
      </c>
      <c r="P33" s="14">
        <v>3</v>
      </c>
      <c r="Q33" s="14">
        <v>2</v>
      </c>
      <c r="R33" s="16">
        <f>IF($AY33="Conflict","",IF(COUNT(H33:Q33)=10,SUM(H33:Q33),IF(ISNUMBER($AU33),$AU33,"")))</f>
        <v/>
      </c>
      <c r="S33" s="16">
        <f>IF(ISNUMBER(R33),R33/30*100,"")</f>
        <v/>
      </c>
      <c r="T33" s="16">
        <f>IF($AY33="Conflict","",IF(COUNT(H33:J33,L33)=4,SUM(H33:J33,L33),""))</f>
        <v/>
      </c>
      <c r="U33" s="16">
        <f>IF($AY33="Conflict","",IF(COUNT(K33,M33:O33)=4,SUM(K33,M33:O33),""))</f>
        <v/>
      </c>
      <c r="V33" s="16">
        <f>IF($AY33="Conflict","",IF(COUNT(P33:Q33)=2,SUM(P33:Q33),""))</f>
        <v/>
      </c>
      <c r="W33" s="15" t="s">
        <v>32</v>
      </c>
      <c r="X33" s="15" t="s">
        <v>208</v>
      </c>
      <c r="Y33" s="13"/>
      <c r="Z33" s="13"/>
      <c r="AA33" s="13"/>
      <c r="AB33" s="13"/>
      <c r="AC33" s="14" t="s">
        <v>34</v>
      </c>
      <c r="AD33" s="13"/>
      <c r="AE33" s="17">
        <v>16646.2</v>
      </c>
      <c r="AF33" s="17">
        <v>11406.71</v>
      </c>
      <c r="AG33" s="17">
        <v>1649.39</v>
      </c>
      <c r="AH33" s="18">
        <f>IF(AND(ISNUMBER(AG33),ISNUMBER(AF33),AF33&gt;0),AG33/AF33,"")</f>
        <v>0.1445982233264456</v>
      </c>
      <c r="AI33" s="17">
        <v>82.33</v>
      </c>
      <c r="AJ33" s="17">
        <v>48.42</v>
      </c>
      <c r="AK33" s="18">
        <f>IF(ISNUMBER(Financial_Panel!L56),Financial_Panel!L56,"")</f>
        <v>0.050023761803417575</v>
      </c>
      <c r="AL33" s="17">
        <v>572.95</v>
      </c>
      <c r="AM33" s="15" t="s">
        <v>47</v>
      </c>
      <c r="AN33" s="12" t="s">
        <v>209</v>
      </c>
      <c r="AO33" s="15" t="s">
        <v>32</v>
      </c>
      <c r="AP33" s="12" t="s">
        <v>210</v>
      </c>
      <c r="AQ33" s="12" t="s">
        <v>211</v>
      </c>
      <c r="AR33" s="19">
        <v>46318</v>
      </c>
      <c r="AS33" s="15" t="s">
        <v>212</v>
      </c>
      <c r="AT33" s="15" t="s">
        <v>213</v>
      </c>
      <c r="AU33" s="14">
        <v>12</v>
      </c>
      <c r="AV33" s="12" t="s">
        <v>214</v>
      </c>
      <c r="AW33" s="15" t="s">
        <v>42</v>
      </c>
      <c r="AX33" s="15" t="s">
        <v>148</v>
      </c>
      <c r="AY33" s="15" t="s">
        <v>215</v>
      </c>
      <c r="AZ33" s="12" t="s">
        <v>216</v>
      </c>
    </row>
    <row r="34" spans="1:52" ht="30" customHeight="1">
      <c r="A34" s="12" t="s">
        <v>217</v>
      </c>
      <c r="B34" s="12" t="s">
        <v>207</v>
      </c>
      <c r="C34" s="13"/>
      <c r="D34" s="14">
        <v>1</v>
      </c>
      <c r="E34" s="15" t="s">
        <v>30</v>
      </c>
      <c r="F34" s="13"/>
      <c r="G34" s="14">
        <v>1</v>
      </c>
      <c r="H34" s="14">
        <v>3</v>
      </c>
      <c r="I34" s="14">
        <v>3</v>
      </c>
      <c r="J34" s="14">
        <v>2</v>
      </c>
      <c r="K34" s="14">
        <v>2</v>
      </c>
      <c r="L34" s="14">
        <v>2</v>
      </c>
      <c r="M34" s="14">
        <v>2</v>
      </c>
      <c r="N34" s="14">
        <v>0</v>
      </c>
      <c r="O34" s="14">
        <v>2</v>
      </c>
      <c r="P34" s="14">
        <v>3</v>
      </c>
      <c r="Q34" s="14">
        <v>2</v>
      </c>
      <c r="R34" s="16">
        <f>IF($AY34="Conflict","",IF(COUNT(H34:Q34)=10,SUM(H34:Q34),IF(ISNUMBER($AU34),$AU34,"")))</f>
        <v/>
      </c>
      <c r="S34" s="16">
        <f>IF(ISNUMBER(R34),R34/30*100,"")</f>
        <v/>
      </c>
      <c r="T34" s="16">
        <f>IF($AY34="Conflict","",IF(COUNT(H34:J34,L34)=4,SUM(H34:J34,L34),""))</f>
        <v/>
      </c>
      <c r="U34" s="16">
        <f>IF($AY34="Conflict","",IF(COUNT(K34,M34:O34)=4,SUM(K34,M34:O34),""))</f>
        <v/>
      </c>
      <c r="V34" s="16">
        <f>IF($AY34="Conflict","",IF(COUNT(P34:Q34)=2,SUM(P34:Q34),""))</f>
        <v/>
      </c>
      <c r="W34" s="15" t="s">
        <v>54</v>
      </c>
      <c r="X34" s="15" t="s">
        <v>208</v>
      </c>
      <c r="Y34" s="13"/>
      <c r="Z34" s="13"/>
      <c r="AA34" s="13"/>
      <c r="AB34" s="13"/>
      <c r="AC34" s="14" t="s">
        <v>34</v>
      </c>
      <c r="AD34" s="13"/>
      <c r="AE34" s="17">
        <v>31479.54</v>
      </c>
      <c r="AF34" s="17">
        <v>24503.43</v>
      </c>
      <c r="AG34" s="17">
        <v>1898.14</v>
      </c>
      <c r="AH34" s="18">
        <f>IF(AND(ISNUMBER(AG34),ISNUMBER(AF34),AF34&gt;0),AG34/AF34,"")</f>
        <v>0.07746425704483005</v>
      </c>
      <c r="AI34" s="17">
        <v>867.2</v>
      </c>
      <c r="AJ34" s="17">
        <v>342.59</v>
      </c>
      <c r="AK34" s="18">
        <f>IF(ISNUMBER(Financial_Panel!L57),Financial_Panel!L57,"")</f>
        <v>0.6232138471753544</v>
      </c>
      <c r="AL34" s="17">
        <v>1540.47</v>
      </c>
      <c r="AM34" s="13"/>
      <c r="AN34" s="12" t="s">
        <v>218</v>
      </c>
      <c r="AO34" s="15" t="s">
        <v>54</v>
      </c>
      <c r="AP34" s="12" t="s">
        <v>219</v>
      </c>
      <c r="AQ34" s="12" t="s">
        <v>220</v>
      </c>
      <c r="AR34" s="19">
        <v>46318</v>
      </c>
      <c r="AS34" s="15" t="s">
        <v>221</v>
      </c>
      <c r="AT34" s="15" t="s">
        <v>222</v>
      </c>
      <c r="AU34" s="13"/>
      <c r="AV34" s="12" t="s">
        <v>214</v>
      </c>
      <c r="AW34" s="15" t="s">
        <v>42</v>
      </c>
      <c r="AX34" s="15" t="s">
        <v>148</v>
      </c>
      <c r="AY34" s="15" t="s">
        <v>215</v>
      </c>
      <c r="AZ34" s="12" t="s">
        <v>216</v>
      </c>
    </row>
    <row r="35" spans="1:52" ht="30" customHeight="1">
      <c r="A35" s="12" t="s">
        <v>223</v>
      </c>
      <c r="B35" s="12" t="s">
        <v>207</v>
      </c>
      <c r="C35" s="13"/>
      <c r="D35" s="14">
        <v>1</v>
      </c>
      <c r="E35" s="15" t="s">
        <v>30</v>
      </c>
      <c r="F35" s="12" t="s">
        <v>31</v>
      </c>
      <c r="G35" s="14">
        <v>1</v>
      </c>
      <c r="H35" s="14">
        <v>3</v>
      </c>
      <c r="I35" s="14">
        <v>3</v>
      </c>
      <c r="J35" s="14">
        <v>2</v>
      </c>
      <c r="K35" s="14">
        <v>3</v>
      </c>
      <c r="L35" s="14">
        <v>2</v>
      </c>
      <c r="M35" s="14">
        <v>2</v>
      </c>
      <c r="N35" s="14">
        <v>0</v>
      </c>
      <c r="O35" s="14">
        <v>2</v>
      </c>
      <c r="P35" s="14">
        <v>2</v>
      </c>
      <c r="Q35" s="14">
        <v>2</v>
      </c>
      <c r="R35" s="16">
        <f>IF($AY35="Conflict","",IF(COUNT(H35:Q35)=10,SUM(H35:Q35),IF(ISNUMBER($AU35),$AU35,"")))</f>
        <v/>
      </c>
      <c r="S35" s="16">
        <f>IF(ISNUMBER(R35),R35/30*100,"")</f>
        <v/>
      </c>
      <c r="T35" s="16">
        <f>IF($AY35="Conflict","",IF(COUNT(H35:J35,L35)=4,SUM(H35:J35,L35),""))</f>
        <v/>
      </c>
      <c r="U35" s="16">
        <f>IF($AY35="Conflict","",IF(COUNT(K35,M35:O35)=4,SUM(K35,M35:O35),""))</f>
        <v/>
      </c>
      <c r="V35" s="16">
        <f>IF($AY35="Conflict","",IF(COUNT(P35:Q35)=2,SUM(P35:Q35),""))</f>
        <v/>
      </c>
      <c r="W35" s="15" t="s">
        <v>32</v>
      </c>
      <c r="X35" s="15" t="s">
        <v>208</v>
      </c>
      <c r="Y35" s="13"/>
      <c r="Z35" s="13"/>
      <c r="AA35" s="13"/>
      <c r="AB35" s="13"/>
      <c r="AC35" s="14" t="s">
        <v>34</v>
      </c>
      <c r="AD35" s="13"/>
      <c r="AE35" s="17">
        <v>12741.32</v>
      </c>
      <c r="AF35" s="17">
        <v>12732.23</v>
      </c>
      <c r="AG35" s="17">
        <v>604.27</v>
      </c>
      <c r="AH35" s="18">
        <f>IF(AND(ISNUMBER(AG35),ISNUMBER(AF35),AF35&gt;0),AG35/AF35,"")</f>
        <v>0.047459871522898975</v>
      </c>
      <c r="AI35" s="17">
        <v>2408.19</v>
      </c>
      <c r="AJ35" s="17">
        <v>152.82</v>
      </c>
      <c r="AK35" s="18">
        <f>IF(ISNUMBER(Financial_Panel!L58),Financial_Panel!L58,"")</f>
        <v>0.06805884003366869</v>
      </c>
      <c r="AL35" s="17">
        <v>858.78</v>
      </c>
      <c r="AM35" s="15" t="s">
        <v>47</v>
      </c>
      <c r="AN35" s="12" t="s">
        <v>224</v>
      </c>
      <c r="AO35" s="15" t="s">
        <v>32</v>
      </c>
      <c r="AP35" s="12" t="s">
        <v>225</v>
      </c>
      <c r="AQ35" s="12" t="s">
        <v>226</v>
      </c>
      <c r="AR35" s="19">
        <v>46318</v>
      </c>
      <c r="AS35" s="15" t="s">
        <v>227</v>
      </c>
      <c r="AT35" s="15" t="s">
        <v>228</v>
      </c>
      <c r="AU35" s="13"/>
      <c r="AV35" s="12" t="s">
        <v>214</v>
      </c>
      <c r="AW35" s="15" t="s">
        <v>42</v>
      </c>
      <c r="AX35" s="15" t="s">
        <v>148</v>
      </c>
      <c r="AY35" s="15" t="s">
        <v>215</v>
      </c>
      <c r="AZ35" s="12" t="s">
        <v>216</v>
      </c>
    </row>
    <row r="36" spans="1:52" ht="30" customHeight="1">
      <c r="A36" s="12" t="s">
        <v>229</v>
      </c>
      <c r="B36" s="12" t="s">
        <v>207</v>
      </c>
      <c r="C36" s="13"/>
      <c r="D36" s="14">
        <v>1</v>
      </c>
      <c r="E36" s="15" t="s">
        <v>30</v>
      </c>
      <c r="F36" s="13"/>
      <c r="G36" s="14">
        <v>1</v>
      </c>
      <c r="H36" s="14">
        <v>3</v>
      </c>
      <c r="I36" s="14">
        <v>2</v>
      </c>
      <c r="J36" s="14">
        <v>2</v>
      </c>
      <c r="K36" s="14">
        <v>2</v>
      </c>
      <c r="L36" s="14">
        <v>1</v>
      </c>
      <c r="M36" s="14">
        <v>1</v>
      </c>
      <c r="N36" s="14">
        <v>0</v>
      </c>
      <c r="O36" s="14">
        <v>1</v>
      </c>
      <c r="P36" s="14">
        <v>2</v>
      </c>
      <c r="Q36" s="14">
        <v>2</v>
      </c>
      <c r="R36" s="16">
        <f>IF($AY36="Conflict","",IF(COUNT(H36:Q36)=10,SUM(H36:Q36),IF(ISNUMBER($AU36),$AU36,"")))</f>
        <v/>
      </c>
      <c r="S36" s="16">
        <f>IF(ISNUMBER(R36),R36/30*100,"")</f>
        <v/>
      </c>
      <c r="T36" s="16">
        <f>IF($AY36="Conflict","",IF(COUNT(H36:J36,L36)=4,SUM(H36:J36,L36),""))</f>
        <v/>
      </c>
      <c r="U36" s="16">
        <f>IF($AY36="Conflict","",IF(COUNT(K36,M36:O36)=4,SUM(K36,M36:O36),""))</f>
        <v/>
      </c>
      <c r="V36" s="16">
        <f>IF($AY36="Conflict","",IF(COUNT(P36:Q36)=2,SUM(P36:Q36),""))</f>
        <v/>
      </c>
      <c r="W36" s="15" t="s">
        <v>32</v>
      </c>
      <c r="X36" s="15" t="s">
        <v>208</v>
      </c>
      <c r="Y36" s="13"/>
      <c r="Z36" s="13"/>
      <c r="AA36" s="13"/>
      <c r="AB36" s="13"/>
      <c r="AC36" s="14" t="s">
        <v>34</v>
      </c>
      <c r="AD36" s="13"/>
      <c r="AE36" s="17">
        <v>9533.957700000001</v>
      </c>
      <c r="AF36" s="17">
        <v>14369.009</v>
      </c>
      <c r="AG36" s="17">
        <v>591.1556</v>
      </c>
      <c r="AH36" s="18">
        <f>IF(AND(ISNUMBER(AG36),ISNUMBER(AF36),AF36&gt;0),AG36/AF36,"")</f>
        <v>0.04114101396971775</v>
      </c>
      <c r="AI36" s="17">
        <v>0</v>
      </c>
      <c r="AJ36" s="17">
        <v>10.0875</v>
      </c>
      <c r="AK36" s="18">
        <f>IF(ISNUMBER(Financial_Panel!L60),Financial_Panel!L60,"")</f>
        <v>8.055500099820323</v>
      </c>
      <c r="AL36" s="17">
        <v>379.5386</v>
      </c>
      <c r="AM36" s="13"/>
      <c r="AN36" s="12" t="s">
        <v>230</v>
      </c>
      <c r="AO36" s="15" t="s">
        <v>32</v>
      </c>
      <c r="AP36" s="12" t="s">
        <v>231</v>
      </c>
      <c r="AQ36" s="12" t="s">
        <v>232</v>
      </c>
      <c r="AR36" s="19">
        <v>46318</v>
      </c>
      <c r="AS36" s="15" t="s">
        <v>233</v>
      </c>
      <c r="AT36" s="15" t="s">
        <v>234</v>
      </c>
      <c r="AU36" s="13"/>
      <c r="AV36" s="12" t="s">
        <v>214</v>
      </c>
      <c r="AW36" s="15" t="s">
        <v>42</v>
      </c>
      <c r="AX36" s="15" t="s">
        <v>148</v>
      </c>
      <c r="AY36" s="15" t="s">
        <v>215</v>
      </c>
      <c r="AZ36" s="12" t="s">
        <v>216</v>
      </c>
    </row>
    <row r="37" spans="1:52" ht="30" customHeight="1">
      <c r="A37" s="12" t="s">
        <v>235</v>
      </c>
      <c r="B37" s="12" t="s">
        <v>207</v>
      </c>
      <c r="C37" s="13"/>
      <c r="D37" s="14">
        <v>0</v>
      </c>
      <c r="E37" s="13"/>
      <c r="F37" s="12" t="s">
        <v>236</v>
      </c>
      <c r="G37" s="14">
        <v>0</v>
      </c>
      <c r="H37" s="13"/>
      <c r="I37" s="13"/>
      <c r="J37" s="13"/>
      <c r="K37" s="13"/>
      <c r="L37" s="13"/>
      <c r="M37" s="13"/>
      <c r="N37" s="13"/>
      <c r="O37" s="13"/>
      <c r="P37" s="13"/>
      <c r="Q37" s="13"/>
      <c r="R37" s="16">
        <f>IF($AY37="Conflict","",IF(COUNT(H37:Q37)=10,SUM(H37:Q37),IF(ISNUMBER($AU37),$AU37,"")))</f>
        <v/>
      </c>
      <c r="S37" s="16">
        <f>IF(ISNUMBER(R37),R37/30*100,"")</f>
        <v/>
      </c>
      <c r="T37" s="16">
        <f>IF($AY37="Conflict","",IF(COUNT(H37:J37,L37)=4,SUM(H37:J37,L37),""))</f>
        <v/>
      </c>
      <c r="U37" s="16">
        <f>IF($AY37="Conflict","",IF(COUNT(K37,M37:O37)=4,SUM(K37,M37:O37),""))</f>
        <v/>
      </c>
      <c r="V37" s="16">
        <f>IF($AY37="Conflict","",IF(COUNT(P37:Q37)=2,SUM(P37:Q37),""))</f>
        <v/>
      </c>
      <c r="W37" s="15" t="s">
        <v>54</v>
      </c>
      <c r="X37" s="15" t="s">
        <v>208</v>
      </c>
      <c r="Y37" s="13"/>
      <c r="Z37" s="13"/>
      <c r="AA37" s="13"/>
      <c r="AB37" s="13"/>
      <c r="AC37" s="14" t="s">
        <v>34</v>
      </c>
      <c r="AD37" s="13"/>
      <c r="AE37" s="13"/>
      <c r="AF37" s="13"/>
      <c r="AG37" s="13"/>
      <c r="AH37" s="18">
        <f>IF(AND(ISNUMBER(AG37),ISNUMBER(AF37),AF37&gt;0),AG37/AF37,"")</f>
        <v/>
      </c>
      <c r="AI37" s="13"/>
      <c r="AJ37" s="13"/>
      <c r="AK37" s="13"/>
      <c r="AL37" s="13"/>
      <c r="AM37" s="15" t="s">
        <v>47</v>
      </c>
      <c r="AN37" s="12" t="s">
        <v>237</v>
      </c>
      <c r="AO37" s="13"/>
      <c r="AP37" s="12" t="s">
        <v>238</v>
      </c>
      <c r="AQ37" s="12" t="s">
        <v>239</v>
      </c>
      <c r="AR37" s="13"/>
      <c r="AS37" s="15" t="s">
        <v>240</v>
      </c>
      <c r="AT37" s="15" t="s">
        <v>241</v>
      </c>
      <c r="AU37" s="13"/>
      <c r="AV37" s="12" t="s">
        <v>242</v>
      </c>
      <c r="AW37" s="15" t="s">
        <v>157</v>
      </c>
      <c r="AX37" s="15" t="s">
        <v>148</v>
      </c>
      <c r="AY37" s="15" t="s">
        <v>243</v>
      </c>
      <c r="AZ37" s="13"/>
    </row>
    <row r="38" spans="1:52" ht="30" customHeight="1">
      <c r="A38" s="12" t="s">
        <v>244</v>
      </c>
      <c r="B38" s="12" t="s">
        <v>207</v>
      </c>
      <c r="C38" s="13"/>
      <c r="D38" s="14">
        <v>1</v>
      </c>
      <c r="E38" s="15" t="s">
        <v>30</v>
      </c>
      <c r="F38" s="12" t="s">
        <v>31</v>
      </c>
      <c r="G38" s="14">
        <v>1</v>
      </c>
      <c r="H38" s="14">
        <v>0</v>
      </c>
      <c r="I38" s="14">
        <v>0</v>
      </c>
      <c r="J38" s="14">
        <v>1</v>
      </c>
      <c r="K38" s="14">
        <v>1</v>
      </c>
      <c r="L38" s="14">
        <v>1</v>
      </c>
      <c r="M38" s="14">
        <v>0</v>
      </c>
      <c r="N38" s="14">
        <v>0</v>
      </c>
      <c r="O38" s="14">
        <v>0</v>
      </c>
      <c r="P38" s="14">
        <v>0</v>
      </c>
      <c r="Q38" s="14">
        <v>1</v>
      </c>
      <c r="R38" s="16">
        <f>IF($AY38="Conflict","",IF(COUNT(H38:Q38)=10,SUM(H38:Q38),IF(ISNUMBER($AU38),$AU38,"")))</f>
        <v/>
      </c>
      <c r="S38" s="16">
        <f>IF(ISNUMBER(R38),R38/30*100,"")</f>
        <v/>
      </c>
      <c r="T38" s="16">
        <f>IF($AY38="Conflict","",IF(COUNT(H38:J38,L38)=4,SUM(H38:J38,L38),""))</f>
        <v/>
      </c>
      <c r="U38" s="16">
        <f>IF($AY38="Conflict","",IF(COUNT(K38,M38:O38)=4,SUM(K38,M38:O38),""))</f>
        <v/>
      </c>
      <c r="V38" s="16">
        <f>IF($AY38="Conflict","",IF(COUNT(P38:Q38)=2,SUM(P38:Q38),""))</f>
        <v/>
      </c>
      <c r="W38" s="15" t="s">
        <v>32</v>
      </c>
      <c r="X38" s="15" t="s">
        <v>208</v>
      </c>
      <c r="Y38" s="13"/>
      <c r="Z38" s="13"/>
      <c r="AA38" s="13"/>
      <c r="AB38" s="13"/>
      <c r="AC38" s="14" t="s">
        <v>34</v>
      </c>
      <c r="AD38" s="13"/>
      <c r="AE38" s="17">
        <v>720.1677</v>
      </c>
      <c r="AF38" s="17">
        <v>619.5029</v>
      </c>
      <c r="AG38" s="17">
        <v>1.3991</v>
      </c>
      <c r="AH38" s="18">
        <f>IF(AND(ISNUMBER(AG38),ISNUMBER(AF38),AF38&gt;0),AG38/AF38,"")</f>
        <v>0.002258423649025695</v>
      </c>
      <c r="AI38" s="17">
        <v>312.8013</v>
      </c>
      <c r="AJ38" s="17">
        <v>29.807</v>
      </c>
      <c r="AK38" s="18">
        <f>IF(ISNUMBER(Financial_Panel!L61),Financial_Panel!L61,"")</f>
        <v>0.09586414416639649</v>
      </c>
      <c r="AL38" s="17">
        <v>4.7881</v>
      </c>
      <c r="AM38" s="15" t="s">
        <v>35</v>
      </c>
      <c r="AN38" s="12" t="s">
        <v>245</v>
      </c>
      <c r="AO38" s="15" t="s">
        <v>32</v>
      </c>
      <c r="AP38" s="12" t="s">
        <v>246</v>
      </c>
      <c r="AQ38" s="12" t="s">
        <v>247</v>
      </c>
      <c r="AR38" s="19">
        <v>46318</v>
      </c>
      <c r="AS38" s="15" t="s">
        <v>248</v>
      </c>
      <c r="AT38" s="15" t="s">
        <v>249</v>
      </c>
      <c r="AU38" s="14">
        <v>4</v>
      </c>
      <c r="AV38" s="12" t="s">
        <v>214</v>
      </c>
      <c r="AW38" s="15" t="s">
        <v>42</v>
      </c>
      <c r="AX38" s="15" t="s">
        <v>148</v>
      </c>
      <c r="AY38" s="15" t="s">
        <v>215</v>
      </c>
      <c r="AZ38" s="12" t="s">
        <v>250</v>
      </c>
    </row>
    <row r="39" spans="1:52" ht="30" customHeight="1">
      <c r="A39" s="12" t="s">
        <v>251</v>
      </c>
      <c r="B39" s="12" t="s">
        <v>207</v>
      </c>
      <c r="C39" s="13"/>
      <c r="D39" s="14">
        <v>1</v>
      </c>
      <c r="E39" s="15" t="s">
        <v>30</v>
      </c>
      <c r="F39" s="12" t="s">
        <v>31</v>
      </c>
      <c r="G39" s="13"/>
      <c r="H39" s="13"/>
      <c r="I39" s="13"/>
      <c r="J39" s="13"/>
      <c r="K39" s="13"/>
      <c r="L39" s="13"/>
      <c r="M39" s="13"/>
      <c r="N39" s="13"/>
      <c r="O39" s="13"/>
      <c r="P39" s="13"/>
      <c r="Q39" s="13"/>
      <c r="R39" s="16">
        <f>IF($AY39="Conflict","",IF(COUNT(H39:Q39)=10,SUM(H39:Q39),IF(ISNUMBER($AU39),$AU39,"")))</f>
        <v/>
      </c>
      <c r="S39" s="16">
        <f>IF(ISNUMBER(R39),R39/30*100,"")</f>
        <v/>
      </c>
      <c r="T39" s="16">
        <f>IF($AY39="Conflict","",IF(COUNT(H39:J39,L39)=4,SUM(H39:J39,L39),""))</f>
        <v/>
      </c>
      <c r="U39" s="16">
        <f>IF($AY39="Conflict","",IF(COUNT(K39,M39:O39)=4,SUM(K39,M39:O39),""))</f>
        <v/>
      </c>
      <c r="V39" s="16">
        <f>IF($AY39="Conflict","",IF(COUNT(P39:Q39)=2,SUM(P39:Q39),""))</f>
        <v/>
      </c>
      <c r="W39" s="13"/>
      <c r="X39" s="13"/>
      <c r="Y39" s="13"/>
      <c r="Z39" s="13"/>
      <c r="AA39" s="13"/>
      <c r="AB39" s="13"/>
      <c r="AC39" s="13"/>
      <c r="AD39" s="13"/>
      <c r="AE39" s="17">
        <v>2418.0011</v>
      </c>
      <c r="AF39" s="17">
        <v>1640.705</v>
      </c>
      <c r="AG39" s="17">
        <v>180.1469</v>
      </c>
      <c r="AH39" s="18">
        <f>IF(AND(ISNUMBER(AG39),ISNUMBER(AF39),AF39&gt;0),AG39/AF39,"")</f>
        <v>0.10979847077932961</v>
      </c>
      <c r="AI39" s="17">
        <v>732.5424</v>
      </c>
      <c r="AJ39" s="17">
        <v>38.7412</v>
      </c>
      <c r="AK39" s="18">
        <f>IF(ISNUMBER(Financial_Panel!L63),Financial_Panel!L63,"")</f>
        <v>0.06994133252164905</v>
      </c>
      <c r="AL39" s="17">
        <v>113.3846</v>
      </c>
      <c r="AM39" s="15" t="s">
        <v>35</v>
      </c>
      <c r="AN39" s="12" t="s">
        <v>252</v>
      </c>
      <c r="AO39" s="15" t="s">
        <v>54</v>
      </c>
      <c r="AP39" s="12" t="s">
        <v>253</v>
      </c>
      <c r="AQ39" s="12" t="s">
        <v>254</v>
      </c>
      <c r="AR39" s="19">
        <v>46318</v>
      </c>
      <c r="AS39" s="15" t="s">
        <v>255</v>
      </c>
      <c r="AT39" s="15" t="s">
        <v>256</v>
      </c>
      <c r="AU39" s="13"/>
      <c r="AV39" s="12" t="s">
        <v>257</v>
      </c>
      <c r="AW39" s="15" t="s">
        <v>79</v>
      </c>
      <c r="AX39" s="15" t="s">
        <v>148</v>
      </c>
      <c r="AY39" s="15" t="s">
        <v>258</v>
      </c>
      <c r="AZ39" s="12" t="s">
        <v>250</v>
      </c>
    </row>
    <row r="40" spans="1:52" ht="30" customHeight="1">
      <c r="A40" s="12" t="s">
        <v>259</v>
      </c>
      <c r="B40" s="12" t="s">
        <v>207</v>
      </c>
      <c r="C40" s="13"/>
      <c r="D40" s="14">
        <v>1</v>
      </c>
      <c r="E40" s="15" t="s">
        <v>30</v>
      </c>
      <c r="F40" s="12" t="s">
        <v>31</v>
      </c>
      <c r="G40" s="14">
        <v>1</v>
      </c>
      <c r="H40" s="13"/>
      <c r="I40" s="13"/>
      <c r="J40" s="13"/>
      <c r="K40" s="13"/>
      <c r="L40" s="13"/>
      <c r="M40" s="13"/>
      <c r="N40" s="13"/>
      <c r="O40" s="13"/>
      <c r="P40" s="13"/>
      <c r="Q40" s="13"/>
      <c r="R40" s="16">
        <f>IF($AY40="Conflict","",IF(COUNT(H40:Q40)=10,SUM(H40:Q40),IF(ISNUMBER($AU40),$AU40,"")))</f>
        <v/>
      </c>
      <c r="S40" s="16">
        <f>IF(ISNUMBER(R40),R40/30*100,"")</f>
        <v/>
      </c>
      <c r="T40" s="16">
        <f>IF($AY40="Conflict","",IF(COUNT(H40:J40,L40)=4,SUM(H40:J40,L40),""))</f>
        <v/>
      </c>
      <c r="U40" s="16">
        <f>IF($AY40="Conflict","",IF(COUNT(K40,M40:O40)=4,SUM(K40,M40:O40),""))</f>
        <v/>
      </c>
      <c r="V40" s="16">
        <f>IF($AY40="Conflict","",IF(COUNT(P40:Q40)=2,SUM(P40:Q40),""))</f>
        <v/>
      </c>
      <c r="W40" s="13"/>
      <c r="X40" s="13"/>
      <c r="Y40" s="13"/>
      <c r="Z40" s="13"/>
      <c r="AA40" s="13"/>
      <c r="AB40" s="13"/>
      <c r="AC40" s="13"/>
      <c r="AD40" s="13"/>
      <c r="AE40" s="17">
        <v>1866.9803</v>
      </c>
      <c r="AF40" s="17">
        <v>1682.4324</v>
      </c>
      <c r="AG40" s="17">
        <v>150.1824</v>
      </c>
      <c r="AH40" s="18">
        <f>IF(AND(ISNUMBER(AG40),ISNUMBER(AF40),AF40&gt;0),AG40/AF40,"")</f>
        <v>0.08926504268462733</v>
      </c>
      <c r="AI40" s="17">
        <v>855.4053</v>
      </c>
      <c r="AJ40" s="17">
        <v>32.3653</v>
      </c>
      <c r="AK40" s="18">
        <f>IF(ISNUMBER(Financial_Panel!L64),Financial_Panel!L64,"")</f>
        <v>0.05517128637740406</v>
      </c>
      <c r="AL40" s="17">
        <v>398.5561</v>
      </c>
      <c r="AM40" s="15" t="s">
        <v>35</v>
      </c>
      <c r="AN40" s="12" t="s">
        <v>252</v>
      </c>
      <c r="AO40" s="15" t="s">
        <v>54</v>
      </c>
      <c r="AP40" s="12" t="s">
        <v>260</v>
      </c>
      <c r="AQ40" s="12" t="s">
        <v>261</v>
      </c>
      <c r="AR40" s="19">
        <v>46318</v>
      </c>
      <c r="AS40" s="15" t="s">
        <v>262</v>
      </c>
      <c r="AT40" s="15" t="s">
        <v>263</v>
      </c>
      <c r="AU40" s="13"/>
      <c r="AV40" s="12" t="s">
        <v>257</v>
      </c>
      <c r="AW40" s="15" t="s">
        <v>79</v>
      </c>
      <c r="AX40" s="15" t="s">
        <v>148</v>
      </c>
      <c r="AY40" s="15" t="s">
        <v>258</v>
      </c>
      <c r="AZ40" s="12" t="s">
        <v>250</v>
      </c>
    </row>
    <row r="41" spans="1:52" ht="30" customHeight="1">
      <c r="A41" s="12" t="s">
        <v>264</v>
      </c>
      <c r="B41" s="12" t="s">
        <v>207</v>
      </c>
      <c r="C41" s="13"/>
      <c r="D41" s="14">
        <v>1</v>
      </c>
      <c r="E41" s="15" t="s">
        <v>30</v>
      </c>
      <c r="F41" s="12" t="s">
        <v>73</v>
      </c>
      <c r="G41" s="13"/>
      <c r="H41" s="13"/>
      <c r="I41" s="13"/>
      <c r="J41" s="13"/>
      <c r="K41" s="13"/>
      <c r="L41" s="13"/>
      <c r="M41" s="13"/>
      <c r="N41" s="13"/>
      <c r="O41" s="13"/>
      <c r="P41" s="13"/>
      <c r="Q41" s="13"/>
      <c r="R41" s="16">
        <f>IF($AY41="Conflict","",IF(COUNT(H41:Q41)=10,SUM(H41:Q41),IF(ISNUMBER($AU41),$AU41,"")))</f>
        <v/>
      </c>
      <c r="S41" s="16">
        <f>IF(ISNUMBER(R41),R41/30*100,"")</f>
        <v/>
      </c>
      <c r="T41" s="16">
        <f>IF($AY41="Conflict","",IF(COUNT(H41:J41,L41)=4,SUM(H41:J41,L41),""))</f>
        <v/>
      </c>
      <c r="U41" s="16">
        <f>IF($AY41="Conflict","",IF(COUNT(K41,M41:O41)=4,SUM(K41,M41:O41),""))</f>
        <v/>
      </c>
      <c r="V41" s="16">
        <f>IF($AY41="Conflict","",IF(COUNT(P41:Q41)=2,SUM(P41:Q41),""))</f>
        <v/>
      </c>
      <c r="W41" s="13"/>
      <c r="X41" s="13"/>
      <c r="Y41" s="13"/>
      <c r="Z41" s="13"/>
      <c r="AA41" s="13"/>
      <c r="AB41" s="13"/>
      <c r="AC41" s="13"/>
      <c r="AD41" s="13"/>
      <c r="AE41" s="17">
        <v>2300.35</v>
      </c>
      <c r="AF41" s="17">
        <v>2332.55</v>
      </c>
      <c r="AG41" s="17">
        <v>80.42</v>
      </c>
      <c r="AH41" s="18">
        <f>IF(AND(ISNUMBER(AG41),ISNUMBER(AF41),AF41&gt;0),AG41/AF41,"")</f>
        <v>0.03447728880409852</v>
      </c>
      <c r="AI41" s="17">
        <v>634.24</v>
      </c>
      <c r="AJ41" s="17">
        <v>58.85</v>
      </c>
      <c r="AK41" s="18">
        <f>IF(ISNUMBER(Financial_Panel!L65),Financial_Panel!L65,"")</f>
        <v>0.09065003080714726</v>
      </c>
      <c r="AL41" s="17">
        <v>16.66</v>
      </c>
      <c r="AM41" s="15" t="s">
        <v>35</v>
      </c>
      <c r="AN41" s="12" t="s">
        <v>252</v>
      </c>
      <c r="AO41" s="15" t="s">
        <v>54</v>
      </c>
      <c r="AP41" s="12" t="s">
        <v>265</v>
      </c>
      <c r="AQ41" s="12" t="s">
        <v>266</v>
      </c>
      <c r="AR41" s="19">
        <v>46318</v>
      </c>
      <c r="AS41" s="15" t="s">
        <v>267</v>
      </c>
      <c r="AT41" s="15" t="s">
        <v>268</v>
      </c>
      <c r="AU41" s="13"/>
      <c r="AV41" s="12" t="s">
        <v>257</v>
      </c>
      <c r="AW41" s="15" t="s">
        <v>79</v>
      </c>
      <c r="AX41" s="15" t="s">
        <v>148</v>
      </c>
      <c r="AY41" s="15" t="s">
        <v>258</v>
      </c>
      <c r="AZ41" s="12" t="s">
        <v>250</v>
      </c>
    </row>
    <row r="42" spans="1:52" ht="30" customHeight="1">
      <c r="A42" s="12" t="s">
        <v>269</v>
      </c>
      <c r="B42" s="12" t="s">
        <v>207</v>
      </c>
      <c r="C42" s="13"/>
      <c r="D42" s="14">
        <v>1</v>
      </c>
      <c r="E42" s="15" t="s">
        <v>30</v>
      </c>
      <c r="F42" s="12" t="s">
        <v>31</v>
      </c>
      <c r="G42" s="14">
        <v>1</v>
      </c>
      <c r="H42" s="14">
        <v>2</v>
      </c>
      <c r="I42" s="14">
        <v>2</v>
      </c>
      <c r="J42" s="14">
        <v>2</v>
      </c>
      <c r="K42" s="14">
        <v>1</v>
      </c>
      <c r="L42" s="14">
        <v>1</v>
      </c>
      <c r="M42" s="14">
        <v>0</v>
      </c>
      <c r="N42" s="14">
        <v>0</v>
      </c>
      <c r="O42" s="14">
        <v>0</v>
      </c>
      <c r="P42" s="14">
        <v>0</v>
      </c>
      <c r="Q42" s="14">
        <v>2</v>
      </c>
      <c r="R42" s="16">
        <f>IF($AY42="Conflict","",IF(COUNT(H42:Q42)=10,SUM(H42:Q42),IF(ISNUMBER($AU42),$AU42,"")))</f>
        <v>10</v>
      </c>
      <c r="S42" s="16">
        <f>IF(ISNUMBER(R42),R42/30*100,"")</f>
        <v>33.33333333333333</v>
      </c>
      <c r="T42" s="16">
        <f>IF($AY42="Conflict","",IF(COUNT(H42:J42,L42)=4,SUM(H42:J42,L42),""))</f>
        <v>7</v>
      </c>
      <c r="U42" s="16">
        <f>IF($AY42="Conflict","",IF(COUNT(K42,M42:O42)=4,SUM(K42,M42:O42),""))</f>
        <v>1</v>
      </c>
      <c r="V42" s="16">
        <f>IF($AY42="Conflict","",IF(COUNT(P42:Q42)=2,SUM(P42:Q42),""))</f>
        <v>2</v>
      </c>
      <c r="W42" s="15" t="s">
        <v>32</v>
      </c>
      <c r="X42" s="15" t="s">
        <v>208</v>
      </c>
      <c r="Y42" s="13"/>
      <c r="Z42" s="13"/>
      <c r="AA42" s="13"/>
      <c r="AB42" s="13"/>
      <c r="AC42" s="14" t="s">
        <v>34</v>
      </c>
      <c r="AD42" s="13"/>
      <c r="AE42" s="17">
        <v>3331.8959</v>
      </c>
      <c r="AF42" s="17">
        <v>2332.5262</v>
      </c>
      <c r="AG42" s="17">
        <v>143.7127</v>
      </c>
      <c r="AH42" s="18">
        <f>IF(AND(ISNUMBER(AG42),ISNUMBER(AF42),AF42&gt;0),AG42/AF42,"")</f>
        <v>0.061612469776330926</v>
      </c>
      <c r="AI42" s="17">
        <v>722.6721</v>
      </c>
      <c r="AJ42" s="17">
        <v>76.39579999999999</v>
      </c>
      <c r="AK42" s="18">
        <f>IF(ISNUMBER(Financial_Panel!L66),Financial_Panel!L66,"")</f>
        <v>0.08770443633197586</v>
      </c>
      <c r="AL42" s="17">
        <v>88.9798</v>
      </c>
      <c r="AM42" s="15" t="s">
        <v>35</v>
      </c>
      <c r="AN42" s="12" t="s">
        <v>245</v>
      </c>
      <c r="AO42" s="15" t="s">
        <v>32</v>
      </c>
      <c r="AP42" s="12" t="s">
        <v>270</v>
      </c>
      <c r="AQ42" s="12" t="s">
        <v>271</v>
      </c>
      <c r="AR42" s="19">
        <v>46318</v>
      </c>
      <c r="AS42" s="15" t="s">
        <v>272</v>
      </c>
      <c r="AT42" s="15" t="s">
        <v>273</v>
      </c>
      <c r="AU42" s="14">
        <v>10</v>
      </c>
      <c r="AV42" s="12" t="s">
        <v>41</v>
      </c>
      <c r="AW42" s="15" t="s">
        <v>42</v>
      </c>
      <c r="AX42" s="15" t="s">
        <v>43</v>
      </c>
      <c r="AY42" s="15" t="s">
        <v>44</v>
      </c>
      <c r="AZ42" s="12" t="s">
        <v>250</v>
      </c>
    </row>
    <row r="43" spans="1:52" ht="30" customHeight="1">
      <c r="A43" s="12" t="s">
        <v>274</v>
      </c>
      <c r="B43" s="12" t="s">
        <v>207</v>
      </c>
      <c r="C43" s="13"/>
      <c r="D43" s="14">
        <v>1</v>
      </c>
      <c r="E43" s="15" t="s">
        <v>30</v>
      </c>
      <c r="F43" s="12" t="s">
        <v>73</v>
      </c>
      <c r="G43" s="14">
        <v>1</v>
      </c>
      <c r="H43" s="14">
        <v>3</v>
      </c>
      <c r="I43" s="14">
        <v>2</v>
      </c>
      <c r="J43" s="14">
        <v>2</v>
      </c>
      <c r="K43" s="14">
        <v>2</v>
      </c>
      <c r="L43" s="14">
        <v>1</v>
      </c>
      <c r="M43" s="14">
        <v>1</v>
      </c>
      <c r="N43" s="14">
        <v>0</v>
      </c>
      <c r="O43" s="14">
        <v>1</v>
      </c>
      <c r="P43" s="14">
        <v>2</v>
      </c>
      <c r="Q43" s="14">
        <v>2</v>
      </c>
      <c r="R43" s="16">
        <f>IF($AY43="Conflict","",IF(COUNT(H43:Q43)=10,SUM(H43:Q43),IF(ISNUMBER($AU43),$AU43,"")))</f>
        <v/>
      </c>
      <c r="S43" s="16">
        <f>IF(ISNUMBER(R43),R43/30*100,"")</f>
        <v/>
      </c>
      <c r="T43" s="16">
        <f>IF($AY43="Conflict","",IF(COUNT(H43:J43,L43)=4,SUM(H43:J43,L43),""))</f>
        <v/>
      </c>
      <c r="U43" s="16">
        <f>IF($AY43="Conflict","",IF(COUNT(K43,M43:O43)=4,SUM(K43,M43:O43),""))</f>
        <v/>
      </c>
      <c r="V43" s="16">
        <f>IF($AY43="Conflict","",IF(COUNT(P43:Q43)=2,SUM(P43:Q43),""))</f>
        <v/>
      </c>
      <c r="W43" s="15" t="s">
        <v>32</v>
      </c>
      <c r="X43" s="15" t="s">
        <v>208</v>
      </c>
      <c r="Y43" s="13"/>
      <c r="Z43" s="13"/>
      <c r="AA43" s="13"/>
      <c r="AB43" s="13"/>
      <c r="AC43" s="14" t="s">
        <v>34</v>
      </c>
      <c r="AD43" s="13"/>
      <c r="AE43" s="17">
        <v>19794.5</v>
      </c>
      <c r="AF43" s="17">
        <v>9310.870000000001</v>
      </c>
      <c r="AG43" s="17">
        <v>183.98</v>
      </c>
      <c r="AH43" s="18">
        <f>IF(AND(ISNUMBER(AG43),ISNUMBER(AF43),AF43&gt;0),AG43/AF43,"")</f>
        <v>0.019759700221354176</v>
      </c>
      <c r="AI43" s="17">
        <v>1995.77</v>
      </c>
      <c r="AJ43" s="17">
        <v>225.68</v>
      </c>
      <c r="AK43" s="18">
        <f>IF(ISNUMBER(Financial_Panel!L67),Financial_Panel!L67,"")</f>
        <v>0.0741868148123798</v>
      </c>
      <c r="AL43" s="17">
        <v>204.03</v>
      </c>
      <c r="AM43" s="15" t="s">
        <v>47</v>
      </c>
      <c r="AN43" s="12" t="s">
        <v>275</v>
      </c>
      <c r="AO43" s="15" t="s">
        <v>32</v>
      </c>
      <c r="AP43" s="12" t="s">
        <v>276</v>
      </c>
      <c r="AQ43" s="12" t="s">
        <v>277</v>
      </c>
      <c r="AR43" s="19">
        <v>46318</v>
      </c>
      <c r="AS43" s="15" t="s">
        <v>278</v>
      </c>
      <c r="AT43" s="15" t="s">
        <v>279</v>
      </c>
      <c r="AU43" s="13"/>
      <c r="AV43" s="12" t="s">
        <v>214</v>
      </c>
      <c r="AW43" s="15" t="s">
        <v>42</v>
      </c>
      <c r="AX43" s="15" t="s">
        <v>148</v>
      </c>
      <c r="AY43" s="15" t="s">
        <v>215</v>
      </c>
      <c r="AZ43" s="12" t="s">
        <v>216</v>
      </c>
    </row>
    <row r="44" spans="1:52" ht="30" customHeight="1">
      <c r="A44" s="12" t="s">
        <v>280</v>
      </c>
      <c r="B44" s="12" t="s">
        <v>207</v>
      </c>
      <c r="C44" s="13"/>
      <c r="D44" s="14">
        <v>1</v>
      </c>
      <c r="E44" s="15" t="s">
        <v>30</v>
      </c>
      <c r="F44" s="12" t="s">
        <v>31</v>
      </c>
      <c r="G44" s="14">
        <v>1</v>
      </c>
      <c r="H44" s="14">
        <v>3</v>
      </c>
      <c r="I44" s="14">
        <v>2</v>
      </c>
      <c r="J44" s="14">
        <v>2</v>
      </c>
      <c r="K44" s="14">
        <v>2</v>
      </c>
      <c r="L44" s="14">
        <v>2</v>
      </c>
      <c r="M44" s="14">
        <v>2</v>
      </c>
      <c r="N44" s="14">
        <v>0</v>
      </c>
      <c r="O44" s="14">
        <v>1</v>
      </c>
      <c r="P44" s="14">
        <v>3</v>
      </c>
      <c r="Q44" s="14">
        <v>2</v>
      </c>
      <c r="R44" s="16">
        <f>IF($AY44="Conflict","",IF(COUNT(H44:Q44)=10,SUM(H44:Q44),IF(ISNUMBER($AU44),$AU44,"")))</f>
        <v/>
      </c>
      <c r="S44" s="16">
        <f>IF(ISNUMBER(R44),R44/30*100,"")</f>
        <v/>
      </c>
      <c r="T44" s="16">
        <f>IF($AY44="Conflict","",IF(COUNT(H44:J44,L44)=4,SUM(H44:J44,L44),""))</f>
        <v/>
      </c>
      <c r="U44" s="16">
        <f>IF($AY44="Conflict","",IF(COUNT(K44,M44:O44)=4,SUM(K44,M44:O44),""))</f>
        <v/>
      </c>
      <c r="V44" s="16">
        <f>IF($AY44="Conflict","",IF(COUNT(P44:Q44)=2,SUM(P44:Q44),""))</f>
        <v/>
      </c>
      <c r="W44" s="15" t="s">
        <v>32</v>
      </c>
      <c r="X44" s="15" t="s">
        <v>208</v>
      </c>
      <c r="Y44" s="13"/>
      <c r="Z44" s="13"/>
      <c r="AA44" s="13"/>
      <c r="AB44" s="13"/>
      <c r="AC44" s="14" t="s">
        <v>34</v>
      </c>
      <c r="AD44" s="13"/>
      <c r="AE44" s="17">
        <v>7977.8</v>
      </c>
      <c r="AF44" s="17">
        <v>12276.7</v>
      </c>
      <c r="AG44" s="17">
        <v>1660.2</v>
      </c>
      <c r="AH44" s="18">
        <f>IF(AND(ISNUMBER(AG44),ISNUMBER(AF44),AF44&gt;0),AG44/AF44,"")</f>
        <v>0.13523178052734042</v>
      </c>
      <c r="AI44" s="17">
        <v>111.7</v>
      </c>
      <c r="AJ44" s="17">
        <v>33</v>
      </c>
      <c r="AK44" s="18">
        <f>IF(ISNUMBER(Financial_Panel!L73),Financial_Panel!L73,"")</f>
        <v>0.2754590984974958</v>
      </c>
      <c r="AL44" s="17">
        <v>850</v>
      </c>
      <c r="AM44" s="15" t="s">
        <v>47</v>
      </c>
      <c r="AN44" s="12" t="s">
        <v>281</v>
      </c>
      <c r="AO44" s="15" t="s">
        <v>32</v>
      </c>
      <c r="AP44" s="12" t="s">
        <v>282</v>
      </c>
      <c r="AQ44" s="12" t="s">
        <v>283</v>
      </c>
      <c r="AR44" s="19">
        <v>46318</v>
      </c>
      <c r="AS44" s="15" t="s">
        <v>284</v>
      </c>
      <c r="AT44" s="15" t="s">
        <v>285</v>
      </c>
      <c r="AU44" s="13"/>
      <c r="AV44" s="12" t="s">
        <v>214</v>
      </c>
      <c r="AW44" s="15" t="s">
        <v>42</v>
      </c>
      <c r="AX44" s="15" t="s">
        <v>148</v>
      </c>
      <c r="AY44" s="15" t="s">
        <v>215</v>
      </c>
      <c r="AZ44" s="12" t="s">
        <v>216</v>
      </c>
    </row>
    <row r="45" spans="1:52" ht="30" customHeight="1">
      <c r="A45" s="12" t="s">
        <v>286</v>
      </c>
      <c r="B45" s="12" t="s">
        <v>207</v>
      </c>
      <c r="C45" s="13"/>
      <c r="D45" s="14">
        <v>1</v>
      </c>
      <c r="E45" s="15" t="s">
        <v>30</v>
      </c>
      <c r="F45" s="13"/>
      <c r="G45" s="14">
        <v>1</v>
      </c>
      <c r="H45" s="14">
        <v>3</v>
      </c>
      <c r="I45" s="14">
        <v>2</v>
      </c>
      <c r="J45" s="14">
        <v>2</v>
      </c>
      <c r="K45" s="14">
        <v>2</v>
      </c>
      <c r="L45" s="14">
        <v>1</v>
      </c>
      <c r="M45" s="14">
        <v>1</v>
      </c>
      <c r="N45" s="14">
        <v>0</v>
      </c>
      <c r="O45" s="14">
        <v>1</v>
      </c>
      <c r="P45" s="14">
        <v>2</v>
      </c>
      <c r="Q45" s="14">
        <v>2</v>
      </c>
      <c r="R45" s="16">
        <f>IF($AY45="Conflict","",IF(COUNT(H45:Q45)=10,SUM(H45:Q45),IF(ISNUMBER($AU45),$AU45,"")))</f>
        <v/>
      </c>
      <c r="S45" s="16">
        <f>IF(ISNUMBER(R45),R45/30*100,"")</f>
        <v/>
      </c>
      <c r="T45" s="16">
        <f>IF($AY45="Conflict","",IF(COUNT(H45:J45,L45)=4,SUM(H45:J45,L45),""))</f>
        <v/>
      </c>
      <c r="U45" s="16">
        <f>IF($AY45="Conflict","",IF(COUNT(K45,M45:O45)=4,SUM(K45,M45:O45),""))</f>
        <v/>
      </c>
      <c r="V45" s="16">
        <f>IF($AY45="Conflict","",IF(COUNT(P45:Q45)=2,SUM(P45:Q45),""))</f>
        <v/>
      </c>
      <c r="W45" s="15" t="s">
        <v>32</v>
      </c>
      <c r="X45" s="15" t="s">
        <v>208</v>
      </c>
      <c r="Y45" s="13"/>
      <c r="Z45" s="13"/>
      <c r="AA45" s="13"/>
      <c r="AB45" s="13"/>
      <c r="AC45" s="14" t="s">
        <v>34</v>
      </c>
      <c r="AD45" s="13"/>
      <c r="AE45" s="17">
        <v>16933.64</v>
      </c>
      <c r="AF45" s="17">
        <v>11266.63</v>
      </c>
      <c r="AG45" s="17">
        <v>242.45</v>
      </c>
      <c r="AH45" s="18">
        <f>IF(AND(ISNUMBER(AG45),ISNUMBER(AF45),AF45&gt;0),AG45/AF45,"")</f>
        <v>0.021519300802458233</v>
      </c>
      <c r="AI45" s="17">
        <v>2751.92</v>
      </c>
      <c r="AJ45" s="17">
        <v>253.68</v>
      </c>
      <c r="AK45" s="18">
        <f>IF(ISNUMBER(Financial_Panel!L69),Financial_Panel!L69,"")</f>
        <v>0.08406722594392536</v>
      </c>
      <c r="AL45" s="17">
        <v>827.34</v>
      </c>
      <c r="AM45" s="13"/>
      <c r="AN45" s="12" t="s">
        <v>275</v>
      </c>
      <c r="AO45" s="15" t="s">
        <v>32</v>
      </c>
      <c r="AP45" s="12" t="s">
        <v>287</v>
      </c>
      <c r="AQ45" s="12" t="s">
        <v>288</v>
      </c>
      <c r="AR45" s="19">
        <v>46318</v>
      </c>
      <c r="AS45" s="15" t="s">
        <v>289</v>
      </c>
      <c r="AT45" s="15" t="s">
        <v>290</v>
      </c>
      <c r="AU45" s="13"/>
      <c r="AV45" s="12" t="s">
        <v>214</v>
      </c>
      <c r="AW45" s="15" t="s">
        <v>42</v>
      </c>
      <c r="AX45" s="15" t="s">
        <v>148</v>
      </c>
      <c r="AY45" s="15" t="s">
        <v>215</v>
      </c>
      <c r="AZ45" s="12" t="s">
        <v>216</v>
      </c>
    </row>
    <row r="46" spans="1:52" ht="30" customHeight="1">
      <c r="A46" s="12" t="s">
        <v>291</v>
      </c>
      <c r="B46" s="12" t="s">
        <v>207</v>
      </c>
      <c r="C46" s="13"/>
      <c r="D46" s="14">
        <v>1</v>
      </c>
      <c r="E46" s="15" t="s">
        <v>30</v>
      </c>
      <c r="F46" s="12" t="s">
        <v>31</v>
      </c>
      <c r="G46" s="14">
        <v>1</v>
      </c>
      <c r="H46" s="14">
        <v>1</v>
      </c>
      <c r="I46" s="14">
        <v>1</v>
      </c>
      <c r="J46" s="14">
        <v>1</v>
      </c>
      <c r="K46" s="14">
        <v>1</v>
      </c>
      <c r="L46" s="14">
        <v>1</v>
      </c>
      <c r="M46" s="14">
        <v>0</v>
      </c>
      <c r="N46" s="14">
        <v>0</v>
      </c>
      <c r="O46" s="14">
        <v>0</v>
      </c>
      <c r="P46" s="14">
        <v>0</v>
      </c>
      <c r="Q46" s="14">
        <v>1</v>
      </c>
      <c r="R46" s="16">
        <f>IF($AY46="Conflict","",IF(COUNT(H46:Q46)=10,SUM(H46:Q46),IF(ISNUMBER($AU46),$AU46,"")))</f>
        <v>6</v>
      </c>
      <c r="S46" s="16">
        <f>IF(ISNUMBER(R46),R46/30*100,"")</f>
        <v>20.0</v>
      </c>
      <c r="T46" s="16">
        <f>IF($AY46="Conflict","",IF(COUNT(H46:J46,L46)=4,SUM(H46:J46,L46),""))</f>
        <v>4</v>
      </c>
      <c r="U46" s="16">
        <f>IF($AY46="Conflict","",IF(COUNT(K46,M46:O46)=4,SUM(K46,M46:O46),""))</f>
        <v>1</v>
      </c>
      <c r="V46" s="16">
        <f>IF($AY46="Conflict","",IF(COUNT(P46:Q46)=2,SUM(P46:Q46),""))</f>
        <v>1</v>
      </c>
      <c r="W46" s="15" t="s">
        <v>32</v>
      </c>
      <c r="X46" s="15" t="s">
        <v>208</v>
      </c>
      <c r="Y46" s="13"/>
      <c r="Z46" s="13"/>
      <c r="AA46" s="13"/>
      <c r="AB46" s="13"/>
      <c r="AC46" s="14" t="s">
        <v>34</v>
      </c>
      <c r="AD46" s="13"/>
      <c r="AE46" s="17">
        <v>3086.33</v>
      </c>
      <c r="AF46" s="17">
        <v>2284.84</v>
      </c>
      <c r="AG46" s="17">
        <v>155.62</v>
      </c>
      <c r="AH46" s="18">
        <f>IF(AND(ISNUMBER(AG46),ISNUMBER(AF46),AF46&gt;0),AG46/AF46,"")</f>
        <v>0.06810980199926471</v>
      </c>
      <c r="AI46" s="17">
        <v>715.99</v>
      </c>
      <c r="AJ46" s="17">
        <v>55.04</v>
      </c>
      <c r="AK46" s="18">
        <f>IF(ISNUMBER(Financial_Panel!L70),Financial_Panel!L70,"")</f>
        <v>0.09325494315582589</v>
      </c>
      <c r="AL46" s="17">
        <v>252.66</v>
      </c>
      <c r="AM46" s="15" t="s">
        <v>35</v>
      </c>
      <c r="AN46" s="12" t="s">
        <v>209</v>
      </c>
      <c r="AO46" s="15" t="s">
        <v>32</v>
      </c>
      <c r="AP46" s="12" t="s">
        <v>292</v>
      </c>
      <c r="AQ46" s="12" t="s">
        <v>293</v>
      </c>
      <c r="AR46" s="19">
        <v>46318</v>
      </c>
      <c r="AS46" s="15" t="s">
        <v>294</v>
      </c>
      <c r="AT46" s="15" t="s">
        <v>295</v>
      </c>
      <c r="AU46" s="14">
        <v>6</v>
      </c>
      <c r="AV46" s="12" t="s">
        <v>41</v>
      </c>
      <c r="AW46" s="15" t="s">
        <v>42</v>
      </c>
      <c r="AX46" s="15" t="s">
        <v>43</v>
      </c>
      <c r="AY46" s="15" t="s">
        <v>44</v>
      </c>
      <c r="AZ46" s="12" t="s">
        <v>216</v>
      </c>
    </row>
    <row r="47" spans="1:52" ht="30" customHeight="1">
      <c r="A47" s="12" t="s">
        <v>296</v>
      </c>
      <c r="B47" s="12" t="s">
        <v>207</v>
      </c>
      <c r="C47" s="13"/>
      <c r="D47" s="14">
        <v>1</v>
      </c>
      <c r="E47" s="15" t="s">
        <v>30</v>
      </c>
      <c r="F47" s="12" t="s">
        <v>31</v>
      </c>
      <c r="G47" s="14">
        <v>1</v>
      </c>
      <c r="H47" s="14">
        <v>3</v>
      </c>
      <c r="I47" s="14">
        <v>2</v>
      </c>
      <c r="J47" s="14">
        <v>2</v>
      </c>
      <c r="K47" s="14">
        <v>2</v>
      </c>
      <c r="L47" s="14">
        <v>1</v>
      </c>
      <c r="M47" s="14">
        <v>1</v>
      </c>
      <c r="N47" s="14">
        <v>0</v>
      </c>
      <c r="O47" s="14">
        <v>1</v>
      </c>
      <c r="P47" s="14">
        <v>3</v>
      </c>
      <c r="Q47" s="14">
        <v>2</v>
      </c>
      <c r="R47" s="16">
        <f>IF($AY47="Conflict","",IF(COUNT(H47:Q47)=10,SUM(H47:Q47),IF(ISNUMBER($AU47),$AU47,"")))</f>
        <v/>
      </c>
      <c r="S47" s="16">
        <f>IF(ISNUMBER(R47),R47/30*100,"")</f>
        <v/>
      </c>
      <c r="T47" s="16">
        <f>IF($AY47="Conflict","",IF(COUNT(H47:J47,L47)=4,SUM(H47:J47,L47),""))</f>
        <v/>
      </c>
      <c r="U47" s="16">
        <f>IF($AY47="Conflict","",IF(COUNT(K47,M47:O47)=4,SUM(K47,M47:O47),""))</f>
        <v/>
      </c>
      <c r="V47" s="16">
        <f>IF($AY47="Conflict","",IF(COUNT(P47:Q47)=2,SUM(P47:Q47),""))</f>
        <v/>
      </c>
      <c r="W47" s="15" t="s">
        <v>32</v>
      </c>
      <c r="X47" s="15" t="s">
        <v>208</v>
      </c>
      <c r="Y47" s="13"/>
      <c r="Z47" s="13"/>
      <c r="AA47" s="13"/>
      <c r="AB47" s="13"/>
      <c r="AC47" s="14" t="s">
        <v>34</v>
      </c>
      <c r="AD47" s="13"/>
      <c r="AE47" s="17">
        <v>14693.07</v>
      </c>
      <c r="AF47" s="17">
        <v>21557.12</v>
      </c>
      <c r="AG47" s="17">
        <v>1250.78</v>
      </c>
      <c r="AH47" s="18">
        <f>IF(AND(ISNUMBER(AG47),ISNUMBER(AF47),AF47&gt;0),AG47/AF47,"")</f>
        <v>0.05802166523171927</v>
      </c>
      <c r="AI47" s="17">
        <v>4641.24</v>
      </c>
      <c r="AJ47" s="17">
        <v>375.96</v>
      </c>
      <c r="AK47" s="18">
        <f>IF(ISNUMBER(Financial_Panel!L71),Financial_Panel!L71,"")</f>
        <v>0.07864054518756511</v>
      </c>
      <c r="AL47" s="17">
        <v>1231.45</v>
      </c>
      <c r="AM47" s="15" t="s">
        <v>47</v>
      </c>
      <c r="AN47" s="12" t="s">
        <v>297</v>
      </c>
      <c r="AO47" s="15" t="s">
        <v>32</v>
      </c>
      <c r="AP47" s="12" t="s">
        <v>298</v>
      </c>
      <c r="AQ47" s="12" t="s">
        <v>299</v>
      </c>
      <c r="AR47" s="19">
        <v>46319</v>
      </c>
      <c r="AS47" s="15" t="s">
        <v>300</v>
      </c>
      <c r="AT47" s="15" t="s">
        <v>301</v>
      </c>
      <c r="AU47" s="13"/>
      <c r="AV47" s="12" t="s">
        <v>214</v>
      </c>
      <c r="AW47" s="15" t="s">
        <v>42</v>
      </c>
      <c r="AX47" s="15" t="s">
        <v>148</v>
      </c>
      <c r="AY47" s="15" t="s">
        <v>215</v>
      </c>
      <c r="AZ47" s="12" t="s">
        <v>216</v>
      </c>
    </row>
    <row r="48" spans="1:52" ht="30" customHeight="1">
      <c r="A48" s="12" t="s">
        <v>302</v>
      </c>
      <c r="B48" s="12" t="s">
        <v>303</v>
      </c>
      <c r="C48" s="13"/>
      <c r="D48" s="14">
        <v>1</v>
      </c>
      <c r="E48" s="15" t="s">
        <v>30</v>
      </c>
      <c r="F48" s="12" t="s">
        <v>31</v>
      </c>
      <c r="G48" s="14">
        <v>1</v>
      </c>
      <c r="H48" s="13"/>
      <c r="I48" s="13"/>
      <c r="J48" s="13"/>
      <c r="K48" s="13"/>
      <c r="L48" s="13"/>
      <c r="M48" s="13"/>
      <c r="N48" s="13"/>
      <c r="O48" s="13"/>
      <c r="P48" s="13"/>
      <c r="Q48" s="13"/>
      <c r="R48" s="16">
        <f>IF($AY48="Conflict","",IF(COUNT(H48:Q48)=10,SUM(H48:Q48),IF(ISNUMBER($AU48),$AU48,"")))</f>
        <v>24</v>
      </c>
      <c r="S48" s="16">
        <f>IF(ISNUMBER(R48),R48/30*100,"")</f>
        <v>80.0</v>
      </c>
      <c r="T48" s="16">
        <f>IF($AY48="Conflict","",IF(COUNT(H48:J48,L48)=4,SUM(H48:J48,L48),""))</f>
        <v/>
      </c>
      <c r="U48" s="16">
        <f>IF($AY48="Conflict","",IF(COUNT(K48,M48:O48)=4,SUM(K48,M48:O48),""))</f>
        <v/>
      </c>
      <c r="V48" s="16">
        <f>IF($AY48="Conflict","",IF(COUNT(P48:Q48)=2,SUM(P48:Q48),""))</f>
        <v/>
      </c>
      <c r="W48" s="13"/>
      <c r="X48" s="13"/>
      <c r="Y48" s="13"/>
      <c r="Z48" s="13"/>
      <c r="AA48" s="14">
        <v>0</v>
      </c>
      <c r="AB48" s="13"/>
      <c r="AC48" s="13"/>
      <c r="AD48" s="13"/>
      <c r="AE48" s="17">
        <v>8328.809999999999</v>
      </c>
      <c r="AF48" s="17">
        <v>8098.95</v>
      </c>
      <c r="AG48" s="17">
        <v>367.38</v>
      </c>
      <c r="AH48" s="18">
        <f>IF(AND(ISNUMBER(AG48),ISNUMBER(AF48),AF48&gt;0),AG48/AF48,"")</f>
        <v>0.04536143574167022</v>
      </c>
      <c r="AI48" s="17">
        <v>1375.96</v>
      </c>
      <c r="AJ48" s="17">
        <v>165.77</v>
      </c>
      <c r="AK48" s="18">
        <f>IF(ISNUMBER(Financial_Panel!L86),Financial_Panel!L86,"")</f>
        <v>0.12273168131371838</v>
      </c>
      <c r="AL48" s="17">
        <v>535.12</v>
      </c>
      <c r="AM48" s="13"/>
      <c r="AN48" s="12" t="s">
        <v>304</v>
      </c>
      <c r="AO48" s="15" t="s">
        <v>32</v>
      </c>
      <c r="AP48" s="12" t="s">
        <v>305</v>
      </c>
      <c r="AQ48" s="12" t="s">
        <v>306</v>
      </c>
      <c r="AR48" s="19">
        <v>46318</v>
      </c>
      <c r="AS48" s="15" t="s">
        <v>307</v>
      </c>
      <c r="AT48" s="15" t="s">
        <v>308</v>
      </c>
      <c r="AU48" s="14">
        <v>24</v>
      </c>
      <c r="AV48" s="12" t="s">
        <v>309</v>
      </c>
      <c r="AW48" s="15" t="s">
        <v>79</v>
      </c>
      <c r="AX48" s="15" t="s">
        <v>148</v>
      </c>
      <c r="AY48" s="15" t="s">
        <v>310</v>
      </c>
      <c r="AZ48" s="12" t="s">
        <v>311</v>
      </c>
    </row>
    <row r="49" spans="1:52" ht="30" customHeight="1">
      <c r="A49" s="12" t="s">
        <v>312</v>
      </c>
      <c r="B49" s="12" t="s">
        <v>303</v>
      </c>
      <c r="C49" s="13"/>
      <c r="D49" s="14">
        <v>1</v>
      </c>
      <c r="E49" s="15" t="s">
        <v>30</v>
      </c>
      <c r="F49" s="12" t="s">
        <v>31</v>
      </c>
      <c r="G49" s="14">
        <v>1</v>
      </c>
      <c r="H49" s="13"/>
      <c r="I49" s="13"/>
      <c r="J49" s="13"/>
      <c r="K49" s="13"/>
      <c r="L49" s="13"/>
      <c r="M49" s="13"/>
      <c r="N49" s="13"/>
      <c r="O49" s="13"/>
      <c r="P49" s="13"/>
      <c r="Q49" s="13"/>
      <c r="R49" s="16">
        <f>IF($AY49="Conflict","",IF(COUNT(H49:Q49)=10,SUM(H49:Q49),IF(ISNUMBER($AU49),$AU49,"")))</f>
        <v>9</v>
      </c>
      <c r="S49" s="16">
        <f>IF(ISNUMBER(R49),R49/30*100,"")</f>
        <v>30.0</v>
      </c>
      <c r="T49" s="16">
        <f>IF($AY49="Conflict","",IF(COUNT(H49:J49,L49)=4,SUM(H49:J49,L49),""))</f>
        <v/>
      </c>
      <c r="U49" s="16">
        <f>IF($AY49="Conflict","",IF(COUNT(K49,M49:O49)=4,SUM(K49,M49:O49),""))</f>
        <v/>
      </c>
      <c r="V49" s="16">
        <f>IF($AY49="Conflict","",IF(COUNT(P49:Q49)=2,SUM(P49:Q49),""))</f>
        <v/>
      </c>
      <c r="W49" s="13"/>
      <c r="X49" s="13"/>
      <c r="Y49" s="13"/>
      <c r="Z49" s="13"/>
      <c r="AA49" s="14">
        <v>0</v>
      </c>
      <c r="AB49" s="13"/>
      <c r="AC49" s="13"/>
      <c r="AD49" s="13"/>
      <c r="AE49" s="17">
        <v>3864.2396</v>
      </c>
      <c r="AF49" s="17">
        <v>3537.1693</v>
      </c>
      <c r="AG49" s="17">
        <v>158.5409</v>
      </c>
      <c r="AH49" s="18">
        <f>IF(AND(ISNUMBER(AG49),ISNUMBER(AF49),AF49&gt;0),AG49/AF49,"")</f>
        <v>0.04482140563642232</v>
      </c>
      <c r="AI49" s="17">
        <v>643.3257</v>
      </c>
      <c r="AJ49" s="17">
        <v>77.4341</v>
      </c>
      <c r="AK49" s="18">
        <f>IF(ISNUMBER(Financial_Panel!L87),Financial_Panel!L87,"")</f>
        <v>0.12263049467136712</v>
      </c>
      <c r="AL49" s="13"/>
      <c r="AM49" s="13"/>
      <c r="AN49" s="12" t="s">
        <v>304</v>
      </c>
      <c r="AO49" s="15" t="s">
        <v>32</v>
      </c>
      <c r="AP49" s="12" t="s">
        <v>313</v>
      </c>
      <c r="AQ49" s="12" t="s">
        <v>314</v>
      </c>
      <c r="AR49" s="19">
        <v>46318</v>
      </c>
      <c r="AS49" s="15" t="s">
        <v>315</v>
      </c>
      <c r="AT49" s="15" t="s">
        <v>316</v>
      </c>
      <c r="AU49" s="14">
        <v>9</v>
      </c>
      <c r="AV49" s="12" t="s">
        <v>309</v>
      </c>
      <c r="AW49" s="15" t="s">
        <v>79</v>
      </c>
      <c r="AX49" s="15" t="s">
        <v>148</v>
      </c>
      <c r="AY49" s="15" t="s">
        <v>310</v>
      </c>
      <c r="AZ49" s="12" t="s">
        <v>311</v>
      </c>
    </row>
    <row r="50" spans="1:52" ht="30" customHeight="1">
      <c r="A50" s="12" t="s">
        <v>317</v>
      </c>
      <c r="B50" s="12" t="s">
        <v>303</v>
      </c>
      <c r="C50" s="13"/>
      <c r="D50" s="14">
        <v>1</v>
      </c>
      <c r="E50" s="15" t="s">
        <v>30</v>
      </c>
      <c r="F50" s="12" t="s">
        <v>31</v>
      </c>
      <c r="G50" s="14">
        <v>1</v>
      </c>
      <c r="H50" s="13"/>
      <c r="I50" s="13"/>
      <c r="J50" s="13"/>
      <c r="K50" s="13"/>
      <c r="L50" s="13"/>
      <c r="M50" s="13"/>
      <c r="N50" s="13"/>
      <c r="O50" s="13"/>
      <c r="P50" s="13"/>
      <c r="Q50" s="13"/>
      <c r="R50" s="16">
        <f>IF($AY50="Conflict","",IF(COUNT(H50:Q50)=10,SUM(H50:Q50),IF(ISNUMBER($AU50),$AU50,"")))</f>
        <v>25</v>
      </c>
      <c r="S50" s="16">
        <f>IF(ISNUMBER(R50),R50/30*100,"")</f>
        <v>83.33333333333334</v>
      </c>
      <c r="T50" s="16">
        <f>IF($AY50="Conflict","",IF(COUNT(H50:J50,L50)=4,SUM(H50:J50,L50),""))</f>
        <v/>
      </c>
      <c r="U50" s="16">
        <f>IF($AY50="Conflict","",IF(COUNT(K50,M50:O50)=4,SUM(K50,M50:O50),""))</f>
        <v/>
      </c>
      <c r="V50" s="16">
        <f>IF($AY50="Conflict","",IF(COUNT(P50:Q50)=2,SUM(P50:Q50),""))</f>
        <v/>
      </c>
      <c r="W50" s="13"/>
      <c r="X50" s="13"/>
      <c r="Y50" s="13"/>
      <c r="Z50" s="13"/>
      <c r="AA50" s="14">
        <v>0</v>
      </c>
      <c r="AB50" s="13"/>
      <c r="AC50" s="13"/>
      <c r="AD50" s="13"/>
      <c r="AE50" s="17">
        <v>148477.89</v>
      </c>
      <c r="AF50" s="17">
        <v>500535.7</v>
      </c>
      <c r="AG50" s="17">
        <v>7756.33</v>
      </c>
      <c r="AH50" s="18">
        <f>IF(AND(ISNUMBER(AG50),ISNUMBER(AF50),AF50&gt;0),AG50/AF50,"")</f>
        <v>0.015496057523968819</v>
      </c>
      <c r="AI50" s="17">
        <v>183648.69</v>
      </c>
      <c r="AJ50" s="17">
        <v>12500.38</v>
      </c>
      <c r="AK50" s="18">
        <f>IF(ISNUMBER(Financial_Panel!L88),Financial_Panel!L88,"")</f>
        <v>0.078433535403351</v>
      </c>
      <c r="AL50" s="17">
        <v>17181.34</v>
      </c>
      <c r="AM50" s="13"/>
      <c r="AN50" s="12" t="s">
        <v>304</v>
      </c>
      <c r="AO50" s="15" t="s">
        <v>32</v>
      </c>
      <c r="AP50" s="12" t="s">
        <v>318</v>
      </c>
      <c r="AQ50" s="12" t="s">
        <v>319</v>
      </c>
      <c r="AR50" s="19">
        <v>46318</v>
      </c>
      <c r="AS50" s="15" t="s">
        <v>320</v>
      </c>
      <c r="AT50" s="15" t="s">
        <v>321</v>
      </c>
      <c r="AU50" s="14">
        <v>25</v>
      </c>
      <c r="AV50" s="12" t="s">
        <v>309</v>
      </c>
      <c r="AW50" s="15" t="s">
        <v>79</v>
      </c>
      <c r="AX50" s="15" t="s">
        <v>148</v>
      </c>
      <c r="AY50" s="15" t="s">
        <v>310</v>
      </c>
      <c r="AZ50" s="12" t="s">
        <v>311</v>
      </c>
    </row>
    <row r="51" spans="1:52" ht="30" customHeight="1">
      <c r="A51" s="12" t="s">
        <v>322</v>
      </c>
      <c r="B51" s="12" t="s">
        <v>303</v>
      </c>
      <c r="C51" s="13"/>
      <c r="D51" s="14">
        <v>1</v>
      </c>
      <c r="E51" s="15" t="s">
        <v>30</v>
      </c>
      <c r="F51" s="12" t="s">
        <v>31</v>
      </c>
      <c r="G51" s="14">
        <v>1</v>
      </c>
      <c r="H51" s="13"/>
      <c r="I51" s="13"/>
      <c r="J51" s="13"/>
      <c r="K51" s="13"/>
      <c r="L51" s="13"/>
      <c r="M51" s="13"/>
      <c r="N51" s="13"/>
      <c r="O51" s="13"/>
      <c r="P51" s="13"/>
      <c r="Q51" s="13"/>
      <c r="R51" s="16">
        <f>IF($AY51="Conflict","",IF(COUNT(H51:Q51)=10,SUM(H51:Q51),IF(ISNUMBER($AU51),$AU51,"")))</f>
        <v>15</v>
      </c>
      <c r="S51" s="16">
        <f>IF(ISNUMBER(R51),R51/30*100,"")</f>
        <v>50.0</v>
      </c>
      <c r="T51" s="16">
        <f>IF($AY51="Conflict","",IF(COUNT(H51:J51,L51)=4,SUM(H51:J51,L51),""))</f>
        <v/>
      </c>
      <c r="U51" s="16">
        <f>IF($AY51="Conflict","",IF(COUNT(K51,M51:O51)=4,SUM(K51,M51:O51),""))</f>
        <v/>
      </c>
      <c r="V51" s="16">
        <f>IF($AY51="Conflict","",IF(COUNT(P51:Q51)=2,SUM(P51:Q51),""))</f>
        <v/>
      </c>
      <c r="W51" s="13"/>
      <c r="X51" s="13"/>
      <c r="Y51" s="13"/>
      <c r="Z51" s="13"/>
      <c r="AA51" s="14">
        <v>0</v>
      </c>
      <c r="AB51" s="13"/>
      <c r="AC51" s="13"/>
      <c r="AD51" s="13"/>
      <c r="AE51" s="17">
        <v>4151.3913</v>
      </c>
      <c r="AF51" s="17">
        <v>4259.6188</v>
      </c>
      <c r="AG51" s="17">
        <v>246.004</v>
      </c>
      <c r="AH51" s="18">
        <f>IF(AND(ISNUMBER(AG51),ISNUMBER(AF51),AF51&gt;0),AG51/AF51,"")</f>
        <v>0.05775258574781386</v>
      </c>
      <c r="AI51" s="17">
        <v>1217.5799</v>
      </c>
      <c r="AJ51" s="17">
        <v>123.1571</v>
      </c>
      <c r="AK51" s="18">
        <f>IF(ISNUMBER(Financial_Panel!L89),Financial_Panel!L89,"")</f>
        <v>0.11555012881243598</v>
      </c>
      <c r="AL51" s="17">
        <v>251.5786</v>
      </c>
      <c r="AM51" s="13"/>
      <c r="AN51" s="12" t="s">
        <v>304</v>
      </c>
      <c r="AO51" s="15" t="s">
        <v>32</v>
      </c>
      <c r="AP51" s="12" t="s">
        <v>323</v>
      </c>
      <c r="AQ51" s="12" t="s">
        <v>324</v>
      </c>
      <c r="AR51" s="19">
        <v>46318</v>
      </c>
      <c r="AS51" s="15" t="s">
        <v>325</v>
      </c>
      <c r="AT51" s="15" t="s">
        <v>326</v>
      </c>
      <c r="AU51" s="14">
        <v>15</v>
      </c>
      <c r="AV51" s="12" t="s">
        <v>309</v>
      </c>
      <c r="AW51" s="15" t="s">
        <v>79</v>
      </c>
      <c r="AX51" s="15" t="s">
        <v>148</v>
      </c>
      <c r="AY51" s="15" t="s">
        <v>310</v>
      </c>
      <c r="AZ51" s="12" t="s">
        <v>311</v>
      </c>
    </row>
    <row r="52" spans="1:52" ht="30" customHeight="1">
      <c r="A52" s="12" t="s">
        <v>327</v>
      </c>
      <c r="B52" s="12" t="s">
        <v>303</v>
      </c>
      <c r="C52" s="13"/>
      <c r="D52" s="14">
        <v>1</v>
      </c>
      <c r="E52" s="15" t="s">
        <v>30</v>
      </c>
      <c r="F52" s="12" t="s">
        <v>31</v>
      </c>
      <c r="G52" s="14">
        <v>1</v>
      </c>
      <c r="H52" s="13"/>
      <c r="I52" s="13"/>
      <c r="J52" s="13"/>
      <c r="K52" s="13"/>
      <c r="L52" s="13"/>
      <c r="M52" s="13"/>
      <c r="N52" s="13"/>
      <c r="O52" s="13"/>
      <c r="P52" s="13"/>
      <c r="Q52" s="13"/>
      <c r="R52" s="16">
        <f>IF($AY52="Conflict","",IF(COUNT(H52:Q52)=10,SUM(H52:Q52),IF(ISNUMBER($AU52),$AU52,"")))</f>
        <v>10</v>
      </c>
      <c r="S52" s="16">
        <f>IF(ISNUMBER(R52),R52/30*100,"")</f>
        <v>33.33333333333333</v>
      </c>
      <c r="T52" s="16">
        <f>IF($AY52="Conflict","",IF(COUNT(H52:J52,L52)=4,SUM(H52:J52,L52),""))</f>
        <v/>
      </c>
      <c r="U52" s="16">
        <f>IF($AY52="Conflict","",IF(COUNT(K52,M52:O52)=4,SUM(K52,M52:O52),""))</f>
        <v/>
      </c>
      <c r="V52" s="16">
        <f>IF($AY52="Conflict","",IF(COUNT(P52:Q52)=2,SUM(P52:Q52),""))</f>
        <v/>
      </c>
      <c r="W52" s="13"/>
      <c r="X52" s="13"/>
      <c r="Y52" s="13"/>
      <c r="Z52" s="13"/>
      <c r="AA52" s="14">
        <v>0</v>
      </c>
      <c r="AB52" s="13"/>
      <c r="AC52" s="13"/>
      <c r="AD52" s="13"/>
      <c r="AE52" s="17">
        <v>6387.88</v>
      </c>
      <c r="AF52" s="17">
        <v>5961.52</v>
      </c>
      <c r="AG52" s="17">
        <v>815.11</v>
      </c>
      <c r="AH52" s="18">
        <f>IF(AND(ISNUMBER(AG52),ISNUMBER(AF52),AF52&gt;0),AG52/AF52,"")</f>
        <v>0.1367285524497108</v>
      </c>
      <c r="AI52" s="17">
        <v>465.96</v>
      </c>
      <c r="AJ52" s="17">
        <v>49.77</v>
      </c>
      <c r="AK52" s="18">
        <f>IF(ISNUMBER(Financial_Panel!L90),Financial_Panel!L90,"")</f>
        <v>0.06127876482103941</v>
      </c>
      <c r="AL52" s="17">
        <v>168.69</v>
      </c>
      <c r="AM52" s="13"/>
      <c r="AN52" s="12" t="s">
        <v>304</v>
      </c>
      <c r="AO52" s="15" t="s">
        <v>32</v>
      </c>
      <c r="AP52" s="12" t="s">
        <v>328</v>
      </c>
      <c r="AQ52" s="12" t="s">
        <v>329</v>
      </c>
      <c r="AR52" s="19">
        <v>46318</v>
      </c>
      <c r="AS52" s="15" t="s">
        <v>330</v>
      </c>
      <c r="AT52" s="15" t="s">
        <v>331</v>
      </c>
      <c r="AU52" s="14">
        <v>10</v>
      </c>
      <c r="AV52" s="12" t="s">
        <v>309</v>
      </c>
      <c r="AW52" s="15" t="s">
        <v>79</v>
      </c>
      <c r="AX52" s="15" t="s">
        <v>148</v>
      </c>
      <c r="AY52" s="15" t="s">
        <v>310</v>
      </c>
      <c r="AZ52" s="12" t="s">
        <v>216</v>
      </c>
    </row>
    <row r="53" spans="1:52" ht="30" customHeight="1">
      <c r="A53" s="12" t="s">
        <v>332</v>
      </c>
      <c r="B53" s="12" t="s">
        <v>303</v>
      </c>
      <c r="C53" s="13"/>
      <c r="D53" s="14">
        <v>1</v>
      </c>
      <c r="E53" s="15" t="s">
        <v>30</v>
      </c>
      <c r="F53" s="12" t="s">
        <v>31</v>
      </c>
      <c r="G53" s="14">
        <v>1</v>
      </c>
      <c r="H53" s="13"/>
      <c r="I53" s="13"/>
      <c r="J53" s="13"/>
      <c r="K53" s="13"/>
      <c r="L53" s="13"/>
      <c r="M53" s="13"/>
      <c r="N53" s="13"/>
      <c r="O53" s="13"/>
      <c r="P53" s="13"/>
      <c r="Q53" s="13"/>
      <c r="R53" s="16">
        <f>IF($AY53="Conflict","",IF(COUNT(H53:Q53)=10,SUM(H53:Q53),IF(ISNUMBER($AU53),$AU53,"")))</f>
        <v>6</v>
      </c>
      <c r="S53" s="16">
        <f>IF(ISNUMBER(R53),R53/30*100,"")</f>
        <v>20.0</v>
      </c>
      <c r="T53" s="16">
        <f>IF($AY53="Conflict","",IF(COUNT(H53:J53,L53)=4,SUM(H53:J53,L53),""))</f>
        <v/>
      </c>
      <c r="U53" s="16">
        <f>IF($AY53="Conflict","",IF(COUNT(K53,M53:O53)=4,SUM(K53,M53:O53),""))</f>
        <v/>
      </c>
      <c r="V53" s="16">
        <f>IF($AY53="Conflict","",IF(COUNT(P53:Q53)=2,SUM(P53:Q53),""))</f>
        <v/>
      </c>
      <c r="W53" s="13"/>
      <c r="X53" s="13"/>
      <c r="Y53" s="13"/>
      <c r="Z53" s="13"/>
      <c r="AA53" s="14">
        <v>0</v>
      </c>
      <c r="AB53" s="13"/>
      <c r="AC53" s="13"/>
      <c r="AD53" s="13"/>
      <c r="AE53" s="17">
        <v>2583.06</v>
      </c>
      <c r="AF53" s="17">
        <v>2563.71</v>
      </c>
      <c r="AG53" s="17">
        <v>164.54</v>
      </c>
      <c r="AH53" s="18">
        <f>IF(AND(ISNUMBER(AG53),ISNUMBER(AF53),AF53&gt;0),AG53/AF53,"")</f>
        <v>0.06418042602322416</v>
      </c>
      <c r="AI53" s="17">
        <v>287.29</v>
      </c>
      <c r="AJ53" s="17">
        <v>20.87</v>
      </c>
      <c r="AK53" s="18">
        <f>IF(ISNUMBER(Financial_Panel!L91),Financial_Panel!L91,"")</f>
        <v>0.08768170741954458</v>
      </c>
      <c r="AL53" s="17">
        <v>36.8</v>
      </c>
      <c r="AM53" s="13"/>
      <c r="AN53" s="12" t="s">
        <v>304</v>
      </c>
      <c r="AO53" s="15" t="s">
        <v>32</v>
      </c>
      <c r="AP53" s="12" t="s">
        <v>333</v>
      </c>
      <c r="AQ53" s="12" t="s">
        <v>334</v>
      </c>
      <c r="AR53" s="19">
        <v>46318</v>
      </c>
      <c r="AS53" s="15" t="s">
        <v>335</v>
      </c>
      <c r="AT53" s="15" t="s">
        <v>336</v>
      </c>
      <c r="AU53" s="14">
        <v>6</v>
      </c>
      <c r="AV53" s="12" t="s">
        <v>309</v>
      </c>
      <c r="AW53" s="15" t="s">
        <v>79</v>
      </c>
      <c r="AX53" s="15" t="s">
        <v>148</v>
      </c>
      <c r="AY53" s="15" t="s">
        <v>310</v>
      </c>
      <c r="AZ53" s="12" t="s">
        <v>216</v>
      </c>
    </row>
    <row r="54" spans="1:52" ht="30" customHeight="1">
      <c r="A54" s="12" t="s">
        <v>337</v>
      </c>
      <c r="B54" s="12" t="s">
        <v>303</v>
      </c>
      <c r="C54" s="13"/>
      <c r="D54" s="14">
        <v>1</v>
      </c>
      <c r="E54" s="15" t="s">
        <v>30</v>
      </c>
      <c r="F54" s="12" t="s">
        <v>31</v>
      </c>
      <c r="G54" s="14">
        <v>1</v>
      </c>
      <c r="H54" s="13"/>
      <c r="I54" s="13"/>
      <c r="J54" s="13"/>
      <c r="K54" s="13"/>
      <c r="L54" s="13"/>
      <c r="M54" s="13"/>
      <c r="N54" s="13"/>
      <c r="O54" s="13"/>
      <c r="P54" s="13"/>
      <c r="Q54" s="13"/>
      <c r="R54" s="16">
        <f>IF($AY54="Conflict","",IF(COUNT(H54:Q54)=10,SUM(H54:Q54),IF(ISNUMBER($AU54),$AU54,"")))</f>
        <v>10</v>
      </c>
      <c r="S54" s="16">
        <f>IF(ISNUMBER(R54),R54/30*100,"")</f>
        <v>33.33333333333333</v>
      </c>
      <c r="T54" s="16">
        <f>IF($AY54="Conflict","",IF(COUNT(H54:J54,L54)=4,SUM(H54:J54,L54),""))</f>
        <v/>
      </c>
      <c r="U54" s="16">
        <f>IF($AY54="Conflict","",IF(COUNT(K54,M54:O54)=4,SUM(K54,M54:O54),""))</f>
        <v/>
      </c>
      <c r="V54" s="16">
        <f>IF($AY54="Conflict","",IF(COUNT(P54:Q54)=2,SUM(P54:Q54),""))</f>
        <v/>
      </c>
      <c r="W54" s="13"/>
      <c r="X54" s="13"/>
      <c r="Y54" s="13"/>
      <c r="Z54" s="13"/>
      <c r="AA54" s="14">
        <v>0</v>
      </c>
      <c r="AB54" s="13"/>
      <c r="AC54" s="13"/>
      <c r="AD54" s="13"/>
      <c r="AE54" s="17">
        <v>3284.558</v>
      </c>
      <c r="AF54" s="17">
        <v>2749.7702</v>
      </c>
      <c r="AG54" s="17">
        <v>12.3525</v>
      </c>
      <c r="AH54" s="18">
        <f>IF(AND(ISNUMBER(AG54),ISNUMBER(AF54),AF54&gt;0),AG54/AF54,"")</f>
        <v>0.004492193565847793</v>
      </c>
      <c r="AI54" s="17">
        <v>1100.8794</v>
      </c>
      <c r="AJ54" s="17">
        <v>74.2013</v>
      </c>
      <c r="AK54" s="18">
        <f>IF(ISNUMBER(Financial_Panel!L92),Financial_Panel!L92,"")</f>
        <v>0.06590123398786826</v>
      </c>
      <c r="AL54" s="17">
        <v>42.5733</v>
      </c>
      <c r="AM54" s="13"/>
      <c r="AN54" s="12" t="s">
        <v>304</v>
      </c>
      <c r="AO54" s="15" t="s">
        <v>32</v>
      </c>
      <c r="AP54" s="12" t="s">
        <v>338</v>
      </c>
      <c r="AQ54" s="12" t="s">
        <v>339</v>
      </c>
      <c r="AR54" s="19">
        <v>46318</v>
      </c>
      <c r="AS54" s="15" t="s">
        <v>340</v>
      </c>
      <c r="AT54" s="15" t="s">
        <v>341</v>
      </c>
      <c r="AU54" s="14">
        <v>10</v>
      </c>
      <c r="AV54" s="12" t="s">
        <v>309</v>
      </c>
      <c r="AW54" s="15" t="s">
        <v>79</v>
      </c>
      <c r="AX54" s="15" t="s">
        <v>148</v>
      </c>
      <c r="AY54" s="15" t="s">
        <v>310</v>
      </c>
      <c r="AZ54" s="12" t="s">
        <v>342</v>
      </c>
    </row>
    <row r="55" spans="1:52" ht="30" customHeight="1">
      <c r="A55" s="12" t="s">
        <v>343</v>
      </c>
      <c r="B55" s="12" t="s">
        <v>303</v>
      </c>
      <c r="C55" s="13"/>
      <c r="D55" s="14">
        <v>1</v>
      </c>
      <c r="E55" s="15" t="s">
        <v>30</v>
      </c>
      <c r="F55" s="12" t="s">
        <v>31</v>
      </c>
      <c r="G55" s="14">
        <v>1</v>
      </c>
      <c r="H55" s="13"/>
      <c r="I55" s="13"/>
      <c r="J55" s="13"/>
      <c r="K55" s="13"/>
      <c r="L55" s="13"/>
      <c r="M55" s="13"/>
      <c r="N55" s="13"/>
      <c r="O55" s="13"/>
      <c r="P55" s="13"/>
      <c r="Q55" s="13"/>
      <c r="R55" s="16">
        <f>IF($AY55="Conflict","",IF(COUNT(H55:Q55)=10,SUM(H55:Q55),IF(ISNUMBER($AU55),$AU55,"")))</f>
        <v>12</v>
      </c>
      <c r="S55" s="16">
        <f>IF(ISNUMBER(R55),R55/30*100,"")</f>
        <v>40.0</v>
      </c>
      <c r="T55" s="16">
        <f>IF($AY55="Conflict","",IF(COUNT(H55:J55,L55)=4,SUM(H55:J55,L55),""))</f>
        <v/>
      </c>
      <c r="U55" s="16">
        <f>IF($AY55="Conflict","",IF(COUNT(K55,M55:O55)=4,SUM(K55,M55:O55),""))</f>
        <v/>
      </c>
      <c r="V55" s="16">
        <f>IF($AY55="Conflict","",IF(COUNT(P55:Q55)=2,SUM(P55:Q55),""))</f>
        <v/>
      </c>
      <c r="W55" s="13"/>
      <c r="X55" s="13"/>
      <c r="Y55" s="13"/>
      <c r="Z55" s="13"/>
      <c r="AA55" s="14">
        <v>0</v>
      </c>
      <c r="AB55" s="13"/>
      <c r="AC55" s="13"/>
      <c r="AD55" s="13"/>
      <c r="AE55" s="17">
        <v>4934.909</v>
      </c>
      <c r="AF55" s="17">
        <v>2643.011</v>
      </c>
      <c r="AG55" s="17">
        <v>729.1420000000001</v>
      </c>
      <c r="AH55" s="18">
        <f>IF(AND(ISNUMBER(AG55),ISNUMBER(AF55),AF55&gt;0),AG55/AF55,"")</f>
        <v>0.2758755071393952</v>
      </c>
      <c r="AI55" s="17">
        <v>0</v>
      </c>
      <c r="AJ55" s="17">
        <v>46.378</v>
      </c>
      <c r="AK55" s="18">
        <f>IF(ISNUMBER(Financial_Panel!L93),Financial_Panel!L93,"")</f>
        <v/>
      </c>
      <c r="AL55" s="17">
        <v>79.566</v>
      </c>
      <c r="AM55" s="13"/>
      <c r="AN55" s="12" t="s">
        <v>304</v>
      </c>
      <c r="AO55" s="15" t="s">
        <v>32</v>
      </c>
      <c r="AP55" s="12" t="s">
        <v>344</v>
      </c>
      <c r="AQ55" s="12" t="s">
        <v>345</v>
      </c>
      <c r="AR55" s="19">
        <v>46318</v>
      </c>
      <c r="AS55" s="15" t="s">
        <v>346</v>
      </c>
      <c r="AT55" s="15" t="s">
        <v>347</v>
      </c>
      <c r="AU55" s="14">
        <v>12</v>
      </c>
      <c r="AV55" s="12" t="s">
        <v>309</v>
      </c>
      <c r="AW55" s="15" t="s">
        <v>79</v>
      </c>
      <c r="AX55" s="15" t="s">
        <v>148</v>
      </c>
      <c r="AY55" s="15" t="s">
        <v>310</v>
      </c>
      <c r="AZ55" s="12" t="s">
        <v>342</v>
      </c>
    </row>
    <row r="56" spans="1:52" ht="30" customHeight="1">
      <c r="A56" s="12" t="s">
        <v>348</v>
      </c>
      <c r="B56" s="12" t="s">
        <v>303</v>
      </c>
      <c r="C56" s="13"/>
      <c r="D56" s="14">
        <v>1</v>
      </c>
      <c r="E56" s="15" t="s">
        <v>30</v>
      </c>
      <c r="F56" s="12" t="s">
        <v>31</v>
      </c>
      <c r="G56" s="14">
        <v>1</v>
      </c>
      <c r="H56" s="13"/>
      <c r="I56" s="13"/>
      <c r="J56" s="13"/>
      <c r="K56" s="13"/>
      <c r="L56" s="13"/>
      <c r="M56" s="13"/>
      <c r="N56" s="13"/>
      <c r="O56" s="13"/>
      <c r="P56" s="13"/>
      <c r="Q56" s="13"/>
      <c r="R56" s="16">
        <f>IF($AY56="Conflict","",IF(COUNT(H56:Q56)=10,SUM(H56:Q56),IF(ISNUMBER($AU56),$AU56,"")))</f>
        <v>12</v>
      </c>
      <c r="S56" s="16">
        <f>IF(ISNUMBER(R56),R56/30*100,"")</f>
        <v>40.0</v>
      </c>
      <c r="T56" s="16">
        <f>IF($AY56="Conflict","",IF(COUNT(H56:J56,L56)=4,SUM(H56:J56,L56),""))</f>
        <v/>
      </c>
      <c r="U56" s="16">
        <f>IF($AY56="Conflict","",IF(COUNT(K56,M56:O56)=4,SUM(K56,M56:O56),""))</f>
        <v/>
      </c>
      <c r="V56" s="16">
        <f>IF($AY56="Conflict","",IF(COUNT(P56:Q56)=2,SUM(P56:Q56),""))</f>
        <v/>
      </c>
      <c r="W56" s="13"/>
      <c r="X56" s="13"/>
      <c r="Y56" s="13"/>
      <c r="Z56" s="13"/>
      <c r="AA56" s="14">
        <v>0</v>
      </c>
      <c r="AB56" s="13"/>
      <c r="AC56" s="13"/>
      <c r="AD56" s="13"/>
      <c r="AE56" s="17">
        <v>6176.74</v>
      </c>
      <c r="AF56" s="17">
        <v>13836</v>
      </c>
      <c r="AG56" s="17">
        <v>38.19</v>
      </c>
      <c r="AH56" s="18">
        <f>IF(AND(ISNUMBER(AG56),ISNUMBER(AF56),AF56&gt;0),AG56/AF56,"")</f>
        <v>0.0027601908065915002</v>
      </c>
      <c r="AI56" s="17">
        <v>1269.57</v>
      </c>
      <c r="AJ56" s="17">
        <v>207.35</v>
      </c>
      <c r="AK56" s="18">
        <f>IF(ISNUMBER(Financial_Panel!L94),Financial_Panel!L94,"")</f>
        <v>0.19794938376500013</v>
      </c>
      <c r="AL56" s="17">
        <v>219.2</v>
      </c>
      <c r="AM56" s="13"/>
      <c r="AN56" s="12" t="s">
        <v>304</v>
      </c>
      <c r="AO56" s="15" t="s">
        <v>32</v>
      </c>
      <c r="AP56" s="12" t="s">
        <v>349</v>
      </c>
      <c r="AQ56" s="12" t="s">
        <v>350</v>
      </c>
      <c r="AR56" s="19">
        <v>46318</v>
      </c>
      <c r="AS56" s="15" t="s">
        <v>351</v>
      </c>
      <c r="AT56" s="15" t="s">
        <v>352</v>
      </c>
      <c r="AU56" s="14">
        <v>12</v>
      </c>
      <c r="AV56" s="12" t="s">
        <v>309</v>
      </c>
      <c r="AW56" s="15" t="s">
        <v>79</v>
      </c>
      <c r="AX56" s="15" t="s">
        <v>148</v>
      </c>
      <c r="AY56" s="15" t="s">
        <v>310</v>
      </c>
      <c r="AZ56" s="12" t="s">
        <v>216</v>
      </c>
    </row>
    <row r="57" spans="1:52" ht="30" customHeight="1">
      <c r="A57" s="12" t="s">
        <v>353</v>
      </c>
      <c r="B57" s="12" t="s">
        <v>303</v>
      </c>
      <c r="C57" s="13"/>
      <c r="D57" s="14">
        <v>1</v>
      </c>
      <c r="E57" s="15" t="s">
        <v>30</v>
      </c>
      <c r="F57" s="12" t="s">
        <v>31</v>
      </c>
      <c r="G57" s="14">
        <v>1</v>
      </c>
      <c r="H57" s="13"/>
      <c r="I57" s="13"/>
      <c r="J57" s="13"/>
      <c r="K57" s="13"/>
      <c r="L57" s="13"/>
      <c r="M57" s="13"/>
      <c r="N57" s="13"/>
      <c r="O57" s="13"/>
      <c r="P57" s="13"/>
      <c r="Q57" s="13"/>
      <c r="R57" s="16">
        <f>IF($AY57="Conflict","",IF(COUNT(H57:Q57)=10,SUM(H57:Q57),IF(ISNUMBER($AU57),$AU57,"")))</f>
        <v>3</v>
      </c>
      <c r="S57" s="16">
        <f>IF(ISNUMBER(R57),R57/30*100,"")</f>
        <v>10.0</v>
      </c>
      <c r="T57" s="16">
        <f>IF($AY57="Conflict","",IF(COUNT(H57:J57,L57)=4,SUM(H57:J57,L57),""))</f>
        <v/>
      </c>
      <c r="U57" s="16">
        <f>IF($AY57="Conflict","",IF(COUNT(K57,M57:O57)=4,SUM(K57,M57:O57),""))</f>
        <v/>
      </c>
      <c r="V57" s="16">
        <f>IF($AY57="Conflict","",IF(COUNT(P57:Q57)=2,SUM(P57:Q57),""))</f>
        <v/>
      </c>
      <c r="W57" s="13"/>
      <c r="X57" s="13"/>
      <c r="Y57" s="13"/>
      <c r="Z57" s="13"/>
      <c r="AA57" s="14">
        <v>0</v>
      </c>
      <c r="AB57" s="13"/>
      <c r="AC57" s="13"/>
      <c r="AD57" s="13"/>
      <c r="AE57" s="17">
        <v>4825.8286</v>
      </c>
      <c r="AF57" s="17">
        <v>3610.7671</v>
      </c>
      <c r="AG57" s="17">
        <v>-40.0268</v>
      </c>
      <c r="AH57" s="18">
        <f>IF(AND(ISNUMBER(AG57),ISNUMBER(AF57),AF57&gt;0),AG57/AF57,"")</f>
        <v>-0.011085400661815048</v>
      </c>
      <c r="AI57" s="17">
        <v>1711.8752</v>
      </c>
      <c r="AJ57" s="17">
        <v>140.0702</v>
      </c>
      <c r="AK57" s="18">
        <f>IF(ISNUMBER(Financial_Panel!L95),Financial_Panel!L95,"")</f>
        <v>0.07789732144433674</v>
      </c>
      <c r="AL57" s="17">
        <v>127.9604</v>
      </c>
      <c r="AM57" s="13"/>
      <c r="AN57" s="12" t="s">
        <v>304</v>
      </c>
      <c r="AO57" s="15" t="s">
        <v>32</v>
      </c>
      <c r="AP57" s="12" t="s">
        <v>354</v>
      </c>
      <c r="AQ57" s="12" t="s">
        <v>355</v>
      </c>
      <c r="AR57" s="19">
        <v>46318</v>
      </c>
      <c r="AS57" s="15" t="s">
        <v>356</v>
      </c>
      <c r="AT57" s="15" t="s">
        <v>357</v>
      </c>
      <c r="AU57" s="14">
        <v>3</v>
      </c>
      <c r="AV57" s="12" t="s">
        <v>309</v>
      </c>
      <c r="AW57" s="15" t="s">
        <v>79</v>
      </c>
      <c r="AX57" s="15" t="s">
        <v>148</v>
      </c>
      <c r="AY57" s="15" t="s">
        <v>310</v>
      </c>
      <c r="AZ57" s="12" t="s">
        <v>216</v>
      </c>
    </row>
    <row r="58" spans="1:52" ht="30" customHeight="1">
      <c r="A58" s="12" t="s">
        <v>358</v>
      </c>
      <c r="B58" s="12" t="s">
        <v>303</v>
      </c>
      <c r="C58" s="13"/>
      <c r="D58" s="14">
        <v>1</v>
      </c>
      <c r="E58" s="15" t="s">
        <v>30</v>
      </c>
      <c r="F58" s="12" t="s">
        <v>31</v>
      </c>
      <c r="G58" s="14">
        <v>1</v>
      </c>
      <c r="H58" s="13"/>
      <c r="I58" s="13"/>
      <c r="J58" s="13"/>
      <c r="K58" s="13"/>
      <c r="L58" s="13"/>
      <c r="M58" s="13"/>
      <c r="N58" s="13"/>
      <c r="O58" s="13"/>
      <c r="P58" s="13"/>
      <c r="Q58" s="13"/>
      <c r="R58" s="16">
        <f>IF($AY58="Conflict","",IF(COUNT(H58:Q58)=10,SUM(H58:Q58),IF(ISNUMBER($AU58),$AU58,"")))</f>
        <v>17</v>
      </c>
      <c r="S58" s="16">
        <f>IF(ISNUMBER(R58),R58/30*100,"")</f>
        <v>56.666666666666664</v>
      </c>
      <c r="T58" s="16">
        <f>IF($AY58="Conflict","",IF(COUNT(H58:J58,L58)=4,SUM(H58:J58,L58),""))</f>
        <v/>
      </c>
      <c r="U58" s="16">
        <f>IF($AY58="Conflict","",IF(COUNT(K58,M58:O58)=4,SUM(K58,M58:O58),""))</f>
        <v/>
      </c>
      <c r="V58" s="16">
        <f>IF($AY58="Conflict","",IF(COUNT(P58:Q58)=2,SUM(P58:Q58),""))</f>
        <v/>
      </c>
      <c r="W58" s="13"/>
      <c r="X58" s="13"/>
      <c r="Y58" s="13"/>
      <c r="Z58" s="13"/>
      <c r="AA58" s="14">
        <v>0</v>
      </c>
      <c r="AB58" s="13"/>
      <c r="AC58" s="13"/>
      <c r="AD58" s="13"/>
      <c r="AE58" s="17">
        <v>6987.08</v>
      </c>
      <c r="AF58" s="17">
        <v>7160.72</v>
      </c>
      <c r="AG58" s="17">
        <v>370.73</v>
      </c>
      <c r="AH58" s="18">
        <f>IF(AND(ISNUMBER(AG58),ISNUMBER(AF58),AF58&gt;0),AG58/AF58,"")</f>
        <v>0.051772726764906324</v>
      </c>
      <c r="AI58" s="17">
        <v>1575.78</v>
      </c>
      <c r="AJ58" s="17">
        <v>130.18</v>
      </c>
      <c r="AK58" s="18">
        <f>IF(ISNUMBER(Financial_Panel!L96),Financial_Panel!L96,"")</f>
        <v>0.07159454323968333</v>
      </c>
      <c r="AL58" s="17">
        <v>229.64</v>
      </c>
      <c r="AM58" s="13"/>
      <c r="AN58" s="12" t="s">
        <v>304</v>
      </c>
      <c r="AO58" s="15" t="s">
        <v>32</v>
      </c>
      <c r="AP58" s="12" t="s">
        <v>359</v>
      </c>
      <c r="AQ58" s="12" t="s">
        <v>360</v>
      </c>
      <c r="AR58" s="19">
        <v>46318</v>
      </c>
      <c r="AS58" s="15" t="s">
        <v>361</v>
      </c>
      <c r="AT58" s="15" t="s">
        <v>362</v>
      </c>
      <c r="AU58" s="14">
        <v>17</v>
      </c>
      <c r="AV58" s="12" t="s">
        <v>309</v>
      </c>
      <c r="AW58" s="15" t="s">
        <v>79</v>
      </c>
      <c r="AX58" s="15" t="s">
        <v>148</v>
      </c>
      <c r="AY58" s="15" t="s">
        <v>310</v>
      </c>
      <c r="AZ58" s="12" t="s">
        <v>216</v>
      </c>
    </row>
    <row r="59" spans="1:52" ht="30" customHeight="1">
      <c r="A59" s="12" t="s">
        <v>363</v>
      </c>
      <c r="B59" s="12" t="s">
        <v>303</v>
      </c>
      <c r="C59" s="13"/>
      <c r="D59" s="14">
        <v>1</v>
      </c>
      <c r="E59" s="15" t="s">
        <v>30</v>
      </c>
      <c r="F59" s="12" t="s">
        <v>31</v>
      </c>
      <c r="G59" s="14">
        <v>1</v>
      </c>
      <c r="H59" s="13"/>
      <c r="I59" s="13"/>
      <c r="J59" s="13"/>
      <c r="K59" s="13"/>
      <c r="L59" s="13"/>
      <c r="M59" s="13"/>
      <c r="N59" s="13"/>
      <c r="O59" s="13"/>
      <c r="P59" s="13"/>
      <c r="Q59" s="13"/>
      <c r="R59" s="16">
        <f>IF($AY59="Conflict","",IF(COUNT(H59:Q59)=10,SUM(H59:Q59),IF(ISNUMBER($AU59),$AU59,"")))</f>
        <v>12</v>
      </c>
      <c r="S59" s="16">
        <f>IF(ISNUMBER(R59),R59/30*100,"")</f>
        <v>40.0</v>
      </c>
      <c r="T59" s="16">
        <f>IF($AY59="Conflict","",IF(COUNT(H59:J59,L59)=4,SUM(H59:J59,L59),""))</f>
        <v/>
      </c>
      <c r="U59" s="16">
        <f>IF($AY59="Conflict","",IF(COUNT(K59,M59:O59)=4,SUM(K59,M59:O59),""))</f>
        <v/>
      </c>
      <c r="V59" s="16">
        <f>IF($AY59="Conflict","",IF(COUNT(P59:Q59)=2,SUM(P59:Q59),""))</f>
        <v/>
      </c>
      <c r="W59" s="13"/>
      <c r="X59" s="13"/>
      <c r="Y59" s="13"/>
      <c r="Z59" s="13"/>
      <c r="AA59" s="14">
        <v>0</v>
      </c>
      <c r="AB59" s="13"/>
      <c r="AC59" s="13"/>
      <c r="AD59" s="13"/>
      <c r="AE59" s="17">
        <v>9784.879999999999</v>
      </c>
      <c r="AF59" s="17">
        <v>12432.1</v>
      </c>
      <c r="AG59" s="17">
        <v>886.72</v>
      </c>
      <c r="AH59" s="18">
        <f>IF(AND(ISNUMBER(AG59),ISNUMBER(AF59),AF59&gt;0),AG59/AF59,"")</f>
        <v>0.07132503760426638</v>
      </c>
      <c r="AI59" s="17">
        <v>1238.07</v>
      </c>
      <c r="AJ59" s="17">
        <v>77.28</v>
      </c>
      <c r="AK59" s="18">
        <f>IF(ISNUMBER(Financial_Panel!L97),Financial_Panel!L97,"")</f>
        <v>0.05102269876272597</v>
      </c>
      <c r="AL59" s="17">
        <v>1032.62</v>
      </c>
      <c r="AM59" s="13"/>
      <c r="AN59" s="12" t="s">
        <v>304</v>
      </c>
      <c r="AO59" s="15" t="s">
        <v>32</v>
      </c>
      <c r="AP59" s="12" t="s">
        <v>364</v>
      </c>
      <c r="AQ59" s="12" t="s">
        <v>365</v>
      </c>
      <c r="AR59" s="19">
        <v>46318</v>
      </c>
      <c r="AS59" s="15" t="s">
        <v>366</v>
      </c>
      <c r="AT59" s="15" t="s">
        <v>367</v>
      </c>
      <c r="AU59" s="14">
        <v>12</v>
      </c>
      <c r="AV59" s="12" t="s">
        <v>309</v>
      </c>
      <c r="AW59" s="15" t="s">
        <v>79</v>
      </c>
      <c r="AX59" s="15" t="s">
        <v>148</v>
      </c>
      <c r="AY59" s="15" t="s">
        <v>310</v>
      </c>
      <c r="AZ59" s="12" t="s">
        <v>216</v>
      </c>
    </row>
    <row r="60" spans="1:52" ht="30" customHeight="1">
      <c r="A60" s="12" t="s">
        <v>368</v>
      </c>
      <c r="B60" s="12" t="s">
        <v>303</v>
      </c>
      <c r="C60" s="13"/>
      <c r="D60" s="14">
        <v>1</v>
      </c>
      <c r="E60" s="15" t="s">
        <v>30</v>
      </c>
      <c r="F60" s="12" t="s">
        <v>31</v>
      </c>
      <c r="G60" s="14">
        <v>1</v>
      </c>
      <c r="H60" s="13"/>
      <c r="I60" s="13"/>
      <c r="J60" s="13"/>
      <c r="K60" s="13"/>
      <c r="L60" s="13"/>
      <c r="M60" s="13"/>
      <c r="N60" s="13"/>
      <c r="O60" s="13"/>
      <c r="P60" s="13"/>
      <c r="Q60" s="13"/>
      <c r="R60" s="16">
        <f>IF($AY60="Conflict","",IF(COUNT(H60:Q60)=10,SUM(H60:Q60),IF(ISNUMBER($AU60),$AU60,"")))</f>
        <v>18</v>
      </c>
      <c r="S60" s="16">
        <f>IF(ISNUMBER(R60),R60/30*100,"")</f>
        <v>60.0</v>
      </c>
      <c r="T60" s="16">
        <f>IF($AY60="Conflict","",IF(COUNT(H60:J60,L60)=4,SUM(H60:J60,L60),""))</f>
        <v/>
      </c>
      <c r="U60" s="16">
        <f>IF($AY60="Conflict","",IF(COUNT(K60,M60:O60)=4,SUM(K60,M60:O60),""))</f>
        <v/>
      </c>
      <c r="V60" s="16">
        <f>IF($AY60="Conflict","",IF(COUNT(P60:Q60)=2,SUM(P60:Q60),""))</f>
        <v/>
      </c>
      <c r="W60" s="13"/>
      <c r="X60" s="13"/>
      <c r="Y60" s="13"/>
      <c r="Z60" s="13"/>
      <c r="AA60" s="14">
        <v>0</v>
      </c>
      <c r="AB60" s="13"/>
      <c r="AC60" s="13"/>
      <c r="AD60" s="13"/>
      <c r="AE60" s="17">
        <v>10545.09</v>
      </c>
      <c r="AF60" s="17">
        <v>10307.07</v>
      </c>
      <c r="AG60" s="17">
        <v>644.02</v>
      </c>
      <c r="AH60" s="18">
        <f>IF(AND(ISNUMBER(AG60),ISNUMBER(AF60),AF60&gt;0),AG60/AF60,"")</f>
        <v>0.06248332455295249</v>
      </c>
      <c r="AI60" s="17">
        <v>2468.62</v>
      </c>
      <c r="AJ60" s="17">
        <v>217.47</v>
      </c>
      <c r="AK60" s="18">
        <f>IF(ISNUMBER(Financial_Panel!L98),Financial_Panel!L98,"")</f>
        <v>0.08717752393703912</v>
      </c>
      <c r="AL60" s="17">
        <v>712.7</v>
      </c>
      <c r="AM60" s="13"/>
      <c r="AN60" s="12" t="s">
        <v>304</v>
      </c>
      <c r="AO60" s="15" t="s">
        <v>32</v>
      </c>
      <c r="AP60" s="12" t="s">
        <v>369</v>
      </c>
      <c r="AQ60" s="12" t="s">
        <v>370</v>
      </c>
      <c r="AR60" s="19">
        <v>46318</v>
      </c>
      <c r="AS60" s="15" t="s">
        <v>371</v>
      </c>
      <c r="AT60" s="15" t="s">
        <v>372</v>
      </c>
      <c r="AU60" s="14">
        <v>18</v>
      </c>
      <c r="AV60" s="12" t="s">
        <v>309</v>
      </c>
      <c r="AW60" s="15" t="s">
        <v>79</v>
      </c>
      <c r="AX60" s="15" t="s">
        <v>148</v>
      </c>
      <c r="AY60" s="15" t="s">
        <v>310</v>
      </c>
      <c r="AZ60" s="12" t="s">
        <v>311</v>
      </c>
    </row>
    <row r="61" spans="1:52" ht="30" customHeight="1">
      <c r="A61" s="12" t="s">
        <v>373</v>
      </c>
      <c r="B61" s="12" t="s">
        <v>374</v>
      </c>
      <c r="C61" s="13"/>
      <c r="D61" s="14">
        <v>1</v>
      </c>
      <c r="E61" s="15" t="s">
        <v>30</v>
      </c>
      <c r="F61" s="12" t="s">
        <v>31</v>
      </c>
      <c r="G61" s="14">
        <v>1</v>
      </c>
      <c r="H61" s="14">
        <v>1</v>
      </c>
      <c r="I61" s="14">
        <v>1</v>
      </c>
      <c r="J61" s="14">
        <v>0</v>
      </c>
      <c r="K61" s="14">
        <v>1</v>
      </c>
      <c r="L61" s="14">
        <v>2</v>
      </c>
      <c r="M61" s="14">
        <v>0</v>
      </c>
      <c r="N61" s="14">
        <v>0</v>
      </c>
      <c r="O61" s="14">
        <v>0</v>
      </c>
      <c r="P61" s="14">
        <v>1</v>
      </c>
      <c r="Q61" s="14">
        <v>2</v>
      </c>
      <c r="R61" s="16">
        <f>IF($AY61="Conflict","",IF(COUNT(H61:Q61)=10,SUM(H61:Q61),IF(ISNUMBER($AU61),$AU61,"")))</f>
        <v>8</v>
      </c>
      <c r="S61" s="16">
        <f>IF(ISNUMBER(R61),R61/30*100,"")</f>
        <v>26.666666666666668</v>
      </c>
      <c r="T61" s="16">
        <f>IF($AY61="Conflict","",IF(COUNT(H61:J61,L61)=4,SUM(H61:J61,L61),""))</f>
        <v>4</v>
      </c>
      <c r="U61" s="16">
        <f>IF($AY61="Conflict","",IF(COUNT(K61,M61:O61)=4,SUM(K61,M61:O61),""))</f>
        <v>1</v>
      </c>
      <c r="V61" s="16">
        <f>IF($AY61="Conflict","",IF(COUNT(P61:Q61)=2,SUM(P61:Q61),""))</f>
        <v>3</v>
      </c>
      <c r="W61" s="15" t="s">
        <v>32</v>
      </c>
      <c r="X61" s="15" t="s">
        <v>375</v>
      </c>
      <c r="Y61" s="14">
        <v>8</v>
      </c>
      <c r="Z61" s="16">
        <f>IF(ISNUMBER(R61),R61,"")</f>
        <v>8</v>
      </c>
      <c r="AA61" s="14">
        <v>0</v>
      </c>
      <c r="AB61" s="13"/>
      <c r="AC61" s="14">
        <v>0</v>
      </c>
      <c r="AD61" s="13"/>
      <c r="AE61" s="17">
        <v>4098.6231</v>
      </c>
      <c r="AF61" s="17">
        <v>3705.9462</v>
      </c>
      <c r="AG61" s="17">
        <v>202.0813</v>
      </c>
      <c r="AH61" s="18">
        <f>IF(AND(ISNUMBER(AG61),ISNUMBER(AF61),AF61&gt;0),AG61/AF61,"")</f>
        <v>0.05452893514752049</v>
      </c>
      <c r="AI61" s="17">
        <v>13.9965</v>
      </c>
      <c r="AJ61" s="17">
        <v>58.1373</v>
      </c>
      <c r="AK61" s="18">
        <f>IF(ISNUMBER(Financial_Panel!L22),Financial_Panel!L22,"")</f>
        <v>1.9719992944704121</v>
      </c>
      <c r="AL61" s="17">
        <v>188.7831</v>
      </c>
      <c r="AM61" s="15" t="s">
        <v>47</v>
      </c>
      <c r="AN61" s="12" t="s">
        <v>376</v>
      </c>
      <c r="AO61" s="15" t="s">
        <v>32</v>
      </c>
      <c r="AP61" s="12" t="s">
        <v>377</v>
      </c>
      <c r="AQ61" s="12" t="s">
        <v>378</v>
      </c>
      <c r="AR61" s="19">
        <v>46318</v>
      </c>
      <c r="AS61" s="15" t="s">
        <v>379</v>
      </c>
      <c r="AT61" s="15" t="s">
        <v>380</v>
      </c>
      <c r="AU61" s="14">
        <v>8</v>
      </c>
      <c r="AV61" s="12" t="s">
        <v>41</v>
      </c>
      <c r="AW61" s="15" t="s">
        <v>42</v>
      </c>
      <c r="AX61" s="15" t="s">
        <v>43</v>
      </c>
      <c r="AY61" s="15" t="s">
        <v>44</v>
      </c>
      <c r="AZ61" s="12" t="s">
        <v>381</v>
      </c>
    </row>
    <row r="62" spans="1:52" ht="30" customHeight="1">
      <c r="A62" s="12" t="s">
        <v>382</v>
      </c>
      <c r="B62" s="12" t="s">
        <v>374</v>
      </c>
      <c r="C62" s="13"/>
      <c r="D62" s="14">
        <v>1</v>
      </c>
      <c r="E62" s="15" t="s">
        <v>30</v>
      </c>
      <c r="F62" s="12" t="s">
        <v>31</v>
      </c>
      <c r="G62" s="14">
        <v>1</v>
      </c>
      <c r="H62" s="14">
        <v>3</v>
      </c>
      <c r="I62" s="14">
        <v>1</v>
      </c>
      <c r="J62" s="14">
        <v>2</v>
      </c>
      <c r="K62" s="14">
        <v>2</v>
      </c>
      <c r="L62" s="14">
        <v>2</v>
      </c>
      <c r="M62" s="14">
        <v>1</v>
      </c>
      <c r="N62" s="14">
        <v>0</v>
      </c>
      <c r="O62" s="14">
        <v>1</v>
      </c>
      <c r="P62" s="14">
        <v>3</v>
      </c>
      <c r="Q62" s="14">
        <v>2</v>
      </c>
      <c r="R62" s="16">
        <f>IF($AY62="Conflict","",IF(COUNT(H62:Q62)=10,SUM(H62:Q62),IF(ISNUMBER($AU62),$AU62,"")))</f>
        <v>17</v>
      </c>
      <c r="S62" s="16">
        <f>IF(ISNUMBER(R62),R62/30*100,"")</f>
        <v>56.666666666666664</v>
      </c>
      <c r="T62" s="16">
        <f>IF($AY62="Conflict","",IF(COUNT(H62:J62,L62)=4,SUM(H62:J62,L62),""))</f>
        <v>8</v>
      </c>
      <c r="U62" s="16">
        <f>IF($AY62="Conflict","",IF(COUNT(K62,M62:O62)=4,SUM(K62,M62:O62),""))</f>
        <v>4</v>
      </c>
      <c r="V62" s="16">
        <f>IF($AY62="Conflict","",IF(COUNT(P62:Q62)=2,SUM(P62:Q62),""))</f>
        <v>5</v>
      </c>
      <c r="W62" s="15" t="s">
        <v>54</v>
      </c>
      <c r="X62" s="15" t="s">
        <v>375</v>
      </c>
      <c r="Y62" s="14">
        <v>16</v>
      </c>
      <c r="Z62" s="16">
        <f>IF(ISNUMBER(R62),R62,"")</f>
        <v>17</v>
      </c>
      <c r="AA62" s="14">
        <v>0</v>
      </c>
      <c r="AB62" s="13"/>
      <c r="AC62" s="14" t="s">
        <v>34</v>
      </c>
      <c r="AD62" s="13"/>
      <c r="AE62" s="17">
        <v>6568.6</v>
      </c>
      <c r="AF62" s="17">
        <v>5811.9</v>
      </c>
      <c r="AG62" s="17">
        <v>534.7</v>
      </c>
      <c r="AH62" s="18">
        <f>IF(AND(ISNUMBER(AG62),ISNUMBER(AF62),AF62&gt;0),AG62/AF62,"")</f>
        <v>0.0920008947160137</v>
      </c>
      <c r="AI62" s="17">
        <v>153.1</v>
      </c>
      <c r="AJ62" s="17">
        <v>64.40000000000001</v>
      </c>
      <c r="AK62" s="18">
        <f>IF(ISNUMBER(Financial_Panel!L26),Financial_Panel!L26,"")</f>
        <v>0.4336700336700337</v>
      </c>
      <c r="AL62" s="17">
        <v>459.1</v>
      </c>
      <c r="AM62" s="15" t="s">
        <v>47</v>
      </c>
      <c r="AN62" s="12" t="s">
        <v>383</v>
      </c>
      <c r="AO62" s="15" t="s">
        <v>54</v>
      </c>
      <c r="AP62" s="12" t="s">
        <v>384</v>
      </c>
      <c r="AQ62" s="12" t="s">
        <v>385</v>
      </c>
      <c r="AR62" s="19">
        <v>46318</v>
      </c>
      <c r="AS62" s="15" t="s">
        <v>386</v>
      </c>
      <c r="AT62" s="15" t="s">
        <v>387</v>
      </c>
      <c r="AU62" s="14">
        <v>17</v>
      </c>
      <c r="AV62" s="12" t="s">
        <v>41</v>
      </c>
      <c r="AW62" s="15" t="s">
        <v>42</v>
      </c>
      <c r="AX62" s="15" t="s">
        <v>43</v>
      </c>
      <c r="AY62" s="15" t="s">
        <v>44</v>
      </c>
      <c r="AZ62" s="12" t="s">
        <v>381</v>
      </c>
    </row>
    <row r="63" spans="1:52" ht="30" customHeight="1">
      <c r="A63" s="12" t="s">
        <v>388</v>
      </c>
      <c r="B63" s="12" t="s">
        <v>374</v>
      </c>
      <c r="C63" s="13"/>
      <c r="D63" s="14">
        <v>1</v>
      </c>
      <c r="E63" s="15" t="s">
        <v>30</v>
      </c>
      <c r="F63" s="12" t="s">
        <v>31</v>
      </c>
      <c r="G63" s="14">
        <v>1</v>
      </c>
      <c r="H63" s="14">
        <v>3</v>
      </c>
      <c r="I63" s="14">
        <v>1</v>
      </c>
      <c r="J63" s="14">
        <v>2</v>
      </c>
      <c r="K63" s="14">
        <v>2</v>
      </c>
      <c r="L63" s="14">
        <v>2</v>
      </c>
      <c r="M63" s="14">
        <v>1</v>
      </c>
      <c r="N63" s="14">
        <v>0</v>
      </c>
      <c r="O63" s="14">
        <v>2</v>
      </c>
      <c r="P63" s="14">
        <v>3</v>
      </c>
      <c r="Q63" s="14">
        <v>2</v>
      </c>
      <c r="R63" s="16">
        <f>IF($AY63="Conflict","",IF(COUNT(H63:Q63)=10,SUM(H63:Q63),IF(ISNUMBER($AU63),$AU63,"")))</f>
        <v>18</v>
      </c>
      <c r="S63" s="16">
        <f>IF(ISNUMBER(R63),R63/30*100,"")</f>
        <v>60.0</v>
      </c>
      <c r="T63" s="16">
        <f>IF($AY63="Conflict","",IF(COUNT(H63:J63,L63)=4,SUM(H63:J63,L63),""))</f>
        <v>8</v>
      </c>
      <c r="U63" s="16">
        <f>IF($AY63="Conflict","",IF(COUNT(K63,M63:O63)=4,SUM(K63,M63:O63),""))</f>
        <v>5</v>
      </c>
      <c r="V63" s="16">
        <f>IF($AY63="Conflict","",IF(COUNT(P63:Q63)=2,SUM(P63:Q63),""))</f>
        <v>5</v>
      </c>
      <c r="W63" s="15" t="s">
        <v>54</v>
      </c>
      <c r="X63" s="15" t="s">
        <v>389</v>
      </c>
      <c r="Y63" s="14">
        <v>18</v>
      </c>
      <c r="Z63" s="16">
        <f>IF(ISNUMBER(R63),R63,"")</f>
        <v>18</v>
      </c>
      <c r="AA63" s="14">
        <v>0</v>
      </c>
      <c r="AB63" s="13"/>
      <c r="AC63" s="14">
        <v>0</v>
      </c>
      <c r="AD63" s="13"/>
      <c r="AE63" s="17">
        <v>8194.0178</v>
      </c>
      <c r="AF63" s="17">
        <v>74874.773</v>
      </c>
      <c r="AG63" s="17">
        <v>4414.675</v>
      </c>
      <c r="AH63" s="18">
        <f>IF(AND(ISNUMBER(AG63),ISNUMBER(AF63),AF63&gt;0),AG63/AF63,"")</f>
        <v>0.05896077975421709</v>
      </c>
      <c r="AI63" s="17">
        <v>44.9476</v>
      </c>
      <c r="AJ63" s="17">
        <v>199.0747</v>
      </c>
      <c r="AK63" s="18">
        <f>IF(ISNUMBER(Financial_Panel!L29),Financial_Panel!L29,"")</f>
        <v>0.1021164620833426</v>
      </c>
      <c r="AL63" s="17">
        <v>129.1947</v>
      </c>
      <c r="AM63" s="15" t="s">
        <v>47</v>
      </c>
      <c r="AN63" s="12" t="s">
        <v>383</v>
      </c>
      <c r="AO63" s="15" t="s">
        <v>54</v>
      </c>
      <c r="AP63" s="12" t="s">
        <v>390</v>
      </c>
      <c r="AQ63" s="12" t="s">
        <v>391</v>
      </c>
      <c r="AR63" s="19">
        <v>46318</v>
      </c>
      <c r="AS63" s="15" t="s">
        <v>392</v>
      </c>
      <c r="AT63" s="15" t="s">
        <v>393</v>
      </c>
      <c r="AU63" s="14">
        <v>18</v>
      </c>
      <c r="AV63" s="12" t="s">
        <v>41</v>
      </c>
      <c r="AW63" s="15" t="s">
        <v>42</v>
      </c>
      <c r="AX63" s="15" t="s">
        <v>43</v>
      </c>
      <c r="AY63" s="15" t="s">
        <v>44</v>
      </c>
      <c r="AZ63" s="12" t="s">
        <v>381</v>
      </c>
    </row>
    <row r="64" spans="1:52" ht="30" customHeight="1">
      <c r="A64" s="12" t="s">
        <v>394</v>
      </c>
      <c r="B64" s="12" t="s">
        <v>374</v>
      </c>
      <c r="C64" s="13"/>
      <c r="D64" s="14">
        <v>1</v>
      </c>
      <c r="E64" s="15" t="s">
        <v>30</v>
      </c>
      <c r="F64" s="12" t="s">
        <v>31</v>
      </c>
      <c r="G64" s="14">
        <v>1</v>
      </c>
      <c r="H64" s="14">
        <v>3</v>
      </c>
      <c r="I64" s="14">
        <v>3</v>
      </c>
      <c r="J64" s="14">
        <v>3</v>
      </c>
      <c r="K64" s="14">
        <v>2</v>
      </c>
      <c r="L64" s="14">
        <v>2</v>
      </c>
      <c r="M64" s="14">
        <v>1</v>
      </c>
      <c r="N64" s="14">
        <v>0</v>
      </c>
      <c r="O64" s="14">
        <v>1</v>
      </c>
      <c r="P64" s="14">
        <v>3</v>
      </c>
      <c r="Q64" s="14">
        <v>3</v>
      </c>
      <c r="R64" s="16">
        <f>IF($AY64="Conflict","",IF(COUNT(H64:Q64)=10,SUM(H64:Q64),IF(ISNUMBER($AU64),$AU64,"")))</f>
        <v>21</v>
      </c>
      <c r="S64" s="16">
        <f>IF(ISNUMBER(R64),R64/30*100,"")</f>
        <v>70.0</v>
      </c>
      <c r="T64" s="16">
        <f>IF($AY64="Conflict","",IF(COUNT(H64:J64,L64)=4,SUM(H64:J64,L64),""))</f>
        <v>11</v>
      </c>
      <c r="U64" s="16">
        <f>IF($AY64="Conflict","",IF(COUNT(K64,M64:O64)=4,SUM(K64,M64:O64),""))</f>
        <v>4</v>
      </c>
      <c r="V64" s="16">
        <f>IF($AY64="Conflict","",IF(COUNT(P64:Q64)=2,SUM(P64:Q64),""))</f>
        <v>6</v>
      </c>
      <c r="W64" s="15" t="s">
        <v>54</v>
      </c>
      <c r="X64" s="15" t="s">
        <v>389</v>
      </c>
      <c r="Y64" s="14">
        <v>21</v>
      </c>
      <c r="Z64" s="16">
        <f>IF(ISNUMBER(R64),R64,"")</f>
        <v>21</v>
      </c>
      <c r="AA64" s="14">
        <v>0</v>
      </c>
      <c r="AB64" s="13"/>
      <c r="AC64" s="14">
        <v>0</v>
      </c>
      <c r="AD64" s="13"/>
      <c r="AE64" s="17">
        <v>5131.43</v>
      </c>
      <c r="AF64" s="17">
        <v>81894.42999999999</v>
      </c>
      <c r="AG64" s="17">
        <v>1840.66</v>
      </c>
      <c r="AH64" s="18">
        <f>IF(AND(ISNUMBER(AG64),ISNUMBER(AF64),AF64&gt;0),AG64/AF64,"")</f>
        <v>0.02247600966268402</v>
      </c>
      <c r="AI64" s="17">
        <v>15614.87</v>
      </c>
      <c r="AJ64" s="17">
        <v>136.86</v>
      </c>
      <c r="AK64" s="18">
        <f>IF(ISNUMBER(Financial_Panel!L32),Financial_Panel!L32,"")</f>
        <v>0.009714640423083027</v>
      </c>
      <c r="AL64" s="17">
        <v>406.04</v>
      </c>
      <c r="AM64" s="15" t="s">
        <v>47</v>
      </c>
      <c r="AN64" s="12" t="s">
        <v>383</v>
      </c>
      <c r="AO64" s="15" t="s">
        <v>54</v>
      </c>
      <c r="AP64" s="12" t="s">
        <v>395</v>
      </c>
      <c r="AQ64" s="12" t="s">
        <v>396</v>
      </c>
      <c r="AR64" s="19">
        <v>46318</v>
      </c>
      <c r="AS64" s="15" t="s">
        <v>397</v>
      </c>
      <c r="AT64" s="15" t="s">
        <v>398</v>
      </c>
      <c r="AU64" s="14">
        <v>21</v>
      </c>
      <c r="AV64" s="12" t="s">
        <v>41</v>
      </c>
      <c r="AW64" s="15" t="s">
        <v>42</v>
      </c>
      <c r="AX64" s="15" t="s">
        <v>43</v>
      </c>
      <c r="AY64" s="15" t="s">
        <v>44</v>
      </c>
      <c r="AZ64" s="12" t="s">
        <v>381</v>
      </c>
    </row>
    <row r="65" spans="1:52" ht="30" customHeight="1">
      <c r="A65" s="12" t="s">
        <v>399</v>
      </c>
      <c r="B65" s="12" t="s">
        <v>374</v>
      </c>
      <c r="C65" s="13"/>
      <c r="D65" s="14">
        <v>1</v>
      </c>
      <c r="E65" s="15" t="s">
        <v>30</v>
      </c>
      <c r="F65" s="12" t="s">
        <v>31</v>
      </c>
      <c r="G65" s="14">
        <v>1</v>
      </c>
      <c r="H65" s="14">
        <v>3</v>
      </c>
      <c r="I65" s="14">
        <v>0</v>
      </c>
      <c r="J65" s="14">
        <v>1</v>
      </c>
      <c r="K65" s="14">
        <v>2</v>
      </c>
      <c r="L65" s="14">
        <v>1</v>
      </c>
      <c r="M65" s="14">
        <v>0</v>
      </c>
      <c r="N65" s="14">
        <v>0</v>
      </c>
      <c r="O65" s="14">
        <v>0</v>
      </c>
      <c r="P65" s="14">
        <v>1</v>
      </c>
      <c r="Q65" s="14">
        <v>2</v>
      </c>
      <c r="R65" s="16">
        <f>IF($AY65="Conflict","",IF(COUNT(H65:Q65)=10,SUM(H65:Q65),IF(ISNUMBER($AU65),$AU65,"")))</f>
        <v>10</v>
      </c>
      <c r="S65" s="16">
        <f>IF(ISNUMBER(R65),R65/30*100,"")</f>
        <v>33.33333333333333</v>
      </c>
      <c r="T65" s="16">
        <f>IF($AY65="Conflict","",IF(COUNT(H65:J65,L65)=4,SUM(H65:J65,L65),""))</f>
        <v>5</v>
      </c>
      <c r="U65" s="16">
        <f>IF($AY65="Conflict","",IF(COUNT(K65,M65:O65)=4,SUM(K65,M65:O65),""))</f>
        <v>2</v>
      </c>
      <c r="V65" s="16">
        <f>IF($AY65="Conflict","",IF(COUNT(P65:Q65)=2,SUM(P65:Q65),""))</f>
        <v>3</v>
      </c>
      <c r="W65" s="15" t="s">
        <v>32</v>
      </c>
      <c r="X65" s="15" t="s">
        <v>375</v>
      </c>
      <c r="Y65" s="14">
        <v>9</v>
      </c>
      <c r="Z65" s="16">
        <f>IF(ISNUMBER(R65),R65,"")</f>
        <v>10</v>
      </c>
      <c r="AA65" s="14">
        <v>0</v>
      </c>
      <c r="AB65" s="13"/>
      <c r="AC65" s="14" t="s">
        <v>34</v>
      </c>
      <c r="AD65" s="14">
        <v>0</v>
      </c>
      <c r="AE65" s="17">
        <v>4635.07</v>
      </c>
      <c r="AF65" s="17">
        <v>3756.2</v>
      </c>
      <c r="AG65" s="17">
        <v>300.02</v>
      </c>
      <c r="AH65" s="18">
        <f>IF(AND(ISNUMBER(AG65),ISNUMBER(AF65),AF65&gt;0),AG65/AF65,"")</f>
        <v>0.07987327618337682</v>
      </c>
      <c r="AI65" s="17">
        <v>175.94</v>
      </c>
      <c r="AJ65" s="17">
        <v>20.03</v>
      </c>
      <c r="AK65" s="18">
        <f>IF(ISNUMBER(Financial_Panel!L34),Financial_Panel!L34,"")</f>
        <v>0.11560326667243818</v>
      </c>
      <c r="AL65" s="17">
        <v>220.51</v>
      </c>
      <c r="AM65" s="15" t="s">
        <v>47</v>
      </c>
      <c r="AN65" s="12" t="s">
        <v>376</v>
      </c>
      <c r="AO65" s="15" t="s">
        <v>32</v>
      </c>
      <c r="AP65" s="12" t="s">
        <v>400</v>
      </c>
      <c r="AQ65" s="12" t="s">
        <v>401</v>
      </c>
      <c r="AR65" s="19">
        <v>46318</v>
      </c>
      <c r="AS65" s="15" t="s">
        <v>402</v>
      </c>
      <c r="AT65" s="15" t="s">
        <v>403</v>
      </c>
      <c r="AU65" s="14">
        <v>10</v>
      </c>
      <c r="AV65" s="12" t="s">
        <v>41</v>
      </c>
      <c r="AW65" s="15" t="s">
        <v>42</v>
      </c>
      <c r="AX65" s="15" t="s">
        <v>43</v>
      </c>
      <c r="AY65" s="15" t="s">
        <v>44</v>
      </c>
      <c r="AZ65" s="12" t="s">
        <v>381</v>
      </c>
    </row>
    <row r="66" spans="1:52" ht="30" customHeight="1">
      <c r="A66" s="12" t="s">
        <v>404</v>
      </c>
      <c r="B66" s="12" t="s">
        <v>374</v>
      </c>
      <c r="C66" s="13"/>
      <c r="D66" s="14">
        <v>1</v>
      </c>
      <c r="E66" s="15" t="s">
        <v>30</v>
      </c>
      <c r="F66" s="12" t="s">
        <v>31</v>
      </c>
      <c r="G66" s="14">
        <v>1</v>
      </c>
      <c r="H66" s="14">
        <v>3</v>
      </c>
      <c r="I66" s="14">
        <v>3</v>
      </c>
      <c r="J66" s="14">
        <v>3</v>
      </c>
      <c r="K66" s="14">
        <v>3</v>
      </c>
      <c r="L66" s="14">
        <v>2</v>
      </c>
      <c r="M66" s="14">
        <v>2</v>
      </c>
      <c r="N66" s="14">
        <v>1</v>
      </c>
      <c r="O66" s="14">
        <v>2</v>
      </c>
      <c r="P66" s="14">
        <v>3</v>
      </c>
      <c r="Q66" s="14">
        <v>2</v>
      </c>
      <c r="R66" s="16">
        <f>IF($AY66="Conflict","",IF(COUNT(H66:Q66)=10,SUM(H66:Q66),IF(ISNUMBER($AU66),$AU66,"")))</f>
        <v>24</v>
      </c>
      <c r="S66" s="16">
        <f>IF(ISNUMBER(R66),R66/30*100,"")</f>
        <v>80.0</v>
      </c>
      <c r="T66" s="16">
        <f>IF($AY66="Conflict","",IF(COUNT(H66:J66,L66)=4,SUM(H66:J66,L66),""))</f>
        <v>11</v>
      </c>
      <c r="U66" s="16">
        <f>IF($AY66="Conflict","",IF(COUNT(K66,M66:O66)=4,SUM(K66,M66:O66),""))</f>
        <v>8</v>
      </c>
      <c r="V66" s="16">
        <f>IF($AY66="Conflict","",IF(COUNT(P66:Q66)=2,SUM(P66:Q66),""))</f>
        <v>5</v>
      </c>
      <c r="W66" s="15" t="s">
        <v>54</v>
      </c>
      <c r="X66" s="15" t="s">
        <v>389</v>
      </c>
      <c r="Y66" s="14">
        <v>22</v>
      </c>
      <c r="Z66" s="16">
        <f>IF(ISNUMBER(R66),R66,"")</f>
        <v>24</v>
      </c>
      <c r="AA66" s="14">
        <v>1</v>
      </c>
      <c r="AB66" s="13"/>
      <c r="AC66" s="14" t="s">
        <v>34</v>
      </c>
      <c r="AD66" s="13"/>
      <c r="AE66" s="17">
        <v>285874.36</v>
      </c>
      <c r="AF66" s="17">
        <v>452549.88</v>
      </c>
      <c r="AG66" s="17">
        <v>18953.88</v>
      </c>
      <c r="AH66" s="18">
        <f>IF(AND(ISNUMBER(AG66),ISNUMBER(AF66),AF66&gt;0),AG66/AF66,"")</f>
        <v>0.04188241084054646</v>
      </c>
      <c r="AI66" s="17">
        <v>121683.02</v>
      </c>
      <c r="AJ66" s="17">
        <v>9844.16</v>
      </c>
      <c r="AK66" s="18">
        <f>IF(ISNUMBER(Financial_Panel!L38),Financial_Panel!L38,"")</f>
        <v>0.07836385552181567</v>
      </c>
      <c r="AL66" s="17">
        <v>4809.19</v>
      </c>
      <c r="AM66" s="15" t="s">
        <v>47</v>
      </c>
      <c r="AN66" s="12" t="s">
        <v>383</v>
      </c>
      <c r="AO66" s="15" t="s">
        <v>54</v>
      </c>
      <c r="AP66" s="12" t="s">
        <v>405</v>
      </c>
      <c r="AQ66" s="12" t="s">
        <v>406</v>
      </c>
      <c r="AR66" s="19">
        <v>46318</v>
      </c>
      <c r="AS66" s="15" t="s">
        <v>407</v>
      </c>
      <c r="AT66" s="15" t="s">
        <v>408</v>
      </c>
      <c r="AU66" s="14">
        <v>24</v>
      </c>
      <c r="AV66" s="12" t="s">
        <v>41</v>
      </c>
      <c r="AW66" s="15" t="s">
        <v>42</v>
      </c>
      <c r="AX66" s="15" t="s">
        <v>43</v>
      </c>
      <c r="AY66" s="15" t="s">
        <v>44</v>
      </c>
      <c r="AZ66" s="12" t="s">
        <v>381</v>
      </c>
    </row>
    <row r="67" spans="1:52" ht="30" customHeight="1">
      <c r="A67" s="12" t="s">
        <v>409</v>
      </c>
      <c r="B67" s="12" t="s">
        <v>374</v>
      </c>
      <c r="C67" s="13"/>
      <c r="D67" s="14">
        <v>1</v>
      </c>
      <c r="E67" s="15" t="s">
        <v>30</v>
      </c>
      <c r="F67" s="12" t="s">
        <v>31</v>
      </c>
      <c r="G67" s="14">
        <v>1</v>
      </c>
      <c r="H67" s="14">
        <v>3</v>
      </c>
      <c r="I67" s="14">
        <v>3</v>
      </c>
      <c r="J67" s="14">
        <v>3</v>
      </c>
      <c r="K67" s="14">
        <v>2</v>
      </c>
      <c r="L67" s="14">
        <v>2</v>
      </c>
      <c r="M67" s="14">
        <v>1</v>
      </c>
      <c r="N67" s="14">
        <v>0</v>
      </c>
      <c r="O67" s="14">
        <v>1</v>
      </c>
      <c r="P67" s="14">
        <v>3</v>
      </c>
      <c r="Q67" s="14">
        <v>2</v>
      </c>
      <c r="R67" s="16">
        <f>IF($AY67="Conflict","",IF(COUNT(H67:Q67)=10,SUM(H67:Q67),IF(ISNUMBER($AU67),$AU67,"")))</f>
        <v>20</v>
      </c>
      <c r="S67" s="16">
        <f>IF(ISNUMBER(R67),R67/30*100,"")</f>
        <v>66.66666666666666</v>
      </c>
      <c r="T67" s="16">
        <f>IF($AY67="Conflict","",IF(COUNT(H67:J67,L67)=4,SUM(H67:J67,L67),""))</f>
        <v>11</v>
      </c>
      <c r="U67" s="16">
        <f>IF($AY67="Conflict","",IF(COUNT(K67,M67:O67)=4,SUM(K67,M67:O67),""))</f>
        <v>4</v>
      </c>
      <c r="V67" s="16">
        <f>IF($AY67="Conflict","",IF(COUNT(P67:Q67)=2,SUM(P67:Q67),""))</f>
        <v>5</v>
      </c>
      <c r="W67" s="15" t="s">
        <v>54</v>
      </c>
      <c r="X67" s="15" t="s">
        <v>389</v>
      </c>
      <c r="Y67" s="14">
        <v>20</v>
      </c>
      <c r="Z67" s="16">
        <f>IF(ISNUMBER(R67),R67,"")</f>
        <v>20</v>
      </c>
      <c r="AA67" s="14">
        <v>0</v>
      </c>
      <c r="AB67" s="13"/>
      <c r="AC67" s="14">
        <v>0</v>
      </c>
      <c r="AD67" s="13"/>
      <c r="AE67" s="17">
        <v>16676.2</v>
      </c>
      <c r="AF67" s="17">
        <v>58936.6</v>
      </c>
      <c r="AG67" s="17">
        <v>3430.7</v>
      </c>
      <c r="AH67" s="18">
        <f>IF(AND(ISNUMBER(AG67),ISNUMBER(AF67),AF67&gt;0),AG67/AF67,"")</f>
        <v>0.05821000872123604</v>
      </c>
      <c r="AI67" s="17">
        <v>9883.9</v>
      </c>
      <c r="AJ67" s="17">
        <v>656.7</v>
      </c>
      <c r="AK67" s="18">
        <f>IF(ISNUMBER(Financial_Panel!L41),Financial_Panel!L41,"")</f>
        <v>0.07742140848723497</v>
      </c>
      <c r="AL67" s="17">
        <v>250.2</v>
      </c>
      <c r="AM67" s="15" t="s">
        <v>47</v>
      </c>
      <c r="AN67" s="12" t="s">
        <v>383</v>
      </c>
      <c r="AO67" s="15" t="s">
        <v>54</v>
      </c>
      <c r="AP67" s="12" t="s">
        <v>410</v>
      </c>
      <c r="AQ67" s="12" t="s">
        <v>411</v>
      </c>
      <c r="AR67" s="19">
        <v>46318</v>
      </c>
      <c r="AS67" s="15" t="s">
        <v>412</v>
      </c>
      <c r="AT67" s="15" t="s">
        <v>413</v>
      </c>
      <c r="AU67" s="14">
        <v>20</v>
      </c>
      <c r="AV67" s="12" t="s">
        <v>41</v>
      </c>
      <c r="AW67" s="15" t="s">
        <v>42</v>
      </c>
      <c r="AX67" s="15" t="s">
        <v>43</v>
      </c>
      <c r="AY67" s="15" t="s">
        <v>44</v>
      </c>
      <c r="AZ67" s="12" t="s">
        <v>381</v>
      </c>
    </row>
    <row r="68" spans="1:52" ht="30" customHeight="1">
      <c r="A68" s="12" t="s">
        <v>414</v>
      </c>
      <c r="B68" s="12" t="s">
        <v>374</v>
      </c>
      <c r="C68" s="13"/>
      <c r="D68" s="14">
        <v>1</v>
      </c>
      <c r="E68" s="15" t="s">
        <v>30</v>
      </c>
      <c r="F68" s="12" t="s">
        <v>31</v>
      </c>
      <c r="G68" s="14">
        <v>1</v>
      </c>
      <c r="H68" s="14">
        <v>3</v>
      </c>
      <c r="I68" s="14">
        <v>3</v>
      </c>
      <c r="J68" s="14">
        <v>3</v>
      </c>
      <c r="K68" s="14">
        <v>3</v>
      </c>
      <c r="L68" s="14">
        <v>2</v>
      </c>
      <c r="M68" s="14">
        <v>1</v>
      </c>
      <c r="N68" s="14">
        <v>0</v>
      </c>
      <c r="O68" s="14">
        <v>2</v>
      </c>
      <c r="P68" s="14">
        <v>3</v>
      </c>
      <c r="Q68" s="14">
        <v>3</v>
      </c>
      <c r="R68" s="16">
        <f>IF($AY68="Conflict","",IF(COUNT(H68:Q68)=10,SUM(H68:Q68),IF(ISNUMBER($AU68),$AU68,"")))</f>
        <v>23</v>
      </c>
      <c r="S68" s="16">
        <f>IF(ISNUMBER(R68),R68/30*100,"")</f>
        <v>76.66666666666667</v>
      </c>
      <c r="T68" s="16">
        <f>IF($AY68="Conflict","",IF(COUNT(H68:J68,L68)=4,SUM(H68:J68,L68),""))</f>
        <v>11</v>
      </c>
      <c r="U68" s="16">
        <f>IF($AY68="Conflict","",IF(COUNT(K68,M68:O68)=4,SUM(K68,M68:O68),""))</f>
        <v>6</v>
      </c>
      <c r="V68" s="16">
        <f>IF($AY68="Conflict","",IF(COUNT(P68:Q68)=2,SUM(P68:Q68),""))</f>
        <v>6</v>
      </c>
      <c r="W68" s="15" t="s">
        <v>54</v>
      </c>
      <c r="X68" s="15" t="s">
        <v>375</v>
      </c>
      <c r="Y68" s="14">
        <v>24</v>
      </c>
      <c r="Z68" s="16">
        <f>IF(ISNUMBER(R68),R68,"")</f>
        <v>23</v>
      </c>
      <c r="AA68" s="14">
        <v>0</v>
      </c>
      <c r="AB68" s="13"/>
      <c r="AC68" s="14">
        <v>0</v>
      </c>
      <c r="AD68" s="14">
        <v>0</v>
      </c>
      <c r="AE68" s="17">
        <v>1178.3144</v>
      </c>
      <c r="AF68" s="17">
        <v>8294.8271</v>
      </c>
      <c r="AG68" s="17">
        <v>298.1651</v>
      </c>
      <c r="AH68" s="18">
        <f>IF(AND(ISNUMBER(AG68),ISNUMBER(AF68),AF68&gt;0),AG68/AF68,"")</f>
        <v>0.03594590898706014</v>
      </c>
      <c r="AI68" s="17">
        <v>645.2515</v>
      </c>
      <c r="AJ68" s="17">
        <v>10.9078</v>
      </c>
      <c r="AK68" s="18">
        <f>IF(ISNUMBER(Financial_Panel!L44),Financial_Panel!L44,"")</f>
        <v>0.010503446205562894</v>
      </c>
      <c r="AL68" s="17">
        <v>18.1386</v>
      </c>
      <c r="AM68" s="15" t="s">
        <v>47</v>
      </c>
      <c r="AN68" s="12" t="s">
        <v>383</v>
      </c>
      <c r="AO68" s="15" t="s">
        <v>54</v>
      </c>
      <c r="AP68" s="12" t="s">
        <v>415</v>
      </c>
      <c r="AQ68" s="12" t="s">
        <v>416</v>
      </c>
      <c r="AR68" s="19">
        <v>46318</v>
      </c>
      <c r="AS68" s="15" t="s">
        <v>417</v>
      </c>
      <c r="AT68" s="15" t="s">
        <v>418</v>
      </c>
      <c r="AU68" s="14">
        <v>23</v>
      </c>
      <c r="AV68" s="12" t="s">
        <v>41</v>
      </c>
      <c r="AW68" s="15" t="s">
        <v>42</v>
      </c>
      <c r="AX68" s="15" t="s">
        <v>43</v>
      </c>
      <c r="AY68" s="15" t="s">
        <v>44</v>
      </c>
      <c r="AZ68" s="12" t="s">
        <v>381</v>
      </c>
    </row>
    <row r="69" spans="1:52" ht="30" customHeight="1">
      <c r="A69" s="12" t="s">
        <v>419</v>
      </c>
      <c r="B69" s="12" t="s">
        <v>374</v>
      </c>
      <c r="C69" s="13"/>
      <c r="D69" s="14">
        <v>1</v>
      </c>
      <c r="E69" s="15" t="s">
        <v>30</v>
      </c>
      <c r="F69" s="12" t="s">
        <v>73</v>
      </c>
      <c r="G69" s="14">
        <v>1</v>
      </c>
      <c r="H69" s="14">
        <v>3</v>
      </c>
      <c r="I69" s="14">
        <v>0</v>
      </c>
      <c r="J69" s="14">
        <v>1</v>
      </c>
      <c r="K69" s="14">
        <v>2</v>
      </c>
      <c r="L69" s="14">
        <v>2</v>
      </c>
      <c r="M69" s="14">
        <v>1</v>
      </c>
      <c r="N69" s="14">
        <v>0</v>
      </c>
      <c r="O69" s="14">
        <v>1</v>
      </c>
      <c r="P69" s="14">
        <v>1</v>
      </c>
      <c r="Q69" s="14">
        <v>2</v>
      </c>
      <c r="R69" s="16">
        <f>IF($AY69="Conflict","",IF(COUNT(H69:Q69)=10,SUM(H69:Q69),IF(ISNUMBER($AU69),$AU69,"")))</f>
        <v>13</v>
      </c>
      <c r="S69" s="16">
        <f>IF(ISNUMBER(R69),R69/30*100,"")</f>
        <v>43.333333333333336</v>
      </c>
      <c r="T69" s="16">
        <f>IF($AY69="Conflict","",IF(COUNT(H69:J69,L69)=4,SUM(H69:J69,L69),""))</f>
        <v>6</v>
      </c>
      <c r="U69" s="16">
        <f>IF($AY69="Conflict","",IF(COUNT(K69,M69:O69)=4,SUM(K69,M69:O69),""))</f>
        <v>4</v>
      </c>
      <c r="V69" s="16">
        <f>IF($AY69="Conflict","",IF(COUNT(P69:Q69)=2,SUM(P69:Q69),""))</f>
        <v>3</v>
      </c>
      <c r="W69" s="15" t="s">
        <v>32</v>
      </c>
      <c r="X69" s="15" t="s">
        <v>375</v>
      </c>
      <c r="Y69" s="14">
        <v>14</v>
      </c>
      <c r="Z69" s="16">
        <f>IF(ISNUMBER(R69),R69,"")</f>
        <v>13</v>
      </c>
      <c r="AA69" s="13"/>
      <c r="AB69" s="13"/>
      <c r="AC69" s="14" t="s">
        <v>34</v>
      </c>
      <c r="AD69" s="14">
        <v>0</v>
      </c>
      <c r="AE69" s="17">
        <v>12038.5724</v>
      </c>
      <c r="AF69" s="17">
        <v>13640.9521</v>
      </c>
      <c r="AG69" s="17">
        <v>557.4246000000001</v>
      </c>
      <c r="AH69" s="18">
        <f>IF(AND(ISNUMBER(AG69),ISNUMBER(AF69),AF69&gt;0),AG69/AF69,"")</f>
        <v>0.040864053763519925</v>
      </c>
      <c r="AI69" s="17">
        <v>0</v>
      </c>
      <c r="AJ69" s="17">
        <v>0.0616</v>
      </c>
      <c r="AK69" s="18">
        <f>IF(ISNUMBER(Financial_Panel!L45),Financial_Panel!L45,"")</f>
        <v/>
      </c>
      <c r="AL69" s="17">
        <v>319.8098</v>
      </c>
      <c r="AM69" s="13"/>
      <c r="AN69" s="12" t="s">
        <v>376</v>
      </c>
      <c r="AO69" s="15" t="s">
        <v>32</v>
      </c>
      <c r="AP69" s="12" t="s">
        <v>420</v>
      </c>
      <c r="AQ69" s="12" t="s">
        <v>421</v>
      </c>
      <c r="AR69" s="19">
        <v>46318</v>
      </c>
      <c r="AS69" s="15" t="s">
        <v>422</v>
      </c>
      <c r="AT69" s="15" t="s">
        <v>423</v>
      </c>
      <c r="AU69" s="14">
        <v>13</v>
      </c>
      <c r="AV69" s="12" t="s">
        <v>41</v>
      </c>
      <c r="AW69" s="15" t="s">
        <v>42</v>
      </c>
      <c r="AX69" s="15" t="s">
        <v>43</v>
      </c>
      <c r="AY69" s="15" t="s">
        <v>44</v>
      </c>
      <c r="AZ69" s="12" t="s">
        <v>381</v>
      </c>
    </row>
    <row r="70" spans="1:52" ht="30" customHeight="1">
      <c r="A70" s="12" t="s">
        <v>424</v>
      </c>
      <c r="B70" s="12" t="s">
        <v>374</v>
      </c>
      <c r="C70" s="13"/>
      <c r="D70" s="14">
        <v>1</v>
      </c>
      <c r="E70" s="15" t="s">
        <v>30</v>
      </c>
      <c r="F70" s="12" t="s">
        <v>31</v>
      </c>
      <c r="G70" s="14">
        <v>1</v>
      </c>
      <c r="H70" s="14">
        <v>3</v>
      </c>
      <c r="I70" s="14">
        <v>3</v>
      </c>
      <c r="J70" s="14">
        <v>1</v>
      </c>
      <c r="K70" s="14">
        <v>2</v>
      </c>
      <c r="L70" s="14">
        <v>2</v>
      </c>
      <c r="M70" s="14">
        <v>1</v>
      </c>
      <c r="N70" s="14">
        <v>0</v>
      </c>
      <c r="O70" s="14">
        <v>1</v>
      </c>
      <c r="P70" s="14">
        <v>3</v>
      </c>
      <c r="Q70" s="14">
        <v>2</v>
      </c>
      <c r="R70" s="16">
        <f>IF($AY70="Conflict","",IF(COUNT(H70:Q70)=10,SUM(H70:Q70),IF(ISNUMBER($AU70),$AU70,"")))</f>
        <v>18</v>
      </c>
      <c r="S70" s="16">
        <f>IF(ISNUMBER(R70),R70/30*100,"")</f>
        <v>60.0</v>
      </c>
      <c r="T70" s="16">
        <f>IF($AY70="Conflict","",IF(COUNT(H70:J70,L70)=4,SUM(H70:J70,L70),""))</f>
        <v>9</v>
      </c>
      <c r="U70" s="16">
        <f>IF($AY70="Conflict","",IF(COUNT(K70,M70:O70)=4,SUM(K70,M70:O70),""))</f>
        <v>4</v>
      </c>
      <c r="V70" s="16">
        <f>IF($AY70="Conflict","",IF(COUNT(P70:Q70)=2,SUM(P70:Q70),""))</f>
        <v>5</v>
      </c>
      <c r="W70" s="15" t="s">
        <v>54</v>
      </c>
      <c r="X70" s="15" t="s">
        <v>389</v>
      </c>
      <c r="Y70" s="14">
        <v>18</v>
      </c>
      <c r="Z70" s="16">
        <f>IF(ISNUMBER(R70),R70,"")</f>
        <v>18</v>
      </c>
      <c r="AA70" s="14">
        <v>0</v>
      </c>
      <c r="AB70" s="13"/>
      <c r="AC70" s="14" t="s">
        <v>34</v>
      </c>
      <c r="AD70" s="13"/>
      <c r="AE70" s="17">
        <v>20823</v>
      </c>
      <c r="AF70" s="17">
        <v>26006.07</v>
      </c>
      <c r="AG70" s="17">
        <v>723.96</v>
      </c>
      <c r="AH70" s="18">
        <f>IF(AND(ISNUMBER(AG70),ISNUMBER(AF70),AF70&gt;0),AG70/AF70,"")</f>
        <v>0.027838116255166585</v>
      </c>
      <c r="AI70" s="17">
        <v>3457</v>
      </c>
      <c r="AJ70" s="17">
        <v>745.29</v>
      </c>
      <c r="AK70" s="18">
        <f>IF(ISNUMBER(Financial_Panel!L48),Financial_Panel!L48,"")</f>
        <v>0.29513046026396966</v>
      </c>
      <c r="AL70" s="17">
        <v>955.3099999999999</v>
      </c>
      <c r="AM70" s="15" t="s">
        <v>47</v>
      </c>
      <c r="AN70" s="12" t="s">
        <v>383</v>
      </c>
      <c r="AO70" s="15" t="s">
        <v>54</v>
      </c>
      <c r="AP70" s="12" t="s">
        <v>425</v>
      </c>
      <c r="AQ70" s="12" t="s">
        <v>426</v>
      </c>
      <c r="AR70" s="19">
        <v>46318</v>
      </c>
      <c r="AS70" s="15" t="s">
        <v>427</v>
      </c>
      <c r="AT70" s="15" t="s">
        <v>428</v>
      </c>
      <c r="AU70" s="14">
        <v>18</v>
      </c>
      <c r="AV70" s="12" t="s">
        <v>41</v>
      </c>
      <c r="AW70" s="15" t="s">
        <v>42</v>
      </c>
      <c r="AX70" s="15" t="s">
        <v>43</v>
      </c>
      <c r="AY70" s="15" t="s">
        <v>44</v>
      </c>
      <c r="AZ70" s="12" t="s">
        <v>381</v>
      </c>
    </row>
    <row r="71" spans="1:52" ht="30" customHeight="1">
      <c r="A71" s="12" t="s">
        <v>429</v>
      </c>
      <c r="B71" s="12" t="s">
        <v>430</v>
      </c>
      <c r="C71" s="13"/>
      <c r="D71" s="14">
        <v>1</v>
      </c>
      <c r="E71" s="15" t="s">
        <v>30</v>
      </c>
      <c r="F71" s="13"/>
      <c r="G71" s="14">
        <v>1</v>
      </c>
      <c r="H71" s="13"/>
      <c r="I71" s="13"/>
      <c r="J71" s="13"/>
      <c r="K71" s="13"/>
      <c r="L71" s="13"/>
      <c r="M71" s="13"/>
      <c r="N71" s="13"/>
      <c r="O71" s="13"/>
      <c r="P71" s="13"/>
      <c r="Q71" s="13"/>
      <c r="R71" s="16">
        <f>IF($AY71="Conflict","",IF(COUNT(H71:Q71)=10,SUM(H71:Q71),IF(ISNUMBER($AU71),$AU71,"")))</f>
        <v>24</v>
      </c>
      <c r="S71" s="16">
        <f>IF(ISNUMBER(R71),R71/30*100,"")</f>
        <v>80.0</v>
      </c>
      <c r="T71" s="16">
        <f>IF($AY71="Conflict","",IF(COUNT(H71:J71,L71)=4,SUM(H71:J71,L71),""))</f>
        <v/>
      </c>
      <c r="U71" s="16">
        <f>IF($AY71="Conflict","",IF(COUNT(K71,M71:O71)=4,SUM(K71,M71:O71),""))</f>
        <v/>
      </c>
      <c r="V71" s="16">
        <f>IF($AY71="Conflict","",IF(COUNT(P71:Q71)=2,SUM(P71:Q71),""))</f>
        <v/>
      </c>
      <c r="W71" s="15" t="s">
        <v>32</v>
      </c>
      <c r="X71" s="13"/>
      <c r="Y71" s="13"/>
      <c r="Z71" s="13"/>
      <c r="AA71" s="14">
        <v>0</v>
      </c>
      <c r="AB71" s="13"/>
      <c r="AC71" s="13"/>
      <c r="AD71" s="13"/>
      <c r="AE71" s="17">
        <v>30475.33</v>
      </c>
      <c r="AF71" s="17">
        <v>135332.23</v>
      </c>
      <c r="AG71" s="17">
        <v>11061.26</v>
      </c>
      <c r="AH71" s="18">
        <f>IF(AND(ISNUMBER(AG71),ISNUMBER(AF71),AF71&gt;0),AG71/AF71,"")</f>
        <v>0.08173411463034341</v>
      </c>
      <c r="AI71" s="17">
        <v>45810.03</v>
      </c>
      <c r="AJ71" s="17">
        <v>2812.67</v>
      </c>
      <c r="AK71" s="18">
        <f>IF(ISNUMBER(Financial_Panel!L99),Financial_Panel!L99,"")</f>
        <v>0.06108573355894053</v>
      </c>
      <c r="AL71" s="17">
        <v>8048.92</v>
      </c>
      <c r="AM71" s="13"/>
      <c r="AN71" s="12" t="s">
        <v>431</v>
      </c>
      <c r="AO71" s="15" t="s">
        <v>32</v>
      </c>
      <c r="AP71" s="12" t="s">
        <v>432</v>
      </c>
      <c r="AQ71" s="12" t="s">
        <v>433</v>
      </c>
      <c r="AR71" s="19">
        <v>46318</v>
      </c>
      <c r="AS71" s="15" t="s">
        <v>434</v>
      </c>
      <c r="AT71" s="15" t="s">
        <v>435</v>
      </c>
      <c r="AU71" s="14">
        <v>24</v>
      </c>
      <c r="AV71" s="12" t="s">
        <v>309</v>
      </c>
      <c r="AW71" s="15" t="s">
        <v>42</v>
      </c>
      <c r="AX71" s="15" t="s">
        <v>148</v>
      </c>
      <c r="AY71" s="15" t="s">
        <v>310</v>
      </c>
      <c r="AZ71" s="12" t="s">
        <v>216</v>
      </c>
    </row>
    <row r="72" spans="1:52" ht="30" customHeight="1">
      <c r="A72" s="12" t="s">
        <v>436</v>
      </c>
      <c r="B72" s="12" t="s">
        <v>430</v>
      </c>
      <c r="C72" s="13"/>
      <c r="D72" s="14">
        <v>1</v>
      </c>
      <c r="E72" s="15" t="s">
        <v>30</v>
      </c>
      <c r="F72" s="13"/>
      <c r="G72" s="14">
        <v>1</v>
      </c>
      <c r="H72" s="13"/>
      <c r="I72" s="13"/>
      <c r="J72" s="13"/>
      <c r="K72" s="13"/>
      <c r="L72" s="13"/>
      <c r="M72" s="13"/>
      <c r="N72" s="13"/>
      <c r="O72" s="13"/>
      <c r="P72" s="13"/>
      <c r="Q72" s="13"/>
      <c r="R72" s="16">
        <f>IF($AY72="Conflict","",IF(COUNT(H72:Q72)=10,SUM(H72:Q72),IF(ISNUMBER($AU72),$AU72,"")))</f>
        <v>17</v>
      </c>
      <c r="S72" s="16">
        <f>IF(ISNUMBER(R72),R72/30*100,"")</f>
        <v>56.666666666666664</v>
      </c>
      <c r="T72" s="16">
        <f>IF($AY72="Conflict","",IF(COUNT(H72:J72,L72)=4,SUM(H72:J72,L72),""))</f>
        <v/>
      </c>
      <c r="U72" s="16">
        <f>IF($AY72="Conflict","",IF(COUNT(K72,M72:O72)=4,SUM(K72,M72:O72),""))</f>
        <v/>
      </c>
      <c r="V72" s="16">
        <f>IF($AY72="Conflict","",IF(COUNT(P72:Q72)=2,SUM(P72:Q72),""))</f>
        <v/>
      </c>
      <c r="W72" s="15" t="s">
        <v>32</v>
      </c>
      <c r="X72" s="13"/>
      <c r="Y72" s="13"/>
      <c r="Z72" s="13"/>
      <c r="AA72" s="14">
        <v>0</v>
      </c>
      <c r="AB72" s="13"/>
      <c r="AC72" s="13"/>
      <c r="AD72" s="13"/>
      <c r="AE72" s="17">
        <v>42333.28</v>
      </c>
      <c r="AF72" s="17">
        <v>81714.64</v>
      </c>
      <c r="AG72" s="17">
        <v>3382.79</v>
      </c>
      <c r="AH72" s="18">
        <f>IF(AND(ISNUMBER(AG72),ISNUMBER(AF72),AF72&gt;0),AG72/AF72,"")</f>
        <v>0.0413976002341808</v>
      </c>
      <c r="AI72" s="17">
        <v>49701.1</v>
      </c>
      <c r="AJ72" s="17">
        <v>3930.21</v>
      </c>
      <c r="AK72" s="18">
        <f>IF(ISNUMBER(Financial_Panel!L100),Financial_Panel!L100,"")</f>
        <v>0.08708116860672258</v>
      </c>
      <c r="AL72" s="17">
        <v>1648.08</v>
      </c>
      <c r="AM72" s="13"/>
      <c r="AN72" s="12" t="s">
        <v>431</v>
      </c>
      <c r="AO72" s="15" t="s">
        <v>32</v>
      </c>
      <c r="AP72" s="12" t="s">
        <v>437</v>
      </c>
      <c r="AQ72" s="12" t="s">
        <v>438</v>
      </c>
      <c r="AR72" s="19">
        <v>46318</v>
      </c>
      <c r="AS72" s="15" t="s">
        <v>439</v>
      </c>
      <c r="AT72" s="15" t="s">
        <v>440</v>
      </c>
      <c r="AU72" s="14">
        <v>17</v>
      </c>
      <c r="AV72" s="12" t="s">
        <v>309</v>
      </c>
      <c r="AW72" s="15" t="s">
        <v>42</v>
      </c>
      <c r="AX72" s="15" t="s">
        <v>148</v>
      </c>
      <c r="AY72" s="15" t="s">
        <v>310</v>
      </c>
      <c r="AZ72" s="12" t="s">
        <v>216</v>
      </c>
    </row>
    <row r="73" spans="1:52" ht="30" customHeight="1">
      <c r="A73" s="12" t="s">
        <v>441</v>
      </c>
      <c r="B73" s="12" t="s">
        <v>430</v>
      </c>
      <c r="C73" s="13"/>
      <c r="D73" s="14">
        <v>1</v>
      </c>
      <c r="E73" s="15" t="s">
        <v>30</v>
      </c>
      <c r="F73" s="13"/>
      <c r="G73" s="14">
        <v>1</v>
      </c>
      <c r="H73" s="13"/>
      <c r="I73" s="13"/>
      <c r="J73" s="13"/>
      <c r="K73" s="13"/>
      <c r="L73" s="13"/>
      <c r="M73" s="13"/>
      <c r="N73" s="13"/>
      <c r="O73" s="13"/>
      <c r="P73" s="13"/>
      <c r="Q73" s="13"/>
      <c r="R73" s="16">
        <f>IF($AY73="Conflict","",IF(COUNT(H73:Q73)=10,SUM(H73:Q73),IF(ISNUMBER($AU73),$AU73,"")))</f>
        <v>17</v>
      </c>
      <c r="S73" s="16">
        <f>IF(ISNUMBER(R73),R73/30*100,"")</f>
        <v>56.666666666666664</v>
      </c>
      <c r="T73" s="16">
        <f>IF($AY73="Conflict","",IF(COUNT(H73:J73,L73)=4,SUM(H73:J73,L73),""))</f>
        <v/>
      </c>
      <c r="U73" s="16">
        <f>IF($AY73="Conflict","",IF(COUNT(K73,M73:O73)=4,SUM(K73,M73:O73),""))</f>
        <v/>
      </c>
      <c r="V73" s="16">
        <f>IF($AY73="Conflict","",IF(COUNT(P73:Q73)=2,SUM(P73:Q73),""))</f>
        <v/>
      </c>
      <c r="W73" s="15" t="s">
        <v>32</v>
      </c>
      <c r="X73" s="13"/>
      <c r="Y73" s="13"/>
      <c r="Z73" s="13"/>
      <c r="AA73" s="14">
        <v>0</v>
      </c>
      <c r="AB73" s="13"/>
      <c r="AC73" s="13"/>
      <c r="AD73" s="13"/>
      <c r="AE73" s="17">
        <v>5720.18</v>
      </c>
      <c r="AF73" s="17">
        <v>3662.76</v>
      </c>
      <c r="AG73" s="17">
        <v>252.42</v>
      </c>
      <c r="AH73" s="18">
        <f>IF(AND(ISNUMBER(AG73),ISNUMBER(AF73),AF73&gt;0),AG73/AF73,"")</f>
        <v>0.06891524424204698</v>
      </c>
      <c r="AI73" s="17">
        <v>200</v>
      </c>
      <c r="AJ73" s="17">
        <v>82.39</v>
      </c>
      <c r="AK73" s="18">
        <f>IF(ISNUMBER(Financial_Panel!L101),Financial_Panel!L101,"")</f>
        <v>0.3624007565594141</v>
      </c>
      <c r="AL73" s="17">
        <v>253.89</v>
      </c>
      <c r="AM73" s="13"/>
      <c r="AN73" s="12" t="s">
        <v>431</v>
      </c>
      <c r="AO73" s="15" t="s">
        <v>32</v>
      </c>
      <c r="AP73" s="12" t="s">
        <v>442</v>
      </c>
      <c r="AQ73" s="12" t="s">
        <v>443</v>
      </c>
      <c r="AR73" s="19">
        <v>46318</v>
      </c>
      <c r="AS73" s="15" t="s">
        <v>444</v>
      </c>
      <c r="AT73" s="15" t="s">
        <v>445</v>
      </c>
      <c r="AU73" s="14">
        <v>17</v>
      </c>
      <c r="AV73" s="12" t="s">
        <v>309</v>
      </c>
      <c r="AW73" s="15" t="s">
        <v>42</v>
      </c>
      <c r="AX73" s="15" t="s">
        <v>148</v>
      </c>
      <c r="AY73" s="15" t="s">
        <v>310</v>
      </c>
      <c r="AZ73" s="12" t="s">
        <v>216</v>
      </c>
    </row>
    <row r="74" spans="1:52" ht="30" customHeight="1">
      <c r="A74" s="12" t="s">
        <v>446</v>
      </c>
      <c r="B74" s="12" t="s">
        <v>430</v>
      </c>
      <c r="C74" s="13"/>
      <c r="D74" s="14">
        <v>1</v>
      </c>
      <c r="E74" s="15" t="s">
        <v>30</v>
      </c>
      <c r="F74" s="13"/>
      <c r="G74" s="14">
        <v>1</v>
      </c>
      <c r="H74" s="13"/>
      <c r="I74" s="13"/>
      <c r="J74" s="13"/>
      <c r="K74" s="13"/>
      <c r="L74" s="13"/>
      <c r="M74" s="13"/>
      <c r="N74" s="13"/>
      <c r="O74" s="13"/>
      <c r="P74" s="13"/>
      <c r="Q74" s="13"/>
      <c r="R74" s="16">
        <f>IF($AY74="Conflict","",IF(COUNT(H74:Q74)=10,SUM(H74:Q74),IF(ISNUMBER($AU74),$AU74,"")))</f>
        <v>16</v>
      </c>
      <c r="S74" s="16">
        <f>IF(ISNUMBER(R74),R74/30*100,"")</f>
        <v>53.333333333333336</v>
      </c>
      <c r="T74" s="16">
        <f>IF($AY74="Conflict","",IF(COUNT(H74:J74,L74)=4,SUM(H74:J74,L74),""))</f>
        <v/>
      </c>
      <c r="U74" s="16">
        <f>IF($AY74="Conflict","",IF(COUNT(K74,M74:O74)=4,SUM(K74,M74:O74),""))</f>
        <v/>
      </c>
      <c r="V74" s="16">
        <f>IF($AY74="Conflict","",IF(COUNT(P74:Q74)=2,SUM(P74:Q74),""))</f>
        <v/>
      </c>
      <c r="W74" s="15" t="s">
        <v>32</v>
      </c>
      <c r="X74" s="13"/>
      <c r="Y74" s="13"/>
      <c r="Z74" s="13"/>
      <c r="AA74" s="14">
        <v>0</v>
      </c>
      <c r="AB74" s="13"/>
      <c r="AC74" s="13"/>
      <c r="AD74" s="13"/>
      <c r="AE74" s="17">
        <v>8887.02</v>
      </c>
      <c r="AF74" s="17">
        <v>14475.87</v>
      </c>
      <c r="AG74" s="17">
        <v>1291.84</v>
      </c>
      <c r="AH74" s="18">
        <f>IF(AND(ISNUMBER(AG74),ISNUMBER(AF74),AF74&gt;0),AG74/AF74,"")</f>
        <v>0.08924092299806505</v>
      </c>
      <c r="AI74" s="17">
        <v>24.25</v>
      </c>
      <c r="AJ74" s="17">
        <v>72.90000000000001</v>
      </c>
      <c r="AK74" s="18">
        <f>IF(ISNUMBER(Financial_Panel!L102),Financial_Panel!L102,"")</f>
        <v>2.888272583201268</v>
      </c>
      <c r="AL74" s="17">
        <v>916.34</v>
      </c>
      <c r="AM74" s="13"/>
      <c r="AN74" s="12" t="s">
        <v>431</v>
      </c>
      <c r="AO74" s="15" t="s">
        <v>32</v>
      </c>
      <c r="AP74" s="12" t="s">
        <v>447</v>
      </c>
      <c r="AQ74" s="12" t="s">
        <v>448</v>
      </c>
      <c r="AR74" s="19">
        <v>46318</v>
      </c>
      <c r="AS74" s="15" t="s">
        <v>449</v>
      </c>
      <c r="AT74" s="15" t="s">
        <v>450</v>
      </c>
      <c r="AU74" s="14">
        <v>16</v>
      </c>
      <c r="AV74" s="12" t="s">
        <v>309</v>
      </c>
      <c r="AW74" s="15" t="s">
        <v>42</v>
      </c>
      <c r="AX74" s="15" t="s">
        <v>148</v>
      </c>
      <c r="AY74" s="15" t="s">
        <v>310</v>
      </c>
      <c r="AZ74" s="12" t="s">
        <v>216</v>
      </c>
    </row>
    <row r="75" spans="1:52" ht="30" customHeight="1">
      <c r="A75" s="12" t="s">
        <v>451</v>
      </c>
      <c r="B75" s="12" t="s">
        <v>430</v>
      </c>
      <c r="C75" s="13"/>
      <c r="D75" s="14">
        <v>1</v>
      </c>
      <c r="E75" s="15" t="s">
        <v>30</v>
      </c>
      <c r="F75" s="13"/>
      <c r="G75" s="14">
        <v>1</v>
      </c>
      <c r="H75" s="13"/>
      <c r="I75" s="13"/>
      <c r="J75" s="13"/>
      <c r="K75" s="13"/>
      <c r="L75" s="13"/>
      <c r="M75" s="13"/>
      <c r="N75" s="13"/>
      <c r="O75" s="13"/>
      <c r="P75" s="13"/>
      <c r="Q75" s="13"/>
      <c r="R75" s="16">
        <f>IF($AY75="Conflict","",IF(COUNT(H75:Q75)=10,SUM(H75:Q75),IF(ISNUMBER($AU75),$AU75,"")))</f>
        <v>17</v>
      </c>
      <c r="S75" s="16">
        <f>IF(ISNUMBER(R75),R75/30*100,"")</f>
        <v>56.666666666666664</v>
      </c>
      <c r="T75" s="16">
        <f>IF($AY75="Conflict","",IF(COUNT(H75:J75,L75)=4,SUM(H75:J75,L75),""))</f>
        <v/>
      </c>
      <c r="U75" s="16">
        <f>IF($AY75="Conflict","",IF(COUNT(K75,M75:O75)=4,SUM(K75,M75:O75),""))</f>
        <v/>
      </c>
      <c r="V75" s="16">
        <f>IF($AY75="Conflict","",IF(COUNT(P75:Q75)=2,SUM(P75:Q75),""))</f>
        <v/>
      </c>
      <c r="W75" s="15" t="s">
        <v>32</v>
      </c>
      <c r="X75" s="13"/>
      <c r="Y75" s="13"/>
      <c r="Z75" s="13"/>
      <c r="AA75" s="14">
        <v>0</v>
      </c>
      <c r="AB75" s="13"/>
      <c r="AC75" s="13"/>
      <c r="AD75" s="13"/>
      <c r="AE75" s="17">
        <v>8931.901</v>
      </c>
      <c r="AF75" s="17">
        <v>12063.135</v>
      </c>
      <c r="AG75" s="17">
        <v>162.11</v>
      </c>
      <c r="AH75" s="18">
        <f>IF(AND(ISNUMBER(AG75),ISNUMBER(AF75),AF75&gt;0),AG75/AF75,"")</f>
        <v>0.013438463550312585</v>
      </c>
      <c r="AI75" s="17">
        <v>39.669</v>
      </c>
      <c r="AJ75" s="17">
        <v>125.787</v>
      </c>
      <c r="AK75" s="18">
        <f>IF(ISNUMBER(Financial_Panel!L103),Financial_Panel!L103,"")</f>
        <v>1.5222276679554902</v>
      </c>
      <c r="AL75" s="17">
        <v>483.181</v>
      </c>
      <c r="AM75" s="13"/>
      <c r="AN75" s="12" t="s">
        <v>431</v>
      </c>
      <c r="AO75" s="15" t="s">
        <v>32</v>
      </c>
      <c r="AP75" s="12" t="s">
        <v>452</v>
      </c>
      <c r="AQ75" s="12" t="s">
        <v>453</v>
      </c>
      <c r="AR75" s="19">
        <v>46318</v>
      </c>
      <c r="AS75" s="15" t="s">
        <v>454</v>
      </c>
      <c r="AT75" s="15" t="s">
        <v>455</v>
      </c>
      <c r="AU75" s="14">
        <v>17</v>
      </c>
      <c r="AV75" s="12" t="s">
        <v>309</v>
      </c>
      <c r="AW75" s="15" t="s">
        <v>42</v>
      </c>
      <c r="AX75" s="15" t="s">
        <v>148</v>
      </c>
      <c r="AY75" s="15" t="s">
        <v>310</v>
      </c>
      <c r="AZ75" s="12" t="s">
        <v>216</v>
      </c>
    </row>
    <row r="76" spans="1:52" ht="30" customHeight="1">
      <c r="A76" s="12" t="s">
        <v>456</v>
      </c>
      <c r="B76" s="12" t="s">
        <v>430</v>
      </c>
      <c r="C76" s="13"/>
      <c r="D76" s="14">
        <v>1</v>
      </c>
      <c r="E76" s="15" t="s">
        <v>30</v>
      </c>
      <c r="F76" s="13"/>
      <c r="G76" s="13"/>
      <c r="H76" s="13"/>
      <c r="I76" s="13"/>
      <c r="J76" s="13"/>
      <c r="K76" s="13"/>
      <c r="L76" s="13"/>
      <c r="M76" s="13"/>
      <c r="N76" s="13"/>
      <c r="O76" s="13"/>
      <c r="P76" s="13"/>
      <c r="Q76" s="13"/>
      <c r="R76" s="16">
        <f>IF($AY76="Conflict","",IF(COUNT(H76:Q76)=10,SUM(H76:Q76),IF(ISNUMBER($AU76),$AU76,"")))</f>
        <v>10</v>
      </c>
      <c r="S76" s="16">
        <f>IF(ISNUMBER(R76),R76/30*100,"")</f>
        <v>33.33333333333333</v>
      </c>
      <c r="T76" s="16">
        <f>IF($AY76="Conflict","",IF(COUNT(H76:J76,L76)=4,SUM(H76:J76,L76),""))</f>
        <v/>
      </c>
      <c r="U76" s="16">
        <f>IF($AY76="Conflict","",IF(COUNT(K76,M76:O76)=4,SUM(K76,M76:O76),""))</f>
        <v/>
      </c>
      <c r="V76" s="16">
        <f>IF($AY76="Conflict","",IF(COUNT(P76:Q76)=2,SUM(P76:Q76),""))</f>
        <v/>
      </c>
      <c r="W76" s="15" t="s">
        <v>32</v>
      </c>
      <c r="X76" s="13"/>
      <c r="Y76" s="13"/>
      <c r="Z76" s="13"/>
      <c r="AA76" s="14">
        <v>0</v>
      </c>
      <c r="AB76" s="13"/>
      <c r="AC76" s="13"/>
      <c r="AD76" s="13"/>
      <c r="AE76" s="17">
        <v>1680.5553</v>
      </c>
      <c r="AF76" s="17">
        <v>3456.9261</v>
      </c>
      <c r="AG76" s="17">
        <v>373.756</v>
      </c>
      <c r="AH76" s="18">
        <f>IF(AND(ISNUMBER(AG76),ISNUMBER(AF76),AF76&gt;0),AG76/AF76,"")</f>
        <v>0.10811801849047335</v>
      </c>
      <c r="AI76" s="17">
        <v>370.5991</v>
      </c>
      <c r="AJ76" s="17">
        <v>47.7698</v>
      </c>
      <c r="AK76" s="18">
        <f>IF(ISNUMBER(Financial_Panel!L104),Financial_Panel!L104,"")</f>
        <v>0.13679016538449806</v>
      </c>
      <c r="AL76" s="17">
        <v>16.092</v>
      </c>
      <c r="AM76" s="13"/>
      <c r="AN76" s="12" t="s">
        <v>431</v>
      </c>
      <c r="AO76" s="15" t="s">
        <v>32</v>
      </c>
      <c r="AP76" s="12" t="s">
        <v>457</v>
      </c>
      <c r="AQ76" s="12" t="s">
        <v>458</v>
      </c>
      <c r="AR76" s="19">
        <v>46318</v>
      </c>
      <c r="AS76" s="15" t="s">
        <v>459</v>
      </c>
      <c r="AT76" s="15" t="s">
        <v>460</v>
      </c>
      <c r="AU76" s="14">
        <v>10</v>
      </c>
      <c r="AV76" s="12" t="s">
        <v>309</v>
      </c>
      <c r="AW76" s="15" t="s">
        <v>42</v>
      </c>
      <c r="AX76" s="15" t="s">
        <v>148</v>
      </c>
      <c r="AY76" s="15" t="s">
        <v>310</v>
      </c>
      <c r="AZ76" s="12" t="s">
        <v>216</v>
      </c>
    </row>
    <row r="77" spans="1:52" ht="30" customHeight="1">
      <c r="A77" s="12" t="s">
        <v>461</v>
      </c>
      <c r="B77" s="12" t="s">
        <v>430</v>
      </c>
      <c r="C77" s="13"/>
      <c r="D77" s="14">
        <v>1</v>
      </c>
      <c r="E77" s="15" t="s">
        <v>30</v>
      </c>
      <c r="F77" s="13"/>
      <c r="G77" s="14">
        <v>1</v>
      </c>
      <c r="H77" s="13"/>
      <c r="I77" s="13"/>
      <c r="J77" s="13"/>
      <c r="K77" s="13"/>
      <c r="L77" s="13"/>
      <c r="M77" s="13"/>
      <c r="N77" s="13"/>
      <c r="O77" s="13"/>
      <c r="P77" s="13"/>
      <c r="Q77" s="13"/>
      <c r="R77" s="16">
        <f>IF($AY77="Conflict","",IF(COUNT(H77:Q77)=10,SUM(H77:Q77),IF(ISNUMBER($AU77),$AU77,"")))</f>
        <v>17</v>
      </c>
      <c r="S77" s="16">
        <f>IF(ISNUMBER(R77),R77/30*100,"")</f>
        <v>56.666666666666664</v>
      </c>
      <c r="T77" s="16">
        <f>IF($AY77="Conflict","",IF(COUNT(H77:J77,L77)=4,SUM(H77:J77,L77),""))</f>
        <v/>
      </c>
      <c r="U77" s="16">
        <f>IF($AY77="Conflict","",IF(COUNT(K77,M77:O77)=4,SUM(K77,M77:O77),""))</f>
        <v/>
      </c>
      <c r="V77" s="16">
        <f>IF($AY77="Conflict","",IF(COUNT(P77:Q77)=2,SUM(P77:Q77),""))</f>
        <v/>
      </c>
      <c r="W77" s="15" t="s">
        <v>32</v>
      </c>
      <c r="X77" s="13"/>
      <c r="Y77" s="13"/>
      <c r="Z77" s="13"/>
      <c r="AA77" s="14">
        <v>0</v>
      </c>
      <c r="AB77" s="13"/>
      <c r="AC77" s="13"/>
      <c r="AD77" s="13"/>
      <c r="AE77" s="17">
        <v>152913</v>
      </c>
      <c r="AF77" s="17">
        <v>131971.8</v>
      </c>
      <c r="AG77" s="17">
        <v>14500.2</v>
      </c>
      <c r="AH77" s="18">
        <f>IF(AND(ISNUMBER(AG77),ISNUMBER(AF77),AF77&gt;0),AG77/AF77,"")</f>
        <v>0.10987347296922526</v>
      </c>
      <c r="AI77" s="17">
        <v>0</v>
      </c>
      <c r="AJ77" s="17">
        <v>194.2</v>
      </c>
      <c r="AK77" s="18">
        <f>IF(ISNUMBER(Financial_Panel!L105),Financial_Panel!L105,"")</f>
        <v>11.734138972809667</v>
      </c>
      <c r="AL77" s="17">
        <v>10640.6</v>
      </c>
      <c r="AM77" s="13"/>
      <c r="AN77" s="12" t="s">
        <v>431</v>
      </c>
      <c r="AO77" s="15" t="s">
        <v>32</v>
      </c>
      <c r="AP77" s="12" t="s">
        <v>462</v>
      </c>
      <c r="AQ77" s="12" t="s">
        <v>463</v>
      </c>
      <c r="AR77" s="19">
        <v>46318</v>
      </c>
      <c r="AS77" s="15" t="s">
        <v>464</v>
      </c>
      <c r="AT77" s="15" t="s">
        <v>465</v>
      </c>
      <c r="AU77" s="14">
        <v>17</v>
      </c>
      <c r="AV77" s="12" t="s">
        <v>309</v>
      </c>
      <c r="AW77" s="15" t="s">
        <v>42</v>
      </c>
      <c r="AX77" s="15" t="s">
        <v>148</v>
      </c>
      <c r="AY77" s="15" t="s">
        <v>310</v>
      </c>
      <c r="AZ77" s="12" t="s">
        <v>216</v>
      </c>
    </row>
    <row r="78" spans="1:52" ht="30" customHeight="1">
      <c r="A78" s="12" t="s">
        <v>466</v>
      </c>
      <c r="B78" s="12" t="s">
        <v>430</v>
      </c>
      <c r="C78" s="13"/>
      <c r="D78" s="14">
        <v>1</v>
      </c>
      <c r="E78" s="15" t="s">
        <v>30</v>
      </c>
      <c r="F78" s="13"/>
      <c r="G78" s="14">
        <v>1</v>
      </c>
      <c r="H78" s="13"/>
      <c r="I78" s="13"/>
      <c r="J78" s="13"/>
      <c r="K78" s="13"/>
      <c r="L78" s="13"/>
      <c r="M78" s="13"/>
      <c r="N78" s="13"/>
      <c r="O78" s="13"/>
      <c r="P78" s="13"/>
      <c r="Q78" s="13"/>
      <c r="R78" s="16">
        <f>IF($AY78="Conflict","",IF(COUNT(H78:Q78)=10,SUM(H78:Q78),IF(ISNUMBER($AU78),$AU78,"")))</f>
        <v>21</v>
      </c>
      <c r="S78" s="16">
        <f>IF(ISNUMBER(R78),R78/30*100,"")</f>
        <v>70.0</v>
      </c>
      <c r="T78" s="16">
        <f>IF($AY78="Conflict","",IF(COUNT(H78:J78,L78)=4,SUM(H78:J78,L78),""))</f>
        <v/>
      </c>
      <c r="U78" s="16">
        <f>IF($AY78="Conflict","",IF(COUNT(K78,M78:O78)=4,SUM(K78,M78:O78),""))</f>
        <v/>
      </c>
      <c r="V78" s="16">
        <f>IF($AY78="Conflict","",IF(COUNT(P78:Q78)=2,SUM(P78:Q78),""))</f>
        <v/>
      </c>
      <c r="W78" s="15" t="s">
        <v>32</v>
      </c>
      <c r="X78" s="13"/>
      <c r="Y78" s="13"/>
      <c r="Z78" s="13"/>
      <c r="AA78" s="14">
        <v>0</v>
      </c>
      <c r="AB78" s="13"/>
      <c r="AC78" s="13"/>
      <c r="AD78" s="13"/>
      <c r="AE78" s="17">
        <v>439695</v>
      </c>
      <c r="AF78" s="17">
        <v>378642</v>
      </c>
      <c r="AG78" s="17">
        <v>28149</v>
      </c>
      <c r="AH78" s="18">
        <f>IF(AND(ISNUMBER(AG78),ISNUMBER(AF78),AF78&gt;0),AG78/AF78,"")</f>
        <v>0.07434199058741503</v>
      </c>
      <c r="AI78" s="17">
        <v>62499</v>
      </c>
      <c r="AJ78" s="17">
        <v>5083</v>
      </c>
      <c r="AK78" s="18">
        <f>IF(ISNUMBER(Financial_Panel!L106),Financial_Panel!L106,"")</f>
        <v>0.06314285714285714</v>
      </c>
      <c r="AL78" s="17">
        <v>38042</v>
      </c>
      <c r="AM78" s="13"/>
      <c r="AN78" s="12" t="s">
        <v>431</v>
      </c>
      <c r="AO78" s="15" t="s">
        <v>32</v>
      </c>
      <c r="AP78" s="12" t="s">
        <v>467</v>
      </c>
      <c r="AQ78" s="12" t="s">
        <v>468</v>
      </c>
      <c r="AR78" s="19">
        <v>46318</v>
      </c>
      <c r="AS78" s="15" t="s">
        <v>469</v>
      </c>
      <c r="AT78" s="15" t="s">
        <v>470</v>
      </c>
      <c r="AU78" s="14">
        <v>21</v>
      </c>
      <c r="AV78" s="12" t="s">
        <v>309</v>
      </c>
      <c r="AW78" s="15" t="s">
        <v>42</v>
      </c>
      <c r="AX78" s="15" t="s">
        <v>148</v>
      </c>
      <c r="AY78" s="15" t="s">
        <v>310</v>
      </c>
      <c r="AZ78" s="12" t="s">
        <v>471</v>
      </c>
    </row>
    <row r="79" spans="1:52" ht="30" customHeight="1">
      <c r="A79" s="12" t="s">
        <v>472</v>
      </c>
      <c r="B79" s="12" t="s">
        <v>430</v>
      </c>
      <c r="C79" s="13"/>
      <c r="D79" s="14">
        <v>1</v>
      </c>
      <c r="E79" s="15" t="s">
        <v>30</v>
      </c>
      <c r="F79" s="13"/>
      <c r="G79" s="14">
        <v>1</v>
      </c>
      <c r="H79" s="13"/>
      <c r="I79" s="13"/>
      <c r="J79" s="13"/>
      <c r="K79" s="13"/>
      <c r="L79" s="13"/>
      <c r="M79" s="13"/>
      <c r="N79" s="13"/>
      <c r="O79" s="13"/>
      <c r="P79" s="13"/>
      <c r="Q79" s="13"/>
      <c r="R79" s="16">
        <f>IF($AY79="Conflict","",IF(COUNT(H79:Q79)=10,SUM(H79:Q79),IF(ISNUMBER($AU79),$AU79,"")))</f>
        <v>14</v>
      </c>
      <c r="S79" s="16">
        <f>IF(ISNUMBER(R79),R79/30*100,"")</f>
        <v>46.666666666666664</v>
      </c>
      <c r="T79" s="16">
        <f>IF($AY79="Conflict","",IF(COUNT(H79:J79,L79)=4,SUM(H79:J79,L79),""))</f>
        <v/>
      </c>
      <c r="U79" s="16">
        <f>IF($AY79="Conflict","",IF(COUNT(K79,M79:O79)=4,SUM(K79,M79:O79),""))</f>
        <v/>
      </c>
      <c r="V79" s="16">
        <f>IF($AY79="Conflict","",IF(COUNT(P79:Q79)=2,SUM(P79:Q79),""))</f>
        <v/>
      </c>
      <c r="W79" s="15" t="s">
        <v>32</v>
      </c>
      <c r="X79" s="13"/>
      <c r="Y79" s="13"/>
      <c r="Z79" s="13"/>
      <c r="AA79" s="14">
        <v>0</v>
      </c>
      <c r="AB79" s="13"/>
      <c r="AC79" s="13"/>
      <c r="AD79" s="13"/>
      <c r="AE79" s="17">
        <v>4491.776</v>
      </c>
      <c r="AF79" s="17">
        <v>2779.649</v>
      </c>
      <c r="AG79" s="17">
        <v>416.011</v>
      </c>
      <c r="AH79" s="18">
        <f>IF(AND(ISNUMBER(AG79),ISNUMBER(AF79),AF79&gt;0),AG79/AF79,"")</f>
        <v>0.14966314092174948</v>
      </c>
      <c r="AI79" s="17">
        <v>155.249</v>
      </c>
      <c r="AJ79" s="17">
        <v>20.156</v>
      </c>
      <c r="AK79" s="18">
        <f>IF(ISNUMBER(Financial_Panel!L107),Financial_Panel!L107,"")</f>
        <v>0.13191790146080945</v>
      </c>
      <c r="AL79" s="17">
        <v>354.031</v>
      </c>
      <c r="AM79" s="13"/>
      <c r="AN79" s="12" t="s">
        <v>431</v>
      </c>
      <c r="AO79" s="15" t="s">
        <v>32</v>
      </c>
      <c r="AP79" s="12" t="s">
        <v>473</v>
      </c>
      <c r="AQ79" s="12" t="s">
        <v>474</v>
      </c>
      <c r="AR79" s="19">
        <v>46319</v>
      </c>
      <c r="AS79" s="15" t="s">
        <v>475</v>
      </c>
      <c r="AT79" s="15" t="s">
        <v>476</v>
      </c>
      <c r="AU79" s="14">
        <v>14</v>
      </c>
      <c r="AV79" s="12" t="s">
        <v>309</v>
      </c>
      <c r="AW79" s="15" t="s">
        <v>42</v>
      </c>
      <c r="AX79" s="15" t="s">
        <v>148</v>
      </c>
      <c r="AY79" s="15" t="s">
        <v>310</v>
      </c>
      <c r="AZ79" s="12" t="s">
        <v>216</v>
      </c>
    </row>
    <row r="80" spans="1:52" ht="30" customHeight="1">
      <c r="A80" s="12" t="s">
        <v>477</v>
      </c>
      <c r="B80" s="12" t="s">
        <v>430</v>
      </c>
      <c r="C80" s="13"/>
      <c r="D80" s="14">
        <v>1</v>
      </c>
      <c r="E80" s="15" t="s">
        <v>30</v>
      </c>
      <c r="F80" s="13"/>
      <c r="G80" s="14">
        <v>1</v>
      </c>
      <c r="H80" s="13"/>
      <c r="I80" s="13"/>
      <c r="J80" s="13"/>
      <c r="K80" s="13"/>
      <c r="L80" s="13"/>
      <c r="M80" s="13"/>
      <c r="N80" s="13"/>
      <c r="O80" s="13"/>
      <c r="P80" s="13"/>
      <c r="Q80" s="13"/>
      <c r="R80" s="16">
        <f>IF($AY80="Conflict","",IF(COUNT(H80:Q80)=10,SUM(H80:Q80),IF(ISNUMBER($AU80),$AU80,"")))</f>
        <v>10</v>
      </c>
      <c r="S80" s="16">
        <f>IF(ISNUMBER(R80),R80/30*100,"")</f>
        <v>33.33333333333333</v>
      </c>
      <c r="T80" s="16">
        <f>IF($AY80="Conflict","",IF(COUNT(H80:J80,L80)=4,SUM(H80:J80,L80),""))</f>
        <v/>
      </c>
      <c r="U80" s="16">
        <f>IF($AY80="Conflict","",IF(COUNT(K80,M80:O80)=4,SUM(K80,M80:O80),""))</f>
        <v/>
      </c>
      <c r="V80" s="16">
        <f>IF($AY80="Conflict","",IF(COUNT(P80:Q80)=2,SUM(P80:Q80),""))</f>
        <v/>
      </c>
      <c r="W80" s="15" t="s">
        <v>32</v>
      </c>
      <c r="X80" s="13"/>
      <c r="Y80" s="13"/>
      <c r="Z80" s="13"/>
      <c r="AA80" s="14">
        <v>0</v>
      </c>
      <c r="AB80" s="13"/>
      <c r="AC80" s="13"/>
      <c r="AD80" s="13"/>
      <c r="AE80" s="17">
        <v>3160.948</v>
      </c>
      <c r="AF80" s="17">
        <v>2585.68</v>
      </c>
      <c r="AG80" s="17">
        <v>182.9329</v>
      </c>
      <c r="AH80" s="18">
        <f>IF(AND(ISNUMBER(AG80),ISNUMBER(AF80),AF80&gt;0),AG80/AF80,"")</f>
        <v>0.07074846848797996</v>
      </c>
      <c r="AI80" s="17">
        <v>447.1176</v>
      </c>
      <c r="AJ80" s="17">
        <v>94.83750000000001</v>
      </c>
      <c r="AK80" s="18">
        <f>IF(ISNUMBER(Financial_Panel!L108),Financial_Panel!L108,"")</f>
        <v>0.2611176869495259</v>
      </c>
      <c r="AL80" s="17">
        <v>448.857</v>
      </c>
      <c r="AM80" s="13"/>
      <c r="AN80" s="12" t="s">
        <v>431</v>
      </c>
      <c r="AO80" s="15" t="s">
        <v>32</v>
      </c>
      <c r="AP80" s="12" t="s">
        <v>478</v>
      </c>
      <c r="AQ80" s="12" t="s">
        <v>479</v>
      </c>
      <c r="AR80" s="19">
        <v>46318</v>
      </c>
      <c r="AS80" s="15" t="s">
        <v>480</v>
      </c>
      <c r="AT80" s="15" t="s">
        <v>481</v>
      </c>
      <c r="AU80" s="14">
        <v>10</v>
      </c>
      <c r="AV80" s="12" t="s">
        <v>309</v>
      </c>
      <c r="AW80" s="15" t="s">
        <v>42</v>
      </c>
      <c r="AX80" s="15" t="s">
        <v>148</v>
      </c>
      <c r="AY80" s="15" t="s">
        <v>310</v>
      </c>
      <c r="AZ80" s="12" t="s">
        <v>482</v>
      </c>
    </row>
    <row r="81" spans="1:52" ht="30" customHeight="1">
      <c r="A81" s="12" t="s">
        <v>483</v>
      </c>
      <c r="B81" s="12" t="s">
        <v>484</v>
      </c>
      <c r="C81" s="13"/>
      <c r="D81" s="13"/>
      <c r="E81" s="13"/>
      <c r="F81" s="12" t="s">
        <v>485</v>
      </c>
      <c r="G81" s="13"/>
      <c r="H81" s="14">
        <v>3</v>
      </c>
      <c r="I81" s="14">
        <v>3</v>
      </c>
      <c r="J81" s="14">
        <v>3</v>
      </c>
      <c r="K81" s="14">
        <v>3</v>
      </c>
      <c r="L81" s="14">
        <v>3</v>
      </c>
      <c r="M81" s="14">
        <v>3</v>
      </c>
      <c r="N81" s="14">
        <v>3</v>
      </c>
      <c r="O81" s="14">
        <v>3</v>
      </c>
      <c r="P81" s="14">
        <v>3</v>
      </c>
      <c r="Q81" s="14">
        <v>3</v>
      </c>
      <c r="R81" s="16">
        <f>IF($AY81="Conflict","",IF(COUNT(H81:Q81)=10,SUM(H81:Q81),IF(ISNUMBER($AU81),$AU81,"")))</f>
        <v>30</v>
      </c>
      <c r="S81" s="16">
        <f>IF(ISNUMBER(R81),R81/30*100,"")</f>
        <v>100.0</v>
      </c>
      <c r="T81" s="16">
        <f>IF($AY81="Conflict","",IF(COUNT(H81:J81,L81)=4,SUM(H81:J81,L81),""))</f>
        <v>12</v>
      </c>
      <c r="U81" s="16">
        <f>IF($AY81="Conflict","",IF(COUNT(K81,M81:O81)=4,SUM(K81,M81:O81),""))</f>
        <v>12</v>
      </c>
      <c r="V81" s="16">
        <f>IF($AY81="Conflict","",IF(COUNT(P81:Q81)=2,SUM(P81:Q81),""))</f>
        <v>6</v>
      </c>
      <c r="W81" s="13"/>
      <c r="X81" s="13"/>
      <c r="Y81" s="13"/>
      <c r="Z81" s="13"/>
      <c r="AA81" s="14">
        <v>0</v>
      </c>
      <c r="AB81" s="13"/>
      <c r="AC81" s="13"/>
      <c r="AD81" s="13"/>
      <c r="AE81" s="13"/>
      <c r="AF81" s="13"/>
      <c r="AG81" s="13"/>
      <c r="AH81" s="18">
        <f>IF(AND(ISNUMBER(AG81),ISNUMBER(AF81),AF81&gt;0),AG81/AF81,"")</f>
        <v/>
      </c>
      <c r="AI81" s="13"/>
      <c r="AJ81" s="13"/>
      <c r="AK81" s="13"/>
      <c r="AL81" s="13"/>
      <c r="AM81" s="13"/>
      <c r="AN81" s="12" t="s">
        <v>486</v>
      </c>
      <c r="AO81" s="13"/>
      <c r="AP81" s="12" t="s">
        <v>487</v>
      </c>
      <c r="AQ81" s="13"/>
      <c r="AR81" s="13"/>
      <c r="AS81" s="15" t="s">
        <v>488</v>
      </c>
      <c r="AT81" s="15" t="s">
        <v>489</v>
      </c>
      <c r="AU81" s="14">
        <v>30</v>
      </c>
      <c r="AV81" s="12" t="s">
        <v>147</v>
      </c>
      <c r="AW81" s="15" t="s">
        <v>157</v>
      </c>
      <c r="AX81" s="15" t="s">
        <v>148</v>
      </c>
      <c r="AY81" s="15" t="s">
        <v>149</v>
      </c>
      <c r="AZ81" s="13"/>
    </row>
    <row r="82" spans="1:52" ht="30" customHeight="1">
      <c r="A82" s="12" t="s">
        <v>490</v>
      </c>
      <c r="B82" s="12" t="s">
        <v>484</v>
      </c>
      <c r="C82" s="13"/>
      <c r="D82" s="13"/>
      <c r="E82" s="13"/>
      <c r="F82" s="12" t="s">
        <v>485</v>
      </c>
      <c r="G82" s="13"/>
      <c r="H82" s="14">
        <v>3</v>
      </c>
      <c r="I82" s="14">
        <v>3</v>
      </c>
      <c r="J82" s="14">
        <v>3</v>
      </c>
      <c r="K82" s="14">
        <v>3</v>
      </c>
      <c r="L82" s="14">
        <v>3</v>
      </c>
      <c r="M82" s="14">
        <v>3</v>
      </c>
      <c r="N82" s="14">
        <v>3</v>
      </c>
      <c r="O82" s="14">
        <v>3</v>
      </c>
      <c r="P82" s="14">
        <v>3</v>
      </c>
      <c r="Q82" s="14">
        <v>3</v>
      </c>
      <c r="R82" s="16">
        <f>IF($AY82="Conflict","",IF(COUNT(H82:Q82)=10,SUM(H82:Q82),IF(ISNUMBER($AU82),$AU82,"")))</f>
        <v>30</v>
      </c>
      <c r="S82" s="16">
        <f>IF(ISNUMBER(R82),R82/30*100,"")</f>
        <v>100.0</v>
      </c>
      <c r="T82" s="16">
        <f>IF($AY82="Conflict","",IF(COUNT(H82:J82,L82)=4,SUM(H82:J82,L82),""))</f>
        <v>12</v>
      </c>
      <c r="U82" s="16">
        <f>IF($AY82="Conflict","",IF(COUNT(K82,M82:O82)=4,SUM(K82,M82:O82),""))</f>
        <v>12</v>
      </c>
      <c r="V82" s="16">
        <f>IF($AY82="Conflict","",IF(COUNT(P82:Q82)=2,SUM(P82:Q82),""))</f>
        <v>6</v>
      </c>
      <c r="W82" s="13"/>
      <c r="X82" s="13"/>
      <c r="Y82" s="13"/>
      <c r="Z82" s="13"/>
      <c r="AA82" s="14">
        <v>0</v>
      </c>
      <c r="AB82" s="13"/>
      <c r="AC82" s="13"/>
      <c r="AD82" s="13"/>
      <c r="AE82" s="13"/>
      <c r="AF82" s="13"/>
      <c r="AG82" s="13"/>
      <c r="AH82" s="18">
        <f>IF(AND(ISNUMBER(AG82),ISNUMBER(AF82),AF82&gt;0),AG82/AF82,"")</f>
        <v/>
      </c>
      <c r="AI82" s="13"/>
      <c r="AJ82" s="13"/>
      <c r="AK82" s="13"/>
      <c r="AL82" s="13"/>
      <c r="AM82" s="13"/>
      <c r="AN82" s="12" t="s">
        <v>491</v>
      </c>
      <c r="AO82" s="13"/>
      <c r="AP82" s="12" t="s">
        <v>487</v>
      </c>
      <c r="AQ82" s="12" t="s">
        <v>492</v>
      </c>
      <c r="AR82" s="13"/>
      <c r="AS82" s="15" t="s">
        <v>493</v>
      </c>
      <c r="AT82" s="15" t="s">
        <v>494</v>
      </c>
      <c r="AU82" s="14">
        <v>30</v>
      </c>
      <c r="AV82" s="12" t="s">
        <v>147</v>
      </c>
      <c r="AW82" s="15" t="s">
        <v>157</v>
      </c>
      <c r="AX82" s="15" t="s">
        <v>148</v>
      </c>
      <c r="AY82" s="15" t="s">
        <v>149</v>
      </c>
      <c r="AZ82" s="13"/>
    </row>
    <row r="83" spans="1:52" ht="30" customHeight="1">
      <c r="A83" s="12" t="s">
        <v>495</v>
      </c>
      <c r="B83" s="12" t="s">
        <v>484</v>
      </c>
      <c r="C83" s="13"/>
      <c r="D83" s="13"/>
      <c r="E83" s="13"/>
      <c r="F83" s="12" t="s">
        <v>485</v>
      </c>
      <c r="G83" s="13"/>
      <c r="H83" s="14">
        <v>3</v>
      </c>
      <c r="I83" s="14">
        <v>3</v>
      </c>
      <c r="J83" s="14">
        <v>3</v>
      </c>
      <c r="K83" s="14">
        <v>3</v>
      </c>
      <c r="L83" s="14">
        <v>3</v>
      </c>
      <c r="M83" s="14">
        <v>3</v>
      </c>
      <c r="N83" s="14">
        <v>3</v>
      </c>
      <c r="O83" s="14">
        <v>3</v>
      </c>
      <c r="P83" s="14">
        <v>3</v>
      </c>
      <c r="Q83" s="14">
        <v>3</v>
      </c>
      <c r="R83" s="16">
        <f>IF($AY83="Conflict","",IF(COUNT(H83:Q83)=10,SUM(H83:Q83),IF(ISNUMBER($AU83),$AU83,"")))</f>
        <v>30</v>
      </c>
      <c r="S83" s="16">
        <f>IF(ISNUMBER(R83),R83/30*100,"")</f>
        <v>100.0</v>
      </c>
      <c r="T83" s="16">
        <f>IF($AY83="Conflict","",IF(COUNT(H83:J83,L83)=4,SUM(H83:J83,L83),""))</f>
        <v>12</v>
      </c>
      <c r="U83" s="16">
        <f>IF($AY83="Conflict","",IF(COUNT(K83,M83:O83)=4,SUM(K83,M83:O83),""))</f>
        <v>12</v>
      </c>
      <c r="V83" s="16">
        <f>IF($AY83="Conflict","",IF(COUNT(P83:Q83)=2,SUM(P83:Q83),""))</f>
        <v>6</v>
      </c>
      <c r="W83" s="13"/>
      <c r="X83" s="13"/>
      <c r="Y83" s="13"/>
      <c r="Z83" s="13"/>
      <c r="AA83" s="14">
        <v>0</v>
      </c>
      <c r="AB83" s="13"/>
      <c r="AC83" s="13"/>
      <c r="AD83" s="13"/>
      <c r="AE83" s="13"/>
      <c r="AF83" s="13"/>
      <c r="AG83" s="13"/>
      <c r="AH83" s="18">
        <f>IF(AND(ISNUMBER(AG83),ISNUMBER(AF83),AF83&gt;0),AG83/AF83,"")</f>
        <v/>
      </c>
      <c r="AI83" s="13"/>
      <c r="AJ83" s="13"/>
      <c r="AK83" s="13"/>
      <c r="AL83" s="13"/>
      <c r="AM83" s="13"/>
      <c r="AN83" s="12" t="s">
        <v>496</v>
      </c>
      <c r="AO83" s="13"/>
      <c r="AP83" s="12" t="s">
        <v>487</v>
      </c>
      <c r="AQ83" s="12" t="s">
        <v>497</v>
      </c>
      <c r="AR83" s="13"/>
      <c r="AS83" s="15" t="s">
        <v>498</v>
      </c>
      <c r="AT83" s="15" t="s">
        <v>499</v>
      </c>
      <c r="AU83" s="14">
        <v>30</v>
      </c>
      <c r="AV83" s="12" t="s">
        <v>147</v>
      </c>
      <c r="AW83" s="15" t="s">
        <v>157</v>
      </c>
      <c r="AX83" s="15" t="s">
        <v>148</v>
      </c>
      <c r="AY83" s="15" t="s">
        <v>149</v>
      </c>
      <c r="AZ83" s="13"/>
    </row>
    <row r="84" spans="1:52" ht="30" customHeight="1">
      <c r="A84" s="12" t="s">
        <v>500</v>
      </c>
      <c r="B84" s="12" t="s">
        <v>484</v>
      </c>
      <c r="C84" s="13"/>
      <c r="D84" s="14">
        <v>1</v>
      </c>
      <c r="E84" s="15" t="s">
        <v>30</v>
      </c>
      <c r="F84" s="13"/>
      <c r="G84" s="14">
        <v>1</v>
      </c>
      <c r="H84" s="14">
        <v>3</v>
      </c>
      <c r="I84" s="14">
        <v>3</v>
      </c>
      <c r="J84" s="14">
        <v>3</v>
      </c>
      <c r="K84" s="14">
        <v>3</v>
      </c>
      <c r="L84" s="14">
        <v>3</v>
      </c>
      <c r="M84" s="14">
        <v>3</v>
      </c>
      <c r="N84" s="14">
        <v>0</v>
      </c>
      <c r="O84" s="14">
        <v>3</v>
      </c>
      <c r="P84" s="14">
        <v>3</v>
      </c>
      <c r="Q84" s="14">
        <v>3</v>
      </c>
      <c r="R84" s="16">
        <f>IF($AY84="Conflict","",IF(COUNT(H84:Q84)=10,SUM(H84:Q84),IF(ISNUMBER($AU84),$AU84,"")))</f>
        <v>27</v>
      </c>
      <c r="S84" s="16">
        <f>IF(ISNUMBER(R84),R84/30*100,"")</f>
        <v>90.0</v>
      </c>
      <c r="T84" s="16">
        <f>IF($AY84="Conflict","",IF(COUNT(H84:J84,L84)=4,SUM(H84:J84,L84),""))</f>
        <v>12</v>
      </c>
      <c r="U84" s="16">
        <f>IF($AY84="Conflict","",IF(COUNT(K84,M84:O84)=4,SUM(K84,M84:O84),""))</f>
        <v>9</v>
      </c>
      <c r="V84" s="16">
        <f>IF($AY84="Conflict","",IF(COUNT(P84:Q84)=2,SUM(P84:Q84),""))</f>
        <v>6</v>
      </c>
      <c r="W84" s="15" t="s">
        <v>54</v>
      </c>
      <c r="X84" s="13"/>
      <c r="Y84" s="13"/>
      <c r="Z84" s="13"/>
      <c r="AA84" s="14">
        <v>0</v>
      </c>
      <c r="AB84" s="13"/>
      <c r="AC84" s="13"/>
      <c r="AD84" s="13"/>
      <c r="AE84" s="17">
        <v>10232.68</v>
      </c>
      <c r="AF84" s="17">
        <v>6170.19</v>
      </c>
      <c r="AG84" s="17">
        <v>445.18</v>
      </c>
      <c r="AH84" s="18">
        <f>IF(AND(ISNUMBER(AG84),ISNUMBER(AF84),AF84&gt;0),AG84/AF84,"")</f>
        <v>0.07215012827805951</v>
      </c>
      <c r="AI84" s="17">
        <v>1468.43</v>
      </c>
      <c r="AJ84" s="17">
        <v>138.27</v>
      </c>
      <c r="AK84" s="18">
        <f>IF(ISNUMBER(Financial_Panel!L7),Financial_Panel!L7,"")</f>
        <v>0.1005782869612657</v>
      </c>
      <c r="AL84" s="17">
        <v>296.68</v>
      </c>
      <c r="AM84" s="13"/>
      <c r="AN84" s="12" t="s">
        <v>501</v>
      </c>
      <c r="AO84" s="15" t="s">
        <v>54</v>
      </c>
      <c r="AP84" s="12" t="s">
        <v>502</v>
      </c>
      <c r="AQ84" s="12" t="s">
        <v>503</v>
      </c>
      <c r="AR84" s="19">
        <v>46318</v>
      </c>
      <c r="AS84" s="15" t="s">
        <v>504</v>
      </c>
      <c r="AT84" s="15" t="s">
        <v>505</v>
      </c>
      <c r="AU84" s="14">
        <v>27</v>
      </c>
      <c r="AV84" s="12" t="s">
        <v>147</v>
      </c>
      <c r="AW84" s="15" t="s">
        <v>42</v>
      </c>
      <c r="AX84" s="15" t="s">
        <v>148</v>
      </c>
      <c r="AY84" s="15" t="s">
        <v>149</v>
      </c>
      <c r="AZ84" s="12" t="s">
        <v>177</v>
      </c>
    </row>
    <row r="85" spans="1:52" ht="30" customHeight="1">
      <c r="A85" s="12" t="s">
        <v>506</v>
      </c>
      <c r="B85" s="12" t="s">
        <v>484</v>
      </c>
      <c r="C85" s="13"/>
      <c r="D85" s="14">
        <v>1</v>
      </c>
      <c r="E85" s="15" t="s">
        <v>30</v>
      </c>
      <c r="F85" s="13"/>
      <c r="G85" s="14">
        <v>1</v>
      </c>
      <c r="H85" s="14">
        <v>3</v>
      </c>
      <c r="I85" s="14">
        <v>3</v>
      </c>
      <c r="J85" s="14">
        <v>3</v>
      </c>
      <c r="K85" s="14">
        <v>3</v>
      </c>
      <c r="L85" s="14">
        <v>3</v>
      </c>
      <c r="M85" s="14">
        <v>3</v>
      </c>
      <c r="N85" s="14">
        <v>2</v>
      </c>
      <c r="O85" s="14">
        <v>3</v>
      </c>
      <c r="P85" s="14">
        <v>3</v>
      </c>
      <c r="Q85" s="14">
        <v>3</v>
      </c>
      <c r="R85" s="16">
        <f>IF($AY85="Conflict","",IF(COUNT(H85:Q85)=10,SUM(H85:Q85),IF(ISNUMBER($AU85),$AU85,"")))</f>
        <v>29</v>
      </c>
      <c r="S85" s="16">
        <f>IF(ISNUMBER(R85),R85/30*100,"")</f>
        <v>96.66666666666667</v>
      </c>
      <c r="T85" s="16">
        <f>IF($AY85="Conflict","",IF(COUNT(H85:J85,L85)=4,SUM(H85:J85,L85),""))</f>
        <v>12</v>
      </c>
      <c r="U85" s="16">
        <f>IF($AY85="Conflict","",IF(COUNT(K85,M85:O85)=4,SUM(K85,M85:O85),""))</f>
        <v>11</v>
      </c>
      <c r="V85" s="16">
        <f>IF($AY85="Conflict","",IF(COUNT(P85:Q85)=2,SUM(P85:Q85),""))</f>
        <v>6</v>
      </c>
      <c r="W85" s="13"/>
      <c r="X85" s="13"/>
      <c r="Y85" s="13"/>
      <c r="Z85" s="13"/>
      <c r="AA85" s="14">
        <v>0</v>
      </c>
      <c r="AB85" s="13"/>
      <c r="AC85" s="13"/>
      <c r="AD85" s="13"/>
      <c r="AE85" s="17">
        <v>81612.78</v>
      </c>
      <c r="AF85" s="17">
        <v>88090.67999999999</v>
      </c>
      <c r="AG85" s="17">
        <v>35052.48</v>
      </c>
      <c r="AH85" s="18">
        <f>IF(AND(ISNUMBER(AG85),ISNUMBER(AF85),AF85&gt;0),AG85/AF85,"")</f>
        <v>0.39791360448120056</v>
      </c>
      <c r="AI85" s="17">
        <v>91.26000000000001</v>
      </c>
      <c r="AJ85" s="17">
        <v>45.06</v>
      </c>
      <c r="AK85" s="18">
        <f>IF(ISNUMBER(Financial_Panel!L8),Financial_Panel!L8,"")</f>
        <v>0.8788765359859567</v>
      </c>
      <c r="AL85" s="17">
        <v>2278.7</v>
      </c>
      <c r="AM85" s="13"/>
      <c r="AN85" s="12" t="s">
        <v>507</v>
      </c>
      <c r="AO85" s="15" t="s">
        <v>32</v>
      </c>
      <c r="AP85" s="12" t="s">
        <v>508</v>
      </c>
      <c r="AQ85" s="12" t="s">
        <v>509</v>
      </c>
      <c r="AR85" s="19">
        <v>46318</v>
      </c>
      <c r="AS85" s="15" t="s">
        <v>510</v>
      </c>
      <c r="AT85" s="15" t="s">
        <v>511</v>
      </c>
      <c r="AU85" s="14">
        <v>29</v>
      </c>
      <c r="AV85" s="12" t="s">
        <v>147</v>
      </c>
      <c r="AW85" s="15" t="s">
        <v>79</v>
      </c>
      <c r="AX85" s="15" t="s">
        <v>148</v>
      </c>
      <c r="AY85" s="15" t="s">
        <v>149</v>
      </c>
      <c r="AZ85" s="12" t="s">
        <v>177</v>
      </c>
    </row>
    <row r="86" spans="1:52" ht="30" customHeight="1">
      <c r="A86" s="12" t="s">
        <v>512</v>
      </c>
      <c r="B86" s="12" t="s">
        <v>484</v>
      </c>
      <c r="C86" s="13"/>
      <c r="D86" s="14">
        <v>1</v>
      </c>
      <c r="E86" s="15" t="s">
        <v>30</v>
      </c>
      <c r="F86" s="13"/>
      <c r="G86" s="14">
        <v>1</v>
      </c>
      <c r="H86" s="14">
        <v>3</v>
      </c>
      <c r="I86" s="14">
        <v>3</v>
      </c>
      <c r="J86" s="14">
        <v>3</v>
      </c>
      <c r="K86" s="14">
        <v>3</v>
      </c>
      <c r="L86" s="14">
        <v>3</v>
      </c>
      <c r="M86" s="14">
        <v>3</v>
      </c>
      <c r="N86" s="14">
        <v>1</v>
      </c>
      <c r="O86" s="14">
        <v>3</v>
      </c>
      <c r="P86" s="14">
        <v>3</v>
      </c>
      <c r="Q86" s="14">
        <v>3</v>
      </c>
      <c r="R86" s="16">
        <f>IF($AY86="Conflict","",IF(COUNT(H86:Q86)=10,SUM(H86:Q86),IF(ISNUMBER($AU86),$AU86,"")))</f>
        <v>28</v>
      </c>
      <c r="S86" s="16">
        <f>IF(ISNUMBER(R86),R86/30*100,"")</f>
        <v>93.33333333333333</v>
      </c>
      <c r="T86" s="16">
        <f>IF($AY86="Conflict","",IF(COUNT(H86:J86,L86)=4,SUM(H86:J86,L86),""))</f>
        <v>12</v>
      </c>
      <c r="U86" s="16">
        <f>IF($AY86="Conflict","",IF(COUNT(K86,M86:O86)=4,SUM(K86,M86:O86),""))</f>
        <v>10</v>
      </c>
      <c r="V86" s="16">
        <f>IF($AY86="Conflict","",IF(COUNT(P86:Q86)=2,SUM(P86:Q86),""))</f>
        <v>6</v>
      </c>
      <c r="W86" s="13"/>
      <c r="X86" s="13"/>
      <c r="Y86" s="13"/>
      <c r="Z86" s="13"/>
      <c r="AA86" s="14">
        <v>0</v>
      </c>
      <c r="AB86" s="13"/>
      <c r="AC86" s="13"/>
      <c r="AD86" s="13"/>
      <c r="AE86" s="17">
        <v>10831</v>
      </c>
      <c r="AF86" s="17">
        <v>8338</v>
      </c>
      <c r="AG86" s="17">
        <v>1658</v>
      </c>
      <c r="AH86" s="18">
        <f>IF(AND(ISNUMBER(AG86),ISNUMBER(AF86),AF86&gt;0),AG86/AF86,"")</f>
        <v>0.198848644758935</v>
      </c>
      <c r="AI86" s="17">
        <v>379</v>
      </c>
      <c r="AJ86" s="17">
        <v>53</v>
      </c>
      <c r="AK86" s="18">
        <f>IF(ISNUMBER(Financial_Panel!L9),Financial_Panel!L9,"")</f>
        <v>0.13910761154855644</v>
      </c>
      <c r="AL86" s="17">
        <v>161</v>
      </c>
      <c r="AM86" s="13"/>
      <c r="AN86" s="12" t="s">
        <v>513</v>
      </c>
      <c r="AO86" s="15" t="s">
        <v>32</v>
      </c>
      <c r="AP86" s="12" t="s">
        <v>514</v>
      </c>
      <c r="AQ86" s="12" t="s">
        <v>515</v>
      </c>
      <c r="AR86" s="19">
        <v>46318</v>
      </c>
      <c r="AS86" s="15" t="s">
        <v>516</v>
      </c>
      <c r="AT86" s="15" t="s">
        <v>517</v>
      </c>
      <c r="AU86" s="14">
        <v>28</v>
      </c>
      <c r="AV86" s="12" t="s">
        <v>147</v>
      </c>
      <c r="AW86" s="15" t="s">
        <v>79</v>
      </c>
      <c r="AX86" s="15" t="s">
        <v>148</v>
      </c>
      <c r="AY86" s="15" t="s">
        <v>149</v>
      </c>
      <c r="AZ86" s="12" t="s">
        <v>177</v>
      </c>
    </row>
    <row r="87" spans="1:52" ht="30" customHeight="1">
      <c r="A87" s="12" t="s">
        <v>280</v>
      </c>
      <c r="B87" s="12" t="s">
        <v>484</v>
      </c>
      <c r="C87" s="13"/>
      <c r="D87" s="14">
        <v>1</v>
      </c>
      <c r="E87" s="15" t="s">
        <v>30</v>
      </c>
      <c r="F87" s="13"/>
      <c r="G87" s="14">
        <v>1</v>
      </c>
      <c r="H87" s="14">
        <v>3</v>
      </c>
      <c r="I87" s="14">
        <v>0</v>
      </c>
      <c r="J87" s="14">
        <v>3</v>
      </c>
      <c r="K87" s="14">
        <v>3</v>
      </c>
      <c r="L87" s="14">
        <v>3</v>
      </c>
      <c r="M87" s="14">
        <v>0</v>
      </c>
      <c r="N87" s="14">
        <v>0</v>
      </c>
      <c r="O87" s="14">
        <v>3</v>
      </c>
      <c r="P87" s="14">
        <v>1</v>
      </c>
      <c r="Q87" s="14">
        <v>3</v>
      </c>
      <c r="R87" s="16">
        <f>IF($AY87="Conflict","",IF(COUNT(H87:Q87)=10,SUM(H87:Q87),IF(ISNUMBER($AU87),$AU87,"")))</f>
        <v>19</v>
      </c>
      <c r="S87" s="16">
        <f>IF(ISNUMBER(R87),R87/30*100,"")</f>
        <v>63.33333333333333</v>
      </c>
      <c r="T87" s="16">
        <f>IF($AY87="Conflict","",IF(COUNT(H87:J87,L87)=4,SUM(H87:J87,L87),""))</f>
        <v>9</v>
      </c>
      <c r="U87" s="16">
        <f>IF($AY87="Conflict","",IF(COUNT(K87,M87:O87)=4,SUM(K87,M87:O87),""))</f>
        <v>6</v>
      </c>
      <c r="V87" s="16">
        <f>IF($AY87="Conflict","",IF(COUNT(P87:Q87)=2,SUM(P87:Q87),""))</f>
        <v>4</v>
      </c>
      <c r="W87" s="13"/>
      <c r="X87" s="13"/>
      <c r="Y87" s="13"/>
      <c r="Z87" s="13"/>
      <c r="AA87" s="13"/>
      <c r="AB87" s="13"/>
      <c r="AC87" s="13"/>
      <c r="AD87" s="13"/>
      <c r="AE87" s="17">
        <v>7977.8</v>
      </c>
      <c r="AF87" s="17">
        <v>12276.7</v>
      </c>
      <c r="AG87" s="17">
        <v>1660.2</v>
      </c>
      <c r="AH87" s="18">
        <f>IF(AND(ISNUMBER(AG87),ISNUMBER(AF87),AF87&gt;0),AG87/AF87,"")</f>
        <v>0.13523178052734042</v>
      </c>
      <c r="AI87" s="17">
        <v>111.7</v>
      </c>
      <c r="AJ87" s="17">
        <v>33</v>
      </c>
      <c r="AK87" s="18">
        <f>IF(ISNUMBER(Financial_Panel!L73),Financial_Panel!L73,"")</f>
        <v>0.2754590984974958</v>
      </c>
      <c r="AL87" s="17">
        <v>850</v>
      </c>
      <c r="AM87" s="13"/>
      <c r="AN87" s="12" t="s">
        <v>518</v>
      </c>
      <c r="AO87" s="15" t="s">
        <v>32</v>
      </c>
      <c r="AP87" s="12" t="s">
        <v>519</v>
      </c>
      <c r="AQ87" s="12" t="s">
        <v>283</v>
      </c>
      <c r="AR87" s="19">
        <v>46318</v>
      </c>
      <c r="AS87" s="15" t="s">
        <v>284</v>
      </c>
      <c r="AT87" s="15" t="s">
        <v>520</v>
      </c>
      <c r="AU87" s="14">
        <v>19</v>
      </c>
      <c r="AV87" s="12" t="s">
        <v>147</v>
      </c>
      <c r="AW87" s="15" t="s">
        <v>79</v>
      </c>
      <c r="AX87" s="15" t="s">
        <v>148</v>
      </c>
      <c r="AY87" s="15" t="s">
        <v>149</v>
      </c>
      <c r="AZ87" s="12" t="s">
        <v>177</v>
      </c>
    </row>
    <row r="88" spans="1:52" ht="30" customHeight="1">
      <c r="A88" s="12" t="s">
        <v>521</v>
      </c>
      <c r="B88" s="12" t="s">
        <v>484</v>
      </c>
      <c r="C88" s="13"/>
      <c r="D88" s="14">
        <v>1</v>
      </c>
      <c r="E88" s="15" t="s">
        <v>30</v>
      </c>
      <c r="F88" s="13"/>
      <c r="G88" s="13"/>
      <c r="H88" s="14">
        <v>3</v>
      </c>
      <c r="I88" s="14">
        <v>0</v>
      </c>
      <c r="J88" s="14">
        <v>3</v>
      </c>
      <c r="K88" s="14">
        <v>3</v>
      </c>
      <c r="L88" s="14">
        <v>3</v>
      </c>
      <c r="M88" s="14">
        <v>3</v>
      </c>
      <c r="N88" s="14">
        <v>3</v>
      </c>
      <c r="O88" s="14">
        <v>3</v>
      </c>
      <c r="P88" s="14">
        <v>3</v>
      </c>
      <c r="Q88" s="14">
        <v>3</v>
      </c>
      <c r="R88" s="16">
        <f>IF($AY88="Conflict","",IF(COUNT(H88:Q88)=10,SUM(H88:Q88),IF(ISNUMBER($AU88),$AU88,"")))</f>
        <v>27</v>
      </c>
      <c r="S88" s="16">
        <f>IF(ISNUMBER(R88),R88/30*100,"")</f>
        <v>90.0</v>
      </c>
      <c r="T88" s="16">
        <f>IF($AY88="Conflict","",IF(COUNT(H88:J88,L88)=4,SUM(H88:J88,L88),""))</f>
        <v>9</v>
      </c>
      <c r="U88" s="16">
        <f>IF($AY88="Conflict","",IF(COUNT(K88,M88:O88)=4,SUM(K88,M88:O88),""))</f>
        <v>12</v>
      </c>
      <c r="V88" s="16">
        <f>IF($AY88="Conflict","",IF(COUNT(P88:Q88)=2,SUM(P88:Q88),""))</f>
        <v>6</v>
      </c>
      <c r="W88" s="13"/>
      <c r="X88" s="13"/>
      <c r="Y88" s="13"/>
      <c r="Z88" s="13"/>
      <c r="AA88" s="14">
        <v>0</v>
      </c>
      <c r="AB88" s="13"/>
      <c r="AC88" s="13"/>
      <c r="AD88" s="13"/>
      <c r="AE88" s="17">
        <v>17618.3</v>
      </c>
      <c r="AF88" s="17">
        <v>31977.68</v>
      </c>
      <c r="AG88" s="17">
        <v>1287.1</v>
      </c>
      <c r="AH88" s="18">
        <f>IF(AND(ISNUMBER(AG88),ISNUMBER(AF88),AF88&gt;0),AG88/AF88,"")</f>
        <v>0.040249949339664415</v>
      </c>
      <c r="AI88" s="17">
        <v>1848.65</v>
      </c>
      <c r="AJ88" s="17">
        <v>290.2</v>
      </c>
      <c r="AK88" s="18">
        <f>IF(ISNUMBER(Financial_Panel!L10),Financial_Panel!L10,"")</f>
        <v>0.12085372201978135</v>
      </c>
      <c r="AL88" s="17">
        <v>459.54</v>
      </c>
      <c r="AM88" s="13"/>
      <c r="AN88" s="12" t="s">
        <v>522</v>
      </c>
      <c r="AO88" s="15" t="s">
        <v>32</v>
      </c>
      <c r="AP88" s="12" t="s">
        <v>523</v>
      </c>
      <c r="AQ88" s="12" t="s">
        <v>524</v>
      </c>
      <c r="AR88" s="19">
        <v>46318</v>
      </c>
      <c r="AS88" s="15" t="s">
        <v>525</v>
      </c>
      <c r="AT88" s="15" t="s">
        <v>526</v>
      </c>
      <c r="AU88" s="14">
        <v>27</v>
      </c>
      <c r="AV88" s="12" t="s">
        <v>147</v>
      </c>
      <c r="AW88" s="15" t="s">
        <v>79</v>
      </c>
      <c r="AX88" s="15" t="s">
        <v>148</v>
      </c>
      <c r="AY88" s="15" t="s">
        <v>149</v>
      </c>
      <c r="AZ88" s="12" t="s">
        <v>177</v>
      </c>
    </row>
  </sheetData>
  <mergeCells count="8">
    <mergeCell ref="A1:I2"/>
    <mergeCell ref="A3:K3"/>
    <mergeCell ref="A4:G4"/>
    <mergeCell ref="H4:Z4"/>
    <mergeCell ref="AA4:AD4"/>
    <mergeCell ref="AE4:AM4"/>
    <mergeCell ref="AN4:AR4"/>
    <mergeCell ref="AS4:AZ4"/>
  </mergeCells>
  <conditionalFormatting sqref="AK7:AK88">
    <cfRule type="cellIs" dxfId="1" priority="3" operator="greaterThan">
      <formula>1</formula>
    </cfRule>
  </conditionalFormatting>
  <conditionalFormatting sqref="AW7:AW88">
    <cfRule type="containsText" dxfId="1" priority="2" operator="containsText" text="Different FY">
      <formula>NOT(ISERROR(SEARCH("Different FY",AW7)))</formula>
    </cfRule>
  </conditionalFormatting>
  <conditionalFormatting sqref="AY7:AY88">
    <cfRule type="containsText" dxfId="0" priority="1" operator="containsText" text="Conflict">
      <formula>NOT(ISERROR(SEARCH("Conflict",AY7)))</formula>
    </cfRule>
  </conditionalFormatting>
  <conditionalFormatting sqref="H7:Q88">
    <cfRule type="colorScale" priority="4">
      <colorScale>
        <cfvo type="num" val="0"/>
        <cfvo type="num" val="1.5"/>
        <cfvo type="num" val="3"/>
        <color rgb="FFFBE9E7"/>
        <color rgb="FFFFF6DD"/>
        <color rgb="FFDCEDE3"/>
      </colorScale>
    </cfRule>
  </conditionalFormatting>
  <conditionalFormatting sqref="R7:R88">
    <cfRule type="dataBar" priority="5">
      <dataBar>
        <cfvo type="num" val="0"/>
        <cfvo type="num" val="30"/>
        <color rgb="FF78A9AD"/>
      </dataBar>
    </cfRule>
  </conditionalFormatting>
  <dataValidations count="8">
    <dataValidation type="whole" allowBlank="1" showInputMessage="1" showErrorMessage="1" errorTitle="Indicator must be 0–3" error="Leave genuinely missing indicators blank." sqref="H7:Q88">
      <formula1>0</formula1>
      <formula2>3</formula2>
    </dataValidation>
    <dataValidation type="whole" allowBlank="1" showInputMessage="1" showErrorMessage="1" sqref="C7:C88">
      <formula1>0</formula1>
      <formula2>1</formula2>
    </dataValidation>
    <dataValidation type="whole" allowBlank="1" showInputMessage="1" showErrorMessage="1" sqref="D7:D88">
      <formula1>0</formula1>
      <formula2>1</formula2>
    </dataValidation>
    <dataValidation type="whole" allowBlank="1" showInputMessage="1" showErrorMessage="1" sqref="G7:G88">
      <formula1>0</formula1>
      <formula2>1</formula2>
    </dataValidation>
    <dataValidation type="whole" allowBlank="1" showInputMessage="1" showErrorMessage="1" sqref="AA7:AA88">
      <formula1>0</formula1>
      <formula2>1</formula2>
    </dataValidation>
    <dataValidation type="whole" allowBlank="1" showInputMessage="1" showErrorMessage="1" sqref="AD7:AD88">
      <formula1>0</formula1>
      <formula2>1</formula2>
    </dataValidation>
    <dataValidation type="decimal" allowBlank="1" showInputMessage="1" showErrorMessage="1" sqref="AB7:AB88">
      <formula1>0</formula1>
      <formula2>1</formula2>
    </dataValidation>
    <dataValidation type="list" allowBlank="1" showInputMessage="1" showErrorMessage="1" sqref="AX7:AX88">
      <formula1>"Yes,No"</formula1>
    </dataValidation>
  </dataValidations>
  <pageMargins left="0.3" right="0.3" top="0.4" bottom="0.4" header="0.3" footer="0.3"/>
  <pageSetup paperSize="9"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sheetPr>
    <tabColor rgb="FF167C80"/>
    <pageSetUpPr fitToPage="1"/>
  </sheetPr>
  <dimension ref="A1:W108"/>
  <sheetViews>
    <sheetView showGridLines="0" workbookViewId="0">
      <pane xSplit="2" ySplit="6" topLeftCell="C7" activePane="bottomRight" state="frozen"/>
      <selection pane="topRight" activeCell="C1" sqref="C1"/>
      <selection pane="bottomLeft" activeCell="A7" sqref="A7"/>
      <selection pane="bottomRight"/>
    </sheetView>
  </sheetViews>
  <sheetFormatPr defaultRowHeight="15"/>
  <cols>
    <col min="1" max="1" width="12.7109375" customWidth="1"/>
    <col min="2" max="2" width="40.7109375" customWidth="1"/>
    <col min="3" max="3" width="27.7109375" customWidth="1"/>
    <col min="4" max="4" width="17.7109375" customWidth="1"/>
    <col min="5" max="18" width="18.7109375" customWidth="1"/>
    <col min="19" max="19" width="65.7109375" customWidth="1"/>
    <col min="20" max="20" width="90.7109375" customWidth="1"/>
    <col min="21" max="21" width="60.7109375" customWidth="1"/>
    <col min="22" max="22" width="50.7109375" customWidth="1"/>
    <col min="23" max="23" width="35.7109375" customWidth="1"/>
  </cols>
  <sheetData>
    <row r="1" spans="1:23" ht="22" customHeight="1">
      <c r="A1" s="1" t="s">
        <v>579</v>
      </c>
      <c r="B1" s="1"/>
      <c r="C1" s="1"/>
      <c r="D1" s="1"/>
      <c r="E1" s="1"/>
      <c r="F1" s="1"/>
      <c r="G1" s="1"/>
      <c r="H1" s="1"/>
      <c r="I1" s="1"/>
    </row>
    <row r="2" spans="1:23" ht="18" customHeight="1">
      <c r="A2" s="1"/>
      <c r="B2" s="1"/>
      <c r="C2" s="1"/>
      <c r="D2" s="1"/>
      <c r="E2" s="1"/>
      <c r="F2" s="1"/>
      <c r="G2" s="1"/>
      <c r="H2" s="1"/>
      <c r="I2" s="1"/>
    </row>
    <row r="3" spans="1:23" ht="34" customHeight="1">
      <c r="A3" s="2" t="s">
        <v>580</v>
      </c>
      <c r="B3" s="2"/>
      <c r="C3" s="2"/>
      <c r="D3" s="2"/>
      <c r="E3" s="2"/>
      <c r="F3" s="2"/>
      <c r="G3" s="2"/>
      <c r="H3" s="2"/>
      <c r="I3" s="2"/>
      <c r="J3" s="2"/>
      <c r="K3" s="2"/>
    </row>
    <row r="4" spans="1:23">
      <c r="A4" s="21" t="s">
        <v>581</v>
      </c>
      <c r="B4" s="21"/>
      <c r="C4" s="21"/>
      <c r="D4" s="21"/>
      <c r="E4" s="21" t="s">
        <v>582</v>
      </c>
      <c r="F4" s="21"/>
      <c r="G4" s="21"/>
      <c r="H4" s="21"/>
      <c r="I4" s="21"/>
      <c r="J4" s="21"/>
      <c r="K4" s="21"/>
      <c r="L4" s="21"/>
      <c r="M4" s="21"/>
      <c r="N4" s="21"/>
      <c r="O4" s="21"/>
      <c r="P4" s="21"/>
      <c r="Q4" s="21"/>
      <c r="R4" s="21"/>
      <c r="S4" s="21" t="s">
        <v>583</v>
      </c>
      <c r="T4" s="21"/>
      <c r="U4" s="21"/>
      <c r="V4" s="21"/>
      <c r="W4" s="21"/>
    </row>
    <row r="6" spans="1:23" ht="40" customHeight="1">
      <c r="A6" s="11" t="s">
        <v>571</v>
      </c>
      <c r="B6" s="11" t="s">
        <v>527</v>
      </c>
      <c r="C6" s="11" t="s">
        <v>528</v>
      </c>
      <c r="D6" s="11" t="s">
        <v>778</v>
      </c>
      <c r="E6" s="11" t="s">
        <v>557</v>
      </c>
      <c r="F6" s="11" t="s">
        <v>558</v>
      </c>
      <c r="G6" s="11" t="s">
        <v>559</v>
      </c>
      <c r="H6" s="11" t="s">
        <v>560</v>
      </c>
      <c r="I6" s="11" t="s">
        <v>561</v>
      </c>
      <c r="J6" s="11" t="s">
        <v>779</v>
      </c>
      <c r="K6" s="11" t="s">
        <v>562</v>
      </c>
      <c r="L6" s="11" t="s">
        <v>563</v>
      </c>
      <c r="M6" s="11" t="s">
        <v>780</v>
      </c>
      <c r="N6" s="11" t="s">
        <v>554</v>
      </c>
      <c r="O6" s="11" t="s">
        <v>781</v>
      </c>
      <c r="P6" s="11" t="s">
        <v>782</v>
      </c>
      <c r="Q6" s="11" t="s">
        <v>783</v>
      </c>
      <c r="R6" s="11" t="s">
        <v>784</v>
      </c>
      <c r="S6" s="11" t="s">
        <v>785</v>
      </c>
      <c r="T6" s="11" t="s">
        <v>786</v>
      </c>
      <c r="U6" s="11" t="s">
        <v>787</v>
      </c>
      <c r="V6" s="11" t="s">
        <v>788</v>
      </c>
      <c r="W6" s="11" t="s">
        <v>577</v>
      </c>
    </row>
    <row r="7" spans="1:23" ht="30" customHeight="1">
      <c r="A7" s="15" t="s">
        <v>504</v>
      </c>
      <c r="B7" s="12" t="s">
        <v>500</v>
      </c>
      <c r="C7" s="12" t="s">
        <v>484</v>
      </c>
      <c r="D7" s="15" t="s">
        <v>54</v>
      </c>
      <c r="E7" s="17">
        <v>10232.68</v>
      </c>
      <c r="F7" s="17">
        <v>6170.19</v>
      </c>
      <c r="G7" s="17">
        <v>445.18</v>
      </c>
      <c r="H7" s="18">
        <f>IF(AND(ISNUMBER(G7),ISNUMBER(F7),F7&gt;0),G7/F7,"")</f>
        <v>0.07215012827805951</v>
      </c>
      <c r="I7" s="17">
        <v>1468.43</v>
      </c>
      <c r="J7" s="17">
        <v>1281.07</v>
      </c>
      <c r="K7" s="17">
        <v>138.27</v>
      </c>
      <c r="L7" s="18">
        <f>IF(AND(ISNUMBER(I7),ISNUMBER(J7),ISNUMBER(K7),SUM(I7:J7)&gt;0),K7/AVERAGE(I7:J7),"")</f>
        <v>0.1005782869612657</v>
      </c>
      <c r="M7" s="17">
        <v>296.68</v>
      </c>
      <c r="N7" s="13"/>
      <c r="O7" s="13"/>
      <c r="P7" s="13"/>
      <c r="Q7" s="13"/>
      <c r="R7" s="13"/>
      <c r="S7" s="12" t="s">
        <v>177</v>
      </c>
      <c r="T7" s="12" t="s">
        <v>584</v>
      </c>
      <c r="U7" s="12" t="s">
        <v>503</v>
      </c>
      <c r="V7" s="12" t="s">
        <v>585</v>
      </c>
      <c r="W7" s="15" t="s">
        <v>586</v>
      </c>
    </row>
    <row r="8" spans="1:23" ht="30" customHeight="1">
      <c r="A8" s="15" t="s">
        <v>510</v>
      </c>
      <c r="B8" s="12" t="s">
        <v>506</v>
      </c>
      <c r="C8" s="12" t="s">
        <v>484</v>
      </c>
      <c r="D8" s="15" t="s">
        <v>32</v>
      </c>
      <c r="E8" s="17">
        <v>81612.78</v>
      </c>
      <c r="F8" s="17">
        <v>88090.67999999999</v>
      </c>
      <c r="G8" s="17">
        <v>35052.48</v>
      </c>
      <c r="H8" s="18">
        <f>IF(AND(ISNUMBER(G8),ISNUMBER(F8),F8&gt;0),G8/F8,"")</f>
        <v>0.39791360448120056</v>
      </c>
      <c r="I8" s="17">
        <v>91.26000000000001</v>
      </c>
      <c r="J8" s="17">
        <v>11.28</v>
      </c>
      <c r="K8" s="17">
        <v>45.06</v>
      </c>
      <c r="L8" s="18">
        <f>IF(AND(ISNUMBER(I8),ISNUMBER(J8),ISNUMBER(K8),SUM(I8:J8)&gt;0),K8/AVERAGE(I8:J8),"")</f>
        <v>0.8788765359859567</v>
      </c>
      <c r="M8" s="17">
        <v>2278.7</v>
      </c>
      <c r="N8" s="13"/>
      <c r="O8" s="13"/>
      <c r="P8" s="13"/>
      <c r="Q8" s="13"/>
      <c r="R8" s="13"/>
      <c r="S8" s="12" t="s">
        <v>177</v>
      </c>
      <c r="T8" s="12" t="s">
        <v>587</v>
      </c>
      <c r="U8" s="12" t="s">
        <v>509</v>
      </c>
      <c r="V8" s="12" t="s">
        <v>588</v>
      </c>
      <c r="W8" s="15" t="s">
        <v>586</v>
      </c>
    </row>
    <row r="9" spans="1:23" ht="30" customHeight="1">
      <c r="A9" s="15" t="s">
        <v>516</v>
      </c>
      <c r="B9" s="12" t="s">
        <v>512</v>
      </c>
      <c r="C9" s="12" t="s">
        <v>484</v>
      </c>
      <c r="D9" s="15" t="s">
        <v>32</v>
      </c>
      <c r="E9" s="17">
        <v>10831</v>
      </c>
      <c r="F9" s="17">
        <v>8338</v>
      </c>
      <c r="G9" s="17">
        <v>1658</v>
      </c>
      <c r="H9" s="18">
        <f>IF(AND(ISNUMBER(G9),ISNUMBER(F9),F9&gt;0),G9/F9,"")</f>
        <v>0.198848644758935</v>
      </c>
      <c r="I9" s="17">
        <v>379</v>
      </c>
      <c r="J9" s="17">
        <v>383</v>
      </c>
      <c r="K9" s="17">
        <v>53</v>
      </c>
      <c r="L9" s="18">
        <f>IF(AND(ISNUMBER(I9),ISNUMBER(J9),ISNUMBER(K9),SUM(I9:J9)&gt;0),K9/AVERAGE(I9:J9),"")</f>
        <v>0.13910761154855644</v>
      </c>
      <c r="M9" s="17">
        <v>161</v>
      </c>
      <c r="N9" s="13"/>
      <c r="O9" s="13"/>
      <c r="P9" s="13"/>
      <c r="Q9" s="13"/>
      <c r="R9" s="13"/>
      <c r="S9" s="12" t="s">
        <v>177</v>
      </c>
      <c r="T9" s="12" t="s">
        <v>589</v>
      </c>
      <c r="U9" s="12" t="s">
        <v>515</v>
      </c>
      <c r="V9" s="12" t="s">
        <v>590</v>
      </c>
      <c r="W9" s="15" t="s">
        <v>586</v>
      </c>
    </row>
    <row r="10" spans="1:23" ht="30" customHeight="1">
      <c r="A10" s="15" t="s">
        <v>525</v>
      </c>
      <c r="B10" s="12" t="s">
        <v>521</v>
      </c>
      <c r="C10" s="12" t="s">
        <v>484</v>
      </c>
      <c r="D10" s="15" t="s">
        <v>32</v>
      </c>
      <c r="E10" s="17">
        <v>17618.3</v>
      </c>
      <c r="F10" s="17">
        <v>31977.68</v>
      </c>
      <c r="G10" s="17">
        <v>1287.1</v>
      </c>
      <c r="H10" s="18">
        <f>IF(AND(ISNUMBER(G10),ISNUMBER(F10),F10&gt;0),G10/F10,"")</f>
        <v>0.040249949339664415</v>
      </c>
      <c r="I10" s="17">
        <v>1848.65</v>
      </c>
      <c r="J10" s="17">
        <v>2953.85</v>
      </c>
      <c r="K10" s="17">
        <v>290.2</v>
      </c>
      <c r="L10" s="18">
        <f>IF(AND(ISNUMBER(I10),ISNUMBER(J10),ISNUMBER(K10),SUM(I10:J10)&gt;0),K10/AVERAGE(I10:J10),"")</f>
        <v>0.12085372201978135</v>
      </c>
      <c r="M10" s="17">
        <v>459.54</v>
      </c>
      <c r="N10" s="13"/>
      <c r="O10" s="13"/>
      <c r="P10" s="13"/>
      <c r="Q10" s="13"/>
      <c r="R10" s="13"/>
      <c r="S10" s="12" t="s">
        <v>177</v>
      </c>
      <c r="T10" s="12" t="s">
        <v>591</v>
      </c>
      <c r="U10" s="12" t="s">
        <v>524</v>
      </c>
      <c r="V10" s="12" t="s">
        <v>592</v>
      </c>
      <c r="W10" s="15" t="s">
        <v>586</v>
      </c>
    </row>
    <row r="11" spans="1:23" ht="30" customHeight="1">
      <c r="A11" s="15" t="s">
        <v>145</v>
      </c>
      <c r="B11" s="12" t="s">
        <v>141</v>
      </c>
      <c r="C11" s="12" t="s">
        <v>142</v>
      </c>
      <c r="D11" s="15" t="s">
        <v>32</v>
      </c>
      <c r="E11" s="17">
        <v>188.52</v>
      </c>
      <c r="F11" s="17">
        <v>149.23</v>
      </c>
      <c r="G11" s="17">
        <v>18.09</v>
      </c>
      <c r="H11" s="18">
        <f>IF(AND(ISNUMBER(G11),ISNUMBER(F11),F11&gt;0),G11/F11,"")</f>
        <v>0.12122227434162032</v>
      </c>
      <c r="I11" s="13"/>
      <c r="J11" s="13"/>
      <c r="K11" s="13"/>
      <c r="L11" s="20">
        <v>0.1264</v>
      </c>
      <c r="M11" s="13"/>
      <c r="N11" s="13"/>
      <c r="O11" s="13"/>
      <c r="P11" s="13"/>
      <c r="Q11" s="13"/>
      <c r="R11" s="13"/>
      <c r="S11" s="12" t="s">
        <v>150</v>
      </c>
      <c r="T11" s="12" t="s">
        <v>593</v>
      </c>
      <c r="U11" s="12" t="s">
        <v>143</v>
      </c>
      <c r="V11" s="12" t="s">
        <v>144</v>
      </c>
      <c r="W11" s="15" t="s">
        <v>594</v>
      </c>
    </row>
    <row r="12" spans="1:23" ht="30" customHeight="1">
      <c r="A12" s="15" t="s">
        <v>162</v>
      </c>
      <c r="B12" s="12" t="s">
        <v>158</v>
      </c>
      <c r="C12" s="12" t="s">
        <v>142</v>
      </c>
      <c r="D12" s="15" t="s">
        <v>32</v>
      </c>
      <c r="E12" s="17">
        <v>431.25</v>
      </c>
      <c r="F12" s="17">
        <v>170.83</v>
      </c>
      <c r="G12" s="17">
        <v>9.94</v>
      </c>
      <c r="H12" s="18">
        <f>IF(AND(ISNUMBER(G12),ISNUMBER(F12),F12&gt;0),G12/F12,"")</f>
        <v>0.05818650120002341</v>
      </c>
      <c r="I12" s="17">
        <v>49.18</v>
      </c>
      <c r="J12" s="17">
        <v>48.07</v>
      </c>
      <c r="K12" s="17">
        <v>10.37</v>
      </c>
      <c r="L12" s="18">
        <f>IF(AND(ISNUMBER(I12),ISNUMBER(J12),ISNUMBER(K12),SUM(I12:J12)&gt;0),K12/AVERAGE(I12:J12),"")</f>
        <v>0.21326478149100256</v>
      </c>
      <c r="M12" s="13"/>
      <c r="N12" s="13"/>
      <c r="O12" s="13"/>
      <c r="P12" s="13"/>
      <c r="Q12" s="13"/>
      <c r="R12" s="13"/>
      <c r="S12" s="12" t="s">
        <v>164</v>
      </c>
      <c r="T12" s="12" t="s">
        <v>595</v>
      </c>
      <c r="U12" s="12" t="s">
        <v>161</v>
      </c>
      <c r="V12" s="12" t="s">
        <v>596</v>
      </c>
      <c r="W12" s="15" t="s">
        <v>586</v>
      </c>
    </row>
    <row r="13" spans="1:23" ht="30" customHeight="1">
      <c r="A13" s="15" t="s">
        <v>162</v>
      </c>
      <c r="B13" s="12" t="s">
        <v>158</v>
      </c>
      <c r="C13" s="12" t="s">
        <v>142</v>
      </c>
      <c r="D13" s="15" t="s">
        <v>54</v>
      </c>
      <c r="E13" s="17">
        <v>479.3</v>
      </c>
      <c r="F13" s="13"/>
      <c r="G13" s="17">
        <v>10.97</v>
      </c>
      <c r="H13" s="18">
        <f>IF(AND(ISNUMBER(G13),ISNUMBER(F13),F13&gt;0),G13/F13,"")</f>
        <v/>
      </c>
      <c r="I13" s="13"/>
      <c r="J13" s="13"/>
      <c r="K13" s="13"/>
      <c r="L13" s="13"/>
      <c r="M13" s="13"/>
      <c r="N13" s="13"/>
      <c r="O13" s="13"/>
      <c r="P13" s="13"/>
      <c r="Q13" s="13"/>
      <c r="R13" s="13"/>
      <c r="S13" s="12" t="s">
        <v>150</v>
      </c>
      <c r="T13" s="12" t="s">
        <v>593</v>
      </c>
      <c r="U13" s="12" t="s">
        <v>143</v>
      </c>
      <c r="V13" s="12" t="s">
        <v>144</v>
      </c>
      <c r="W13" s="15" t="s">
        <v>594</v>
      </c>
    </row>
    <row r="14" spans="1:23" ht="30" customHeight="1">
      <c r="A14" s="15" t="s">
        <v>168</v>
      </c>
      <c r="B14" s="12" t="s">
        <v>165</v>
      </c>
      <c r="C14" s="12" t="s">
        <v>142</v>
      </c>
      <c r="D14" s="15" t="s">
        <v>32</v>
      </c>
      <c r="E14" s="17">
        <v>423.1855</v>
      </c>
      <c r="F14" s="17">
        <v>310.1309</v>
      </c>
      <c r="G14" s="17">
        <v>18.4307</v>
      </c>
      <c r="H14" s="18">
        <f>IF(AND(ISNUMBER(G14),ISNUMBER(F14),F14&gt;0),G14/F14,"")</f>
        <v>0.05942877668752129</v>
      </c>
      <c r="I14" s="17">
        <v>111.7343</v>
      </c>
      <c r="J14" s="17">
        <v>87.5231</v>
      </c>
      <c r="K14" s="17">
        <v>11.3291</v>
      </c>
      <c r="L14" s="18">
        <f>IF(AND(ISNUMBER(I14),ISNUMBER(J14),ISNUMBER(K14),SUM(I14:J14)&gt;0),K14/AVERAGE(I14:J14),"")</f>
        <v>0.11371321717537215</v>
      </c>
      <c r="M14" s="17">
        <v>21.6696</v>
      </c>
      <c r="N14" s="13"/>
      <c r="O14" s="13"/>
      <c r="P14" s="13"/>
      <c r="Q14" s="13"/>
      <c r="R14" s="13"/>
      <c r="S14" s="12" t="s">
        <v>170</v>
      </c>
      <c r="T14" s="12" t="s">
        <v>597</v>
      </c>
      <c r="U14" s="12" t="s">
        <v>167</v>
      </c>
      <c r="V14" s="12" t="s">
        <v>598</v>
      </c>
      <c r="W14" s="15" t="s">
        <v>586</v>
      </c>
    </row>
    <row r="15" spans="1:23" ht="30" customHeight="1">
      <c r="A15" s="15" t="s">
        <v>175</v>
      </c>
      <c r="B15" s="12" t="s">
        <v>171</v>
      </c>
      <c r="C15" s="12" t="s">
        <v>142</v>
      </c>
      <c r="D15" s="15" t="s">
        <v>32</v>
      </c>
      <c r="E15" s="17">
        <v>238496</v>
      </c>
      <c r="F15" s="17">
        <v>265991</v>
      </c>
      <c r="G15" s="17">
        <v>16002</v>
      </c>
      <c r="H15" s="18">
        <f>IF(AND(ISNUMBER(G15),ISNUMBER(F15),F15&gt;0),G15/F15,"")</f>
        <v>0.06015993022320304</v>
      </c>
      <c r="I15" s="17">
        <v>61931</v>
      </c>
      <c r="J15" s="17">
        <v>54501</v>
      </c>
      <c r="K15" s="17">
        <v>3419</v>
      </c>
      <c r="L15" s="18">
        <f>IF(AND(ISNUMBER(I15),ISNUMBER(J15),ISNUMBER(K15),SUM(I15:J15)&gt;0),K15/AVERAGE(I15:J15),"")</f>
        <v>0.058729558884155555</v>
      </c>
      <c r="M15" s="17">
        <v>20649</v>
      </c>
      <c r="N15" s="13"/>
      <c r="O15" s="13"/>
      <c r="P15" s="13"/>
      <c r="Q15" s="13"/>
      <c r="R15" s="13"/>
      <c r="S15" s="12" t="s">
        <v>177</v>
      </c>
      <c r="T15" s="12" t="s">
        <v>599</v>
      </c>
      <c r="U15" s="12" t="s">
        <v>174</v>
      </c>
      <c r="V15" s="12" t="s">
        <v>600</v>
      </c>
      <c r="W15" s="15" t="s">
        <v>586</v>
      </c>
    </row>
    <row r="16" spans="1:23" ht="30" customHeight="1">
      <c r="A16" s="15" t="s">
        <v>181</v>
      </c>
      <c r="B16" s="12" t="s">
        <v>178</v>
      </c>
      <c r="C16" s="12" t="s">
        <v>142</v>
      </c>
      <c r="D16" s="15" t="s">
        <v>32</v>
      </c>
      <c r="E16" s="17">
        <v>810.1662</v>
      </c>
      <c r="F16" s="17">
        <v>299.6316</v>
      </c>
      <c r="G16" s="17">
        <v>15.507</v>
      </c>
      <c r="H16" s="18">
        <f>IF(AND(ISNUMBER(G16),ISNUMBER(F16),F16&gt;0),G16/F16,"")</f>
        <v>0.051753553363530415</v>
      </c>
      <c r="I16" s="17">
        <v>89.5771</v>
      </c>
      <c r="J16" s="17">
        <v>31.9228</v>
      </c>
      <c r="K16" s="17">
        <v>3.2533</v>
      </c>
      <c r="L16" s="18">
        <f>IF(AND(ISNUMBER(I16),ISNUMBER(J16),ISNUMBER(K16),SUM(I16:J16)&gt;0),K16/AVERAGE(I16:J16),"")</f>
        <v>0.05355230745045881</v>
      </c>
      <c r="M16" s="17">
        <v>55.8029</v>
      </c>
      <c r="N16" s="13"/>
      <c r="O16" s="13"/>
      <c r="P16" s="13"/>
      <c r="Q16" s="13"/>
      <c r="R16" s="13"/>
      <c r="S16" s="12" t="s">
        <v>183</v>
      </c>
      <c r="T16" s="12" t="s">
        <v>601</v>
      </c>
      <c r="U16" s="12" t="s">
        <v>180</v>
      </c>
      <c r="V16" s="12" t="s">
        <v>602</v>
      </c>
      <c r="W16" s="15" t="s">
        <v>586</v>
      </c>
    </row>
    <row r="17" spans="1:23" ht="30" customHeight="1">
      <c r="A17" s="15" t="s">
        <v>187</v>
      </c>
      <c r="B17" s="12" t="s">
        <v>184</v>
      </c>
      <c r="C17" s="12" t="s">
        <v>142</v>
      </c>
      <c r="D17" s="15" t="s">
        <v>32</v>
      </c>
      <c r="E17" s="17">
        <v>509.1475</v>
      </c>
      <c r="F17" s="17">
        <v>504.2564</v>
      </c>
      <c r="G17" s="17">
        <v>6.0458</v>
      </c>
      <c r="H17" s="18">
        <f>IF(AND(ISNUMBER(G17),ISNUMBER(F17),F17&gt;0),G17/F17,"")</f>
        <v>0.011989535482345886</v>
      </c>
      <c r="I17" s="17">
        <v>239.0223</v>
      </c>
      <c r="J17" s="17">
        <v>172.2267</v>
      </c>
      <c r="K17" s="17">
        <v>27.5268</v>
      </c>
      <c r="L17" s="18">
        <f>IF(AND(ISNUMBER(I17),ISNUMBER(J17),ISNUMBER(K17),SUM(I17:J17)&gt;0),K17/AVERAGE(I17:J17),"")</f>
        <v>0.1338692616881743</v>
      </c>
      <c r="M17" s="17">
        <v>31.6567</v>
      </c>
      <c r="N17" s="13"/>
      <c r="O17" s="13"/>
      <c r="P17" s="13"/>
      <c r="Q17" s="13"/>
      <c r="R17" s="13"/>
      <c r="S17" s="12" t="s">
        <v>183</v>
      </c>
      <c r="T17" s="12" t="s">
        <v>603</v>
      </c>
      <c r="U17" s="12" t="s">
        <v>186</v>
      </c>
      <c r="V17" s="12" t="s">
        <v>604</v>
      </c>
      <c r="W17" s="15" t="s">
        <v>586</v>
      </c>
    </row>
    <row r="18" spans="1:23" ht="30" customHeight="1">
      <c r="A18" s="15" t="s">
        <v>193</v>
      </c>
      <c r="B18" s="12" t="s">
        <v>189</v>
      </c>
      <c r="C18" s="12" t="s">
        <v>142</v>
      </c>
      <c r="D18" s="15" t="s">
        <v>32</v>
      </c>
      <c r="E18" s="17">
        <v>16787.63</v>
      </c>
      <c r="F18" s="17">
        <v>22882.16</v>
      </c>
      <c r="G18" s="17">
        <v>5267.94</v>
      </c>
      <c r="H18" s="18">
        <f>IF(AND(ISNUMBER(G18),ISNUMBER(F18),F18&gt;0),G18/F18,"")</f>
        <v>0.23022039877354233</v>
      </c>
      <c r="I18" s="17">
        <v>124.22</v>
      </c>
      <c r="J18" s="17">
        <v>39.16</v>
      </c>
      <c r="K18" s="17">
        <v>58.97</v>
      </c>
      <c r="L18" s="18">
        <f>IF(AND(ISNUMBER(I18),ISNUMBER(J18),ISNUMBER(K18),SUM(I18:J18)&gt;0),K18/AVERAGE(I18:J18),"")</f>
        <v>0.721875382543763</v>
      </c>
      <c r="M18" s="17">
        <v>1175.58</v>
      </c>
      <c r="N18" s="13"/>
      <c r="O18" s="13"/>
      <c r="P18" s="13"/>
      <c r="Q18" s="13"/>
      <c r="R18" s="13"/>
      <c r="S18" s="12" t="s">
        <v>195</v>
      </c>
      <c r="T18" s="12" t="s">
        <v>605</v>
      </c>
      <c r="U18" s="12" t="s">
        <v>192</v>
      </c>
      <c r="V18" s="12" t="s">
        <v>606</v>
      </c>
      <c r="W18" s="15" t="s">
        <v>586</v>
      </c>
    </row>
    <row r="19" spans="1:23" ht="30" customHeight="1">
      <c r="A19" s="15" t="s">
        <v>198</v>
      </c>
      <c r="B19" s="12" t="s">
        <v>196</v>
      </c>
      <c r="C19" s="12" t="s">
        <v>142</v>
      </c>
      <c r="D19" s="15" t="s">
        <v>32</v>
      </c>
      <c r="E19" s="17">
        <v>491.4</v>
      </c>
      <c r="F19" s="17">
        <v>423.81</v>
      </c>
      <c r="G19" s="17">
        <v>31.66</v>
      </c>
      <c r="H19" s="18">
        <f>IF(AND(ISNUMBER(G19),ISNUMBER(F19),F19&gt;0),G19/F19,"")</f>
        <v>0.0747032868502395</v>
      </c>
      <c r="I19" s="13"/>
      <c r="J19" s="13"/>
      <c r="K19" s="13"/>
      <c r="L19" s="13"/>
      <c r="M19" s="13"/>
      <c r="N19" s="13"/>
      <c r="O19" s="13"/>
      <c r="P19" s="13"/>
      <c r="Q19" s="13"/>
      <c r="R19" s="13"/>
      <c r="S19" s="12" t="s">
        <v>150</v>
      </c>
      <c r="T19" s="12" t="s">
        <v>593</v>
      </c>
      <c r="U19" s="12" t="s">
        <v>197</v>
      </c>
      <c r="V19" s="12" t="s">
        <v>144</v>
      </c>
      <c r="W19" s="15" t="s">
        <v>594</v>
      </c>
    </row>
    <row r="20" spans="1:23" ht="30" customHeight="1">
      <c r="A20" s="15" t="s">
        <v>204</v>
      </c>
      <c r="B20" s="12" t="s">
        <v>200</v>
      </c>
      <c r="C20" s="12" t="s">
        <v>142</v>
      </c>
      <c r="D20" s="15" t="s">
        <v>32</v>
      </c>
      <c r="E20" s="17">
        <v>152968</v>
      </c>
      <c r="F20" s="17">
        <v>203293</v>
      </c>
      <c r="G20" s="17">
        <v>20535</v>
      </c>
      <c r="H20" s="18">
        <f>IF(AND(ISNUMBER(G20),ISNUMBER(F20),F20&gt;0),G20/F20,"")</f>
        <v>0.1010118400535188</v>
      </c>
      <c r="I20" s="17">
        <v>73853</v>
      </c>
      <c r="J20" s="17">
        <v>71758</v>
      </c>
      <c r="K20" s="17">
        <v>9914</v>
      </c>
      <c r="L20" s="18">
        <f>IF(AND(ISNUMBER(I20),ISNUMBER(J20),ISNUMBER(K20),SUM(I20:J20)&gt;0),K20/AVERAGE(I20:J20),"")</f>
        <v>0.13617103103474326</v>
      </c>
      <c r="M20" s="17">
        <v>17005</v>
      </c>
      <c r="N20" s="13"/>
      <c r="O20" s="13"/>
      <c r="P20" s="13"/>
      <c r="Q20" s="13"/>
      <c r="R20" s="13"/>
      <c r="S20" s="12" t="s">
        <v>177</v>
      </c>
      <c r="T20" s="12" t="s">
        <v>607</v>
      </c>
      <c r="U20" s="12" t="s">
        <v>203</v>
      </c>
      <c r="V20" s="12" t="s">
        <v>608</v>
      </c>
      <c r="W20" s="15" t="s">
        <v>586</v>
      </c>
    </row>
    <row r="21" spans="1:23" ht="30" customHeight="1">
      <c r="A21" s="15" t="s">
        <v>379</v>
      </c>
      <c r="B21" s="12" t="s">
        <v>373</v>
      </c>
      <c r="C21" s="12" t="s">
        <v>374</v>
      </c>
      <c r="D21" s="15" t="s">
        <v>609</v>
      </c>
      <c r="E21" s="17">
        <v>3855.3</v>
      </c>
      <c r="F21" s="17">
        <v>3194.6</v>
      </c>
      <c r="G21" s="17">
        <v>374.83</v>
      </c>
      <c r="H21" s="18">
        <f>IF(AND(ISNUMBER(G21),ISNUMBER(F21),F21&gt;0),G21/F21,"")</f>
        <v>0.11733237338007887</v>
      </c>
      <c r="I21" s="17">
        <v>44.97</v>
      </c>
      <c r="J21" s="13"/>
      <c r="K21" s="13"/>
      <c r="L21" s="20">
        <v>2.0198</v>
      </c>
      <c r="M21" s="13"/>
      <c r="N21" s="20">
        <v>0.000316447487873836</v>
      </c>
      <c r="O21" s="17">
        <v>4.312459764367636</v>
      </c>
      <c r="P21" s="20">
        <v>0.048</v>
      </c>
      <c r="Q21" s="15" t="s">
        <v>610</v>
      </c>
      <c r="R21" s="20">
        <v>0.08699999999999999</v>
      </c>
      <c r="S21" s="12" t="s">
        <v>611</v>
      </c>
      <c r="T21" s="12" t="s">
        <v>612</v>
      </c>
      <c r="U21" s="12" t="s">
        <v>613</v>
      </c>
      <c r="V21" s="12" t="s">
        <v>614</v>
      </c>
      <c r="W21" s="15" t="s">
        <v>615</v>
      </c>
    </row>
    <row r="22" spans="1:23" ht="30" customHeight="1">
      <c r="A22" s="15" t="s">
        <v>379</v>
      </c>
      <c r="B22" s="12" t="s">
        <v>373</v>
      </c>
      <c r="C22" s="12" t="s">
        <v>374</v>
      </c>
      <c r="D22" s="15" t="s">
        <v>32</v>
      </c>
      <c r="E22" s="17">
        <v>4098.6231</v>
      </c>
      <c r="F22" s="17">
        <v>3705.9462</v>
      </c>
      <c r="G22" s="17">
        <v>202.0813</v>
      </c>
      <c r="H22" s="18">
        <f>IF(AND(ISNUMBER(G22),ISNUMBER(F22),F22&gt;0),G22/F22,"")</f>
        <v>0.05452893514752049</v>
      </c>
      <c r="I22" s="17">
        <v>13.9965</v>
      </c>
      <c r="J22" s="17">
        <v>44.9663</v>
      </c>
      <c r="K22" s="17">
        <v>58.1373</v>
      </c>
      <c r="L22" s="18">
        <f>IF(AND(ISNUMBER(I22),ISNUMBER(J22),ISNUMBER(K22),SUM(I22:J22)&gt;0),K22/AVERAGE(I22:J22),"")</f>
        <v>1.9719992944704121</v>
      </c>
      <c r="M22" s="17">
        <v>188.7831</v>
      </c>
      <c r="N22" s="13"/>
      <c r="O22" s="13"/>
      <c r="P22" s="13"/>
      <c r="Q22" s="13"/>
      <c r="R22" s="13"/>
      <c r="S22" s="12" t="s">
        <v>381</v>
      </c>
      <c r="T22" s="12" t="s">
        <v>616</v>
      </c>
      <c r="U22" s="12" t="s">
        <v>378</v>
      </c>
      <c r="V22" s="12" t="s">
        <v>617</v>
      </c>
      <c r="W22" s="15" t="s">
        <v>586</v>
      </c>
    </row>
    <row r="23" spans="1:23" ht="30" customHeight="1">
      <c r="A23" s="15" t="s">
        <v>379</v>
      </c>
      <c r="B23" s="12" t="s">
        <v>373</v>
      </c>
      <c r="C23" s="12" t="s">
        <v>374</v>
      </c>
      <c r="D23" s="15" t="s">
        <v>54</v>
      </c>
      <c r="E23" s="17">
        <v>4565.2</v>
      </c>
      <c r="F23" s="17">
        <v>4264.86</v>
      </c>
      <c r="G23" s="17">
        <v>265.86</v>
      </c>
      <c r="H23" s="18">
        <f>IF(AND(ISNUMBER(G23),ISNUMBER(F23),F23&gt;0),G23/F23,"")</f>
        <v>0.06233733346463894</v>
      </c>
      <c r="I23" s="17">
        <v>3.81</v>
      </c>
      <c r="J23" s="13"/>
      <c r="K23" s="13"/>
      <c r="L23" s="20">
        <v>1.4888</v>
      </c>
      <c r="M23" s="13"/>
      <c r="N23" s="20">
        <v>0</v>
      </c>
      <c r="O23" s="17">
        <v>3.422745155179951</v>
      </c>
      <c r="P23" s="20">
        <v>0.062</v>
      </c>
      <c r="Q23" s="15" t="s">
        <v>618</v>
      </c>
      <c r="R23" s="20">
        <v>0.08749999999999999</v>
      </c>
      <c r="S23" s="12" t="s">
        <v>611</v>
      </c>
      <c r="T23" s="12" t="s">
        <v>612</v>
      </c>
      <c r="U23" s="12" t="s">
        <v>613</v>
      </c>
      <c r="V23" s="12" t="s">
        <v>619</v>
      </c>
      <c r="W23" s="15" t="s">
        <v>615</v>
      </c>
    </row>
    <row r="24" spans="1:23" ht="30" customHeight="1">
      <c r="A24" s="15" t="s">
        <v>386</v>
      </c>
      <c r="B24" s="12" t="s">
        <v>382</v>
      </c>
      <c r="C24" s="12" t="s">
        <v>374</v>
      </c>
      <c r="D24" s="15" t="s">
        <v>609</v>
      </c>
      <c r="E24" s="17">
        <v>5641.4</v>
      </c>
      <c r="F24" s="17">
        <v>4497.9</v>
      </c>
      <c r="G24" s="17">
        <v>545.6</v>
      </c>
      <c r="H24" s="18">
        <f>IF(AND(ISNUMBER(G24),ISNUMBER(F24),F24&gt;0),G24/F24,"")</f>
        <v>0.12130105160185865</v>
      </c>
      <c r="I24" s="17">
        <v>96.40000000000001</v>
      </c>
      <c r="J24" s="13"/>
      <c r="K24" s="13"/>
      <c r="L24" s="20">
        <v>0.317</v>
      </c>
      <c r="M24" s="13"/>
      <c r="N24" s="20">
        <v>0.07944836388130606</v>
      </c>
      <c r="O24" s="17">
        <v>16.02639437050635</v>
      </c>
      <c r="P24" s="20">
        <v>0.082</v>
      </c>
      <c r="Q24" s="15" t="s">
        <v>620</v>
      </c>
      <c r="R24" s="20">
        <v>0.078</v>
      </c>
      <c r="S24" s="12" t="s">
        <v>611</v>
      </c>
      <c r="T24" s="12" t="s">
        <v>621</v>
      </c>
      <c r="U24" s="12" t="s">
        <v>613</v>
      </c>
      <c r="V24" s="12" t="s">
        <v>622</v>
      </c>
      <c r="W24" s="15" t="s">
        <v>615</v>
      </c>
    </row>
    <row r="25" spans="1:23" ht="30" customHeight="1">
      <c r="A25" s="15" t="s">
        <v>386</v>
      </c>
      <c r="B25" s="12" t="s">
        <v>382</v>
      </c>
      <c r="C25" s="12" t="s">
        <v>374</v>
      </c>
      <c r="D25" s="15" t="s">
        <v>32</v>
      </c>
      <c r="E25" s="17">
        <v>5832.4</v>
      </c>
      <c r="F25" s="17">
        <v>5056</v>
      </c>
      <c r="G25" s="17">
        <v>518.9</v>
      </c>
      <c r="H25" s="18">
        <f>IF(AND(ISNUMBER(G25),ISNUMBER(F25),F25&gt;0),G25/F25,"")</f>
        <v>0.10263053797468354</v>
      </c>
      <c r="I25" s="17">
        <v>143.9</v>
      </c>
      <c r="J25" s="13"/>
      <c r="K25" s="13"/>
      <c r="L25" s="20">
        <v>0.3437</v>
      </c>
      <c r="M25" s="13"/>
      <c r="N25" s="20">
        <v>0.07564638913654756</v>
      </c>
      <c r="O25" s="17">
        <v>14.8768651664094</v>
      </c>
      <c r="P25" s="20">
        <v>0.091</v>
      </c>
      <c r="Q25" s="15" t="s">
        <v>620</v>
      </c>
      <c r="R25" s="20">
        <v>0.079</v>
      </c>
      <c r="S25" s="12" t="s">
        <v>611</v>
      </c>
      <c r="T25" s="12" t="s">
        <v>621</v>
      </c>
      <c r="U25" s="12" t="s">
        <v>613</v>
      </c>
      <c r="V25" s="12" t="s">
        <v>623</v>
      </c>
      <c r="W25" s="15" t="s">
        <v>615</v>
      </c>
    </row>
    <row r="26" spans="1:23" ht="30" customHeight="1">
      <c r="A26" s="15" t="s">
        <v>386</v>
      </c>
      <c r="B26" s="12" t="s">
        <v>382</v>
      </c>
      <c r="C26" s="12" t="s">
        <v>374</v>
      </c>
      <c r="D26" s="15" t="s">
        <v>54</v>
      </c>
      <c r="E26" s="17">
        <v>6568.6</v>
      </c>
      <c r="F26" s="17">
        <v>5811.9</v>
      </c>
      <c r="G26" s="17">
        <v>534.7</v>
      </c>
      <c r="H26" s="18">
        <f>IF(AND(ISNUMBER(G26),ISNUMBER(F26),F26&gt;0),G26/F26,"")</f>
        <v>0.0920008947160137</v>
      </c>
      <c r="I26" s="17">
        <v>153.1</v>
      </c>
      <c r="J26" s="17">
        <v>143.9</v>
      </c>
      <c r="K26" s="17">
        <v>64.40000000000001</v>
      </c>
      <c r="L26" s="18">
        <f>IF(AND(ISNUMBER(I26),ISNUMBER(J26),ISNUMBER(K26),SUM(I26:J26)&gt;0),K26/AVERAGE(I26:J26),"")</f>
        <v>0.4336700336700337</v>
      </c>
      <c r="M26" s="17">
        <v>459.1</v>
      </c>
      <c r="N26" s="13"/>
      <c r="O26" s="13"/>
      <c r="P26" s="13"/>
      <c r="Q26" s="13"/>
      <c r="R26" s="13"/>
      <c r="S26" s="12" t="s">
        <v>381</v>
      </c>
      <c r="T26" s="12" t="s">
        <v>616</v>
      </c>
      <c r="U26" s="12" t="s">
        <v>385</v>
      </c>
      <c r="V26" s="12" t="s">
        <v>624</v>
      </c>
      <c r="W26" s="15" t="s">
        <v>586</v>
      </c>
    </row>
    <row r="27" spans="1:23" ht="30" customHeight="1">
      <c r="A27" s="15" t="s">
        <v>392</v>
      </c>
      <c r="B27" s="12" t="s">
        <v>388</v>
      </c>
      <c r="C27" s="12" t="s">
        <v>374</v>
      </c>
      <c r="D27" s="15" t="s">
        <v>609</v>
      </c>
      <c r="E27" s="17">
        <v>6427</v>
      </c>
      <c r="F27" s="17">
        <v>60262.4</v>
      </c>
      <c r="G27" s="17">
        <v>2723.54</v>
      </c>
      <c r="H27" s="18">
        <f>IF(AND(ISNUMBER(G27),ISNUMBER(F27),F27&gt;0),G27/F27,"")</f>
        <v>0.04519468192438403</v>
      </c>
      <c r="I27" s="17">
        <v>4598.71</v>
      </c>
      <c r="J27" s="13"/>
      <c r="K27" s="13"/>
      <c r="L27" s="20">
        <v>0.0926</v>
      </c>
      <c r="M27" s="13"/>
      <c r="N27" s="20">
        <v>0</v>
      </c>
      <c r="O27" s="17">
        <v>4.510461489378484</v>
      </c>
      <c r="P27" s="20">
        <v>0.052</v>
      </c>
      <c r="Q27" s="15" t="s">
        <v>625</v>
      </c>
      <c r="R27" s="20">
        <v>0.0828</v>
      </c>
      <c r="S27" s="12" t="s">
        <v>626</v>
      </c>
      <c r="T27" s="12" t="s">
        <v>621</v>
      </c>
      <c r="U27" s="12" t="s">
        <v>613</v>
      </c>
      <c r="V27" s="12" t="s">
        <v>627</v>
      </c>
      <c r="W27" s="15" t="s">
        <v>628</v>
      </c>
    </row>
    <row r="28" spans="1:23" ht="30" customHeight="1">
      <c r="A28" s="15" t="s">
        <v>392</v>
      </c>
      <c r="B28" s="12" t="s">
        <v>388</v>
      </c>
      <c r="C28" s="12" t="s">
        <v>374</v>
      </c>
      <c r="D28" s="15" t="s">
        <v>32</v>
      </c>
      <c r="E28" s="17">
        <v>7993.66</v>
      </c>
      <c r="F28" s="17">
        <v>69475.37</v>
      </c>
      <c r="G28" s="17">
        <v>4366.82</v>
      </c>
      <c r="H28" s="18">
        <f>IF(AND(ISNUMBER(G28),ISNUMBER(F28),F28&gt;0),G28/F28,"")</f>
        <v>0.06285421725713732</v>
      </c>
      <c r="I28" s="17">
        <v>3854.03</v>
      </c>
      <c r="J28" s="13"/>
      <c r="K28" s="13"/>
      <c r="L28" s="20">
        <v>0.094</v>
      </c>
      <c r="M28" s="13"/>
      <c r="N28" s="20">
        <v>0</v>
      </c>
      <c r="O28" s="17">
        <v>4.849957062501674</v>
      </c>
      <c r="P28" s="20">
        <v>0.06</v>
      </c>
      <c r="Q28" s="15" t="s">
        <v>629</v>
      </c>
      <c r="R28" s="20">
        <v>0.0818</v>
      </c>
      <c r="S28" s="12" t="s">
        <v>626</v>
      </c>
      <c r="T28" s="12" t="s">
        <v>621</v>
      </c>
      <c r="U28" s="12" t="s">
        <v>613</v>
      </c>
      <c r="V28" s="12" t="s">
        <v>630</v>
      </c>
      <c r="W28" s="15" t="s">
        <v>628</v>
      </c>
    </row>
    <row r="29" spans="1:23" ht="30" customHeight="1">
      <c r="A29" s="15" t="s">
        <v>392</v>
      </c>
      <c r="B29" s="12" t="s">
        <v>388</v>
      </c>
      <c r="C29" s="12" t="s">
        <v>374</v>
      </c>
      <c r="D29" s="15" t="s">
        <v>54</v>
      </c>
      <c r="E29" s="17">
        <v>8194.0178</v>
      </c>
      <c r="F29" s="17">
        <v>74874.773</v>
      </c>
      <c r="G29" s="17">
        <v>4414.675</v>
      </c>
      <c r="H29" s="18">
        <f>IF(AND(ISNUMBER(G29),ISNUMBER(F29),F29&gt;0),G29/F29,"")</f>
        <v>0.05896077975421709</v>
      </c>
      <c r="I29" s="17">
        <v>44.9476</v>
      </c>
      <c r="J29" s="17">
        <v>3854.0261</v>
      </c>
      <c r="K29" s="17">
        <v>199.0747</v>
      </c>
      <c r="L29" s="18">
        <f>IF(AND(ISNUMBER(I29),ISNUMBER(J29),ISNUMBER(K29),SUM(I29:J29)&gt;0),K29/AVERAGE(I29:J29),"")</f>
        <v>0.1021164620833426</v>
      </c>
      <c r="M29" s="17">
        <v>129.1947</v>
      </c>
      <c r="N29" s="13"/>
      <c r="O29" s="13"/>
      <c r="P29" s="13"/>
      <c r="Q29" s="13"/>
      <c r="R29" s="13"/>
      <c r="S29" s="12" t="s">
        <v>381</v>
      </c>
      <c r="T29" s="12" t="s">
        <v>616</v>
      </c>
      <c r="U29" s="12" t="s">
        <v>391</v>
      </c>
      <c r="V29" s="12" t="s">
        <v>631</v>
      </c>
      <c r="W29" s="15" t="s">
        <v>586</v>
      </c>
    </row>
    <row r="30" spans="1:23" ht="30" customHeight="1">
      <c r="A30" s="15" t="s">
        <v>397</v>
      </c>
      <c r="B30" s="12" t="s">
        <v>394</v>
      </c>
      <c r="C30" s="12" t="s">
        <v>374</v>
      </c>
      <c r="D30" s="15" t="s">
        <v>609</v>
      </c>
      <c r="E30" s="17">
        <v>3035.62</v>
      </c>
      <c r="F30" s="17">
        <v>35734.86</v>
      </c>
      <c r="G30" s="17">
        <v>747.0599999999999</v>
      </c>
      <c r="H30" s="18">
        <f>IF(AND(ISNUMBER(G30),ISNUMBER(F30),F30&gt;0),G30/F30,"")</f>
        <v>0.020905636680820912</v>
      </c>
      <c r="I30" s="17">
        <v>10656.46</v>
      </c>
      <c r="J30" s="13"/>
      <c r="K30" s="13"/>
      <c r="L30" s="20">
        <v>0.1082</v>
      </c>
      <c r="M30" s="13"/>
      <c r="N30" s="20">
        <v>0</v>
      </c>
      <c r="O30" s="17">
        <v>3.616733194582505</v>
      </c>
      <c r="P30" s="20">
        <v>0.05</v>
      </c>
      <c r="Q30" s="15" t="s">
        <v>629</v>
      </c>
      <c r="R30" s="20">
        <v>0.07820000000000001</v>
      </c>
      <c r="S30" s="12" t="s">
        <v>611</v>
      </c>
      <c r="T30" s="12" t="s">
        <v>621</v>
      </c>
      <c r="U30" s="12" t="s">
        <v>613</v>
      </c>
      <c r="V30" s="12" t="s">
        <v>632</v>
      </c>
      <c r="W30" s="15" t="s">
        <v>628</v>
      </c>
    </row>
    <row r="31" spans="1:23" ht="30" customHeight="1">
      <c r="A31" s="15" t="s">
        <v>397</v>
      </c>
      <c r="B31" s="12" t="s">
        <v>394</v>
      </c>
      <c r="C31" s="12" t="s">
        <v>374</v>
      </c>
      <c r="D31" s="15" t="s">
        <v>32</v>
      </c>
      <c r="E31" s="17">
        <v>4922.84</v>
      </c>
      <c r="F31" s="17">
        <v>55465.52</v>
      </c>
      <c r="G31" s="17">
        <v>1389.23</v>
      </c>
      <c r="H31" s="18">
        <f>IF(AND(ISNUMBER(G31),ISNUMBER(F31),F31&gt;0),G31/F31,"")</f>
        <v>0.02504673173531953</v>
      </c>
      <c r="I31" s="17">
        <v>12561.16</v>
      </c>
      <c r="J31" s="13"/>
      <c r="K31" s="13"/>
      <c r="L31" s="20">
        <v>0.0898</v>
      </c>
      <c r="M31" s="13"/>
      <c r="N31" s="20">
        <v>0</v>
      </c>
      <c r="O31" s="17">
        <v>3.6847470628034</v>
      </c>
      <c r="P31" s="20">
        <v>0.058</v>
      </c>
      <c r="Q31" s="15" t="s">
        <v>633</v>
      </c>
      <c r="R31" s="20">
        <v>0.079</v>
      </c>
      <c r="S31" s="12" t="s">
        <v>611</v>
      </c>
      <c r="T31" s="12" t="s">
        <v>621</v>
      </c>
      <c r="U31" s="12" t="s">
        <v>613</v>
      </c>
      <c r="V31" s="12" t="s">
        <v>634</v>
      </c>
      <c r="W31" s="15" t="s">
        <v>628</v>
      </c>
    </row>
    <row r="32" spans="1:23" ht="30" customHeight="1">
      <c r="A32" s="15" t="s">
        <v>397</v>
      </c>
      <c r="B32" s="12" t="s">
        <v>394</v>
      </c>
      <c r="C32" s="12" t="s">
        <v>374</v>
      </c>
      <c r="D32" s="15" t="s">
        <v>54</v>
      </c>
      <c r="E32" s="17">
        <v>5131.43</v>
      </c>
      <c r="F32" s="17">
        <v>81894.42999999999</v>
      </c>
      <c r="G32" s="17">
        <v>1840.66</v>
      </c>
      <c r="H32" s="18">
        <f>IF(AND(ISNUMBER(G32),ISNUMBER(F32),F32&gt;0),G32/F32,"")</f>
        <v>0.02247600966268402</v>
      </c>
      <c r="I32" s="17">
        <v>15614.87</v>
      </c>
      <c r="J32" s="17">
        <v>12561.16</v>
      </c>
      <c r="K32" s="17">
        <v>136.86</v>
      </c>
      <c r="L32" s="18">
        <f>IF(AND(ISNUMBER(I32),ISNUMBER(J32),ISNUMBER(K32),SUM(I32:J32)&gt;0),K32/AVERAGE(I32:J32),"")</f>
        <v>0.009714640423083027</v>
      </c>
      <c r="M32" s="17">
        <v>406.04</v>
      </c>
      <c r="N32" s="13"/>
      <c r="O32" s="13"/>
      <c r="P32" s="13"/>
      <c r="Q32" s="13"/>
      <c r="R32" s="13"/>
      <c r="S32" s="12" t="s">
        <v>381</v>
      </c>
      <c r="T32" s="12" t="s">
        <v>616</v>
      </c>
      <c r="U32" s="12" t="s">
        <v>396</v>
      </c>
      <c r="V32" s="12" t="s">
        <v>635</v>
      </c>
      <c r="W32" s="15" t="s">
        <v>586</v>
      </c>
    </row>
    <row r="33" spans="1:23" ht="30" customHeight="1">
      <c r="A33" s="15" t="s">
        <v>402</v>
      </c>
      <c r="B33" s="12" t="s">
        <v>399</v>
      </c>
      <c r="C33" s="12" t="s">
        <v>374</v>
      </c>
      <c r="D33" s="15" t="s">
        <v>609</v>
      </c>
      <c r="E33" s="17">
        <v>4578.42</v>
      </c>
      <c r="F33" s="17">
        <v>3542.91</v>
      </c>
      <c r="G33" s="17">
        <v>432.16</v>
      </c>
      <c r="H33" s="18">
        <f>IF(AND(ISNUMBER(G33),ISNUMBER(F33),F33&gt;0),G33/F33,"")</f>
        <v>0.12197882531591264</v>
      </c>
      <c r="I33" s="17">
        <v>170.59</v>
      </c>
      <c r="J33" s="13"/>
      <c r="K33" s="13"/>
      <c r="L33" s="20">
        <v>0.1049</v>
      </c>
      <c r="M33" s="13"/>
      <c r="N33" s="20">
        <v>0.01740775201925555</v>
      </c>
      <c r="O33" s="17">
        <v>6.845055893796181</v>
      </c>
      <c r="P33" s="20">
        <v>0.045</v>
      </c>
      <c r="Q33" s="15" t="s">
        <v>636</v>
      </c>
      <c r="R33" s="20">
        <v>0.08450000000000001</v>
      </c>
      <c r="S33" s="12" t="s">
        <v>611</v>
      </c>
      <c r="T33" s="12" t="s">
        <v>621</v>
      </c>
      <c r="U33" s="12" t="s">
        <v>613</v>
      </c>
      <c r="V33" s="12" t="s">
        <v>637</v>
      </c>
      <c r="W33" s="15" t="s">
        <v>628</v>
      </c>
    </row>
    <row r="34" spans="1:23" ht="30" customHeight="1">
      <c r="A34" s="15" t="s">
        <v>402</v>
      </c>
      <c r="B34" s="12" t="s">
        <v>399</v>
      </c>
      <c r="C34" s="12" t="s">
        <v>374</v>
      </c>
      <c r="D34" s="15" t="s">
        <v>32</v>
      </c>
      <c r="E34" s="17">
        <v>4635.07</v>
      </c>
      <c r="F34" s="17">
        <v>3756.2</v>
      </c>
      <c r="G34" s="17">
        <v>300.02</v>
      </c>
      <c r="H34" s="18">
        <f>IF(AND(ISNUMBER(G34),ISNUMBER(F34),F34&gt;0),G34/F34,"")</f>
        <v>0.07987327618337682</v>
      </c>
      <c r="I34" s="17">
        <v>175.94</v>
      </c>
      <c r="J34" s="17">
        <v>170.59</v>
      </c>
      <c r="K34" s="17">
        <v>20.03</v>
      </c>
      <c r="L34" s="18">
        <f>IF(AND(ISNUMBER(I34),ISNUMBER(J34),ISNUMBER(K34),SUM(I34:J34)&gt;0),K34/AVERAGE(I34:J34),"")</f>
        <v>0.11560326667243818</v>
      </c>
      <c r="M34" s="17">
        <v>220.51</v>
      </c>
      <c r="N34" s="13"/>
      <c r="O34" s="13"/>
      <c r="P34" s="13"/>
      <c r="Q34" s="13"/>
      <c r="R34" s="13"/>
      <c r="S34" s="12" t="s">
        <v>381</v>
      </c>
      <c r="T34" s="12" t="s">
        <v>616</v>
      </c>
      <c r="U34" s="12" t="s">
        <v>401</v>
      </c>
      <c r="V34" s="12" t="s">
        <v>638</v>
      </c>
      <c r="W34" s="15" t="s">
        <v>586</v>
      </c>
    </row>
    <row r="35" spans="1:23" ht="30" customHeight="1">
      <c r="A35" s="15" t="s">
        <v>402</v>
      </c>
      <c r="B35" s="12" t="s">
        <v>399</v>
      </c>
      <c r="C35" s="12" t="s">
        <v>374</v>
      </c>
      <c r="D35" s="15" t="s">
        <v>54</v>
      </c>
      <c r="E35" s="17">
        <v>4830.36</v>
      </c>
      <c r="F35" s="17">
        <v>3362.25</v>
      </c>
      <c r="G35" s="17">
        <v>487</v>
      </c>
      <c r="H35" s="18">
        <f>IF(AND(ISNUMBER(G35),ISNUMBER(F35),F35&gt;0),G35/F35,"")</f>
        <v>0.1448434827868243</v>
      </c>
      <c r="I35" s="17">
        <v>180.36</v>
      </c>
      <c r="J35" s="13"/>
      <c r="K35" s="13"/>
      <c r="L35" s="20">
        <v>0.1255</v>
      </c>
      <c r="M35" s="13"/>
      <c r="N35" s="20">
        <v>0.01300110136718588</v>
      </c>
      <c r="O35" s="17">
        <v>6.208185326211955</v>
      </c>
      <c r="P35" s="20">
        <v>0.06</v>
      </c>
      <c r="Q35" s="15" t="s">
        <v>636</v>
      </c>
      <c r="R35" s="20">
        <v>0.08500000000000001</v>
      </c>
      <c r="S35" s="12" t="s">
        <v>611</v>
      </c>
      <c r="T35" s="12" t="s">
        <v>621</v>
      </c>
      <c r="U35" s="12" t="s">
        <v>613</v>
      </c>
      <c r="V35" s="12" t="s">
        <v>639</v>
      </c>
      <c r="W35" s="15" t="s">
        <v>628</v>
      </c>
    </row>
    <row r="36" spans="1:23" ht="30" customHeight="1">
      <c r="A36" s="15" t="s">
        <v>407</v>
      </c>
      <c r="B36" s="12" t="s">
        <v>404</v>
      </c>
      <c r="C36" s="12" t="s">
        <v>374</v>
      </c>
      <c r="D36" s="15" t="s">
        <v>609</v>
      </c>
      <c r="E36" s="17">
        <v>221112.91</v>
      </c>
      <c r="F36" s="17">
        <v>340135.97</v>
      </c>
      <c r="G36" s="17">
        <v>15547.1</v>
      </c>
      <c r="H36" s="18">
        <f>IF(AND(ISNUMBER(G36),ISNUMBER(F36),F36&gt;0),G36/F36,"")</f>
        <v>0.04570848534484607</v>
      </c>
      <c r="I36" s="17">
        <v>114039.77</v>
      </c>
      <c r="J36" s="13"/>
      <c r="K36" s="13"/>
      <c r="L36" s="20">
        <v>0.0805</v>
      </c>
      <c r="M36" s="13"/>
      <c r="N36" s="20">
        <v>0.4300330993789553</v>
      </c>
      <c r="O36" s="17">
        <v>4.683231909301308</v>
      </c>
      <c r="P36" s="20">
        <v>0.105</v>
      </c>
      <c r="Q36" s="15" t="s">
        <v>640</v>
      </c>
      <c r="R36" s="20">
        <v>0.07290000000000001</v>
      </c>
      <c r="S36" s="12" t="s">
        <v>611</v>
      </c>
      <c r="T36" s="12" t="s">
        <v>621</v>
      </c>
      <c r="U36" s="12" t="s">
        <v>613</v>
      </c>
      <c r="V36" s="12" t="s">
        <v>641</v>
      </c>
      <c r="W36" s="15" t="s">
        <v>628</v>
      </c>
    </row>
    <row r="37" spans="1:23" ht="30" customHeight="1">
      <c r="A37" s="15" t="s">
        <v>407</v>
      </c>
      <c r="B37" s="12" t="s">
        <v>404</v>
      </c>
      <c r="C37" s="12" t="s">
        <v>374</v>
      </c>
      <c r="D37" s="15" t="s">
        <v>32</v>
      </c>
      <c r="E37" s="17">
        <v>255734.45</v>
      </c>
      <c r="F37" s="17">
        <v>379524.1</v>
      </c>
      <c r="G37" s="17">
        <v>17673.33</v>
      </c>
      <c r="H37" s="18">
        <f>IF(AND(ISNUMBER(G37),ISNUMBER(F37),F37&gt;0),G37/F37,"")</f>
        <v>0.046567082301229364</v>
      </c>
      <c r="I37" s="17">
        <v>129559.34</v>
      </c>
      <c r="J37" s="13"/>
      <c r="K37" s="13"/>
      <c r="L37" s="20">
        <v>0.0775</v>
      </c>
      <c r="M37" s="13"/>
      <c r="N37" s="20">
        <v>0.4988216096814488</v>
      </c>
      <c r="O37" s="17">
        <v>3.952708093884008</v>
      </c>
      <c r="P37" s="20">
        <v>0.12</v>
      </c>
      <c r="Q37" s="15" t="s">
        <v>640</v>
      </c>
      <c r="R37" s="20">
        <v>0.0759</v>
      </c>
      <c r="S37" s="12" t="s">
        <v>611</v>
      </c>
      <c r="T37" s="12" t="s">
        <v>621</v>
      </c>
      <c r="U37" s="12" t="s">
        <v>613</v>
      </c>
      <c r="V37" s="12" t="s">
        <v>642</v>
      </c>
      <c r="W37" s="15" t="s">
        <v>628</v>
      </c>
    </row>
    <row r="38" spans="1:23" ht="30" customHeight="1">
      <c r="A38" s="15" t="s">
        <v>407</v>
      </c>
      <c r="B38" s="12" t="s">
        <v>404</v>
      </c>
      <c r="C38" s="12" t="s">
        <v>374</v>
      </c>
      <c r="D38" s="15" t="s">
        <v>54</v>
      </c>
      <c r="E38" s="17">
        <v>285874.36</v>
      </c>
      <c r="F38" s="17">
        <v>452549.88</v>
      </c>
      <c r="G38" s="17">
        <v>18953.88</v>
      </c>
      <c r="H38" s="18">
        <f>IF(AND(ISNUMBER(G38),ISNUMBER(F38),F38&gt;0),G38/F38,"")</f>
        <v>0.04188241084054646</v>
      </c>
      <c r="I38" s="17">
        <v>121683.02</v>
      </c>
      <c r="J38" s="17">
        <v>129559.34</v>
      </c>
      <c r="K38" s="17">
        <v>9844.16</v>
      </c>
      <c r="L38" s="18">
        <f>IF(AND(ISNUMBER(I38),ISNUMBER(J38),ISNUMBER(K38),SUM(I38:J38)&gt;0),K38/AVERAGE(I38:J38),"")</f>
        <v>0.07836385552181567</v>
      </c>
      <c r="M38" s="17">
        <v>4809.19</v>
      </c>
      <c r="N38" s="13"/>
      <c r="O38" s="13"/>
      <c r="P38" s="13"/>
      <c r="Q38" s="13"/>
      <c r="R38" s="13"/>
      <c r="S38" s="12" t="s">
        <v>381</v>
      </c>
      <c r="T38" s="12" t="s">
        <v>643</v>
      </c>
      <c r="U38" s="12" t="s">
        <v>406</v>
      </c>
      <c r="V38" s="12" t="s">
        <v>644</v>
      </c>
      <c r="W38" s="15" t="s">
        <v>586</v>
      </c>
    </row>
    <row r="39" spans="1:23" ht="30" customHeight="1">
      <c r="A39" s="15" t="s">
        <v>412</v>
      </c>
      <c r="B39" s="12" t="s">
        <v>409</v>
      </c>
      <c r="C39" s="12" t="s">
        <v>374</v>
      </c>
      <c r="D39" s="15" t="s">
        <v>609</v>
      </c>
      <c r="E39" s="17">
        <v>10316.1</v>
      </c>
      <c r="F39" s="17">
        <v>47225.2</v>
      </c>
      <c r="G39" s="17">
        <v>1554.2</v>
      </c>
      <c r="H39" s="18">
        <f>IF(AND(ISNUMBER(G39),ISNUMBER(F39),F39&gt;0),G39/F39,"")</f>
        <v>0.032910395297425954</v>
      </c>
      <c r="I39" s="17">
        <v>7679.9</v>
      </c>
      <c r="J39" s="13"/>
      <c r="K39" s="13"/>
      <c r="L39" s="20">
        <v>0.1272</v>
      </c>
      <c r="M39" s="13"/>
      <c r="N39" s="20">
        <v>0</v>
      </c>
      <c r="O39" s="17">
        <v>6.125314816927113</v>
      </c>
      <c r="P39" s="20">
        <v>0.065</v>
      </c>
      <c r="Q39" s="15" t="s">
        <v>645</v>
      </c>
      <c r="R39" s="20">
        <v>0.08649999999999999</v>
      </c>
      <c r="S39" s="12" t="s">
        <v>611</v>
      </c>
      <c r="T39" s="12" t="s">
        <v>621</v>
      </c>
      <c r="U39" s="12" t="s">
        <v>613</v>
      </c>
      <c r="V39" s="12" t="s">
        <v>646</v>
      </c>
      <c r="W39" s="15" t="s">
        <v>628</v>
      </c>
    </row>
    <row r="40" spans="1:23" ht="30" customHeight="1">
      <c r="A40" s="15" t="s">
        <v>412</v>
      </c>
      <c r="B40" s="12" t="s">
        <v>409</v>
      </c>
      <c r="C40" s="12" t="s">
        <v>374</v>
      </c>
      <c r="D40" s="15" t="s">
        <v>32</v>
      </c>
      <c r="E40" s="17">
        <v>13779.5</v>
      </c>
      <c r="F40" s="17">
        <v>49840.6</v>
      </c>
      <c r="G40" s="17">
        <v>2766.6</v>
      </c>
      <c r="H40" s="18">
        <f>IF(AND(ISNUMBER(G40),ISNUMBER(F40),F40&gt;0),G40/F40,"")</f>
        <v>0.05550896257268171</v>
      </c>
      <c r="I40" s="17">
        <v>7080.4</v>
      </c>
      <c r="J40" s="13"/>
      <c r="K40" s="13"/>
      <c r="L40" s="20">
        <v>0.0958</v>
      </c>
      <c r="M40" s="13"/>
      <c r="N40" s="20">
        <v>0</v>
      </c>
      <c r="O40" s="17">
        <v>5.814487176954082</v>
      </c>
      <c r="P40" s="20">
        <v>0.075</v>
      </c>
      <c r="Q40" s="15" t="s">
        <v>647</v>
      </c>
      <c r="R40" s="20">
        <v>0.0848</v>
      </c>
      <c r="S40" s="12" t="s">
        <v>611</v>
      </c>
      <c r="T40" s="12" t="s">
        <v>621</v>
      </c>
      <c r="U40" s="12" t="s">
        <v>613</v>
      </c>
      <c r="V40" s="12" t="s">
        <v>648</v>
      </c>
      <c r="W40" s="15" t="s">
        <v>628</v>
      </c>
    </row>
    <row r="41" spans="1:23" ht="30" customHeight="1">
      <c r="A41" s="15" t="s">
        <v>412</v>
      </c>
      <c r="B41" s="12" t="s">
        <v>409</v>
      </c>
      <c r="C41" s="12" t="s">
        <v>374</v>
      </c>
      <c r="D41" s="15" t="s">
        <v>54</v>
      </c>
      <c r="E41" s="17">
        <v>16676.2</v>
      </c>
      <c r="F41" s="17">
        <v>58936.6</v>
      </c>
      <c r="G41" s="17">
        <v>3430.7</v>
      </c>
      <c r="H41" s="18">
        <f>IF(AND(ISNUMBER(G41),ISNUMBER(F41),F41&gt;0),G41/F41,"")</f>
        <v>0.05821000872123604</v>
      </c>
      <c r="I41" s="17">
        <v>9883.9</v>
      </c>
      <c r="J41" s="17">
        <v>7080.4</v>
      </c>
      <c r="K41" s="17">
        <v>656.7</v>
      </c>
      <c r="L41" s="18">
        <f>IF(AND(ISNUMBER(I41),ISNUMBER(J41),ISNUMBER(K41),SUM(I41:J41)&gt;0),K41/AVERAGE(I41:J41),"")</f>
        <v>0.07742140848723497</v>
      </c>
      <c r="M41" s="17">
        <v>250.2</v>
      </c>
      <c r="N41" s="13"/>
      <c r="O41" s="13"/>
      <c r="P41" s="13"/>
      <c r="Q41" s="13"/>
      <c r="R41" s="13"/>
      <c r="S41" s="12" t="s">
        <v>381</v>
      </c>
      <c r="T41" s="12" t="s">
        <v>649</v>
      </c>
      <c r="U41" s="12" t="s">
        <v>411</v>
      </c>
      <c r="V41" s="12" t="s">
        <v>650</v>
      </c>
      <c r="W41" s="15" t="s">
        <v>586</v>
      </c>
    </row>
    <row r="42" spans="1:23" ht="30" customHeight="1">
      <c r="A42" s="15" t="s">
        <v>417</v>
      </c>
      <c r="B42" s="12" t="s">
        <v>414</v>
      </c>
      <c r="C42" s="12" t="s">
        <v>374</v>
      </c>
      <c r="D42" s="15" t="s">
        <v>609</v>
      </c>
      <c r="E42" s="17">
        <v>212.09</v>
      </c>
      <c r="F42" s="17">
        <v>4949.26</v>
      </c>
      <c r="G42" s="17">
        <v>98.3</v>
      </c>
      <c r="H42" s="18">
        <f>IF(AND(ISNUMBER(G42),ISNUMBER(F42),F42&gt;0),G42/F42,"")</f>
        <v>0.019861555060756556</v>
      </c>
      <c r="I42" s="17">
        <v>872.77</v>
      </c>
      <c r="J42" s="13"/>
      <c r="K42" s="13"/>
      <c r="L42" s="20">
        <v>0.1267</v>
      </c>
      <c r="M42" s="13"/>
      <c r="N42" s="20">
        <v>0</v>
      </c>
      <c r="O42" s="17">
        <v>4.899433526073284</v>
      </c>
      <c r="P42" s="20">
        <v>0.08500000000000001</v>
      </c>
      <c r="Q42" s="15" t="s">
        <v>651</v>
      </c>
      <c r="R42" s="20">
        <v>0.08799999999999999</v>
      </c>
      <c r="S42" s="12" t="s">
        <v>611</v>
      </c>
      <c r="T42" s="12" t="s">
        <v>621</v>
      </c>
      <c r="U42" s="12" t="s">
        <v>613</v>
      </c>
      <c r="V42" s="12" t="s">
        <v>652</v>
      </c>
      <c r="W42" s="15" t="s">
        <v>628</v>
      </c>
    </row>
    <row r="43" spans="1:23" ht="30" customHeight="1">
      <c r="A43" s="15" t="s">
        <v>417</v>
      </c>
      <c r="B43" s="12" t="s">
        <v>414</v>
      </c>
      <c r="C43" s="12" t="s">
        <v>374</v>
      </c>
      <c r="D43" s="15" t="s">
        <v>32</v>
      </c>
      <c r="E43" s="17">
        <v>372.27</v>
      </c>
      <c r="F43" s="17">
        <v>6420.77</v>
      </c>
      <c r="G43" s="17">
        <v>61.35</v>
      </c>
      <c r="H43" s="18">
        <f>IF(AND(ISNUMBER(G43),ISNUMBER(F43),F43&gt;0),G43/F43,"")</f>
        <v>0.009554928770225377</v>
      </c>
      <c r="I43" s="17">
        <v>1431.74</v>
      </c>
      <c r="J43" s="13"/>
      <c r="K43" s="13"/>
      <c r="L43" s="20">
        <v>0.0927</v>
      </c>
      <c r="M43" s="13"/>
      <c r="N43" s="20">
        <v>0</v>
      </c>
      <c r="O43" s="17">
        <v>4.350976649018078</v>
      </c>
      <c r="P43" s="20">
        <v>0.092</v>
      </c>
      <c r="Q43" s="15" t="s">
        <v>651</v>
      </c>
      <c r="R43" s="20">
        <v>0.0915</v>
      </c>
      <c r="S43" s="12" t="s">
        <v>611</v>
      </c>
      <c r="T43" s="12" t="s">
        <v>621</v>
      </c>
      <c r="U43" s="12" t="s">
        <v>613</v>
      </c>
      <c r="V43" s="12" t="s">
        <v>653</v>
      </c>
      <c r="W43" s="15" t="s">
        <v>628</v>
      </c>
    </row>
    <row r="44" spans="1:23" ht="30" customHeight="1">
      <c r="A44" s="15" t="s">
        <v>417</v>
      </c>
      <c r="B44" s="12" t="s">
        <v>414</v>
      </c>
      <c r="C44" s="12" t="s">
        <v>374</v>
      </c>
      <c r="D44" s="15" t="s">
        <v>54</v>
      </c>
      <c r="E44" s="17">
        <v>1178.3144</v>
      </c>
      <c r="F44" s="17">
        <v>8294.8271</v>
      </c>
      <c r="G44" s="17">
        <v>298.1651</v>
      </c>
      <c r="H44" s="18">
        <f>IF(AND(ISNUMBER(G44),ISNUMBER(F44),F44&gt;0),G44/F44,"")</f>
        <v>0.03594590898706014</v>
      </c>
      <c r="I44" s="17">
        <v>645.2515</v>
      </c>
      <c r="J44" s="17">
        <v>1431.743</v>
      </c>
      <c r="K44" s="17">
        <v>10.9078</v>
      </c>
      <c r="L44" s="18">
        <f>IF(AND(ISNUMBER(I44),ISNUMBER(J44),ISNUMBER(K44),SUM(I44:J44)&gt;0),K44/AVERAGE(I44:J44),"")</f>
        <v>0.010503446205562894</v>
      </c>
      <c r="M44" s="17">
        <v>18.1386</v>
      </c>
      <c r="N44" s="13"/>
      <c r="O44" s="13"/>
      <c r="P44" s="13"/>
      <c r="Q44" s="13"/>
      <c r="R44" s="13"/>
      <c r="S44" s="12" t="s">
        <v>381</v>
      </c>
      <c r="T44" s="12" t="s">
        <v>654</v>
      </c>
      <c r="U44" s="12" t="s">
        <v>416</v>
      </c>
      <c r="V44" s="12" t="s">
        <v>655</v>
      </c>
      <c r="W44" s="15" t="s">
        <v>586</v>
      </c>
    </row>
    <row r="45" spans="1:23" ht="30" customHeight="1">
      <c r="A45" s="15" t="s">
        <v>422</v>
      </c>
      <c r="B45" s="12" t="s">
        <v>419</v>
      </c>
      <c r="C45" s="12" t="s">
        <v>374</v>
      </c>
      <c r="D45" s="15" t="s">
        <v>32</v>
      </c>
      <c r="E45" s="17">
        <v>12038.5724</v>
      </c>
      <c r="F45" s="17">
        <v>13640.9521</v>
      </c>
      <c r="G45" s="17">
        <v>557.4246000000001</v>
      </c>
      <c r="H45" s="18">
        <f>IF(AND(ISNUMBER(G45),ISNUMBER(F45),F45&gt;0),G45/F45,"")</f>
        <v>0.040864053763519925</v>
      </c>
      <c r="I45" s="17">
        <v>0</v>
      </c>
      <c r="J45" s="17">
        <v>0</v>
      </c>
      <c r="K45" s="17">
        <v>0.0616</v>
      </c>
      <c r="L45" s="18">
        <f>IF(AND(ISNUMBER(I45),ISNUMBER(J45),ISNUMBER(K45),SUM(I45:J45)&gt;0),K45/AVERAGE(I45:J45),"")</f>
        <v/>
      </c>
      <c r="M45" s="17">
        <v>319.8098</v>
      </c>
      <c r="N45" s="13"/>
      <c r="O45" s="13"/>
      <c r="P45" s="13"/>
      <c r="Q45" s="13"/>
      <c r="R45" s="13"/>
      <c r="S45" s="12" t="s">
        <v>381</v>
      </c>
      <c r="T45" s="12" t="s">
        <v>656</v>
      </c>
      <c r="U45" s="12" t="s">
        <v>421</v>
      </c>
      <c r="V45" s="12" t="s">
        <v>657</v>
      </c>
      <c r="W45" s="15" t="s">
        <v>586</v>
      </c>
    </row>
    <row r="46" spans="1:23" ht="30" customHeight="1">
      <c r="A46" s="15" t="s">
        <v>427</v>
      </c>
      <c r="B46" s="12" t="s">
        <v>424</v>
      </c>
      <c r="C46" s="12" t="s">
        <v>374</v>
      </c>
      <c r="D46" s="15" t="s">
        <v>609</v>
      </c>
      <c r="E46" s="17">
        <v>20844.96</v>
      </c>
      <c r="F46" s="17">
        <v>18097.38</v>
      </c>
      <c r="G46" s="17">
        <v>740.41</v>
      </c>
      <c r="H46" s="18">
        <f>IF(AND(ISNUMBER(G46),ISNUMBER(F46),F46&gt;0),G46/F46,"")</f>
        <v>0.04091255198266268</v>
      </c>
      <c r="I46" s="17">
        <v>980.02</v>
      </c>
      <c r="J46" s="13"/>
      <c r="K46" s="13"/>
      <c r="L46" s="20">
        <v>0.6088</v>
      </c>
      <c r="M46" s="13"/>
      <c r="N46" s="20">
        <v>0.002157835755021837</v>
      </c>
      <c r="O46" s="17">
        <v>2.304233192598812</v>
      </c>
      <c r="P46" s="20">
        <v>0.062</v>
      </c>
      <c r="Q46" s="15" t="s">
        <v>658</v>
      </c>
      <c r="R46" s="20">
        <v>0.08840000000000001</v>
      </c>
      <c r="S46" s="12" t="s">
        <v>611</v>
      </c>
      <c r="T46" s="12" t="s">
        <v>612</v>
      </c>
      <c r="U46" s="12" t="s">
        <v>613</v>
      </c>
      <c r="V46" s="12" t="s">
        <v>659</v>
      </c>
      <c r="W46" s="15" t="s">
        <v>615</v>
      </c>
    </row>
    <row r="47" spans="1:23" ht="30" customHeight="1">
      <c r="A47" s="15" t="s">
        <v>427</v>
      </c>
      <c r="B47" s="12" t="s">
        <v>424</v>
      </c>
      <c r="C47" s="12" t="s">
        <v>374</v>
      </c>
      <c r="D47" s="15" t="s">
        <v>32</v>
      </c>
      <c r="E47" s="17">
        <v>22199.36</v>
      </c>
      <c r="F47" s="17">
        <v>21006.38</v>
      </c>
      <c r="G47" s="17">
        <v>868.25</v>
      </c>
      <c r="H47" s="18">
        <f>IF(AND(ISNUMBER(G47),ISNUMBER(F47),F47&gt;0),G47/F47,"")</f>
        <v>0.0413326808331564</v>
      </c>
      <c r="I47" s="17">
        <v>1593.58</v>
      </c>
      <c r="J47" s="13"/>
      <c r="K47" s="13"/>
      <c r="L47" s="20">
        <v>0.5285</v>
      </c>
      <c r="M47" s="13"/>
      <c r="N47" s="20">
        <v>0.001660408227984951</v>
      </c>
      <c r="O47" s="17">
        <v>2.050298302952106</v>
      </c>
      <c r="P47" s="20">
        <v>0.07099999999999999</v>
      </c>
      <c r="Q47" s="15" t="s">
        <v>651</v>
      </c>
      <c r="R47" s="20">
        <v>0.0878</v>
      </c>
      <c r="S47" s="12" t="s">
        <v>611</v>
      </c>
      <c r="T47" s="12" t="s">
        <v>612</v>
      </c>
      <c r="U47" s="12" t="s">
        <v>613</v>
      </c>
      <c r="V47" s="12" t="s">
        <v>660</v>
      </c>
      <c r="W47" s="15" t="s">
        <v>615</v>
      </c>
    </row>
    <row r="48" spans="1:23" ht="30" customHeight="1">
      <c r="A48" s="15" t="s">
        <v>427</v>
      </c>
      <c r="B48" s="12" t="s">
        <v>424</v>
      </c>
      <c r="C48" s="12" t="s">
        <v>374</v>
      </c>
      <c r="D48" s="15" t="s">
        <v>54</v>
      </c>
      <c r="E48" s="17">
        <v>20823</v>
      </c>
      <c r="F48" s="17">
        <v>26006.07</v>
      </c>
      <c r="G48" s="17">
        <v>723.96</v>
      </c>
      <c r="H48" s="18">
        <f>IF(AND(ISNUMBER(G48),ISNUMBER(F48),F48&gt;0),G48/F48,"")</f>
        <v>0.027838116255166585</v>
      </c>
      <c r="I48" s="17">
        <v>3457</v>
      </c>
      <c r="J48" s="17">
        <v>1593.58</v>
      </c>
      <c r="K48" s="17">
        <v>745.29</v>
      </c>
      <c r="L48" s="18">
        <f>IF(AND(ISNUMBER(I48),ISNUMBER(J48),ISNUMBER(K48),SUM(I48:J48)&gt;0),K48/AVERAGE(I48:J48),"")</f>
        <v>0.29513046026396966</v>
      </c>
      <c r="M48" s="17">
        <v>955.3099999999999</v>
      </c>
      <c r="N48" s="13"/>
      <c r="O48" s="13"/>
      <c r="P48" s="13"/>
      <c r="Q48" s="13"/>
      <c r="R48" s="13"/>
      <c r="S48" s="12" t="s">
        <v>381</v>
      </c>
      <c r="T48" s="12" t="s">
        <v>616</v>
      </c>
      <c r="U48" s="12" t="s">
        <v>426</v>
      </c>
      <c r="V48" s="12" t="s">
        <v>661</v>
      </c>
      <c r="W48" s="15" t="s">
        <v>586</v>
      </c>
    </row>
    <row r="49" spans="1:23" ht="30" customHeight="1">
      <c r="A49" s="15" t="s">
        <v>102</v>
      </c>
      <c r="B49" s="12" t="s">
        <v>97</v>
      </c>
      <c r="C49" s="12" t="s">
        <v>98</v>
      </c>
      <c r="D49" s="15" t="s">
        <v>32</v>
      </c>
      <c r="E49" s="17">
        <v>20789.1</v>
      </c>
      <c r="F49" s="17">
        <v>25412.61</v>
      </c>
      <c r="G49" s="17">
        <v>2402.27</v>
      </c>
      <c r="H49" s="18">
        <f>IF(AND(ISNUMBER(G49),ISNUMBER(F49),F49&gt;0),G49/F49,"")</f>
        <v>0.09453062869181875</v>
      </c>
      <c r="I49" s="17">
        <v>0</v>
      </c>
      <c r="J49" s="17">
        <v>0</v>
      </c>
      <c r="K49" s="17">
        <v>108.22</v>
      </c>
      <c r="L49" s="18">
        <f>IF(AND(ISNUMBER(I49),ISNUMBER(J49),ISNUMBER(K49),SUM(I49:J49)&gt;0),K49/AVERAGE(I49:J49),"")</f>
        <v/>
      </c>
      <c r="M49" s="17">
        <v>1968.44</v>
      </c>
      <c r="N49" s="13"/>
      <c r="O49" s="13"/>
      <c r="P49" s="13"/>
      <c r="Q49" s="13"/>
      <c r="R49" s="13"/>
      <c r="S49" s="12" t="s">
        <v>104</v>
      </c>
      <c r="T49" s="12" t="s">
        <v>662</v>
      </c>
      <c r="U49" s="12" t="s">
        <v>101</v>
      </c>
      <c r="V49" s="12" t="s">
        <v>663</v>
      </c>
      <c r="W49" s="15" t="s">
        <v>586</v>
      </c>
    </row>
    <row r="50" spans="1:23" ht="30" customHeight="1">
      <c r="A50" s="15" t="s">
        <v>109</v>
      </c>
      <c r="B50" s="12" t="s">
        <v>105</v>
      </c>
      <c r="C50" s="12" t="s">
        <v>98</v>
      </c>
      <c r="D50" s="15" t="s">
        <v>32</v>
      </c>
      <c r="E50" s="17">
        <v>33697.7</v>
      </c>
      <c r="F50" s="17">
        <v>80945.41</v>
      </c>
      <c r="G50" s="17">
        <v>5158.41</v>
      </c>
      <c r="H50" s="18">
        <f>IF(AND(ISNUMBER(G50),ISNUMBER(F50),F50&gt;0),G50/F50,"")</f>
        <v>0.0637270229405225</v>
      </c>
      <c r="I50" s="17">
        <v>26.82</v>
      </c>
      <c r="J50" s="17">
        <v>36.78</v>
      </c>
      <c r="K50" s="17">
        <v>215.94</v>
      </c>
      <c r="L50" s="18">
        <f>IF(AND(ISNUMBER(I50),ISNUMBER(J50),ISNUMBER(K50),SUM(I50:J50)&gt;0),K50/AVERAGE(I50:J50),"")</f>
        <v>6.790566037735849</v>
      </c>
      <c r="M50" s="17">
        <v>8687.049999999999</v>
      </c>
      <c r="N50" s="13"/>
      <c r="O50" s="13"/>
      <c r="P50" s="13"/>
      <c r="Q50" s="13"/>
      <c r="R50" s="13"/>
      <c r="S50" s="12" t="s">
        <v>104</v>
      </c>
      <c r="T50" s="12" t="s">
        <v>664</v>
      </c>
      <c r="U50" s="12" t="s">
        <v>108</v>
      </c>
      <c r="V50" s="12" t="s">
        <v>665</v>
      </c>
      <c r="W50" s="15" t="s">
        <v>586</v>
      </c>
    </row>
    <row r="51" spans="1:23" ht="30" customHeight="1">
      <c r="A51" s="15" t="s">
        <v>115</v>
      </c>
      <c r="B51" s="12" t="s">
        <v>111</v>
      </c>
      <c r="C51" s="12" t="s">
        <v>98</v>
      </c>
      <c r="D51" s="15" t="s">
        <v>54</v>
      </c>
      <c r="E51" s="17">
        <v>14804</v>
      </c>
      <c r="F51" s="17">
        <v>33312</v>
      </c>
      <c r="G51" s="17">
        <v>1157</v>
      </c>
      <c r="H51" s="18">
        <f>IF(AND(ISNUMBER(G51),ISNUMBER(F51),F51&gt;0),G51/F51,"")</f>
        <v>0.034732228626320846</v>
      </c>
      <c r="I51" s="17">
        <v>6752</v>
      </c>
      <c r="J51" s="17">
        <v>5258</v>
      </c>
      <c r="K51" s="17">
        <v>480</v>
      </c>
      <c r="L51" s="18">
        <f>IF(AND(ISNUMBER(I51),ISNUMBER(J51),ISNUMBER(K51),SUM(I51:J51)&gt;0),K51/AVERAGE(I51:J51),"")</f>
        <v>0.07993338884263114</v>
      </c>
      <c r="M51" s="17">
        <v>2056</v>
      </c>
      <c r="N51" s="13"/>
      <c r="O51" s="13"/>
      <c r="P51" s="13"/>
      <c r="Q51" s="13"/>
      <c r="R51" s="13"/>
      <c r="S51" s="12" t="s">
        <v>104</v>
      </c>
      <c r="T51" s="12" t="s">
        <v>666</v>
      </c>
      <c r="U51" s="12" t="s">
        <v>114</v>
      </c>
      <c r="V51" s="12" t="s">
        <v>667</v>
      </c>
      <c r="W51" s="15" t="s">
        <v>586</v>
      </c>
    </row>
    <row r="52" spans="1:23" ht="30" customHeight="1">
      <c r="A52" s="15" t="s">
        <v>121</v>
      </c>
      <c r="B52" s="12" t="s">
        <v>117</v>
      </c>
      <c r="C52" s="12" t="s">
        <v>98</v>
      </c>
      <c r="D52" s="15" t="s">
        <v>54</v>
      </c>
      <c r="E52" s="17">
        <v>13722.3</v>
      </c>
      <c r="F52" s="17">
        <v>18499.97</v>
      </c>
      <c r="G52" s="17">
        <v>987.99</v>
      </c>
      <c r="H52" s="18">
        <f>IF(AND(ISNUMBER(G52),ISNUMBER(F52),F52&gt;0),G52/F52,"")</f>
        <v>0.053404951467488866</v>
      </c>
      <c r="I52" s="17">
        <v>6073.63</v>
      </c>
      <c r="J52" s="17">
        <v>5895.53</v>
      </c>
      <c r="K52" s="17">
        <v>424.27</v>
      </c>
      <c r="L52" s="18">
        <f>IF(AND(ISNUMBER(I52),ISNUMBER(J52),ISNUMBER(K52),SUM(I52:J52)&gt;0),K52/AVERAGE(I52:J52),"")</f>
        <v>0.07089386389688165</v>
      </c>
      <c r="M52" s="17">
        <v>2266.45</v>
      </c>
      <c r="N52" s="13"/>
      <c r="O52" s="13"/>
      <c r="P52" s="13"/>
      <c r="Q52" s="13"/>
      <c r="R52" s="13"/>
      <c r="S52" s="12" t="s">
        <v>104</v>
      </c>
      <c r="T52" s="12" t="s">
        <v>668</v>
      </c>
      <c r="U52" s="12" t="s">
        <v>120</v>
      </c>
      <c r="V52" s="12" t="s">
        <v>669</v>
      </c>
      <c r="W52" s="15" t="s">
        <v>586</v>
      </c>
    </row>
    <row r="53" spans="1:23" ht="30" customHeight="1">
      <c r="A53" s="15" t="s">
        <v>127</v>
      </c>
      <c r="B53" s="12" t="s">
        <v>123</v>
      </c>
      <c r="C53" s="12" t="s">
        <v>98</v>
      </c>
      <c r="D53" s="15" t="s">
        <v>54</v>
      </c>
      <c r="E53" s="17">
        <v>6512.46</v>
      </c>
      <c r="F53" s="17">
        <v>14535.48</v>
      </c>
      <c r="G53" s="17">
        <v>-798.78</v>
      </c>
      <c r="H53" s="18">
        <f>IF(AND(ISNUMBER(G53),ISNUMBER(F53),F53&gt;0),G53/F53,"")</f>
        <v>-0.054953809574915996</v>
      </c>
      <c r="I53" s="17">
        <v>4081.61</v>
      </c>
      <c r="J53" s="17">
        <v>6166.55</v>
      </c>
      <c r="K53" s="17">
        <v>377.96</v>
      </c>
      <c r="L53" s="18">
        <f>IF(AND(ISNUMBER(I53),ISNUMBER(J53),ISNUMBER(K53),SUM(I53:J53)&gt;0),K53/AVERAGE(I53:J53),"")</f>
        <v>0.07376153377777084</v>
      </c>
      <c r="M53" s="17">
        <v>1961.52</v>
      </c>
      <c r="N53" s="13"/>
      <c r="O53" s="13"/>
      <c r="P53" s="13"/>
      <c r="Q53" s="13"/>
      <c r="R53" s="13"/>
      <c r="S53" s="12" t="s">
        <v>104</v>
      </c>
      <c r="T53" s="12" t="s">
        <v>670</v>
      </c>
      <c r="U53" s="12" t="s">
        <v>126</v>
      </c>
      <c r="V53" s="12" t="s">
        <v>671</v>
      </c>
      <c r="W53" s="15" t="s">
        <v>586</v>
      </c>
    </row>
    <row r="54" spans="1:23" ht="30" customHeight="1">
      <c r="A54" s="15" t="s">
        <v>133</v>
      </c>
      <c r="B54" s="12" t="s">
        <v>129</v>
      </c>
      <c r="C54" s="12" t="s">
        <v>98</v>
      </c>
      <c r="D54" s="15" t="s">
        <v>54</v>
      </c>
      <c r="E54" s="17">
        <v>20943.47</v>
      </c>
      <c r="F54" s="17">
        <v>31475.69</v>
      </c>
      <c r="G54" s="17">
        <v>1748.66</v>
      </c>
      <c r="H54" s="18">
        <f>IF(AND(ISNUMBER(G54),ISNUMBER(F54),F54&gt;0),G54/F54,"")</f>
        <v>0.05555589091136684</v>
      </c>
      <c r="I54" s="17">
        <v>1593.72</v>
      </c>
      <c r="J54" s="17">
        <v>816.92</v>
      </c>
      <c r="K54" s="17">
        <v>211.72</v>
      </c>
      <c r="L54" s="18">
        <f>IF(AND(ISNUMBER(I54),ISNUMBER(J54),ISNUMBER(K54),SUM(I54:J54)&gt;0),K54/AVERAGE(I54:J54),"")</f>
        <v>0.17565459794909236</v>
      </c>
      <c r="M54" s="17">
        <v>1909.16</v>
      </c>
      <c r="N54" s="13"/>
      <c r="O54" s="13"/>
      <c r="P54" s="13"/>
      <c r="Q54" s="13"/>
      <c r="R54" s="13"/>
      <c r="S54" s="12" t="s">
        <v>104</v>
      </c>
      <c r="T54" s="12" t="s">
        <v>672</v>
      </c>
      <c r="U54" s="12" t="s">
        <v>132</v>
      </c>
      <c r="V54" s="12" t="s">
        <v>673</v>
      </c>
      <c r="W54" s="15" t="s">
        <v>586</v>
      </c>
    </row>
    <row r="55" spans="1:23" ht="30" customHeight="1">
      <c r="A55" s="15" t="s">
        <v>139</v>
      </c>
      <c r="B55" s="12" t="s">
        <v>135</v>
      </c>
      <c r="C55" s="12" t="s">
        <v>98</v>
      </c>
      <c r="D55" s="15" t="s">
        <v>54</v>
      </c>
      <c r="E55" s="17">
        <v>88511.53</v>
      </c>
      <c r="F55" s="17">
        <v>141376.05</v>
      </c>
      <c r="G55" s="17">
        <v>8188.35</v>
      </c>
      <c r="H55" s="18">
        <f>IF(AND(ISNUMBER(G55),ISNUMBER(F55),F55&gt;0),G55/F55,"")</f>
        <v>0.057918933228082135</v>
      </c>
      <c r="I55" s="17">
        <v>22780.66</v>
      </c>
      <c r="J55" s="17">
        <v>23030.99</v>
      </c>
      <c r="K55" s="17">
        <v>1871.71</v>
      </c>
      <c r="L55" s="18">
        <f>IF(AND(ISNUMBER(I55),ISNUMBER(J55),ISNUMBER(K55),SUM(I55:J55)&gt;0),K55/AVERAGE(I55:J55),"")</f>
        <v>0.08171327598984102</v>
      </c>
      <c r="M55" s="17">
        <v>9677.77</v>
      </c>
      <c r="N55" s="13"/>
      <c r="O55" s="13"/>
      <c r="P55" s="13"/>
      <c r="Q55" s="13"/>
      <c r="R55" s="13"/>
      <c r="S55" s="12" t="s">
        <v>104</v>
      </c>
      <c r="T55" s="12" t="s">
        <v>674</v>
      </c>
      <c r="U55" s="12" t="s">
        <v>138</v>
      </c>
      <c r="V55" s="12" t="s">
        <v>675</v>
      </c>
      <c r="W55" s="15" t="s">
        <v>586</v>
      </c>
    </row>
    <row r="56" spans="1:23" ht="30" customHeight="1">
      <c r="A56" s="15" t="s">
        <v>212</v>
      </c>
      <c r="B56" s="12" t="s">
        <v>206</v>
      </c>
      <c r="C56" s="12" t="s">
        <v>207</v>
      </c>
      <c r="D56" s="15" t="s">
        <v>32</v>
      </c>
      <c r="E56" s="17">
        <v>16646.2</v>
      </c>
      <c r="F56" s="17">
        <v>11406.71</v>
      </c>
      <c r="G56" s="17">
        <v>1649.39</v>
      </c>
      <c r="H56" s="18">
        <f>IF(AND(ISNUMBER(G56),ISNUMBER(F56),F56&gt;0),G56/F56,"")</f>
        <v>0.1445982233264456</v>
      </c>
      <c r="I56" s="17">
        <v>82.33</v>
      </c>
      <c r="J56" s="17">
        <v>1853.55</v>
      </c>
      <c r="K56" s="17">
        <v>48.42</v>
      </c>
      <c r="L56" s="18">
        <f>IF(AND(ISNUMBER(I56),ISNUMBER(J56),ISNUMBER(K56),SUM(I56:J56)&gt;0),K56/AVERAGE(I56:J56),"")</f>
        <v>0.050023761803417575</v>
      </c>
      <c r="M56" s="17">
        <v>572.95</v>
      </c>
      <c r="N56" s="13"/>
      <c r="O56" s="13"/>
      <c r="P56" s="13"/>
      <c r="Q56" s="13"/>
      <c r="R56" s="13"/>
      <c r="S56" s="12" t="s">
        <v>216</v>
      </c>
      <c r="T56" s="12" t="s">
        <v>676</v>
      </c>
      <c r="U56" s="12" t="s">
        <v>211</v>
      </c>
      <c r="V56" s="12" t="s">
        <v>677</v>
      </c>
      <c r="W56" s="15" t="s">
        <v>586</v>
      </c>
    </row>
    <row r="57" spans="1:23" ht="30" customHeight="1">
      <c r="A57" s="15" t="s">
        <v>221</v>
      </c>
      <c r="B57" s="12" t="s">
        <v>217</v>
      </c>
      <c r="C57" s="12" t="s">
        <v>207</v>
      </c>
      <c r="D57" s="15" t="s">
        <v>54</v>
      </c>
      <c r="E57" s="17">
        <v>31479.54</v>
      </c>
      <c r="F57" s="17">
        <v>24503.43</v>
      </c>
      <c r="G57" s="17">
        <v>1898.14</v>
      </c>
      <c r="H57" s="18">
        <f>IF(AND(ISNUMBER(G57),ISNUMBER(F57),F57&gt;0),G57/F57,"")</f>
        <v>0.07746425704483005</v>
      </c>
      <c r="I57" s="17">
        <v>867.2</v>
      </c>
      <c r="J57" s="17">
        <v>232.23</v>
      </c>
      <c r="K57" s="17">
        <v>342.59</v>
      </c>
      <c r="L57" s="18">
        <f>IF(AND(ISNUMBER(I57),ISNUMBER(J57),ISNUMBER(K57),SUM(I57:J57)&gt;0),K57/AVERAGE(I57:J57),"")</f>
        <v>0.6232138471753544</v>
      </c>
      <c r="M57" s="17">
        <v>1540.47</v>
      </c>
      <c r="N57" s="13"/>
      <c r="O57" s="13"/>
      <c r="P57" s="13"/>
      <c r="Q57" s="13"/>
      <c r="R57" s="13"/>
      <c r="S57" s="12" t="s">
        <v>216</v>
      </c>
      <c r="T57" s="12" t="s">
        <v>678</v>
      </c>
      <c r="U57" s="12" t="s">
        <v>220</v>
      </c>
      <c r="V57" s="12" t="s">
        <v>679</v>
      </c>
      <c r="W57" s="15" t="s">
        <v>586</v>
      </c>
    </row>
    <row r="58" spans="1:23" ht="30" customHeight="1">
      <c r="A58" s="15" t="s">
        <v>227</v>
      </c>
      <c r="B58" s="12" t="s">
        <v>223</v>
      </c>
      <c r="C58" s="12" t="s">
        <v>207</v>
      </c>
      <c r="D58" s="15" t="s">
        <v>32</v>
      </c>
      <c r="E58" s="17">
        <v>12741.32</v>
      </c>
      <c r="F58" s="17">
        <v>12732.23</v>
      </c>
      <c r="G58" s="17">
        <v>604.27</v>
      </c>
      <c r="H58" s="18">
        <f>IF(AND(ISNUMBER(G58),ISNUMBER(F58),F58&gt;0),G58/F58,"")</f>
        <v>0.047459871522898975</v>
      </c>
      <c r="I58" s="17">
        <v>2408.19</v>
      </c>
      <c r="J58" s="17">
        <v>2082.63</v>
      </c>
      <c r="K58" s="17">
        <v>152.82</v>
      </c>
      <c r="L58" s="18">
        <f>IF(AND(ISNUMBER(I58),ISNUMBER(J58),ISNUMBER(K58),SUM(I58:J58)&gt;0),K58/AVERAGE(I58:J58),"")</f>
        <v>0.06805884003366869</v>
      </c>
      <c r="M58" s="17">
        <v>858.78</v>
      </c>
      <c r="N58" s="13"/>
      <c r="O58" s="13"/>
      <c r="P58" s="13"/>
      <c r="Q58" s="13"/>
      <c r="R58" s="13"/>
      <c r="S58" s="12" t="s">
        <v>216</v>
      </c>
      <c r="T58" s="12" t="s">
        <v>680</v>
      </c>
      <c r="U58" s="12" t="s">
        <v>226</v>
      </c>
      <c r="V58" s="12" t="s">
        <v>681</v>
      </c>
      <c r="W58" s="15" t="s">
        <v>586</v>
      </c>
    </row>
    <row r="59" spans="1:23" ht="30" customHeight="1">
      <c r="A59" s="15" t="s">
        <v>227</v>
      </c>
      <c r="B59" s="12" t="s">
        <v>223</v>
      </c>
      <c r="C59" s="12" t="s">
        <v>207</v>
      </c>
      <c r="D59" s="15" t="s">
        <v>54</v>
      </c>
      <c r="E59" s="17">
        <v>14263.91</v>
      </c>
      <c r="F59" s="17">
        <v>14136.75</v>
      </c>
      <c r="G59" s="17">
        <v>855.98</v>
      </c>
      <c r="H59" s="18">
        <f>IF(AND(ISNUMBER(G59),ISNUMBER(F59),F59&gt;0),G59/F59,"")</f>
        <v>0.0605499849682565</v>
      </c>
      <c r="I59" s="17">
        <v>2812.49</v>
      </c>
      <c r="J59" s="17">
        <v>2408.19</v>
      </c>
      <c r="K59" s="17">
        <v>175.66</v>
      </c>
      <c r="L59" s="18">
        <f>IF(AND(ISNUMBER(I59),ISNUMBER(J59),ISNUMBER(K59),SUM(I59:J59)&gt;0),K59/AVERAGE(I59:J59),"")</f>
        <v>0.06729391573511496</v>
      </c>
      <c r="M59" s="17">
        <v>887.3099999999999</v>
      </c>
      <c r="N59" s="13"/>
      <c r="O59" s="13"/>
      <c r="P59" s="13"/>
      <c r="Q59" s="13"/>
      <c r="R59" s="13"/>
      <c r="S59" s="12" t="s">
        <v>216</v>
      </c>
      <c r="T59" s="12" t="s">
        <v>682</v>
      </c>
      <c r="U59" s="12" t="s">
        <v>683</v>
      </c>
      <c r="V59" s="12" t="s">
        <v>681</v>
      </c>
      <c r="W59" s="15" t="s">
        <v>586</v>
      </c>
    </row>
    <row r="60" spans="1:23" ht="30" customHeight="1">
      <c r="A60" s="15" t="s">
        <v>233</v>
      </c>
      <c r="B60" s="12" t="s">
        <v>229</v>
      </c>
      <c r="C60" s="12" t="s">
        <v>207</v>
      </c>
      <c r="D60" s="15" t="s">
        <v>32</v>
      </c>
      <c r="E60" s="17">
        <v>9533.957700000001</v>
      </c>
      <c r="F60" s="17">
        <v>14369.009</v>
      </c>
      <c r="G60" s="17">
        <v>591.1556</v>
      </c>
      <c r="H60" s="18">
        <f>IF(AND(ISNUMBER(G60),ISNUMBER(F60),F60&gt;0),G60/F60,"")</f>
        <v>0.04114101396971775</v>
      </c>
      <c r="I60" s="17">
        <v>0</v>
      </c>
      <c r="J60" s="17">
        <v>2.5045</v>
      </c>
      <c r="K60" s="17">
        <v>10.0875</v>
      </c>
      <c r="L60" s="18">
        <f>IF(AND(ISNUMBER(I60),ISNUMBER(J60),ISNUMBER(K60),SUM(I60:J60)&gt;0),K60/AVERAGE(I60:J60),"")</f>
        <v>8.055500099820323</v>
      </c>
      <c r="M60" s="17">
        <v>379.5386</v>
      </c>
      <c r="N60" s="13"/>
      <c r="O60" s="13"/>
      <c r="P60" s="13"/>
      <c r="Q60" s="13"/>
      <c r="R60" s="13"/>
      <c r="S60" s="12" t="s">
        <v>216</v>
      </c>
      <c r="T60" s="12" t="s">
        <v>684</v>
      </c>
      <c r="U60" s="12" t="s">
        <v>232</v>
      </c>
      <c r="V60" s="12" t="s">
        <v>685</v>
      </c>
      <c r="W60" s="15" t="s">
        <v>586</v>
      </c>
    </row>
    <row r="61" spans="1:23" ht="30" customHeight="1">
      <c r="A61" s="15" t="s">
        <v>248</v>
      </c>
      <c r="B61" s="12" t="s">
        <v>244</v>
      </c>
      <c r="C61" s="12" t="s">
        <v>207</v>
      </c>
      <c r="D61" s="15" t="s">
        <v>32</v>
      </c>
      <c r="E61" s="17">
        <v>720.1677</v>
      </c>
      <c r="F61" s="17">
        <v>619.5029</v>
      </c>
      <c r="G61" s="17">
        <v>1.3991</v>
      </c>
      <c r="H61" s="18">
        <f>IF(AND(ISNUMBER(G61),ISNUMBER(F61),F61&gt;0),G61/F61,"")</f>
        <v>0.002258423649025695</v>
      </c>
      <c r="I61" s="17">
        <v>312.8013</v>
      </c>
      <c r="J61" s="17">
        <v>309.0579</v>
      </c>
      <c r="K61" s="17">
        <v>29.807</v>
      </c>
      <c r="L61" s="18">
        <f>IF(AND(ISNUMBER(I61),ISNUMBER(J61),ISNUMBER(K61),SUM(I61:J61)&gt;0),K61/AVERAGE(I61:J61),"")</f>
        <v>0.09586414416639649</v>
      </c>
      <c r="M61" s="17">
        <v>4.7881</v>
      </c>
      <c r="N61" s="13"/>
      <c r="O61" s="13"/>
      <c r="P61" s="13"/>
      <c r="Q61" s="13"/>
      <c r="R61" s="13"/>
      <c r="S61" s="12" t="s">
        <v>250</v>
      </c>
      <c r="T61" s="12" t="s">
        <v>686</v>
      </c>
      <c r="U61" s="12" t="s">
        <v>247</v>
      </c>
      <c r="V61" s="12" t="s">
        <v>687</v>
      </c>
      <c r="W61" s="15" t="s">
        <v>586</v>
      </c>
    </row>
    <row r="62" spans="1:23" ht="30" customHeight="1">
      <c r="A62" s="15" t="s">
        <v>248</v>
      </c>
      <c r="B62" s="12" t="s">
        <v>244</v>
      </c>
      <c r="C62" s="12" t="s">
        <v>207</v>
      </c>
      <c r="D62" s="15" t="s">
        <v>54</v>
      </c>
      <c r="E62" s="17">
        <v>1001.6294</v>
      </c>
      <c r="F62" s="17">
        <v>681.5299</v>
      </c>
      <c r="G62" s="17">
        <v>64.5979</v>
      </c>
      <c r="H62" s="18">
        <f>IF(AND(ISNUMBER(G62),ISNUMBER(F62),F62&gt;0),G62/F62,"")</f>
        <v>0.09478366246293815</v>
      </c>
      <c r="I62" s="17">
        <v>301.3005</v>
      </c>
      <c r="J62" s="17">
        <v>312.8013</v>
      </c>
      <c r="K62" s="17">
        <v>32.8955</v>
      </c>
      <c r="L62" s="18">
        <f>IF(AND(ISNUMBER(I62),ISNUMBER(J62),ISNUMBER(K62),SUM(I62:J62)&gt;0),K62/AVERAGE(I62:J62),"")</f>
        <v>0.10713370323943032</v>
      </c>
      <c r="M62" s="17">
        <v>8.956799999999999</v>
      </c>
      <c r="N62" s="13"/>
      <c r="O62" s="13"/>
      <c r="P62" s="13"/>
      <c r="Q62" s="13"/>
      <c r="R62" s="13"/>
      <c r="S62" s="12" t="s">
        <v>250</v>
      </c>
      <c r="T62" s="12" t="s">
        <v>688</v>
      </c>
      <c r="U62" s="12" t="s">
        <v>689</v>
      </c>
      <c r="V62" s="12" t="s">
        <v>690</v>
      </c>
      <c r="W62" s="15" t="s">
        <v>586</v>
      </c>
    </row>
    <row r="63" spans="1:23" ht="30" customHeight="1">
      <c r="A63" s="15" t="s">
        <v>255</v>
      </c>
      <c r="B63" s="12" t="s">
        <v>251</v>
      </c>
      <c r="C63" s="12" t="s">
        <v>207</v>
      </c>
      <c r="D63" s="15" t="s">
        <v>54</v>
      </c>
      <c r="E63" s="17">
        <v>2418.0011</v>
      </c>
      <c r="F63" s="17">
        <v>1640.705</v>
      </c>
      <c r="G63" s="17">
        <v>180.1469</v>
      </c>
      <c r="H63" s="18">
        <f>IF(AND(ISNUMBER(G63),ISNUMBER(F63),F63&gt;0),G63/F63,"")</f>
        <v>0.10979847077932961</v>
      </c>
      <c r="I63" s="17">
        <v>732.5424</v>
      </c>
      <c r="J63" s="17">
        <v>375.2775</v>
      </c>
      <c r="K63" s="17">
        <v>38.7412</v>
      </c>
      <c r="L63" s="18">
        <f>IF(AND(ISNUMBER(I63),ISNUMBER(J63),ISNUMBER(K63),SUM(I63:J63)&gt;0),K63/AVERAGE(I63:J63),"")</f>
        <v>0.06994133252164905</v>
      </c>
      <c r="M63" s="17">
        <v>113.3846</v>
      </c>
      <c r="N63" s="13"/>
      <c r="O63" s="13"/>
      <c r="P63" s="13"/>
      <c r="Q63" s="13"/>
      <c r="R63" s="13"/>
      <c r="S63" s="12" t="s">
        <v>250</v>
      </c>
      <c r="T63" s="12" t="s">
        <v>691</v>
      </c>
      <c r="U63" s="12" t="s">
        <v>254</v>
      </c>
      <c r="V63" s="12" t="s">
        <v>692</v>
      </c>
      <c r="W63" s="15" t="s">
        <v>586</v>
      </c>
    </row>
    <row r="64" spans="1:23" ht="30" customHeight="1">
      <c r="A64" s="15" t="s">
        <v>262</v>
      </c>
      <c r="B64" s="12" t="s">
        <v>259</v>
      </c>
      <c r="C64" s="12" t="s">
        <v>207</v>
      </c>
      <c r="D64" s="15" t="s">
        <v>54</v>
      </c>
      <c r="E64" s="17">
        <v>1866.9803</v>
      </c>
      <c r="F64" s="17">
        <v>1682.4324</v>
      </c>
      <c r="G64" s="17">
        <v>150.1824</v>
      </c>
      <c r="H64" s="18">
        <f>IF(AND(ISNUMBER(G64),ISNUMBER(F64),F64&gt;0),G64/F64,"")</f>
        <v>0.08926504268462733</v>
      </c>
      <c r="I64" s="17">
        <v>855.4053</v>
      </c>
      <c r="J64" s="17">
        <v>317.8608</v>
      </c>
      <c r="K64" s="17">
        <v>32.3653</v>
      </c>
      <c r="L64" s="18">
        <f>IF(AND(ISNUMBER(I64),ISNUMBER(J64),ISNUMBER(K64),SUM(I64:J64)&gt;0),K64/AVERAGE(I64:J64),"")</f>
        <v>0.05517128637740406</v>
      </c>
      <c r="M64" s="17">
        <v>398.5561</v>
      </c>
      <c r="N64" s="13"/>
      <c r="O64" s="13"/>
      <c r="P64" s="13"/>
      <c r="Q64" s="13"/>
      <c r="R64" s="13"/>
      <c r="S64" s="12" t="s">
        <v>250</v>
      </c>
      <c r="T64" s="12" t="s">
        <v>693</v>
      </c>
      <c r="U64" s="12" t="s">
        <v>261</v>
      </c>
      <c r="V64" s="12" t="s">
        <v>694</v>
      </c>
      <c r="W64" s="15" t="s">
        <v>586</v>
      </c>
    </row>
    <row r="65" spans="1:23" ht="30" customHeight="1">
      <c r="A65" s="15" t="s">
        <v>267</v>
      </c>
      <c r="B65" s="12" t="s">
        <v>264</v>
      </c>
      <c r="C65" s="12" t="s">
        <v>207</v>
      </c>
      <c r="D65" s="15" t="s">
        <v>54</v>
      </c>
      <c r="E65" s="17">
        <v>2300.35</v>
      </c>
      <c r="F65" s="17">
        <v>2332.55</v>
      </c>
      <c r="G65" s="17">
        <v>80.42</v>
      </c>
      <c r="H65" s="18">
        <f>IF(AND(ISNUMBER(G65),ISNUMBER(F65),F65&gt;0),G65/F65,"")</f>
        <v>0.03447728880409852</v>
      </c>
      <c r="I65" s="17">
        <v>634.24</v>
      </c>
      <c r="J65" s="17">
        <v>664.16</v>
      </c>
      <c r="K65" s="17">
        <v>58.85</v>
      </c>
      <c r="L65" s="18">
        <f>IF(AND(ISNUMBER(I65),ISNUMBER(J65),ISNUMBER(K65),SUM(I65:J65)&gt;0),K65/AVERAGE(I65:J65),"")</f>
        <v>0.09065003080714726</v>
      </c>
      <c r="M65" s="17">
        <v>16.66</v>
      </c>
      <c r="N65" s="13"/>
      <c r="O65" s="13"/>
      <c r="P65" s="13"/>
      <c r="Q65" s="13"/>
      <c r="R65" s="13"/>
      <c r="S65" s="12" t="s">
        <v>250</v>
      </c>
      <c r="T65" s="12" t="s">
        <v>695</v>
      </c>
      <c r="U65" s="12" t="s">
        <v>266</v>
      </c>
      <c r="V65" s="12" t="s">
        <v>696</v>
      </c>
      <c r="W65" s="15" t="s">
        <v>586</v>
      </c>
    </row>
    <row r="66" spans="1:23" ht="30" customHeight="1">
      <c r="A66" s="15" t="s">
        <v>272</v>
      </c>
      <c r="B66" s="12" t="s">
        <v>269</v>
      </c>
      <c r="C66" s="12" t="s">
        <v>207</v>
      </c>
      <c r="D66" s="15" t="s">
        <v>32</v>
      </c>
      <c r="E66" s="17">
        <v>3331.8959</v>
      </c>
      <c r="F66" s="17">
        <v>2332.5262</v>
      </c>
      <c r="G66" s="17">
        <v>143.7127</v>
      </c>
      <c r="H66" s="18">
        <f>IF(AND(ISNUMBER(G66),ISNUMBER(F66),F66&gt;0),G66/F66,"")</f>
        <v>0.061612469776330926</v>
      </c>
      <c r="I66" s="17">
        <v>722.6721</v>
      </c>
      <c r="J66" s="17">
        <v>1019.4473</v>
      </c>
      <c r="K66" s="17">
        <v>76.39579999999999</v>
      </c>
      <c r="L66" s="18">
        <f>IF(AND(ISNUMBER(I66),ISNUMBER(J66),ISNUMBER(K66),SUM(I66:J66)&gt;0),K66/AVERAGE(I66:J66),"")</f>
        <v>0.08770443633197586</v>
      </c>
      <c r="M66" s="17">
        <v>88.9798</v>
      </c>
      <c r="N66" s="13"/>
      <c r="O66" s="13"/>
      <c r="P66" s="13"/>
      <c r="Q66" s="13"/>
      <c r="R66" s="13"/>
      <c r="S66" s="12" t="s">
        <v>250</v>
      </c>
      <c r="T66" s="12" t="s">
        <v>697</v>
      </c>
      <c r="U66" s="12" t="s">
        <v>271</v>
      </c>
      <c r="V66" s="12" t="s">
        <v>698</v>
      </c>
      <c r="W66" s="15" t="s">
        <v>586</v>
      </c>
    </row>
    <row r="67" spans="1:23" ht="30" customHeight="1">
      <c r="A67" s="15" t="s">
        <v>278</v>
      </c>
      <c r="B67" s="12" t="s">
        <v>274</v>
      </c>
      <c r="C67" s="12" t="s">
        <v>207</v>
      </c>
      <c r="D67" s="15" t="s">
        <v>32</v>
      </c>
      <c r="E67" s="17">
        <v>19794.5</v>
      </c>
      <c r="F67" s="17">
        <v>9310.870000000001</v>
      </c>
      <c r="G67" s="17">
        <v>183.98</v>
      </c>
      <c r="H67" s="18">
        <f>IF(AND(ISNUMBER(G67),ISNUMBER(F67),F67&gt;0),G67/F67,"")</f>
        <v>0.019759700221354176</v>
      </c>
      <c r="I67" s="17">
        <v>1995.77</v>
      </c>
      <c r="J67" s="17">
        <v>4088.33</v>
      </c>
      <c r="K67" s="17">
        <v>225.68</v>
      </c>
      <c r="L67" s="18">
        <f>IF(AND(ISNUMBER(I67),ISNUMBER(J67),ISNUMBER(K67),SUM(I67:J67)&gt;0),K67/AVERAGE(I67:J67),"")</f>
        <v>0.0741868148123798</v>
      </c>
      <c r="M67" s="17">
        <v>204.03</v>
      </c>
      <c r="N67" s="13"/>
      <c r="O67" s="13"/>
      <c r="P67" s="13"/>
      <c r="Q67" s="13"/>
      <c r="R67" s="13"/>
      <c r="S67" s="12" t="s">
        <v>216</v>
      </c>
      <c r="T67" s="12" t="s">
        <v>699</v>
      </c>
      <c r="U67" s="12" t="s">
        <v>277</v>
      </c>
      <c r="V67" s="12" t="s">
        <v>700</v>
      </c>
      <c r="W67" s="15" t="s">
        <v>586</v>
      </c>
    </row>
    <row r="68" spans="1:23" ht="30" customHeight="1">
      <c r="A68" s="15" t="s">
        <v>278</v>
      </c>
      <c r="B68" s="12" t="s">
        <v>274</v>
      </c>
      <c r="C68" s="12" t="s">
        <v>207</v>
      </c>
      <c r="D68" s="15" t="s">
        <v>54</v>
      </c>
      <c r="E68" s="17">
        <v>21514.18</v>
      </c>
      <c r="F68" s="17">
        <v>11724.31</v>
      </c>
      <c r="G68" s="17">
        <v>211.49</v>
      </c>
      <c r="H68" s="18">
        <f>IF(AND(ISNUMBER(G68),ISNUMBER(F68),F68&gt;0),G68/F68,"")</f>
        <v>0.018038588198367324</v>
      </c>
      <c r="I68" s="17">
        <v>3959.25</v>
      </c>
      <c r="J68" s="17">
        <v>1995.77</v>
      </c>
      <c r="K68" s="17">
        <v>249.33</v>
      </c>
      <c r="L68" s="18">
        <f>IF(AND(ISNUMBER(I68),ISNUMBER(J68),ISNUMBER(K68),SUM(I68:J68)&gt;0),K68/AVERAGE(I68:J68),"")</f>
        <v>0.08373775402937353</v>
      </c>
      <c r="M68" s="17">
        <v>227.86</v>
      </c>
      <c r="N68" s="13"/>
      <c r="O68" s="13"/>
      <c r="P68" s="13"/>
      <c r="Q68" s="13"/>
      <c r="R68" s="13"/>
      <c r="S68" s="12" t="s">
        <v>216</v>
      </c>
      <c r="T68" s="12" t="s">
        <v>701</v>
      </c>
      <c r="U68" s="12" t="s">
        <v>702</v>
      </c>
      <c r="V68" s="12" t="s">
        <v>703</v>
      </c>
      <c r="W68" s="15" t="s">
        <v>586</v>
      </c>
    </row>
    <row r="69" spans="1:23" ht="30" customHeight="1">
      <c r="A69" s="15" t="s">
        <v>289</v>
      </c>
      <c r="B69" s="12" t="s">
        <v>286</v>
      </c>
      <c r="C69" s="12" t="s">
        <v>207</v>
      </c>
      <c r="D69" s="15" t="s">
        <v>32</v>
      </c>
      <c r="E69" s="17">
        <v>16933.64</v>
      </c>
      <c r="F69" s="17">
        <v>11266.63</v>
      </c>
      <c r="G69" s="17">
        <v>242.45</v>
      </c>
      <c r="H69" s="18">
        <f>IF(AND(ISNUMBER(G69),ISNUMBER(F69),F69&gt;0),G69/F69,"")</f>
        <v>0.021519300802458233</v>
      </c>
      <c r="I69" s="17">
        <v>2751.92</v>
      </c>
      <c r="J69" s="17">
        <v>3283.25</v>
      </c>
      <c r="K69" s="17">
        <v>253.68</v>
      </c>
      <c r="L69" s="18">
        <f>IF(AND(ISNUMBER(I69),ISNUMBER(J69),ISNUMBER(K69),SUM(I69:J69)&gt;0),K69/AVERAGE(I69:J69),"")</f>
        <v>0.08406722594392536</v>
      </c>
      <c r="M69" s="17">
        <v>827.34</v>
      </c>
      <c r="N69" s="13"/>
      <c r="O69" s="13"/>
      <c r="P69" s="13"/>
      <c r="Q69" s="13"/>
      <c r="R69" s="13"/>
      <c r="S69" s="12" t="s">
        <v>216</v>
      </c>
      <c r="T69" s="12" t="s">
        <v>704</v>
      </c>
      <c r="U69" s="12" t="s">
        <v>288</v>
      </c>
      <c r="V69" s="12" t="s">
        <v>705</v>
      </c>
      <c r="W69" s="15" t="s">
        <v>586</v>
      </c>
    </row>
    <row r="70" spans="1:23" ht="30" customHeight="1">
      <c r="A70" s="15" t="s">
        <v>294</v>
      </c>
      <c r="B70" s="12" t="s">
        <v>291</v>
      </c>
      <c r="C70" s="12" t="s">
        <v>207</v>
      </c>
      <c r="D70" s="15" t="s">
        <v>32</v>
      </c>
      <c r="E70" s="17">
        <v>3086.33</v>
      </c>
      <c r="F70" s="17">
        <v>2284.84</v>
      </c>
      <c r="G70" s="17">
        <v>155.62</v>
      </c>
      <c r="H70" s="18">
        <f>IF(AND(ISNUMBER(G70),ISNUMBER(F70),F70&gt;0),G70/F70,"")</f>
        <v>0.06810980199926471</v>
      </c>
      <c r="I70" s="17">
        <v>715.99</v>
      </c>
      <c r="J70" s="17">
        <v>464.43</v>
      </c>
      <c r="K70" s="17">
        <v>55.04</v>
      </c>
      <c r="L70" s="18">
        <f>IF(AND(ISNUMBER(I70),ISNUMBER(J70),ISNUMBER(K70),SUM(I70:J70)&gt;0),K70/AVERAGE(I70:J70),"")</f>
        <v>0.09325494315582589</v>
      </c>
      <c r="M70" s="17">
        <v>252.66</v>
      </c>
      <c r="N70" s="13"/>
      <c r="O70" s="13"/>
      <c r="P70" s="13"/>
      <c r="Q70" s="13"/>
      <c r="R70" s="13"/>
      <c r="S70" s="12" t="s">
        <v>216</v>
      </c>
      <c r="T70" s="12" t="s">
        <v>706</v>
      </c>
      <c r="U70" s="12" t="s">
        <v>293</v>
      </c>
      <c r="V70" s="12" t="s">
        <v>707</v>
      </c>
      <c r="W70" s="15" t="s">
        <v>586</v>
      </c>
    </row>
    <row r="71" spans="1:23" ht="30" customHeight="1">
      <c r="A71" s="15" t="s">
        <v>300</v>
      </c>
      <c r="B71" s="12" t="s">
        <v>296</v>
      </c>
      <c r="C71" s="12" t="s">
        <v>207</v>
      </c>
      <c r="D71" s="15" t="s">
        <v>32</v>
      </c>
      <c r="E71" s="17">
        <v>14693.07</v>
      </c>
      <c r="F71" s="17">
        <v>21557.12</v>
      </c>
      <c r="G71" s="17">
        <v>1250.78</v>
      </c>
      <c r="H71" s="18">
        <f>IF(AND(ISNUMBER(G71),ISNUMBER(F71),F71&gt;0),G71/F71,"")</f>
        <v>0.05802166523171927</v>
      </c>
      <c r="I71" s="17">
        <v>4641.24</v>
      </c>
      <c r="J71" s="17">
        <v>4920.24</v>
      </c>
      <c r="K71" s="17">
        <v>375.96</v>
      </c>
      <c r="L71" s="18">
        <f>IF(AND(ISNUMBER(I71),ISNUMBER(J71),ISNUMBER(K71),SUM(I71:J71)&gt;0),K71/AVERAGE(I71:J71),"")</f>
        <v>0.07864054518756511</v>
      </c>
      <c r="M71" s="17">
        <v>1231.45</v>
      </c>
      <c r="N71" s="13"/>
      <c r="O71" s="13"/>
      <c r="P71" s="13"/>
      <c r="Q71" s="13"/>
      <c r="R71" s="13"/>
      <c r="S71" s="12" t="s">
        <v>216</v>
      </c>
      <c r="T71" s="12" t="s">
        <v>708</v>
      </c>
      <c r="U71" s="12" t="s">
        <v>299</v>
      </c>
      <c r="V71" s="12" t="s">
        <v>709</v>
      </c>
      <c r="W71" s="15" t="s">
        <v>586</v>
      </c>
    </row>
    <row r="72" spans="1:23" ht="30" customHeight="1">
      <c r="A72" s="15" t="s">
        <v>300</v>
      </c>
      <c r="B72" s="12" t="s">
        <v>296</v>
      </c>
      <c r="C72" s="12" t="s">
        <v>207</v>
      </c>
      <c r="D72" s="15" t="s">
        <v>54</v>
      </c>
      <c r="E72" s="17">
        <v>15786.51</v>
      </c>
      <c r="F72" s="17">
        <v>24146.67</v>
      </c>
      <c r="G72" s="17">
        <v>1835.18</v>
      </c>
      <c r="H72" s="18">
        <f>IF(AND(ISNUMBER(G72),ISNUMBER(F72),F72&gt;0),G72/F72,"")</f>
        <v>0.07600136996115821</v>
      </c>
      <c r="I72" s="17">
        <v>5004.33</v>
      </c>
      <c r="J72" s="17">
        <v>4641.24</v>
      </c>
      <c r="K72" s="17">
        <v>278.04</v>
      </c>
      <c r="L72" s="18">
        <f>IF(AND(ISNUMBER(I72),ISNUMBER(J72),ISNUMBER(K72),SUM(I72:J72)&gt;0),K72/AVERAGE(I72:J72),"")</f>
        <v>0.05765133631293952</v>
      </c>
      <c r="M72" s="17">
        <v>1815.31</v>
      </c>
      <c r="N72" s="13"/>
      <c r="O72" s="13"/>
      <c r="P72" s="13"/>
      <c r="Q72" s="13"/>
      <c r="R72" s="13"/>
      <c r="S72" s="12" t="s">
        <v>216</v>
      </c>
      <c r="T72" s="12" t="s">
        <v>710</v>
      </c>
      <c r="U72" s="12" t="s">
        <v>299</v>
      </c>
      <c r="V72" s="12" t="s">
        <v>709</v>
      </c>
      <c r="W72" s="15" t="s">
        <v>586</v>
      </c>
    </row>
    <row r="73" spans="1:23" ht="30" customHeight="1">
      <c r="A73" s="15" t="s">
        <v>284</v>
      </c>
      <c r="B73" s="12" t="s">
        <v>280</v>
      </c>
      <c r="C73" s="12" t="s">
        <v>711</v>
      </c>
      <c r="D73" s="15" t="s">
        <v>32</v>
      </c>
      <c r="E73" s="17">
        <v>7977.8</v>
      </c>
      <c r="F73" s="17">
        <v>12276.7</v>
      </c>
      <c r="G73" s="17">
        <v>1660.2</v>
      </c>
      <c r="H73" s="18">
        <f>IF(AND(ISNUMBER(G73),ISNUMBER(F73),F73&gt;0),G73/F73,"")</f>
        <v>0.13523178052734042</v>
      </c>
      <c r="I73" s="17">
        <v>111.7</v>
      </c>
      <c r="J73" s="17">
        <v>127.9</v>
      </c>
      <c r="K73" s="17">
        <v>33</v>
      </c>
      <c r="L73" s="18">
        <f>IF(AND(ISNUMBER(I73),ISNUMBER(J73),ISNUMBER(K73),SUM(I73:J73)&gt;0),K73/AVERAGE(I73:J73),"")</f>
        <v>0.2754590984974958</v>
      </c>
      <c r="M73" s="17">
        <v>850</v>
      </c>
      <c r="N73" s="13"/>
      <c r="O73" s="13"/>
      <c r="P73" s="13"/>
      <c r="Q73" s="13"/>
      <c r="R73" s="13"/>
      <c r="S73" s="12" t="s">
        <v>216</v>
      </c>
      <c r="T73" s="12" t="s">
        <v>712</v>
      </c>
      <c r="U73" s="12" t="s">
        <v>283</v>
      </c>
      <c r="V73" s="12" t="s">
        <v>713</v>
      </c>
      <c r="W73" s="15" t="s">
        <v>586</v>
      </c>
    </row>
    <row r="74" spans="1:23" ht="30" customHeight="1">
      <c r="A74" s="15" t="s">
        <v>39</v>
      </c>
      <c r="B74" s="12" t="s">
        <v>28</v>
      </c>
      <c r="C74" s="12" t="s">
        <v>29</v>
      </c>
      <c r="D74" s="15" t="s">
        <v>32</v>
      </c>
      <c r="E74" s="17">
        <v>5375.7286</v>
      </c>
      <c r="F74" s="17">
        <v>6157.2166</v>
      </c>
      <c r="G74" s="17">
        <v>812.9908</v>
      </c>
      <c r="H74" s="18">
        <f>IF(AND(ISNUMBER(G74),ISNUMBER(F74),F74&gt;0),G74/F74,"")</f>
        <v>0.1320386877408211</v>
      </c>
      <c r="I74" s="17">
        <v>308.5909</v>
      </c>
      <c r="J74" s="17">
        <v>51.627</v>
      </c>
      <c r="K74" s="17">
        <v>55.3919</v>
      </c>
      <c r="L74" s="18">
        <f>IF(AND(ISNUMBER(I74),ISNUMBER(J74),ISNUMBER(K74),SUM(I74:J74)&gt;0),K74/AVERAGE(I74:J74),"")</f>
        <v>0.30754662663904264</v>
      </c>
      <c r="M74" s="17">
        <v>535.1079999999999</v>
      </c>
      <c r="N74" s="13"/>
      <c r="O74" s="13"/>
      <c r="P74" s="13"/>
      <c r="Q74" s="13"/>
      <c r="R74" s="13"/>
      <c r="S74" s="12" t="s">
        <v>45</v>
      </c>
      <c r="T74" s="12" t="s">
        <v>714</v>
      </c>
      <c r="U74" s="12" t="s">
        <v>38</v>
      </c>
      <c r="V74" s="12" t="s">
        <v>715</v>
      </c>
      <c r="W74" s="15" t="s">
        <v>586</v>
      </c>
    </row>
    <row r="75" spans="1:23" ht="30" customHeight="1">
      <c r="A75" s="15" t="s">
        <v>51</v>
      </c>
      <c r="B75" s="12" t="s">
        <v>46</v>
      </c>
      <c r="C75" s="12" t="s">
        <v>29</v>
      </c>
      <c r="D75" s="15" t="s">
        <v>32</v>
      </c>
      <c r="E75" s="17">
        <v>39312.21</v>
      </c>
      <c r="F75" s="17">
        <v>36158.05</v>
      </c>
      <c r="G75" s="17">
        <v>2499.72</v>
      </c>
      <c r="H75" s="18">
        <f>IF(AND(ISNUMBER(G75),ISNUMBER(F75),F75&gt;0),G75/F75,"")</f>
        <v>0.06913315292168686</v>
      </c>
      <c r="I75" s="17">
        <v>6297.73</v>
      </c>
      <c r="J75" s="17">
        <v>5948.19</v>
      </c>
      <c r="K75" s="17">
        <v>611.64</v>
      </c>
      <c r="L75" s="18">
        <f>IF(AND(ISNUMBER(I75),ISNUMBER(J75),ISNUMBER(K75),SUM(I75:J75)&gt;0),K75/AVERAGE(I75:J75),"")</f>
        <v>0.09989286227576206</v>
      </c>
      <c r="M75" s="17">
        <v>1885.46</v>
      </c>
      <c r="N75" s="13"/>
      <c r="O75" s="13"/>
      <c r="P75" s="13"/>
      <c r="Q75" s="13"/>
      <c r="R75" s="13"/>
      <c r="S75" s="12" t="s">
        <v>45</v>
      </c>
      <c r="T75" s="12" t="s">
        <v>714</v>
      </c>
      <c r="U75" s="12" t="s">
        <v>50</v>
      </c>
      <c r="V75" s="12" t="s">
        <v>716</v>
      </c>
      <c r="W75" s="15" t="s">
        <v>586</v>
      </c>
    </row>
    <row r="76" spans="1:23" ht="30" customHeight="1">
      <c r="A76" s="15" t="s">
        <v>58</v>
      </c>
      <c r="B76" s="12" t="s">
        <v>53</v>
      </c>
      <c r="C76" s="12" t="s">
        <v>29</v>
      </c>
      <c r="D76" s="15" t="s">
        <v>32</v>
      </c>
      <c r="E76" s="17">
        <v>50129</v>
      </c>
      <c r="F76" s="17">
        <v>85766</v>
      </c>
      <c r="G76" s="17">
        <v>2846</v>
      </c>
      <c r="H76" s="18">
        <f>IF(AND(ISNUMBER(G76),ISNUMBER(F76),F76&gt;0),G76/F76,"")</f>
        <v>0.0331833127346501</v>
      </c>
      <c r="I76" s="17">
        <v>18406</v>
      </c>
      <c r="J76" s="13"/>
      <c r="K76" s="17">
        <v>1312</v>
      </c>
      <c r="L76" s="13"/>
      <c r="M76" s="13"/>
      <c r="N76" s="20">
        <v>0.0524516746793273</v>
      </c>
      <c r="O76" s="13"/>
      <c r="P76" s="20">
        <v>0.0321</v>
      </c>
      <c r="Q76" s="13"/>
      <c r="R76" s="13"/>
      <c r="S76" s="12" t="s">
        <v>717</v>
      </c>
      <c r="T76" s="12" t="s">
        <v>718</v>
      </c>
      <c r="U76" s="12" t="s">
        <v>719</v>
      </c>
      <c r="V76" s="12" t="s">
        <v>720</v>
      </c>
      <c r="W76" s="15" t="s">
        <v>594</v>
      </c>
    </row>
    <row r="77" spans="1:23" ht="30" customHeight="1">
      <c r="A77" s="15" t="s">
        <v>58</v>
      </c>
      <c r="B77" s="12" t="s">
        <v>53</v>
      </c>
      <c r="C77" s="12" t="s">
        <v>29</v>
      </c>
      <c r="D77" s="15" t="s">
        <v>54</v>
      </c>
      <c r="E77" s="17">
        <v>53224.92</v>
      </c>
      <c r="F77" s="17">
        <v>97761.77</v>
      </c>
      <c r="G77" s="17">
        <v>3360.87</v>
      </c>
      <c r="H77" s="18">
        <f>IF(AND(ISNUMBER(G77),ISNUMBER(F77),F77&gt;0),G77/F77,"")</f>
        <v>0.03437816234300995</v>
      </c>
      <c r="I77" s="17">
        <v>22037.86</v>
      </c>
      <c r="J77" s="17">
        <v>17841.96</v>
      </c>
      <c r="K77" s="17">
        <v>1516.64</v>
      </c>
      <c r="L77" s="18">
        <f>IF(AND(ISNUMBER(I77),ISNUMBER(J77),ISNUMBER(K77),SUM(I77:J77)&gt;0),K77/AVERAGE(I77:J77),"")</f>
        <v>0.07606052384388896</v>
      </c>
      <c r="M77" s="17">
        <v>9574.15</v>
      </c>
      <c r="N77" s="13"/>
      <c r="O77" s="13"/>
      <c r="P77" s="13"/>
      <c r="Q77" s="13"/>
      <c r="R77" s="13"/>
      <c r="S77" s="12" t="s">
        <v>45</v>
      </c>
      <c r="T77" s="12" t="s">
        <v>721</v>
      </c>
      <c r="U77" s="12" t="s">
        <v>57</v>
      </c>
      <c r="V77" s="12" t="s">
        <v>722</v>
      </c>
      <c r="W77" s="15" t="s">
        <v>586</v>
      </c>
    </row>
    <row r="78" spans="1:23" ht="30" customHeight="1">
      <c r="A78" s="15" t="s">
        <v>64</v>
      </c>
      <c r="B78" s="12" t="s">
        <v>60</v>
      </c>
      <c r="C78" s="12" t="s">
        <v>29</v>
      </c>
      <c r="D78" s="15" t="s">
        <v>32</v>
      </c>
      <c r="E78" s="17">
        <v>168824</v>
      </c>
      <c r="F78" s="17">
        <v>240445</v>
      </c>
      <c r="G78" s="17">
        <v>3491</v>
      </c>
      <c r="H78" s="18">
        <f>IF(AND(ISNUMBER(G78),ISNUMBER(F78),F78&gt;0),G78/F78,"")</f>
        <v>0.014518912849092309</v>
      </c>
      <c r="I78" s="17">
        <v>98752</v>
      </c>
      <c r="J78" s="13"/>
      <c r="K78" s="17">
        <v>8412</v>
      </c>
      <c r="L78" s="13"/>
      <c r="M78" s="13"/>
      <c r="N78" s="20">
        <v>0.047558404018386</v>
      </c>
      <c r="O78" s="13"/>
      <c r="P78" s="20">
        <v>0.0202</v>
      </c>
      <c r="Q78" s="13"/>
      <c r="R78" s="13"/>
      <c r="S78" s="12" t="s">
        <v>717</v>
      </c>
      <c r="T78" s="12" t="s">
        <v>718</v>
      </c>
      <c r="U78" s="12" t="s">
        <v>719</v>
      </c>
      <c r="V78" s="12" t="s">
        <v>723</v>
      </c>
      <c r="W78" s="15" t="s">
        <v>594</v>
      </c>
    </row>
    <row r="79" spans="1:23" ht="30" customHeight="1">
      <c r="A79" s="15" t="s">
        <v>64</v>
      </c>
      <c r="B79" s="12" t="s">
        <v>60</v>
      </c>
      <c r="C79" s="12" t="s">
        <v>29</v>
      </c>
      <c r="D79" s="15" t="s">
        <v>54</v>
      </c>
      <c r="E79" s="17">
        <v>185470</v>
      </c>
      <c r="F79" s="17">
        <v>269676</v>
      </c>
      <c r="G79" s="17">
        <v>25508</v>
      </c>
      <c r="H79" s="18">
        <f>IF(AND(ISNUMBER(G79),ISNUMBER(F79),F79&gt;0),G79/F79,"")</f>
        <v>0.09458757916907697</v>
      </c>
      <c r="I79" s="17">
        <v>95532</v>
      </c>
      <c r="J79" s="17">
        <v>95957</v>
      </c>
      <c r="K79" s="17">
        <v>9102</v>
      </c>
      <c r="L79" s="18">
        <f>IF(AND(ISNUMBER(I79),ISNUMBER(J79),ISNUMBER(K79),SUM(I79:J79)&gt;0),K79/AVERAGE(I79:J79),"")</f>
        <v>0.09506551290152437</v>
      </c>
      <c r="M79" s="17">
        <v>14654</v>
      </c>
      <c r="N79" s="13"/>
      <c r="O79" s="13"/>
      <c r="P79" s="13"/>
      <c r="Q79" s="13"/>
      <c r="R79" s="13"/>
      <c r="S79" s="12" t="s">
        <v>45</v>
      </c>
      <c r="T79" s="12" t="s">
        <v>714</v>
      </c>
      <c r="U79" s="12" t="s">
        <v>63</v>
      </c>
      <c r="V79" s="12" t="s">
        <v>724</v>
      </c>
      <c r="W79" s="15" t="s">
        <v>586</v>
      </c>
    </row>
    <row r="80" spans="1:23" ht="30" customHeight="1">
      <c r="A80" s="15" t="s">
        <v>70</v>
      </c>
      <c r="B80" s="12" t="s">
        <v>66</v>
      </c>
      <c r="C80" s="12" t="s">
        <v>29</v>
      </c>
      <c r="D80" s="15" t="s">
        <v>32</v>
      </c>
      <c r="E80" s="17">
        <v>1982</v>
      </c>
      <c r="F80" s="17">
        <v>2732</v>
      </c>
      <c r="G80" s="17">
        <v>256</v>
      </c>
      <c r="H80" s="18">
        <f>IF(AND(ISNUMBER(G80),ISNUMBER(F80),F80&gt;0),G80/F80,"")</f>
        <v>0.09370424597364568</v>
      </c>
      <c r="I80" s="17">
        <v>438</v>
      </c>
      <c r="J80" s="13"/>
      <c r="K80" s="17">
        <v>19</v>
      </c>
      <c r="L80" s="13"/>
      <c r="M80" s="13"/>
      <c r="N80" s="20">
        <v>0.00704793138244198</v>
      </c>
      <c r="O80" s="13"/>
      <c r="P80" s="13"/>
      <c r="Q80" s="13"/>
      <c r="R80" s="13"/>
      <c r="S80" s="12" t="s">
        <v>725</v>
      </c>
      <c r="T80" s="12" t="s">
        <v>718</v>
      </c>
      <c r="U80" s="12" t="s">
        <v>719</v>
      </c>
      <c r="V80" s="12" t="s">
        <v>726</v>
      </c>
      <c r="W80" s="15" t="s">
        <v>727</v>
      </c>
    </row>
    <row r="81" spans="1:23" ht="30" customHeight="1">
      <c r="A81" s="15" t="s">
        <v>70</v>
      </c>
      <c r="B81" s="12" t="s">
        <v>66</v>
      </c>
      <c r="C81" s="12" t="s">
        <v>29</v>
      </c>
      <c r="D81" s="15" t="s">
        <v>54</v>
      </c>
      <c r="E81" s="17">
        <v>1845.607</v>
      </c>
      <c r="F81" s="17">
        <v>2995.763</v>
      </c>
      <c r="G81" s="17">
        <v>257.867</v>
      </c>
      <c r="H81" s="18">
        <f>IF(AND(ISNUMBER(G81),ISNUMBER(F81),F81&gt;0),G81/F81,"")</f>
        <v>0.08607723641689947</v>
      </c>
      <c r="I81" s="17">
        <v>475.026</v>
      </c>
      <c r="J81" s="17">
        <v>437.597</v>
      </c>
      <c r="K81" s="17">
        <v>8.638</v>
      </c>
      <c r="L81" s="18">
        <f>IF(AND(ISNUMBER(I81),ISNUMBER(J81),ISNUMBER(K81),SUM(I81:J81)&gt;0),K81/AVERAGE(I81:J81),"")</f>
        <v>0.01893005107256775</v>
      </c>
      <c r="M81" s="17">
        <v>61.44</v>
      </c>
      <c r="N81" s="13"/>
      <c r="O81" s="13"/>
      <c r="P81" s="13"/>
      <c r="Q81" s="13"/>
      <c r="R81" s="13"/>
      <c r="S81" s="12" t="s">
        <v>45</v>
      </c>
      <c r="T81" s="12" t="s">
        <v>714</v>
      </c>
      <c r="U81" s="12" t="s">
        <v>69</v>
      </c>
      <c r="V81" s="12" t="s">
        <v>728</v>
      </c>
      <c r="W81" s="15" t="s">
        <v>586</v>
      </c>
    </row>
    <row r="82" spans="1:23" ht="30" customHeight="1">
      <c r="A82" s="15" t="s">
        <v>77</v>
      </c>
      <c r="B82" s="12" t="s">
        <v>72</v>
      </c>
      <c r="C82" s="12" t="s">
        <v>29</v>
      </c>
      <c r="D82" s="15" t="s">
        <v>32</v>
      </c>
      <c r="E82" s="17">
        <v>8503.049999999999</v>
      </c>
      <c r="F82" s="17">
        <v>28469.74</v>
      </c>
      <c r="G82" s="17">
        <v>-2373.78</v>
      </c>
      <c r="H82" s="18">
        <f>IF(AND(ISNUMBER(G82),ISNUMBER(F82),F82&gt;0),G82/F82,"")</f>
        <v>-0.08337905439248831</v>
      </c>
      <c r="I82" s="17">
        <v>5897.64</v>
      </c>
      <c r="J82" s="17">
        <v>6651.77</v>
      </c>
      <c r="K82" s="17">
        <v>651.9400000000001</v>
      </c>
      <c r="L82" s="18">
        <f>IF(AND(ISNUMBER(I82),ISNUMBER(J82),ISNUMBER(K82),SUM(I82:J82)&gt;0),K82/AVERAGE(I82:J82),"")</f>
        <v>0.10389970524510715</v>
      </c>
      <c r="M82" s="13"/>
      <c r="N82" s="13"/>
      <c r="O82" s="13"/>
      <c r="P82" s="13"/>
      <c r="Q82" s="13"/>
      <c r="R82" s="13"/>
      <c r="S82" s="12" t="s">
        <v>80</v>
      </c>
      <c r="T82" s="12" t="s">
        <v>729</v>
      </c>
      <c r="U82" s="12" t="s">
        <v>76</v>
      </c>
      <c r="V82" s="12" t="s">
        <v>730</v>
      </c>
      <c r="W82" s="15" t="s">
        <v>586</v>
      </c>
    </row>
    <row r="83" spans="1:23" ht="30" customHeight="1">
      <c r="A83" s="15" t="s">
        <v>85</v>
      </c>
      <c r="B83" s="12" t="s">
        <v>81</v>
      </c>
      <c r="C83" s="12" t="s">
        <v>29</v>
      </c>
      <c r="D83" s="15" t="s">
        <v>32</v>
      </c>
      <c r="E83" s="17">
        <v>15137.5</v>
      </c>
      <c r="F83" s="17">
        <v>16315.63</v>
      </c>
      <c r="G83" s="17">
        <v>909.26</v>
      </c>
      <c r="H83" s="18">
        <f>IF(AND(ISNUMBER(G83),ISNUMBER(F83),F83&gt;0),G83/F83,"")</f>
        <v>0.055729383419457296</v>
      </c>
      <c r="I83" s="17">
        <v>779.46</v>
      </c>
      <c r="J83" s="17">
        <v>587.4400000000001</v>
      </c>
      <c r="K83" s="17">
        <v>143.92</v>
      </c>
      <c r="L83" s="18">
        <f>IF(AND(ISNUMBER(I83),ISNUMBER(J83),ISNUMBER(K83),SUM(I83:J83)&gt;0),K83/AVERAGE(I83:J83),"")</f>
        <v>0.21057868168849217</v>
      </c>
      <c r="M83" s="17">
        <v>2148.32</v>
      </c>
      <c r="N83" s="13"/>
      <c r="O83" s="13"/>
      <c r="P83" s="13"/>
      <c r="Q83" s="13"/>
      <c r="R83" s="13"/>
      <c r="S83" s="12" t="s">
        <v>45</v>
      </c>
      <c r="T83" s="12" t="s">
        <v>714</v>
      </c>
      <c r="U83" s="12" t="s">
        <v>84</v>
      </c>
      <c r="V83" s="12" t="s">
        <v>617</v>
      </c>
      <c r="W83" s="15" t="s">
        <v>586</v>
      </c>
    </row>
    <row r="84" spans="1:23" ht="30" customHeight="1">
      <c r="A84" s="15" t="s">
        <v>90</v>
      </c>
      <c r="B84" s="12" t="s">
        <v>87</v>
      </c>
      <c r="C84" s="12" t="s">
        <v>29</v>
      </c>
      <c r="D84" s="15" t="s">
        <v>32</v>
      </c>
      <c r="E84" s="17">
        <v>102479.06</v>
      </c>
      <c r="F84" s="17">
        <v>136370.94</v>
      </c>
      <c r="G84" s="17">
        <v>2371.8</v>
      </c>
      <c r="H84" s="18">
        <f>IF(AND(ISNUMBER(G84),ISNUMBER(F84),F84&gt;0),G84/F84,"")</f>
        <v>0.017392268470100742</v>
      </c>
      <c r="I84" s="17">
        <v>29811.12</v>
      </c>
      <c r="J84" s="17">
        <v>30600.97</v>
      </c>
      <c r="K84" s="17">
        <v>2793.17</v>
      </c>
      <c r="L84" s="18">
        <f>IF(AND(ISNUMBER(I84),ISNUMBER(J84),ISNUMBER(K84),SUM(I84:J84)&gt;0),K84/AVERAGE(I84:J84),"")</f>
        <v>0.09247056342530113</v>
      </c>
      <c r="M84" s="17">
        <v>6221.15</v>
      </c>
      <c r="N84" s="13"/>
      <c r="O84" s="13"/>
      <c r="P84" s="13"/>
      <c r="Q84" s="13"/>
      <c r="R84" s="13"/>
      <c r="S84" s="12" t="s">
        <v>45</v>
      </c>
      <c r="T84" s="12" t="s">
        <v>714</v>
      </c>
      <c r="U84" s="12" t="s">
        <v>89</v>
      </c>
      <c r="V84" s="12" t="s">
        <v>731</v>
      </c>
      <c r="W84" s="15" t="s">
        <v>586</v>
      </c>
    </row>
    <row r="85" spans="1:23" ht="30" customHeight="1">
      <c r="A85" s="15" t="s">
        <v>95</v>
      </c>
      <c r="B85" s="12" t="s">
        <v>92</v>
      </c>
      <c r="C85" s="12" t="s">
        <v>29</v>
      </c>
      <c r="D85" s="15" t="s">
        <v>32</v>
      </c>
      <c r="E85" s="17">
        <v>218542.51</v>
      </c>
      <c r="F85" s="17">
        <v>279394.8</v>
      </c>
      <c r="G85" s="17">
        <v>3173.78</v>
      </c>
      <c r="H85" s="18">
        <f>IF(AND(ISNUMBER(G85),ISNUMBER(F85),F85&gt;0),G85/F85,"")</f>
        <v>0.011359481278821224</v>
      </c>
      <c r="I85" s="17">
        <v>88963.81</v>
      </c>
      <c r="J85" s="17">
        <v>81573.92</v>
      </c>
      <c r="K85" s="17">
        <v>7340.95</v>
      </c>
      <c r="L85" s="18">
        <f>IF(AND(ISNUMBER(I85),ISNUMBER(J85),ISNUMBER(K85),SUM(I85:J85)&gt;0),K85/AVERAGE(I85:J85),"")</f>
        <v>0.08609179915787551</v>
      </c>
      <c r="M85" s="17">
        <v>15670.52</v>
      </c>
      <c r="N85" s="13"/>
      <c r="O85" s="13"/>
      <c r="P85" s="13"/>
      <c r="Q85" s="13"/>
      <c r="R85" s="13"/>
      <c r="S85" s="12" t="s">
        <v>45</v>
      </c>
      <c r="T85" s="12" t="s">
        <v>732</v>
      </c>
      <c r="U85" s="12" t="s">
        <v>94</v>
      </c>
      <c r="V85" s="12" t="s">
        <v>733</v>
      </c>
      <c r="W85" s="15" t="s">
        <v>586</v>
      </c>
    </row>
    <row r="86" spans="1:23" ht="30" customHeight="1">
      <c r="A86" s="15" t="s">
        <v>307</v>
      </c>
      <c r="B86" s="12" t="s">
        <v>302</v>
      </c>
      <c r="C86" s="12" t="s">
        <v>303</v>
      </c>
      <c r="D86" s="15" t="s">
        <v>32</v>
      </c>
      <c r="E86" s="17">
        <v>8328.809999999999</v>
      </c>
      <c r="F86" s="17">
        <v>8098.95</v>
      </c>
      <c r="G86" s="17">
        <v>367.38</v>
      </c>
      <c r="H86" s="18">
        <f>IF(AND(ISNUMBER(G86),ISNUMBER(F86),F86&gt;0),G86/F86,"")</f>
        <v>0.04536143574167022</v>
      </c>
      <c r="I86" s="17">
        <v>1375.96</v>
      </c>
      <c r="J86" s="17">
        <v>1325.38</v>
      </c>
      <c r="K86" s="17">
        <v>165.77</v>
      </c>
      <c r="L86" s="18">
        <f>IF(AND(ISNUMBER(I86),ISNUMBER(J86),ISNUMBER(K86),SUM(I86:J86)&gt;0),K86/AVERAGE(I86:J86),"")</f>
        <v>0.12273168131371838</v>
      </c>
      <c r="M86" s="17">
        <v>535.12</v>
      </c>
      <c r="N86" s="13"/>
      <c r="O86" s="13"/>
      <c r="P86" s="13"/>
      <c r="Q86" s="13"/>
      <c r="R86" s="13"/>
      <c r="S86" s="12" t="s">
        <v>311</v>
      </c>
      <c r="T86" s="12" t="s">
        <v>734</v>
      </c>
      <c r="U86" s="12" t="s">
        <v>306</v>
      </c>
      <c r="V86" s="12" t="s">
        <v>735</v>
      </c>
      <c r="W86" s="15" t="s">
        <v>586</v>
      </c>
    </row>
    <row r="87" spans="1:23" ht="30" customHeight="1">
      <c r="A87" s="15" t="s">
        <v>315</v>
      </c>
      <c r="B87" s="12" t="s">
        <v>312</v>
      </c>
      <c r="C87" s="12" t="s">
        <v>303</v>
      </c>
      <c r="D87" s="15" t="s">
        <v>32</v>
      </c>
      <c r="E87" s="17">
        <v>3864.2396</v>
      </c>
      <c r="F87" s="17">
        <v>3537.1693</v>
      </c>
      <c r="G87" s="17">
        <v>158.5409</v>
      </c>
      <c r="H87" s="18">
        <f>IF(AND(ISNUMBER(G87),ISNUMBER(F87),F87&gt;0),G87/F87,"")</f>
        <v>0.04482140563642232</v>
      </c>
      <c r="I87" s="17">
        <v>643.3257</v>
      </c>
      <c r="J87" s="17">
        <v>619.5592</v>
      </c>
      <c r="K87" s="17">
        <v>77.4341</v>
      </c>
      <c r="L87" s="18">
        <f>IF(AND(ISNUMBER(I87),ISNUMBER(J87),ISNUMBER(K87),SUM(I87:J87)&gt;0),K87/AVERAGE(I87:J87),"")</f>
        <v>0.12263049467136712</v>
      </c>
      <c r="M87" s="13"/>
      <c r="N87" s="13"/>
      <c r="O87" s="13"/>
      <c r="P87" s="13"/>
      <c r="Q87" s="13"/>
      <c r="R87" s="13"/>
      <c r="S87" s="12" t="s">
        <v>311</v>
      </c>
      <c r="T87" s="12" t="s">
        <v>736</v>
      </c>
      <c r="U87" s="12" t="s">
        <v>314</v>
      </c>
      <c r="V87" s="12" t="s">
        <v>737</v>
      </c>
      <c r="W87" s="15" t="s">
        <v>586</v>
      </c>
    </row>
    <row r="88" spans="1:23" ht="30" customHeight="1">
      <c r="A88" s="15" t="s">
        <v>320</v>
      </c>
      <c r="B88" s="12" t="s">
        <v>317</v>
      </c>
      <c r="C88" s="12" t="s">
        <v>303</v>
      </c>
      <c r="D88" s="15" t="s">
        <v>32</v>
      </c>
      <c r="E88" s="17">
        <v>148477.89</v>
      </c>
      <c r="F88" s="17">
        <v>500535.7</v>
      </c>
      <c r="G88" s="17">
        <v>7756.33</v>
      </c>
      <c r="H88" s="18">
        <f>IF(AND(ISNUMBER(G88),ISNUMBER(F88),F88&gt;0),G88/F88,"")</f>
        <v>0.015496057523968819</v>
      </c>
      <c r="I88" s="17">
        <v>183648.69</v>
      </c>
      <c r="J88" s="17">
        <v>135102.21</v>
      </c>
      <c r="K88" s="17">
        <v>12500.38</v>
      </c>
      <c r="L88" s="18">
        <f>IF(AND(ISNUMBER(I88),ISNUMBER(J88),ISNUMBER(K88),SUM(I88:J88)&gt;0),K88/AVERAGE(I88:J88),"")</f>
        <v>0.078433535403351</v>
      </c>
      <c r="M88" s="17">
        <v>17181.34</v>
      </c>
      <c r="N88" s="13"/>
      <c r="O88" s="13"/>
      <c r="P88" s="13"/>
      <c r="Q88" s="13"/>
      <c r="R88" s="13"/>
      <c r="S88" s="12" t="s">
        <v>311</v>
      </c>
      <c r="T88" s="12" t="s">
        <v>738</v>
      </c>
      <c r="U88" s="12" t="s">
        <v>319</v>
      </c>
      <c r="V88" s="12" t="s">
        <v>739</v>
      </c>
      <c r="W88" s="15" t="s">
        <v>586</v>
      </c>
    </row>
    <row r="89" spans="1:23" ht="30" customHeight="1">
      <c r="A89" s="15" t="s">
        <v>325</v>
      </c>
      <c r="B89" s="12" t="s">
        <v>322</v>
      </c>
      <c r="C89" s="12" t="s">
        <v>303</v>
      </c>
      <c r="D89" s="15" t="s">
        <v>32</v>
      </c>
      <c r="E89" s="17">
        <v>4151.3913</v>
      </c>
      <c r="F89" s="17">
        <v>4259.6188</v>
      </c>
      <c r="G89" s="17">
        <v>246.004</v>
      </c>
      <c r="H89" s="18">
        <f>IF(AND(ISNUMBER(G89),ISNUMBER(F89),F89&gt;0),G89/F89,"")</f>
        <v>0.05775258574781386</v>
      </c>
      <c r="I89" s="17">
        <v>1217.5799</v>
      </c>
      <c r="J89" s="17">
        <v>914.0854</v>
      </c>
      <c r="K89" s="17">
        <v>123.1571</v>
      </c>
      <c r="L89" s="18">
        <f>IF(AND(ISNUMBER(I89),ISNUMBER(J89),ISNUMBER(K89),SUM(I89:J89)&gt;0),K89/AVERAGE(I89:J89),"")</f>
        <v>0.11555012881243598</v>
      </c>
      <c r="M89" s="17">
        <v>251.5786</v>
      </c>
      <c r="N89" s="13"/>
      <c r="O89" s="13"/>
      <c r="P89" s="13"/>
      <c r="Q89" s="13"/>
      <c r="R89" s="13"/>
      <c r="S89" s="12" t="s">
        <v>311</v>
      </c>
      <c r="T89" s="12" t="s">
        <v>740</v>
      </c>
      <c r="U89" s="12" t="s">
        <v>324</v>
      </c>
      <c r="V89" s="12" t="s">
        <v>741</v>
      </c>
      <c r="W89" s="15" t="s">
        <v>586</v>
      </c>
    </row>
    <row r="90" spans="1:23" ht="30" customHeight="1">
      <c r="A90" s="15" t="s">
        <v>330</v>
      </c>
      <c r="B90" s="12" t="s">
        <v>327</v>
      </c>
      <c r="C90" s="12" t="s">
        <v>303</v>
      </c>
      <c r="D90" s="15" t="s">
        <v>32</v>
      </c>
      <c r="E90" s="17">
        <v>6387.88</v>
      </c>
      <c r="F90" s="17">
        <v>5961.52</v>
      </c>
      <c r="G90" s="17">
        <v>815.11</v>
      </c>
      <c r="H90" s="18">
        <f>IF(AND(ISNUMBER(G90),ISNUMBER(F90),F90&gt;0),G90/F90,"")</f>
        <v>0.1367285524497108</v>
      </c>
      <c r="I90" s="17">
        <v>465.96</v>
      </c>
      <c r="J90" s="17">
        <v>1158.42</v>
      </c>
      <c r="K90" s="17">
        <v>49.77</v>
      </c>
      <c r="L90" s="18">
        <f>IF(AND(ISNUMBER(I90),ISNUMBER(J90),ISNUMBER(K90),SUM(I90:J90)&gt;0),K90/AVERAGE(I90:J90),"")</f>
        <v>0.06127876482103941</v>
      </c>
      <c r="M90" s="17">
        <v>168.69</v>
      </c>
      <c r="N90" s="13"/>
      <c r="O90" s="13"/>
      <c r="P90" s="13"/>
      <c r="Q90" s="13"/>
      <c r="R90" s="13"/>
      <c r="S90" s="12" t="s">
        <v>216</v>
      </c>
      <c r="T90" s="12" t="s">
        <v>742</v>
      </c>
      <c r="U90" s="12" t="s">
        <v>329</v>
      </c>
      <c r="V90" s="12" t="s">
        <v>743</v>
      </c>
      <c r="W90" s="15" t="s">
        <v>586</v>
      </c>
    </row>
    <row r="91" spans="1:23" ht="30" customHeight="1">
      <c r="A91" s="15" t="s">
        <v>335</v>
      </c>
      <c r="B91" s="12" t="s">
        <v>332</v>
      </c>
      <c r="C91" s="12" t="s">
        <v>303</v>
      </c>
      <c r="D91" s="15" t="s">
        <v>32</v>
      </c>
      <c r="E91" s="17">
        <v>2583.06</v>
      </c>
      <c r="F91" s="17">
        <v>2563.71</v>
      </c>
      <c r="G91" s="17">
        <v>164.54</v>
      </c>
      <c r="H91" s="18">
        <f>IF(AND(ISNUMBER(G91),ISNUMBER(F91),F91&gt;0),G91/F91,"")</f>
        <v>0.06418042602322416</v>
      </c>
      <c r="I91" s="17">
        <v>287.29</v>
      </c>
      <c r="J91" s="17">
        <v>188.75</v>
      </c>
      <c r="K91" s="17">
        <v>20.87</v>
      </c>
      <c r="L91" s="18">
        <f>IF(AND(ISNUMBER(I91),ISNUMBER(J91),ISNUMBER(K91),SUM(I91:J91)&gt;0),K91/AVERAGE(I91:J91),"")</f>
        <v>0.08768170741954458</v>
      </c>
      <c r="M91" s="17">
        <v>36.8</v>
      </c>
      <c r="N91" s="13"/>
      <c r="O91" s="13"/>
      <c r="P91" s="13"/>
      <c r="Q91" s="13"/>
      <c r="R91" s="13"/>
      <c r="S91" s="12" t="s">
        <v>216</v>
      </c>
      <c r="T91" s="12" t="s">
        <v>744</v>
      </c>
      <c r="U91" s="12" t="s">
        <v>334</v>
      </c>
      <c r="V91" s="12" t="s">
        <v>617</v>
      </c>
      <c r="W91" s="15" t="s">
        <v>586</v>
      </c>
    </row>
    <row r="92" spans="1:23" ht="30" customHeight="1">
      <c r="A92" s="15" t="s">
        <v>340</v>
      </c>
      <c r="B92" s="12" t="s">
        <v>337</v>
      </c>
      <c r="C92" s="12" t="s">
        <v>303</v>
      </c>
      <c r="D92" s="15" t="s">
        <v>32</v>
      </c>
      <c r="E92" s="17">
        <v>3284.558</v>
      </c>
      <c r="F92" s="17">
        <v>2749.7702</v>
      </c>
      <c r="G92" s="17">
        <v>12.3525</v>
      </c>
      <c r="H92" s="18">
        <f>IF(AND(ISNUMBER(G92),ISNUMBER(F92),F92&gt;0),G92/F92,"")</f>
        <v>0.004492193565847793</v>
      </c>
      <c r="I92" s="17">
        <v>1100.8794</v>
      </c>
      <c r="J92" s="17">
        <v>1151.0147</v>
      </c>
      <c r="K92" s="17">
        <v>74.2013</v>
      </c>
      <c r="L92" s="18">
        <f>IF(AND(ISNUMBER(I92),ISNUMBER(J92),ISNUMBER(K92),SUM(I92:J92)&gt;0),K92/AVERAGE(I92:J92),"")</f>
        <v>0.06590123398786826</v>
      </c>
      <c r="M92" s="17">
        <v>42.5733</v>
      </c>
      <c r="N92" s="13"/>
      <c r="O92" s="13"/>
      <c r="P92" s="13"/>
      <c r="Q92" s="13"/>
      <c r="R92" s="13"/>
      <c r="S92" s="12" t="s">
        <v>342</v>
      </c>
      <c r="T92" s="12" t="s">
        <v>745</v>
      </c>
      <c r="U92" s="12" t="s">
        <v>339</v>
      </c>
      <c r="V92" s="12" t="s">
        <v>746</v>
      </c>
      <c r="W92" s="15" t="s">
        <v>586</v>
      </c>
    </row>
    <row r="93" spans="1:23" ht="30" customHeight="1">
      <c r="A93" s="15" t="s">
        <v>346</v>
      </c>
      <c r="B93" s="12" t="s">
        <v>343</v>
      </c>
      <c r="C93" s="12" t="s">
        <v>303</v>
      </c>
      <c r="D93" s="15" t="s">
        <v>32</v>
      </c>
      <c r="E93" s="17">
        <v>4934.909</v>
      </c>
      <c r="F93" s="17">
        <v>2643.011</v>
      </c>
      <c r="G93" s="17">
        <v>729.1420000000001</v>
      </c>
      <c r="H93" s="18">
        <f>IF(AND(ISNUMBER(G93),ISNUMBER(F93),F93&gt;0),G93/F93,"")</f>
        <v>0.2758755071393952</v>
      </c>
      <c r="I93" s="17">
        <v>0</v>
      </c>
      <c r="J93" s="17">
        <v>0</v>
      </c>
      <c r="K93" s="17">
        <v>46.378</v>
      </c>
      <c r="L93" s="18">
        <f>IF(AND(ISNUMBER(I93),ISNUMBER(J93),ISNUMBER(K93),SUM(I93:J93)&gt;0),K93/AVERAGE(I93:J93),"")</f>
        <v/>
      </c>
      <c r="M93" s="17">
        <v>79.566</v>
      </c>
      <c r="N93" s="13"/>
      <c r="O93" s="13"/>
      <c r="P93" s="13"/>
      <c r="Q93" s="13"/>
      <c r="R93" s="13"/>
      <c r="S93" s="12" t="s">
        <v>342</v>
      </c>
      <c r="T93" s="12" t="s">
        <v>747</v>
      </c>
      <c r="U93" s="12" t="s">
        <v>345</v>
      </c>
      <c r="V93" s="12" t="s">
        <v>748</v>
      </c>
      <c r="W93" s="15" t="s">
        <v>586</v>
      </c>
    </row>
    <row r="94" spans="1:23" ht="30" customHeight="1">
      <c r="A94" s="15" t="s">
        <v>351</v>
      </c>
      <c r="B94" s="12" t="s">
        <v>348</v>
      </c>
      <c r="C94" s="12" t="s">
        <v>303</v>
      </c>
      <c r="D94" s="15" t="s">
        <v>32</v>
      </c>
      <c r="E94" s="17">
        <v>6176.74</v>
      </c>
      <c r="F94" s="17">
        <v>13836</v>
      </c>
      <c r="G94" s="17">
        <v>38.19</v>
      </c>
      <c r="H94" s="18">
        <f>IF(AND(ISNUMBER(G94),ISNUMBER(F94),F94&gt;0),G94/F94,"")</f>
        <v>0.0027601908065915002</v>
      </c>
      <c r="I94" s="17">
        <v>1269.57</v>
      </c>
      <c r="J94" s="17">
        <v>825.41</v>
      </c>
      <c r="K94" s="17">
        <v>207.35</v>
      </c>
      <c r="L94" s="18">
        <f>IF(AND(ISNUMBER(I94),ISNUMBER(J94),ISNUMBER(K94),SUM(I94:J94)&gt;0),K94/AVERAGE(I94:J94),"")</f>
        <v>0.19794938376500013</v>
      </c>
      <c r="M94" s="17">
        <v>219.2</v>
      </c>
      <c r="N94" s="13"/>
      <c r="O94" s="13"/>
      <c r="P94" s="13"/>
      <c r="Q94" s="13"/>
      <c r="R94" s="13"/>
      <c r="S94" s="12" t="s">
        <v>216</v>
      </c>
      <c r="T94" s="12" t="s">
        <v>749</v>
      </c>
      <c r="U94" s="12" t="s">
        <v>350</v>
      </c>
      <c r="V94" s="12" t="s">
        <v>703</v>
      </c>
      <c r="W94" s="15" t="s">
        <v>586</v>
      </c>
    </row>
    <row r="95" spans="1:23" ht="30" customHeight="1">
      <c r="A95" s="15" t="s">
        <v>356</v>
      </c>
      <c r="B95" s="12" t="s">
        <v>353</v>
      </c>
      <c r="C95" s="12" t="s">
        <v>303</v>
      </c>
      <c r="D95" s="15" t="s">
        <v>32</v>
      </c>
      <c r="E95" s="17">
        <v>4825.8286</v>
      </c>
      <c r="F95" s="17">
        <v>3610.7671</v>
      </c>
      <c r="G95" s="17">
        <v>-40.0268</v>
      </c>
      <c r="H95" s="18">
        <f>IF(AND(ISNUMBER(G95),ISNUMBER(F95),F95&gt;0),G95/F95,"")</f>
        <v>-0.011085400661815048</v>
      </c>
      <c r="I95" s="17">
        <v>1711.8752</v>
      </c>
      <c r="J95" s="17">
        <v>1884.4025</v>
      </c>
      <c r="K95" s="17">
        <v>140.0702</v>
      </c>
      <c r="L95" s="18">
        <f>IF(AND(ISNUMBER(I95),ISNUMBER(J95),ISNUMBER(K95),SUM(I95:J95)&gt;0),K95/AVERAGE(I95:J95),"")</f>
        <v>0.07789732144433674</v>
      </c>
      <c r="M95" s="17">
        <v>127.9604</v>
      </c>
      <c r="N95" s="13"/>
      <c r="O95" s="13"/>
      <c r="P95" s="13"/>
      <c r="Q95" s="13"/>
      <c r="R95" s="13"/>
      <c r="S95" s="12" t="s">
        <v>216</v>
      </c>
      <c r="T95" s="12" t="s">
        <v>750</v>
      </c>
      <c r="U95" s="12" t="s">
        <v>355</v>
      </c>
      <c r="V95" s="12" t="s">
        <v>751</v>
      </c>
      <c r="W95" s="15" t="s">
        <v>586</v>
      </c>
    </row>
    <row r="96" spans="1:23" ht="30" customHeight="1">
      <c r="A96" s="15" t="s">
        <v>361</v>
      </c>
      <c r="B96" s="12" t="s">
        <v>358</v>
      </c>
      <c r="C96" s="12" t="s">
        <v>303</v>
      </c>
      <c r="D96" s="15" t="s">
        <v>32</v>
      </c>
      <c r="E96" s="17">
        <v>6987.08</v>
      </c>
      <c r="F96" s="17">
        <v>7160.72</v>
      </c>
      <c r="G96" s="17">
        <v>370.73</v>
      </c>
      <c r="H96" s="18">
        <f>IF(AND(ISNUMBER(G96),ISNUMBER(F96),F96&gt;0),G96/F96,"")</f>
        <v>0.051772726764906324</v>
      </c>
      <c r="I96" s="17">
        <v>1575.78</v>
      </c>
      <c r="J96" s="17">
        <v>2060.81</v>
      </c>
      <c r="K96" s="17">
        <v>130.18</v>
      </c>
      <c r="L96" s="18">
        <f>IF(AND(ISNUMBER(I96),ISNUMBER(J96),ISNUMBER(K96),SUM(I96:J96)&gt;0),K96/AVERAGE(I96:J96),"")</f>
        <v>0.07159454323968333</v>
      </c>
      <c r="M96" s="17">
        <v>229.64</v>
      </c>
      <c r="N96" s="13"/>
      <c r="O96" s="13"/>
      <c r="P96" s="13"/>
      <c r="Q96" s="13"/>
      <c r="R96" s="13"/>
      <c r="S96" s="12" t="s">
        <v>216</v>
      </c>
      <c r="T96" s="12" t="s">
        <v>752</v>
      </c>
      <c r="U96" s="12" t="s">
        <v>360</v>
      </c>
      <c r="V96" s="12" t="s">
        <v>753</v>
      </c>
      <c r="W96" s="15" t="s">
        <v>586</v>
      </c>
    </row>
    <row r="97" spans="1:23" ht="30" customHeight="1">
      <c r="A97" s="15" t="s">
        <v>366</v>
      </c>
      <c r="B97" s="12" t="s">
        <v>363</v>
      </c>
      <c r="C97" s="12" t="s">
        <v>303</v>
      </c>
      <c r="D97" s="15" t="s">
        <v>32</v>
      </c>
      <c r="E97" s="17">
        <v>9784.879999999999</v>
      </c>
      <c r="F97" s="17">
        <v>12432.1</v>
      </c>
      <c r="G97" s="17">
        <v>886.72</v>
      </c>
      <c r="H97" s="18">
        <f>IF(AND(ISNUMBER(G97),ISNUMBER(F97),F97&gt;0),G97/F97,"")</f>
        <v>0.07132503760426638</v>
      </c>
      <c r="I97" s="17">
        <v>1238.07</v>
      </c>
      <c r="J97" s="17">
        <v>1791.17</v>
      </c>
      <c r="K97" s="17">
        <v>77.28</v>
      </c>
      <c r="L97" s="18">
        <f>IF(AND(ISNUMBER(I97),ISNUMBER(J97),ISNUMBER(K97),SUM(I97:J97)&gt;0),K97/AVERAGE(I97:J97),"")</f>
        <v>0.05102269876272597</v>
      </c>
      <c r="M97" s="17">
        <v>1032.62</v>
      </c>
      <c r="N97" s="13"/>
      <c r="O97" s="13"/>
      <c r="P97" s="13"/>
      <c r="Q97" s="13"/>
      <c r="R97" s="13"/>
      <c r="S97" s="12" t="s">
        <v>216</v>
      </c>
      <c r="T97" s="12" t="s">
        <v>754</v>
      </c>
      <c r="U97" s="12" t="s">
        <v>365</v>
      </c>
      <c r="V97" s="12" t="s">
        <v>755</v>
      </c>
      <c r="W97" s="15" t="s">
        <v>586</v>
      </c>
    </row>
    <row r="98" spans="1:23" ht="30" customHeight="1">
      <c r="A98" s="15" t="s">
        <v>371</v>
      </c>
      <c r="B98" s="12" t="s">
        <v>368</v>
      </c>
      <c r="C98" s="12" t="s">
        <v>303</v>
      </c>
      <c r="D98" s="15" t="s">
        <v>32</v>
      </c>
      <c r="E98" s="17">
        <v>10545.09</v>
      </c>
      <c r="F98" s="17">
        <v>10307.07</v>
      </c>
      <c r="G98" s="17">
        <v>644.02</v>
      </c>
      <c r="H98" s="18">
        <f>IF(AND(ISNUMBER(G98),ISNUMBER(F98),F98&gt;0),G98/F98,"")</f>
        <v>0.06248332455295249</v>
      </c>
      <c r="I98" s="17">
        <v>2468.62</v>
      </c>
      <c r="J98" s="17">
        <v>2520.51</v>
      </c>
      <c r="K98" s="17">
        <v>217.47</v>
      </c>
      <c r="L98" s="18">
        <f>IF(AND(ISNUMBER(I98),ISNUMBER(J98),ISNUMBER(K98),SUM(I98:J98)&gt;0),K98/AVERAGE(I98:J98),"")</f>
        <v>0.08717752393703912</v>
      </c>
      <c r="M98" s="17">
        <v>712.7</v>
      </c>
      <c r="N98" s="13"/>
      <c r="O98" s="13"/>
      <c r="P98" s="13"/>
      <c r="Q98" s="13"/>
      <c r="R98" s="13"/>
      <c r="S98" s="12" t="s">
        <v>311</v>
      </c>
      <c r="T98" s="12" t="s">
        <v>756</v>
      </c>
      <c r="U98" s="12" t="s">
        <v>370</v>
      </c>
      <c r="V98" s="12" t="s">
        <v>757</v>
      </c>
      <c r="W98" s="15" t="s">
        <v>586</v>
      </c>
    </row>
    <row r="99" spans="1:23" ht="30" customHeight="1">
      <c r="A99" s="15" t="s">
        <v>434</v>
      </c>
      <c r="B99" s="12" t="s">
        <v>429</v>
      </c>
      <c r="C99" s="12" t="s">
        <v>430</v>
      </c>
      <c r="D99" s="15" t="s">
        <v>32</v>
      </c>
      <c r="E99" s="17">
        <v>30475.33</v>
      </c>
      <c r="F99" s="17">
        <v>135332.23</v>
      </c>
      <c r="G99" s="17">
        <v>11061.26</v>
      </c>
      <c r="H99" s="18">
        <f>IF(AND(ISNUMBER(G99),ISNUMBER(F99),F99&gt;0),G99/F99,"")</f>
        <v>0.08173411463034341</v>
      </c>
      <c r="I99" s="17">
        <v>45810.03</v>
      </c>
      <c r="J99" s="17">
        <v>46279.23</v>
      </c>
      <c r="K99" s="17">
        <v>2812.67</v>
      </c>
      <c r="L99" s="18">
        <f>IF(AND(ISNUMBER(I99),ISNUMBER(J99),ISNUMBER(K99),SUM(I99:J99)&gt;0),K99/AVERAGE(I99:J99),"")</f>
        <v>0.06108573355894053</v>
      </c>
      <c r="M99" s="17">
        <v>8048.92</v>
      </c>
      <c r="N99" s="13"/>
      <c r="O99" s="13"/>
      <c r="P99" s="13"/>
      <c r="Q99" s="13"/>
      <c r="R99" s="13"/>
      <c r="S99" s="12" t="s">
        <v>216</v>
      </c>
      <c r="T99" s="12" t="s">
        <v>758</v>
      </c>
      <c r="U99" s="12" t="s">
        <v>433</v>
      </c>
      <c r="V99" s="12" t="s">
        <v>759</v>
      </c>
      <c r="W99" s="15" t="s">
        <v>586</v>
      </c>
    </row>
    <row r="100" spans="1:23" ht="30" customHeight="1">
      <c r="A100" s="15" t="s">
        <v>439</v>
      </c>
      <c r="B100" s="12" t="s">
        <v>436</v>
      </c>
      <c r="C100" s="12" t="s">
        <v>430</v>
      </c>
      <c r="D100" s="15" t="s">
        <v>32</v>
      </c>
      <c r="E100" s="17">
        <v>42333.28</v>
      </c>
      <c r="F100" s="17">
        <v>81714.64</v>
      </c>
      <c r="G100" s="17">
        <v>3382.79</v>
      </c>
      <c r="H100" s="18">
        <f>IF(AND(ISNUMBER(G100),ISNUMBER(F100),F100&gt;0),G100/F100,"")</f>
        <v>0.0413976002341808</v>
      </c>
      <c r="I100" s="17">
        <v>49701.1</v>
      </c>
      <c r="J100" s="17">
        <v>40564.34</v>
      </c>
      <c r="K100" s="17">
        <v>3930.21</v>
      </c>
      <c r="L100" s="18">
        <f>IF(AND(ISNUMBER(I100),ISNUMBER(J100),ISNUMBER(K100),SUM(I100:J100)&gt;0),K100/AVERAGE(I100:J100),"")</f>
        <v>0.08708116860672258</v>
      </c>
      <c r="M100" s="17">
        <v>1648.08</v>
      </c>
      <c r="N100" s="13"/>
      <c r="O100" s="13"/>
      <c r="P100" s="13"/>
      <c r="Q100" s="13"/>
      <c r="R100" s="13"/>
      <c r="S100" s="12" t="s">
        <v>216</v>
      </c>
      <c r="T100" s="12" t="s">
        <v>760</v>
      </c>
      <c r="U100" s="12" t="s">
        <v>438</v>
      </c>
      <c r="V100" s="12" t="s">
        <v>761</v>
      </c>
      <c r="W100" s="15" t="s">
        <v>586</v>
      </c>
    </row>
    <row r="101" spans="1:23" ht="30" customHeight="1">
      <c r="A101" s="15" t="s">
        <v>444</v>
      </c>
      <c r="B101" s="12" t="s">
        <v>441</v>
      </c>
      <c r="C101" s="12" t="s">
        <v>430</v>
      </c>
      <c r="D101" s="15" t="s">
        <v>32</v>
      </c>
      <c r="E101" s="17">
        <v>5720.18</v>
      </c>
      <c r="F101" s="17">
        <v>3662.76</v>
      </c>
      <c r="G101" s="17">
        <v>252.42</v>
      </c>
      <c r="H101" s="18">
        <f>IF(AND(ISNUMBER(G101),ISNUMBER(F101),F101&gt;0),G101/F101,"")</f>
        <v>0.06891524424204698</v>
      </c>
      <c r="I101" s="17">
        <v>200</v>
      </c>
      <c r="J101" s="17">
        <v>254.69</v>
      </c>
      <c r="K101" s="17">
        <v>82.39</v>
      </c>
      <c r="L101" s="18">
        <f>IF(AND(ISNUMBER(I101),ISNUMBER(J101),ISNUMBER(K101),SUM(I101:J101)&gt;0),K101/AVERAGE(I101:J101),"")</f>
        <v>0.3624007565594141</v>
      </c>
      <c r="M101" s="17">
        <v>253.89</v>
      </c>
      <c r="N101" s="13"/>
      <c r="O101" s="13"/>
      <c r="P101" s="13"/>
      <c r="Q101" s="13"/>
      <c r="R101" s="13"/>
      <c r="S101" s="12" t="s">
        <v>216</v>
      </c>
      <c r="T101" s="12" t="s">
        <v>762</v>
      </c>
      <c r="U101" s="12" t="s">
        <v>443</v>
      </c>
      <c r="V101" s="12" t="s">
        <v>763</v>
      </c>
      <c r="W101" s="15" t="s">
        <v>586</v>
      </c>
    </row>
    <row r="102" spans="1:23" ht="30" customHeight="1">
      <c r="A102" s="15" t="s">
        <v>449</v>
      </c>
      <c r="B102" s="12" t="s">
        <v>446</v>
      </c>
      <c r="C102" s="12" t="s">
        <v>430</v>
      </c>
      <c r="D102" s="15" t="s">
        <v>32</v>
      </c>
      <c r="E102" s="17">
        <v>8887.02</v>
      </c>
      <c r="F102" s="17">
        <v>14475.87</v>
      </c>
      <c r="G102" s="17">
        <v>1291.84</v>
      </c>
      <c r="H102" s="18">
        <f>IF(AND(ISNUMBER(G102),ISNUMBER(F102),F102&gt;0),G102/F102,"")</f>
        <v>0.08924092299806505</v>
      </c>
      <c r="I102" s="17">
        <v>24.25</v>
      </c>
      <c r="J102" s="17">
        <v>26.23</v>
      </c>
      <c r="K102" s="17">
        <v>72.90000000000001</v>
      </c>
      <c r="L102" s="18">
        <f>IF(AND(ISNUMBER(I102),ISNUMBER(J102),ISNUMBER(K102),SUM(I102:J102)&gt;0),K102/AVERAGE(I102:J102),"")</f>
        <v>2.888272583201268</v>
      </c>
      <c r="M102" s="17">
        <v>916.34</v>
      </c>
      <c r="N102" s="13"/>
      <c r="O102" s="13"/>
      <c r="P102" s="13"/>
      <c r="Q102" s="13"/>
      <c r="R102" s="13"/>
      <c r="S102" s="12" t="s">
        <v>216</v>
      </c>
      <c r="T102" s="12" t="s">
        <v>764</v>
      </c>
      <c r="U102" s="12" t="s">
        <v>448</v>
      </c>
      <c r="V102" s="12" t="s">
        <v>765</v>
      </c>
      <c r="W102" s="15" t="s">
        <v>586</v>
      </c>
    </row>
    <row r="103" spans="1:23" ht="30" customHeight="1">
      <c r="A103" s="15" t="s">
        <v>454</v>
      </c>
      <c r="B103" s="12" t="s">
        <v>451</v>
      </c>
      <c r="C103" s="12" t="s">
        <v>430</v>
      </c>
      <c r="D103" s="15" t="s">
        <v>32</v>
      </c>
      <c r="E103" s="17">
        <v>8931.901</v>
      </c>
      <c r="F103" s="17">
        <v>12063.135</v>
      </c>
      <c r="G103" s="17">
        <v>162.11</v>
      </c>
      <c r="H103" s="18">
        <f>IF(AND(ISNUMBER(G103),ISNUMBER(F103),F103&gt;0),G103/F103,"")</f>
        <v>0.013438463550312585</v>
      </c>
      <c r="I103" s="17">
        <v>39.669</v>
      </c>
      <c r="J103" s="17">
        <v>125.598</v>
      </c>
      <c r="K103" s="17">
        <v>125.787</v>
      </c>
      <c r="L103" s="18">
        <f>IF(AND(ISNUMBER(I103),ISNUMBER(J103),ISNUMBER(K103),SUM(I103:J103)&gt;0),K103/AVERAGE(I103:J103),"")</f>
        <v>1.5222276679554902</v>
      </c>
      <c r="M103" s="17">
        <v>483.181</v>
      </c>
      <c r="N103" s="13"/>
      <c r="O103" s="13"/>
      <c r="P103" s="13"/>
      <c r="Q103" s="13"/>
      <c r="R103" s="13"/>
      <c r="S103" s="12" t="s">
        <v>216</v>
      </c>
      <c r="T103" s="12" t="s">
        <v>766</v>
      </c>
      <c r="U103" s="12" t="s">
        <v>453</v>
      </c>
      <c r="V103" s="12" t="s">
        <v>767</v>
      </c>
      <c r="W103" s="15" t="s">
        <v>586</v>
      </c>
    </row>
    <row r="104" spans="1:23" ht="30" customHeight="1">
      <c r="A104" s="15" t="s">
        <v>459</v>
      </c>
      <c r="B104" s="12" t="s">
        <v>456</v>
      </c>
      <c r="C104" s="12" t="s">
        <v>430</v>
      </c>
      <c r="D104" s="15" t="s">
        <v>32</v>
      </c>
      <c r="E104" s="17">
        <v>1680.5553</v>
      </c>
      <c r="F104" s="17">
        <v>3456.9261</v>
      </c>
      <c r="G104" s="17">
        <v>373.756</v>
      </c>
      <c r="H104" s="18">
        <f>IF(AND(ISNUMBER(G104),ISNUMBER(F104),F104&gt;0),G104/F104,"")</f>
        <v>0.10811801849047335</v>
      </c>
      <c r="I104" s="17">
        <v>370.5991</v>
      </c>
      <c r="J104" s="17">
        <v>327.84</v>
      </c>
      <c r="K104" s="17">
        <v>47.7698</v>
      </c>
      <c r="L104" s="18">
        <f>IF(AND(ISNUMBER(I104),ISNUMBER(J104),ISNUMBER(K104),SUM(I104:J104)&gt;0),K104/AVERAGE(I104:J104),"")</f>
        <v>0.13679016538449806</v>
      </c>
      <c r="M104" s="17">
        <v>16.092</v>
      </c>
      <c r="N104" s="13"/>
      <c r="O104" s="13"/>
      <c r="P104" s="13"/>
      <c r="Q104" s="13"/>
      <c r="R104" s="13"/>
      <c r="S104" s="12" t="s">
        <v>216</v>
      </c>
      <c r="T104" s="12" t="s">
        <v>768</v>
      </c>
      <c r="U104" s="12" t="s">
        <v>458</v>
      </c>
      <c r="V104" s="12" t="s">
        <v>769</v>
      </c>
      <c r="W104" s="15" t="s">
        <v>586</v>
      </c>
    </row>
    <row r="105" spans="1:23" ht="30" customHeight="1">
      <c r="A105" s="15" t="s">
        <v>464</v>
      </c>
      <c r="B105" s="12" t="s">
        <v>461</v>
      </c>
      <c r="C105" s="12" t="s">
        <v>430</v>
      </c>
      <c r="D105" s="15" t="s">
        <v>32</v>
      </c>
      <c r="E105" s="17">
        <v>152913</v>
      </c>
      <c r="F105" s="17">
        <v>131971.8</v>
      </c>
      <c r="G105" s="17">
        <v>14500.2</v>
      </c>
      <c r="H105" s="18">
        <f>IF(AND(ISNUMBER(G105),ISNUMBER(F105),F105&gt;0),G105/F105,"")</f>
        <v>0.10987347296922526</v>
      </c>
      <c r="I105" s="17">
        <v>0</v>
      </c>
      <c r="J105" s="17">
        <v>33.1</v>
      </c>
      <c r="K105" s="17">
        <v>194.2</v>
      </c>
      <c r="L105" s="18">
        <f>IF(AND(ISNUMBER(I105),ISNUMBER(J105),ISNUMBER(K105),SUM(I105:J105)&gt;0),K105/AVERAGE(I105:J105),"")</f>
        <v>11.734138972809667</v>
      </c>
      <c r="M105" s="17">
        <v>10640.6</v>
      </c>
      <c r="N105" s="13"/>
      <c r="O105" s="13"/>
      <c r="P105" s="13"/>
      <c r="Q105" s="13"/>
      <c r="R105" s="13"/>
      <c r="S105" s="12" t="s">
        <v>216</v>
      </c>
      <c r="T105" s="12" t="s">
        <v>770</v>
      </c>
      <c r="U105" s="12" t="s">
        <v>463</v>
      </c>
      <c r="V105" s="12" t="s">
        <v>771</v>
      </c>
      <c r="W105" s="15" t="s">
        <v>586</v>
      </c>
    </row>
    <row r="106" spans="1:23" ht="30" customHeight="1">
      <c r="A106" s="15" t="s">
        <v>469</v>
      </c>
      <c r="B106" s="12" t="s">
        <v>466</v>
      </c>
      <c r="C106" s="12" t="s">
        <v>430</v>
      </c>
      <c r="D106" s="15" t="s">
        <v>32</v>
      </c>
      <c r="E106" s="17">
        <v>439695</v>
      </c>
      <c r="F106" s="17">
        <v>378642</v>
      </c>
      <c r="G106" s="17">
        <v>28149</v>
      </c>
      <c r="H106" s="18">
        <f>IF(AND(ISNUMBER(G106),ISNUMBER(F106),F106&gt;0),G106/F106,"")</f>
        <v>0.07434199058741503</v>
      </c>
      <c r="I106" s="17">
        <v>62499</v>
      </c>
      <c r="J106" s="17">
        <v>98501</v>
      </c>
      <c r="K106" s="17">
        <v>5083</v>
      </c>
      <c r="L106" s="18">
        <f>IF(AND(ISNUMBER(I106),ISNUMBER(J106),ISNUMBER(K106),SUM(I106:J106)&gt;0),K106/AVERAGE(I106:J106),"")</f>
        <v>0.06314285714285714</v>
      </c>
      <c r="M106" s="17">
        <v>38042</v>
      </c>
      <c r="N106" s="13"/>
      <c r="O106" s="13"/>
      <c r="P106" s="13"/>
      <c r="Q106" s="13"/>
      <c r="R106" s="13"/>
      <c r="S106" s="12" t="s">
        <v>471</v>
      </c>
      <c r="T106" s="12" t="s">
        <v>772</v>
      </c>
      <c r="U106" s="12" t="s">
        <v>468</v>
      </c>
      <c r="V106" s="12" t="s">
        <v>773</v>
      </c>
      <c r="W106" s="15" t="s">
        <v>586</v>
      </c>
    </row>
    <row r="107" spans="1:23" ht="30" customHeight="1">
      <c r="A107" s="15" t="s">
        <v>475</v>
      </c>
      <c r="B107" s="12" t="s">
        <v>472</v>
      </c>
      <c r="C107" s="12" t="s">
        <v>430</v>
      </c>
      <c r="D107" s="15" t="s">
        <v>32</v>
      </c>
      <c r="E107" s="17">
        <v>4491.776</v>
      </c>
      <c r="F107" s="17">
        <v>2779.649</v>
      </c>
      <c r="G107" s="17">
        <v>416.011</v>
      </c>
      <c r="H107" s="18">
        <f>IF(AND(ISNUMBER(G107),ISNUMBER(F107),F107&gt;0),G107/F107,"")</f>
        <v>0.14966314092174948</v>
      </c>
      <c r="I107" s="17">
        <v>155.249</v>
      </c>
      <c r="J107" s="17">
        <v>150.335</v>
      </c>
      <c r="K107" s="17">
        <v>20.156</v>
      </c>
      <c r="L107" s="18">
        <f>IF(AND(ISNUMBER(I107),ISNUMBER(J107),ISNUMBER(K107),SUM(I107:J107)&gt;0),K107/AVERAGE(I107:J107),"")</f>
        <v>0.13191790146080945</v>
      </c>
      <c r="M107" s="17">
        <v>354.031</v>
      </c>
      <c r="N107" s="13"/>
      <c r="O107" s="13"/>
      <c r="P107" s="13"/>
      <c r="Q107" s="13"/>
      <c r="R107" s="13"/>
      <c r="S107" s="12" t="s">
        <v>216</v>
      </c>
      <c r="T107" s="12" t="s">
        <v>774</v>
      </c>
      <c r="U107" s="12" t="s">
        <v>474</v>
      </c>
      <c r="V107" s="12" t="s">
        <v>775</v>
      </c>
      <c r="W107" s="15" t="s">
        <v>586</v>
      </c>
    </row>
    <row r="108" spans="1:23" ht="30" customHeight="1">
      <c r="A108" s="15" t="s">
        <v>480</v>
      </c>
      <c r="B108" s="12" t="s">
        <v>477</v>
      </c>
      <c r="C108" s="12" t="s">
        <v>430</v>
      </c>
      <c r="D108" s="15" t="s">
        <v>32</v>
      </c>
      <c r="E108" s="17">
        <v>3160.948</v>
      </c>
      <c r="F108" s="17">
        <v>2585.68</v>
      </c>
      <c r="G108" s="17">
        <v>182.9329</v>
      </c>
      <c r="H108" s="18">
        <f>IF(AND(ISNUMBER(G108),ISNUMBER(F108),F108&gt;0),G108/F108,"")</f>
        <v>0.07074846848797996</v>
      </c>
      <c r="I108" s="17">
        <v>447.1176</v>
      </c>
      <c r="J108" s="17">
        <v>279.279</v>
      </c>
      <c r="K108" s="17">
        <v>94.83750000000001</v>
      </c>
      <c r="L108" s="18">
        <f>IF(AND(ISNUMBER(I108),ISNUMBER(J108),ISNUMBER(K108),SUM(I108:J108)&gt;0),K108/AVERAGE(I108:J108),"")</f>
        <v>0.2611176869495259</v>
      </c>
      <c r="M108" s="17">
        <v>448.857</v>
      </c>
      <c r="N108" s="13"/>
      <c r="O108" s="13"/>
      <c r="P108" s="13"/>
      <c r="Q108" s="13"/>
      <c r="R108" s="13"/>
      <c r="S108" s="12" t="s">
        <v>482</v>
      </c>
      <c r="T108" s="12" t="s">
        <v>776</v>
      </c>
      <c r="U108" s="12" t="s">
        <v>479</v>
      </c>
      <c r="V108" s="12" t="s">
        <v>777</v>
      </c>
      <c r="W108" s="15" t="s">
        <v>586</v>
      </c>
    </row>
  </sheetData>
  <mergeCells count="5">
    <mergeCell ref="A1:I2"/>
    <mergeCell ref="A3:K3"/>
    <mergeCell ref="A4:D4"/>
    <mergeCell ref="E4:R4"/>
    <mergeCell ref="S4:W4"/>
  </mergeCells>
  <conditionalFormatting sqref="L7:L108">
    <cfRule type="cellIs" dxfId="1" priority="1" operator="greaterThan">
      <formula>1</formula>
    </cfRule>
  </conditionalFormatting>
  <pageMargins left="0.3" right="0.3" top="0.4" bottom="0.4" header="0.3" footer="0.3"/>
  <pageSetup paperSize="9"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sheetPr>
    <tabColor rgb="FF167C80"/>
    <pageSetUpPr fitToPage="1"/>
  </sheetPr>
  <dimension ref="A1:K1771"/>
  <sheetViews>
    <sheetView showGridLines="0" workbookViewId="0">
      <pane xSplit="2" ySplit="6" topLeftCell="C7" activePane="bottomRight" state="frozen"/>
      <selection pane="topRight" activeCell="C1" sqref="C1"/>
      <selection pane="bottomLeft" activeCell="A7" sqref="A7"/>
      <selection pane="bottomRight"/>
    </sheetView>
  </sheetViews>
  <sheetFormatPr defaultRowHeight="15"/>
  <cols>
    <col min="1" max="1" width="12.7109375" customWidth="1"/>
    <col min="2" max="2" width="40.7109375" customWidth="1"/>
    <col min="3" max="3" width="27.7109375" customWidth="1"/>
    <col min="4" max="4" width="35.7109375" customWidth="1"/>
    <col min="5" max="5" width="28.7109375" customWidth="1"/>
    <col min="6" max="6" width="18.7109375" customWidth="1"/>
    <col min="7" max="7" width="60.7109375" customWidth="1"/>
    <col min="8" max="8" width="55.7109375" customWidth="1"/>
    <col min="9" max="9" width="50.7109375" customWidth="1"/>
    <col min="10" max="11" width="110.7109375" customWidth="1"/>
  </cols>
  <sheetData>
    <row r="1" spans="1:11" ht="22" customHeight="1">
      <c r="A1" s="1" t="s">
        <v>789</v>
      </c>
      <c r="B1" s="1"/>
      <c r="C1" s="1"/>
      <c r="D1" s="1"/>
      <c r="E1" s="1"/>
      <c r="F1" s="1"/>
      <c r="G1" s="1"/>
      <c r="H1" s="1"/>
      <c r="I1" s="1"/>
    </row>
    <row r="2" spans="1:11" ht="18" customHeight="1">
      <c r="A2" s="1"/>
      <c r="B2" s="1"/>
      <c r="C2" s="1"/>
      <c r="D2" s="1"/>
      <c r="E2" s="1"/>
      <c r="F2" s="1"/>
      <c r="G2" s="1"/>
      <c r="H2" s="1"/>
      <c r="I2" s="1"/>
    </row>
    <row r="3" spans="1:11" ht="34" customHeight="1">
      <c r="A3" s="2" t="s">
        <v>790</v>
      </c>
      <c r="B3" s="2"/>
      <c r="C3" s="2"/>
      <c r="D3" s="2"/>
      <c r="E3" s="2"/>
      <c r="F3" s="2"/>
      <c r="G3" s="2"/>
      <c r="H3" s="2"/>
      <c r="I3" s="2"/>
      <c r="J3" s="2"/>
      <c r="K3" s="2"/>
    </row>
    <row r="6" spans="1:11" ht="40" customHeight="1">
      <c r="A6" s="11" t="s">
        <v>571</v>
      </c>
      <c r="B6" s="11" t="s">
        <v>527</v>
      </c>
      <c r="C6" s="11" t="s">
        <v>528</v>
      </c>
      <c r="D6" s="11" t="s">
        <v>2051</v>
      </c>
      <c r="E6" s="11" t="s">
        <v>2052</v>
      </c>
      <c r="F6" s="11" t="s">
        <v>2053</v>
      </c>
      <c r="G6" s="11" t="s">
        <v>566</v>
      </c>
      <c r="H6" s="11" t="s">
        <v>568</v>
      </c>
      <c r="I6" s="11" t="s">
        <v>569</v>
      </c>
      <c r="J6" s="11" t="s">
        <v>2054</v>
      </c>
      <c r="K6" s="11" t="s">
        <v>2055</v>
      </c>
    </row>
    <row r="7" spans="1:11" ht="30" customHeight="1">
      <c r="A7" s="12" t="s">
        <v>95</v>
      </c>
      <c r="B7" s="12" t="s">
        <v>92</v>
      </c>
      <c r="C7" s="12" t="s">
        <v>29</v>
      </c>
      <c r="D7" s="12" t="s">
        <v>534</v>
      </c>
      <c r="E7" s="17">
        <v>3</v>
      </c>
      <c r="F7" s="13"/>
      <c r="G7" s="12" t="s">
        <v>791</v>
      </c>
      <c r="H7" s="12" t="s">
        <v>792</v>
      </c>
      <c r="I7" s="13"/>
      <c r="J7" s="12" t="s">
        <v>793</v>
      </c>
      <c r="K7" s="12" t="s">
        <v>794</v>
      </c>
    </row>
    <row r="8" spans="1:11" ht="30" customHeight="1">
      <c r="A8" s="12" t="s">
        <v>95</v>
      </c>
      <c r="B8" s="12" t="s">
        <v>92</v>
      </c>
      <c r="C8" s="12" t="s">
        <v>29</v>
      </c>
      <c r="D8" s="12" t="s">
        <v>535</v>
      </c>
      <c r="E8" s="17">
        <v>2</v>
      </c>
      <c r="F8" s="13"/>
      <c r="G8" s="12" t="s">
        <v>791</v>
      </c>
      <c r="H8" s="12" t="s">
        <v>795</v>
      </c>
      <c r="I8" s="13"/>
      <c r="J8" s="12" t="s">
        <v>796</v>
      </c>
      <c r="K8" s="12" t="s">
        <v>794</v>
      </c>
    </row>
    <row r="9" spans="1:11" ht="30" customHeight="1">
      <c r="A9" s="12" t="s">
        <v>95</v>
      </c>
      <c r="B9" s="12" t="s">
        <v>92</v>
      </c>
      <c r="C9" s="12" t="s">
        <v>29</v>
      </c>
      <c r="D9" s="12" t="s">
        <v>536</v>
      </c>
      <c r="E9" s="17">
        <v>1</v>
      </c>
      <c r="F9" s="13"/>
      <c r="G9" s="12" t="s">
        <v>791</v>
      </c>
      <c r="H9" s="12" t="s">
        <v>797</v>
      </c>
      <c r="I9" s="13"/>
      <c r="J9" s="12" t="s">
        <v>798</v>
      </c>
      <c r="K9" s="12" t="s">
        <v>794</v>
      </c>
    </row>
    <row r="10" spans="1:11" ht="30" customHeight="1">
      <c r="A10" s="12" t="s">
        <v>95</v>
      </c>
      <c r="B10" s="12" t="s">
        <v>92</v>
      </c>
      <c r="C10" s="12" t="s">
        <v>29</v>
      </c>
      <c r="D10" s="12" t="s">
        <v>537</v>
      </c>
      <c r="E10" s="17">
        <v>2</v>
      </c>
      <c r="F10" s="13"/>
      <c r="G10" s="12" t="s">
        <v>791</v>
      </c>
      <c r="H10" s="12" t="s">
        <v>799</v>
      </c>
      <c r="I10" s="13"/>
      <c r="J10" s="12" t="s">
        <v>800</v>
      </c>
      <c r="K10" s="12" t="s">
        <v>794</v>
      </c>
    </row>
    <row r="11" spans="1:11" ht="30" customHeight="1">
      <c r="A11" s="12" t="s">
        <v>95</v>
      </c>
      <c r="B11" s="12" t="s">
        <v>92</v>
      </c>
      <c r="C11" s="12" t="s">
        <v>29</v>
      </c>
      <c r="D11" s="12" t="s">
        <v>538</v>
      </c>
      <c r="E11" s="17">
        <v>2</v>
      </c>
      <c r="F11" s="13"/>
      <c r="G11" s="12" t="s">
        <v>791</v>
      </c>
      <c r="H11" s="12" t="s">
        <v>801</v>
      </c>
      <c r="I11" s="13"/>
      <c r="J11" s="12" t="s">
        <v>802</v>
      </c>
      <c r="K11" s="12" t="s">
        <v>794</v>
      </c>
    </row>
    <row r="12" spans="1:11" ht="30" customHeight="1">
      <c r="A12" s="12" t="s">
        <v>95</v>
      </c>
      <c r="B12" s="12" t="s">
        <v>92</v>
      </c>
      <c r="C12" s="12" t="s">
        <v>29</v>
      </c>
      <c r="D12" s="12" t="s">
        <v>539</v>
      </c>
      <c r="E12" s="17">
        <v>1</v>
      </c>
      <c r="F12" s="13"/>
      <c r="G12" s="12" t="s">
        <v>791</v>
      </c>
      <c r="H12" s="12" t="s">
        <v>803</v>
      </c>
      <c r="I12" s="13"/>
      <c r="J12" s="12" t="s">
        <v>804</v>
      </c>
      <c r="K12" s="12" t="s">
        <v>794</v>
      </c>
    </row>
    <row r="13" spans="1:11" ht="30" customHeight="1">
      <c r="A13" s="12" t="s">
        <v>95</v>
      </c>
      <c r="B13" s="12" t="s">
        <v>92</v>
      </c>
      <c r="C13" s="12" t="s">
        <v>29</v>
      </c>
      <c r="D13" s="12" t="s">
        <v>540</v>
      </c>
      <c r="E13" s="17">
        <v>0</v>
      </c>
      <c r="F13" s="13"/>
      <c r="G13" s="12" t="s">
        <v>791</v>
      </c>
      <c r="H13" s="12" t="s">
        <v>805</v>
      </c>
      <c r="I13" s="13"/>
      <c r="J13" s="12" t="s">
        <v>806</v>
      </c>
      <c r="K13" s="12" t="s">
        <v>794</v>
      </c>
    </row>
    <row r="14" spans="1:11" ht="30" customHeight="1">
      <c r="A14" s="12" t="s">
        <v>95</v>
      </c>
      <c r="B14" s="12" t="s">
        <v>92</v>
      </c>
      <c r="C14" s="12" t="s">
        <v>29</v>
      </c>
      <c r="D14" s="12" t="s">
        <v>541</v>
      </c>
      <c r="E14" s="17">
        <v>1</v>
      </c>
      <c r="F14" s="13"/>
      <c r="G14" s="12" t="s">
        <v>791</v>
      </c>
      <c r="H14" s="12" t="s">
        <v>807</v>
      </c>
      <c r="I14" s="13"/>
      <c r="J14" s="12" t="s">
        <v>808</v>
      </c>
      <c r="K14" s="12" t="s">
        <v>794</v>
      </c>
    </row>
    <row r="15" spans="1:11" ht="30" customHeight="1">
      <c r="A15" s="12" t="s">
        <v>95</v>
      </c>
      <c r="B15" s="12" t="s">
        <v>92</v>
      </c>
      <c r="C15" s="12" t="s">
        <v>29</v>
      </c>
      <c r="D15" s="12" t="s">
        <v>542</v>
      </c>
      <c r="E15" s="17">
        <v>3</v>
      </c>
      <c r="F15" s="13"/>
      <c r="G15" s="12" t="s">
        <v>791</v>
      </c>
      <c r="H15" s="12" t="s">
        <v>809</v>
      </c>
      <c r="I15" s="13"/>
      <c r="J15" s="12" t="s">
        <v>810</v>
      </c>
      <c r="K15" s="12" t="s">
        <v>794</v>
      </c>
    </row>
    <row r="16" spans="1:11" ht="30" customHeight="1">
      <c r="A16" s="12" t="s">
        <v>95</v>
      </c>
      <c r="B16" s="12" t="s">
        <v>92</v>
      </c>
      <c r="C16" s="12" t="s">
        <v>29</v>
      </c>
      <c r="D16" s="12" t="s">
        <v>543</v>
      </c>
      <c r="E16" s="17">
        <v>3</v>
      </c>
      <c r="F16" s="13"/>
      <c r="G16" s="12" t="s">
        <v>791</v>
      </c>
      <c r="H16" s="12" t="s">
        <v>811</v>
      </c>
      <c r="I16" s="13"/>
      <c r="J16" s="12" t="s">
        <v>812</v>
      </c>
      <c r="K16" s="12" t="s">
        <v>794</v>
      </c>
    </row>
    <row r="17" spans="1:11" ht="30" customHeight="1">
      <c r="A17" s="12" t="s">
        <v>64</v>
      </c>
      <c r="B17" s="12" t="s">
        <v>60</v>
      </c>
      <c r="C17" s="12" t="s">
        <v>29</v>
      </c>
      <c r="D17" s="12" t="s">
        <v>534</v>
      </c>
      <c r="E17" s="17">
        <v>2</v>
      </c>
      <c r="F17" s="13"/>
      <c r="G17" s="12" t="s">
        <v>813</v>
      </c>
      <c r="H17" s="12" t="s">
        <v>814</v>
      </c>
      <c r="I17" s="13"/>
      <c r="J17" s="12" t="s">
        <v>815</v>
      </c>
      <c r="K17" s="12" t="s">
        <v>794</v>
      </c>
    </row>
    <row r="18" spans="1:11" ht="30" customHeight="1">
      <c r="A18" s="12" t="s">
        <v>64</v>
      </c>
      <c r="B18" s="12" t="s">
        <v>60</v>
      </c>
      <c r="C18" s="12" t="s">
        <v>29</v>
      </c>
      <c r="D18" s="12" t="s">
        <v>535</v>
      </c>
      <c r="E18" s="17">
        <v>2</v>
      </c>
      <c r="F18" s="13"/>
      <c r="G18" s="12" t="s">
        <v>813</v>
      </c>
      <c r="H18" s="12" t="s">
        <v>816</v>
      </c>
      <c r="I18" s="13"/>
      <c r="J18" s="12" t="s">
        <v>817</v>
      </c>
      <c r="K18" s="12" t="s">
        <v>794</v>
      </c>
    </row>
    <row r="19" spans="1:11" ht="30" customHeight="1">
      <c r="A19" s="12" t="s">
        <v>64</v>
      </c>
      <c r="B19" s="12" t="s">
        <v>60</v>
      </c>
      <c r="C19" s="12" t="s">
        <v>29</v>
      </c>
      <c r="D19" s="12" t="s">
        <v>536</v>
      </c>
      <c r="E19" s="17">
        <v>3</v>
      </c>
      <c r="F19" s="13"/>
      <c r="G19" s="12" t="s">
        <v>813</v>
      </c>
      <c r="H19" s="12" t="s">
        <v>818</v>
      </c>
      <c r="I19" s="13"/>
      <c r="J19" s="12" t="s">
        <v>819</v>
      </c>
      <c r="K19" s="12" t="s">
        <v>794</v>
      </c>
    </row>
    <row r="20" spans="1:11" ht="30" customHeight="1">
      <c r="A20" s="12" t="s">
        <v>64</v>
      </c>
      <c r="B20" s="12" t="s">
        <v>60</v>
      </c>
      <c r="C20" s="12" t="s">
        <v>29</v>
      </c>
      <c r="D20" s="12" t="s">
        <v>537</v>
      </c>
      <c r="E20" s="17">
        <v>2</v>
      </c>
      <c r="F20" s="13"/>
      <c r="G20" s="12" t="s">
        <v>813</v>
      </c>
      <c r="H20" s="12" t="s">
        <v>820</v>
      </c>
      <c r="I20" s="13"/>
      <c r="J20" s="12" t="s">
        <v>821</v>
      </c>
      <c r="K20" s="12" t="s">
        <v>794</v>
      </c>
    </row>
    <row r="21" spans="1:11" ht="30" customHeight="1">
      <c r="A21" s="12" t="s">
        <v>64</v>
      </c>
      <c r="B21" s="12" t="s">
        <v>60</v>
      </c>
      <c r="C21" s="12" t="s">
        <v>29</v>
      </c>
      <c r="D21" s="12" t="s">
        <v>538</v>
      </c>
      <c r="E21" s="17">
        <v>1</v>
      </c>
      <c r="F21" s="13"/>
      <c r="G21" s="12" t="s">
        <v>813</v>
      </c>
      <c r="H21" s="12" t="s">
        <v>822</v>
      </c>
      <c r="I21" s="13"/>
      <c r="J21" s="12" t="s">
        <v>823</v>
      </c>
      <c r="K21" s="12" t="s">
        <v>794</v>
      </c>
    </row>
    <row r="22" spans="1:11" ht="30" customHeight="1">
      <c r="A22" s="12" t="s">
        <v>64</v>
      </c>
      <c r="B22" s="12" t="s">
        <v>60</v>
      </c>
      <c r="C22" s="12" t="s">
        <v>29</v>
      </c>
      <c r="D22" s="12" t="s">
        <v>539</v>
      </c>
      <c r="E22" s="17">
        <v>1</v>
      </c>
      <c r="F22" s="13"/>
      <c r="G22" s="12" t="s">
        <v>813</v>
      </c>
      <c r="H22" s="12" t="s">
        <v>824</v>
      </c>
      <c r="I22" s="13"/>
      <c r="J22" s="12" t="s">
        <v>825</v>
      </c>
      <c r="K22" s="12" t="s">
        <v>794</v>
      </c>
    </row>
    <row r="23" spans="1:11" ht="30" customHeight="1">
      <c r="A23" s="12" t="s">
        <v>64</v>
      </c>
      <c r="B23" s="12" t="s">
        <v>60</v>
      </c>
      <c r="C23" s="12" t="s">
        <v>29</v>
      </c>
      <c r="D23" s="12" t="s">
        <v>540</v>
      </c>
      <c r="E23" s="17">
        <v>0</v>
      </c>
      <c r="F23" s="13"/>
      <c r="G23" s="12" t="s">
        <v>813</v>
      </c>
      <c r="H23" s="12" t="s">
        <v>826</v>
      </c>
      <c r="I23" s="13"/>
      <c r="J23" s="12" t="s">
        <v>827</v>
      </c>
      <c r="K23" s="12" t="s">
        <v>794</v>
      </c>
    </row>
    <row r="24" spans="1:11" ht="30" customHeight="1">
      <c r="A24" s="12" t="s">
        <v>64</v>
      </c>
      <c r="B24" s="12" t="s">
        <v>60</v>
      </c>
      <c r="C24" s="12" t="s">
        <v>29</v>
      </c>
      <c r="D24" s="12" t="s">
        <v>541</v>
      </c>
      <c r="E24" s="17">
        <v>1</v>
      </c>
      <c r="F24" s="13"/>
      <c r="G24" s="12" t="s">
        <v>813</v>
      </c>
      <c r="H24" s="12" t="s">
        <v>828</v>
      </c>
      <c r="I24" s="13"/>
      <c r="J24" s="12" t="s">
        <v>829</v>
      </c>
      <c r="K24" s="12" t="s">
        <v>794</v>
      </c>
    </row>
    <row r="25" spans="1:11" ht="30" customHeight="1">
      <c r="A25" s="12" t="s">
        <v>64</v>
      </c>
      <c r="B25" s="12" t="s">
        <v>60</v>
      </c>
      <c r="C25" s="12" t="s">
        <v>29</v>
      </c>
      <c r="D25" s="12" t="s">
        <v>542</v>
      </c>
      <c r="E25" s="17">
        <v>3</v>
      </c>
      <c r="F25" s="13"/>
      <c r="G25" s="12" t="s">
        <v>813</v>
      </c>
      <c r="H25" s="12" t="s">
        <v>830</v>
      </c>
      <c r="I25" s="13"/>
      <c r="J25" s="12" t="s">
        <v>831</v>
      </c>
      <c r="K25" s="12" t="s">
        <v>794</v>
      </c>
    </row>
    <row r="26" spans="1:11" ht="30" customHeight="1">
      <c r="A26" s="12" t="s">
        <v>64</v>
      </c>
      <c r="B26" s="12" t="s">
        <v>60</v>
      </c>
      <c r="C26" s="12" t="s">
        <v>29</v>
      </c>
      <c r="D26" s="12" t="s">
        <v>543</v>
      </c>
      <c r="E26" s="17">
        <v>1</v>
      </c>
      <c r="F26" s="13"/>
      <c r="G26" s="12" t="s">
        <v>813</v>
      </c>
      <c r="H26" s="12" t="s">
        <v>832</v>
      </c>
      <c r="I26" s="13"/>
      <c r="J26" s="12" t="s">
        <v>833</v>
      </c>
      <c r="K26" s="12" t="s">
        <v>794</v>
      </c>
    </row>
    <row r="27" spans="1:11" ht="30" customHeight="1">
      <c r="A27" s="12" t="s">
        <v>90</v>
      </c>
      <c r="B27" s="12" t="s">
        <v>87</v>
      </c>
      <c r="C27" s="12" t="s">
        <v>29</v>
      </c>
      <c r="D27" s="12" t="s">
        <v>534</v>
      </c>
      <c r="E27" s="17">
        <v>2</v>
      </c>
      <c r="F27" s="13"/>
      <c r="G27" s="12" t="s">
        <v>813</v>
      </c>
      <c r="H27" s="12" t="s">
        <v>834</v>
      </c>
      <c r="I27" s="13"/>
      <c r="J27" s="12" t="s">
        <v>835</v>
      </c>
      <c r="K27" s="12" t="s">
        <v>794</v>
      </c>
    </row>
    <row r="28" spans="1:11" ht="30" customHeight="1">
      <c r="A28" s="12" t="s">
        <v>90</v>
      </c>
      <c r="B28" s="12" t="s">
        <v>87</v>
      </c>
      <c r="C28" s="12" t="s">
        <v>29</v>
      </c>
      <c r="D28" s="12" t="s">
        <v>535</v>
      </c>
      <c r="E28" s="17">
        <v>2</v>
      </c>
      <c r="F28" s="13"/>
      <c r="G28" s="12" t="s">
        <v>813</v>
      </c>
      <c r="H28" s="12" t="s">
        <v>836</v>
      </c>
      <c r="I28" s="13"/>
      <c r="J28" s="12" t="s">
        <v>837</v>
      </c>
      <c r="K28" s="12" t="s">
        <v>794</v>
      </c>
    </row>
    <row r="29" spans="1:11" ht="30" customHeight="1">
      <c r="A29" s="12" t="s">
        <v>90</v>
      </c>
      <c r="B29" s="12" t="s">
        <v>87</v>
      </c>
      <c r="C29" s="12" t="s">
        <v>29</v>
      </c>
      <c r="D29" s="12" t="s">
        <v>536</v>
      </c>
      <c r="E29" s="17">
        <v>2</v>
      </c>
      <c r="F29" s="13"/>
      <c r="G29" s="12" t="s">
        <v>813</v>
      </c>
      <c r="H29" s="12" t="s">
        <v>838</v>
      </c>
      <c r="I29" s="13"/>
      <c r="J29" s="12" t="s">
        <v>839</v>
      </c>
      <c r="K29" s="12" t="s">
        <v>794</v>
      </c>
    </row>
    <row r="30" spans="1:11" ht="30" customHeight="1">
      <c r="A30" s="12" t="s">
        <v>90</v>
      </c>
      <c r="B30" s="12" t="s">
        <v>87</v>
      </c>
      <c r="C30" s="12" t="s">
        <v>29</v>
      </c>
      <c r="D30" s="12" t="s">
        <v>537</v>
      </c>
      <c r="E30" s="17">
        <v>2</v>
      </c>
      <c r="F30" s="13"/>
      <c r="G30" s="12" t="s">
        <v>813</v>
      </c>
      <c r="H30" s="12" t="s">
        <v>840</v>
      </c>
      <c r="I30" s="13"/>
      <c r="J30" s="12" t="s">
        <v>841</v>
      </c>
      <c r="K30" s="12" t="s">
        <v>794</v>
      </c>
    </row>
    <row r="31" spans="1:11" ht="30" customHeight="1">
      <c r="A31" s="12" t="s">
        <v>90</v>
      </c>
      <c r="B31" s="12" t="s">
        <v>87</v>
      </c>
      <c r="C31" s="12" t="s">
        <v>29</v>
      </c>
      <c r="D31" s="12" t="s">
        <v>538</v>
      </c>
      <c r="E31" s="17">
        <v>1</v>
      </c>
      <c r="F31" s="13"/>
      <c r="G31" s="12" t="s">
        <v>813</v>
      </c>
      <c r="H31" s="12" t="s">
        <v>842</v>
      </c>
      <c r="I31" s="13"/>
      <c r="J31" s="12" t="s">
        <v>843</v>
      </c>
      <c r="K31" s="12" t="s">
        <v>794</v>
      </c>
    </row>
    <row r="32" spans="1:11" ht="30" customHeight="1">
      <c r="A32" s="12" t="s">
        <v>90</v>
      </c>
      <c r="B32" s="12" t="s">
        <v>87</v>
      </c>
      <c r="C32" s="12" t="s">
        <v>29</v>
      </c>
      <c r="D32" s="12" t="s">
        <v>539</v>
      </c>
      <c r="E32" s="17">
        <v>0</v>
      </c>
      <c r="F32" s="13"/>
      <c r="G32" s="12" t="s">
        <v>813</v>
      </c>
      <c r="H32" s="12" t="s">
        <v>805</v>
      </c>
      <c r="I32" s="13"/>
      <c r="J32" s="12" t="s">
        <v>844</v>
      </c>
      <c r="K32" s="12" t="s">
        <v>794</v>
      </c>
    </row>
    <row r="33" spans="1:11" ht="30" customHeight="1">
      <c r="A33" s="12" t="s">
        <v>90</v>
      </c>
      <c r="B33" s="12" t="s">
        <v>87</v>
      </c>
      <c r="C33" s="12" t="s">
        <v>29</v>
      </c>
      <c r="D33" s="12" t="s">
        <v>540</v>
      </c>
      <c r="E33" s="17">
        <v>0</v>
      </c>
      <c r="F33" s="13"/>
      <c r="G33" s="12" t="s">
        <v>813</v>
      </c>
      <c r="H33" s="12" t="s">
        <v>805</v>
      </c>
      <c r="I33" s="13"/>
      <c r="J33" s="12" t="s">
        <v>845</v>
      </c>
      <c r="K33" s="12" t="s">
        <v>794</v>
      </c>
    </row>
    <row r="34" spans="1:11" ht="30" customHeight="1">
      <c r="A34" s="12" t="s">
        <v>90</v>
      </c>
      <c r="B34" s="12" t="s">
        <v>87</v>
      </c>
      <c r="C34" s="12" t="s">
        <v>29</v>
      </c>
      <c r="D34" s="12" t="s">
        <v>541</v>
      </c>
      <c r="E34" s="17">
        <v>1</v>
      </c>
      <c r="F34" s="13"/>
      <c r="G34" s="12" t="s">
        <v>813</v>
      </c>
      <c r="H34" s="12" t="s">
        <v>846</v>
      </c>
      <c r="I34" s="13"/>
      <c r="J34" s="12" t="s">
        <v>847</v>
      </c>
      <c r="K34" s="12" t="s">
        <v>794</v>
      </c>
    </row>
    <row r="35" spans="1:11" ht="30" customHeight="1">
      <c r="A35" s="12" t="s">
        <v>90</v>
      </c>
      <c r="B35" s="12" t="s">
        <v>87</v>
      </c>
      <c r="C35" s="12" t="s">
        <v>29</v>
      </c>
      <c r="D35" s="12" t="s">
        <v>542</v>
      </c>
      <c r="E35" s="17">
        <v>3</v>
      </c>
      <c r="F35" s="13"/>
      <c r="G35" s="12" t="s">
        <v>813</v>
      </c>
      <c r="H35" s="12" t="s">
        <v>848</v>
      </c>
      <c r="I35" s="13"/>
      <c r="J35" s="12" t="s">
        <v>849</v>
      </c>
      <c r="K35" s="12" t="s">
        <v>794</v>
      </c>
    </row>
    <row r="36" spans="1:11" ht="30" customHeight="1">
      <c r="A36" s="12" t="s">
        <v>90</v>
      </c>
      <c r="B36" s="12" t="s">
        <v>87</v>
      </c>
      <c r="C36" s="12" t="s">
        <v>29</v>
      </c>
      <c r="D36" s="12" t="s">
        <v>543</v>
      </c>
      <c r="E36" s="17">
        <v>3</v>
      </c>
      <c r="F36" s="13"/>
      <c r="G36" s="12" t="s">
        <v>813</v>
      </c>
      <c r="H36" s="12" t="s">
        <v>850</v>
      </c>
      <c r="I36" s="13"/>
      <c r="J36" s="12" t="s">
        <v>851</v>
      </c>
      <c r="K36" s="12" t="s">
        <v>794</v>
      </c>
    </row>
    <row r="37" spans="1:11" ht="30" customHeight="1">
      <c r="A37" s="12" t="s">
        <v>58</v>
      </c>
      <c r="B37" s="12" t="s">
        <v>53</v>
      </c>
      <c r="C37" s="12" t="s">
        <v>29</v>
      </c>
      <c r="D37" s="12" t="s">
        <v>534</v>
      </c>
      <c r="E37" s="17">
        <v>2</v>
      </c>
      <c r="F37" s="13"/>
      <c r="G37" s="12" t="s">
        <v>852</v>
      </c>
      <c r="H37" s="12" t="s">
        <v>853</v>
      </c>
      <c r="I37" s="13"/>
      <c r="J37" s="12" t="s">
        <v>854</v>
      </c>
      <c r="K37" s="12" t="s">
        <v>794</v>
      </c>
    </row>
    <row r="38" spans="1:11" ht="30" customHeight="1">
      <c r="A38" s="12" t="s">
        <v>58</v>
      </c>
      <c r="B38" s="12" t="s">
        <v>53</v>
      </c>
      <c r="C38" s="12" t="s">
        <v>29</v>
      </c>
      <c r="D38" s="12" t="s">
        <v>535</v>
      </c>
      <c r="E38" s="17">
        <v>2</v>
      </c>
      <c r="F38" s="13"/>
      <c r="G38" s="12" t="s">
        <v>852</v>
      </c>
      <c r="H38" s="12" t="s">
        <v>855</v>
      </c>
      <c r="I38" s="13"/>
      <c r="J38" s="12" t="s">
        <v>856</v>
      </c>
      <c r="K38" s="12" t="s">
        <v>794</v>
      </c>
    </row>
    <row r="39" spans="1:11" ht="30" customHeight="1">
      <c r="A39" s="12" t="s">
        <v>58</v>
      </c>
      <c r="B39" s="12" t="s">
        <v>53</v>
      </c>
      <c r="C39" s="12" t="s">
        <v>29</v>
      </c>
      <c r="D39" s="12" t="s">
        <v>536</v>
      </c>
      <c r="E39" s="17">
        <v>3</v>
      </c>
      <c r="F39" s="13"/>
      <c r="G39" s="12" t="s">
        <v>852</v>
      </c>
      <c r="H39" s="12" t="s">
        <v>857</v>
      </c>
      <c r="I39" s="13"/>
      <c r="J39" s="12" t="s">
        <v>858</v>
      </c>
      <c r="K39" s="12" t="s">
        <v>794</v>
      </c>
    </row>
    <row r="40" spans="1:11" ht="30" customHeight="1">
      <c r="A40" s="12" t="s">
        <v>58</v>
      </c>
      <c r="B40" s="12" t="s">
        <v>53</v>
      </c>
      <c r="C40" s="12" t="s">
        <v>29</v>
      </c>
      <c r="D40" s="12" t="s">
        <v>537</v>
      </c>
      <c r="E40" s="17">
        <v>3</v>
      </c>
      <c r="F40" s="13"/>
      <c r="G40" s="12" t="s">
        <v>852</v>
      </c>
      <c r="H40" s="12" t="s">
        <v>859</v>
      </c>
      <c r="I40" s="13"/>
      <c r="J40" s="12" t="s">
        <v>860</v>
      </c>
      <c r="K40" s="12" t="s">
        <v>794</v>
      </c>
    </row>
    <row r="41" spans="1:11" ht="30" customHeight="1">
      <c r="A41" s="12" t="s">
        <v>58</v>
      </c>
      <c r="B41" s="12" t="s">
        <v>53</v>
      </c>
      <c r="C41" s="12" t="s">
        <v>29</v>
      </c>
      <c r="D41" s="12" t="s">
        <v>538</v>
      </c>
      <c r="E41" s="17">
        <v>1</v>
      </c>
      <c r="F41" s="13"/>
      <c r="G41" s="12" t="s">
        <v>852</v>
      </c>
      <c r="H41" s="12" t="s">
        <v>861</v>
      </c>
      <c r="I41" s="13"/>
      <c r="J41" s="12" t="s">
        <v>862</v>
      </c>
      <c r="K41" s="12" t="s">
        <v>794</v>
      </c>
    </row>
    <row r="42" spans="1:11" ht="30" customHeight="1">
      <c r="A42" s="12" t="s">
        <v>58</v>
      </c>
      <c r="B42" s="12" t="s">
        <v>53</v>
      </c>
      <c r="C42" s="12" t="s">
        <v>29</v>
      </c>
      <c r="D42" s="12" t="s">
        <v>539</v>
      </c>
      <c r="E42" s="17">
        <v>2</v>
      </c>
      <c r="F42" s="13"/>
      <c r="G42" s="12" t="s">
        <v>852</v>
      </c>
      <c r="H42" s="12" t="s">
        <v>863</v>
      </c>
      <c r="I42" s="13"/>
      <c r="J42" s="12" t="s">
        <v>864</v>
      </c>
      <c r="K42" s="12" t="s">
        <v>794</v>
      </c>
    </row>
    <row r="43" spans="1:11" ht="30" customHeight="1">
      <c r="A43" s="12" t="s">
        <v>58</v>
      </c>
      <c r="B43" s="12" t="s">
        <v>53</v>
      </c>
      <c r="C43" s="12" t="s">
        <v>29</v>
      </c>
      <c r="D43" s="12" t="s">
        <v>540</v>
      </c>
      <c r="E43" s="17">
        <v>0</v>
      </c>
      <c r="F43" s="13"/>
      <c r="G43" s="12" t="s">
        <v>852</v>
      </c>
      <c r="H43" s="12" t="s">
        <v>826</v>
      </c>
      <c r="I43" s="13"/>
      <c r="J43" s="12" t="s">
        <v>865</v>
      </c>
      <c r="K43" s="12" t="s">
        <v>794</v>
      </c>
    </row>
    <row r="44" spans="1:11" ht="30" customHeight="1">
      <c r="A44" s="12" t="s">
        <v>58</v>
      </c>
      <c r="B44" s="12" t="s">
        <v>53</v>
      </c>
      <c r="C44" s="12" t="s">
        <v>29</v>
      </c>
      <c r="D44" s="12" t="s">
        <v>541</v>
      </c>
      <c r="E44" s="17">
        <v>2</v>
      </c>
      <c r="F44" s="13"/>
      <c r="G44" s="12" t="s">
        <v>852</v>
      </c>
      <c r="H44" s="12" t="s">
        <v>866</v>
      </c>
      <c r="I44" s="13"/>
      <c r="J44" s="12" t="s">
        <v>867</v>
      </c>
      <c r="K44" s="12" t="s">
        <v>794</v>
      </c>
    </row>
    <row r="45" spans="1:11" ht="30" customHeight="1">
      <c r="A45" s="12" t="s">
        <v>58</v>
      </c>
      <c r="B45" s="12" t="s">
        <v>53</v>
      </c>
      <c r="C45" s="12" t="s">
        <v>29</v>
      </c>
      <c r="D45" s="12" t="s">
        <v>542</v>
      </c>
      <c r="E45" s="17">
        <v>3</v>
      </c>
      <c r="F45" s="13"/>
      <c r="G45" s="12" t="s">
        <v>852</v>
      </c>
      <c r="H45" s="12" t="s">
        <v>868</v>
      </c>
      <c r="I45" s="13"/>
      <c r="J45" s="12" t="s">
        <v>869</v>
      </c>
      <c r="K45" s="12" t="s">
        <v>794</v>
      </c>
    </row>
    <row r="46" spans="1:11" ht="30" customHeight="1">
      <c r="A46" s="12" t="s">
        <v>58</v>
      </c>
      <c r="B46" s="12" t="s">
        <v>53</v>
      </c>
      <c r="C46" s="12" t="s">
        <v>29</v>
      </c>
      <c r="D46" s="12" t="s">
        <v>543</v>
      </c>
      <c r="E46" s="17">
        <v>1</v>
      </c>
      <c r="F46" s="13"/>
      <c r="G46" s="12" t="s">
        <v>852</v>
      </c>
      <c r="H46" s="12" t="s">
        <v>870</v>
      </c>
      <c r="I46" s="13"/>
      <c r="J46" s="12" t="s">
        <v>871</v>
      </c>
      <c r="K46" s="12" t="s">
        <v>794</v>
      </c>
    </row>
    <row r="47" spans="1:11" ht="30" customHeight="1">
      <c r="A47" s="12" t="s">
        <v>51</v>
      </c>
      <c r="B47" s="12" t="s">
        <v>46</v>
      </c>
      <c r="C47" s="12" t="s">
        <v>29</v>
      </c>
      <c r="D47" s="12" t="s">
        <v>534</v>
      </c>
      <c r="E47" s="17">
        <v>3</v>
      </c>
      <c r="F47" s="13"/>
      <c r="G47" s="12" t="s">
        <v>813</v>
      </c>
      <c r="H47" s="12" t="s">
        <v>872</v>
      </c>
      <c r="I47" s="13"/>
      <c r="J47" s="12" t="s">
        <v>873</v>
      </c>
      <c r="K47" s="12" t="s">
        <v>794</v>
      </c>
    </row>
    <row r="48" spans="1:11" ht="30" customHeight="1">
      <c r="A48" s="12" t="s">
        <v>51</v>
      </c>
      <c r="B48" s="12" t="s">
        <v>46</v>
      </c>
      <c r="C48" s="12" t="s">
        <v>29</v>
      </c>
      <c r="D48" s="12" t="s">
        <v>535</v>
      </c>
      <c r="E48" s="17">
        <v>2</v>
      </c>
      <c r="F48" s="13"/>
      <c r="G48" s="12" t="s">
        <v>813</v>
      </c>
      <c r="H48" s="12" t="s">
        <v>874</v>
      </c>
      <c r="I48" s="13"/>
      <c r="J48" s="12" t="s">
        <v>875</v>
      </c>
      <c r="K48" s="12" t="s">
        <v>794</v>
      </c>
    </row>
    <row r="49" spans="1:11" ht="30" customHeight="1">
      <c r="A49" s="12" t="s">
        <v>51</v>
      </c>
      <c r="B49" s="12" t="s">
        <v>46</v>
      </c>
      <c r="C49" s="12" t="s">
        <v>29</v>
      </c>
      <c r="D49" s="12" t="s">
        <v>536</v>
      </c>
      <c r="E49" s="17">
        <v>2</v>
      </c>
      <c r="F49" s="13"/>
      <c r="G49" s="12" t="s">
        <v>813</v>
      </c>
      <c r="H49" s="12" t="s">
        <v>876</v>
      </c>
      <c r="I49" s="13"/>
      <c r="J49" s="12" t="s">
        <v>877</v>
      </c>
      <c r="K49" s="12" t="s">
        <v>794</v>
      </c>
    </row>
    <row r="50" spans="1:11" ht="30" customHeight="1">
      <c r="A50" s="12" t="s">
        <v>51</v>
      </c>
      <c r="B50" s="12" t="s">
        <v>46</v>
      </c>
      <c r="C50" s="12" t="s">
        <v>29</v>
      </c>
      <c r="D50" s="12" t="s">
        <v>537</v>
      </c>
      <c r="E50" s="17">
        <v>2</v>
      </c>
      <c r="F50" s="13"/>
      <c r="G50" s="12" t="s">
        <v>813</v>
      </c>
      <c r="H50" s="12" t="s">
        <v>878</v>
      </c>
      <c r="I50" s="13"/>
      <c r="J50" s="12" t="s">
        <v>879</v>
      </c>
      <c r="K50" s="12" t="s">
        <v>794</v>
      </c>
    </row>
    <row r="51" spans="1:11" ht="30" customHeight="1">
      <c r="A51" s="12" t="s">
        <v>51</v>
      </c>
      <c r="B51" s="12" t="s">
        <v>46</v>
      </c>
      <c r="C51" s="12" t="s">
        <v>29</v>
      </c>
      <c r="D51" s="12" t="s">
        <v>538</v>
      </c>
      <c r="E51" s="17">
        <v>2</v>
      </c>
      <c r="F51" s="13"/>
      <c r="G51" s="12" t="s">
        <v>813</v>
      </c>
      <c r="H51" s="12" t="s">
        <v>880</v>
      </c>
      <c r="I51" s="13"/>
      <c r="J51" s="12" t="s">
        <v>881</v>
      </c>
      <c r="K51" s="12" t="s">
        <v>794</v>
      </c>
    </row>
    <row r="52" spans="1:11" ht="30" customHeight="1">
      <c r="A52" s="12" t="s">
        <v>51</v>
      </c>
      <c r="B52" s="12" t="s">
        <v>46</v>
      </c>
      <c r="C52" s="12" t="s">
        <v>29</v>
      </c>
      <c r="D52" s="12" t="s">
        <v>539</v>
      </c>
      <c r="E52" s="17">
        <v>0</v>
      </c>
      <c r="F52" s="13"/>
      <c r="G52" s="12" t="s">
        <v>813</v>
      </c>
      <c r="H52" s="12" t="s">
        <v>805</v>
      </c>
      <c r="I52" s="13"/>
      <c r="J52" s="12" t="s">
        <v>882</v>
      </c>
      <c r="K52" s="12" t="s">
        <v>794</v>
      </c>
    </row>
    <row r="53" spans="1:11" ht="30" customHeight="1">
      <c r="A53" s="12" t="s">
        <v>51</v>
      </c>
      <c r="B53" s="12" t="s">
        <v>46</v>
      </c>
      <c r="C53" s="12" t="s">
        <v>29</v>
      </c>
      <c r="D53" s="12" t="s">
        <v>540</v>
      </c>
      <c r="E53" s="17">
        <v>0</v>
      </c>
      <c r="F53" s="13"/>
      <c r="G53" s="12" t="s">
        <v>813</v>
      </c>
      <c r="H53" s="12" t="s">
        <v>805</v>
      </c>
      <c r="I53" s="13"/>
      <c r="J53" s="12" t="s">
        <v>883</v>
      </c>
      <c r="K53" s="12" t="s">
        <v>794</v>
      </c>
    </row>
    <row r="54" spans="1:11" ht="30" customHeight="1">
      <c r="A54" s="12" t="s">
        <v>51</v>
      </c>
      <c r="B54" s="12" t="s">
        <v>46</v>
      </c>
      <c r="C54" s="12" t="s">
        <v>29</v>
      </c>
      <c r="D54" s="12" t="s">
        <v>541</v>
      </c>
      <c r="E54" s="17">
        <v>1</v>
      </c>
      <c r="F54" s="13"/>
      <c r="G54" s="12" t="s">
        <v>813</v>
      </c>
      <c r="H54" s="12" t="s">
        <v>884</v>
      </c>
      <c r="I54" s="13"/>
      <c r="J54" s="12" t="s">
        <v>885</v>
      </c>
      <c r="K54" s="12" t="s">
        <v>794</v>
      </c>
    </row>
    <row r="55" spans="1:11" ht="30" customHeight="1">
      <c r="A55" s="12" t="s">
        <v>51</v>
      </c>
      <c r="B55" s="12" t="s">
        <v>46</v>
      </c>
      <c r="C55" s="12" t="s">
        <v>29</v>
      </c>
      <c r="D55" s="12" t="s">
        <v>542</v>
      </c>
      <c r="E55" s="17">
        <v>3</v>
      </c>
      <c r="F55" s="13"/>
      <c r="G55" s="12" t="s">
        <v>813</v>
      </c>
      <c r="H55" s="12" t="s">
        <v>886</v>
      </c>
      <c r="I55" s="13"/>
      <c r="J55" s="12" t="s">
        <v>887</v>
      </c>
      <c r="K55" s="12" t="s">
        <v>794</v>
      </c>
    </row>
    <row r="56" spans="1:11" ht="30" customHeight="1">
      <c r="A56" s="12" t="s">
        <v>51</v>
      </c>
      <c r="B56" s="12" t="s">
        <v>46</v>
      </c>
      <c r="C56" s="12" t="s">
        <v>29</v>
      </c>
      <c r="D56" s="12" t="s">
        <v>543</v>
      </c>
      <c r="E56" s="17">
        <v>2</v>
      </c>
      <c r="F56" s="13"/>
      <c r="G56" s="12" t="s">
        <v>813</v>
      </c>
      <c r="H56" s="12" t="s">
        <v>888</v>
      </c>
      <c r="I56" s="13"/>
      <c r="J56" s="12" t="s">
        <v>889</v>
      </c>
      <c r="K56" s="12" t="s">
        <v>794</v>
      </c>
    </row>
    <row r="57" spans="1:11" ht="30" customHeight="1">
      <c r="A57" s="12" t="s">
        <v>77</v>
      </c>
      <c r="B57" s="12" t="s">
        <v>72</v>
      </c>
      <c r="C57" s="12" t="s">
        <v>29</v>
      </c>
      <c r="D57" s="12" t="s">
        <v>534</v>
      </c>
      <c r="E57" s="17">
        <v>3</v>
      </c>
      <c r="F57" s="13"/>
      <c r="G57" s="12" t="s">
        <v>890</v>
      </c>
      <c r="H57" s="12" t="s">
        <v>891</v>
      </c>
      <c r="I57" s="13"/>
      <c r="J57" s="12" t="s">
        <v>892</v>
      </c>
      <c r="K57" s="12" t="s">
        <v>794</v>
      </c>
    </row>
    <row r="58" spans="1:11" ht="30" customHeight="1">
      <c r="A58" s="12" t="s">
        <v>77</v>
      </c>
      <c r="B58" s="12" t="s">
        <v>72</v>
      </c>
      <c r="C58" s="12" t="s">
        <v>29</v>
      </c>
      <c r="D58" s="12" t="s">
        <v>535</v>
      </c>
      <c r="E58" s="17">
        <v>2</v>
      </c>
      <c r="F58" s="13"/>
      <c r="G58" s="12" t="s">
        <v>893</v>
      </c>
      <c r="H58" s="12" t="s">
        <v>894</v>
      </c>
      <c r="I58" s="13"/>
      <c r="J58" s="12" t="s">
        <v>895</v>
      </c>
      <c r="K58" s="12" t="s">
        <v>794</v>
      </c>
    </row>
    <row r="59" spans="1:11" ht="30" customHeight="1">
      <c r="A59" s="12" t="s">
        <v>77</v>
      </c>
      <c r="B59" s="12" t="s">
        <v>72</v>
      </c>
      <c r="C59" s="12" t="s">
        <v>29</v>
      </c>
      <c r="D59" s="12" t="s">
        <v>536</v>
      </c>
      <c r="E59" s="17">
        <v>1</v>
      </c>
      <c r="F59" s="13"/>
      <c r="G59" s="12" t="s">
        <v>890</v>
      </c>
      <c r="H59" s="12" t="s">
        <v>896</v>
      </c>
      <c r="I59" s="13"/>
      <c r="J59" s="12" t="s">
        <v>897</v>
      </c>
      <c r="K59" s="12" t="s">
        <v>794</v>
      </c>
    </row>
    <row r="60" spans="1:11" ht="30" customHeight="1">
      <c r="A60" s="12" t="s">
        <v>77</v>
      </c>
      <c r="B60" s="12" t="s">
        <v>72</v>
      </c>
      <c r="C60" s="12" t="s">
        <v>29</v>
      </c>
      <c r="D60" s="12" t="s">
        <v>537</v>
      </c>
      <c r="E60" s="17">
        <v>1</v>
      </c>
      <c r="F60" s="13"/>
      <c r="G60" s="12" t="s">
        <v>893</v>
      </c>
      <c r="H60" s="12" t="s">
        <v>898</v>
      </c>
      <c r="I60" s="13"/>
      <c r="J60" s="12" t="s">
        <v>899</v>
      </c>
      <c r="K60" s="12" t="s">
        <v>794</v>
      </c>
    </row>
    <row r="61" spans="1:11" ht="30" customHeight="1">
      <c r="A61" s="12" t="s">
        <v>77</v>
      </c>
      <c r="B61" s="12" t="s">
        <v>72</v>
      </c>
      <c r="C61" s="12" t="s">
        <v>29</v>
      </c>
      <c r="D61" s="12" t="s">
        <v>538</v>
      </c>
      <c r="E61" s="17">
        <v>1</v>
      </c>
      <c r="F61" s="13"/>
      <c r="G61" s="12" t="s">
        <v>890</v>
      </c>
      <c r="H61" s="12" t="s">
        <v>900</v>
      </c>
      <c r="I61" s="13"/>
      <c r="J61" s="12" t="s">
        <v>901</v>
      </c>
      <c r="K61" s="12" t="s">
        <v>794</v>
      </c>
    </row>
    <row r="62" spans="1:11" ht="30" customHeight="1">
      <c r="A62" s="12" t="s">
        <v>77</v>
      </c>
      <c r="B62" s="12" t="s">
        <v>72</v>
      </c>
      <c r="C62" s="12" t="s">
        <v>29</v>
      </c>
      <c r="D62" s="12" t="s">
        <v>539</v>
      </c>
      <c r="E62" s="17">
        <v>1</v>
      </c>
      <c r="F62" s="13"/>
      <c r="G62" s="12" t="s">
        <v>890</v>
      </c>
      <c r="H62" s="12" t="s">
        <v>902</v>
      </c>
      <c r="I62" s="13"/>
      <c r="J62" s="12" t="s">
        <v>903</v>
      </c>
      <c r="K62" s="12" t="s">
        <v>794</v>
      </c>
    </row>
    <row r="63" spans="1:11" ht="30" customHeight="1">
      <c r="A63" s="12" t="s">
        <v>77</v>
      </c>
      <c r="B63" s="12" t="s">
        <v>72</v>
      </c>
      <c r="C63" s="12" t="s">
        <v>29</v>
      </c>
      <c r="D63" s="12" t="s">
        <v>540</v>
      </c>
      <c r="E63" s="17">
        <v>0</v>
      </c>
      <c r="F63" s="13"/>
      <c r="G63" s="12" t="s">
        <v>890</v>
      </c>
      <c r="H63" s="12" t="s">
        <v>826</v>
      </c>
      <c r="I63" s="13"/>
      <c r="J63" s="12" t="s">
        <v>904</v>
      </c>
      <c r="K63" s="12" t="s">
        <v>794</v>
      </c>
    </row>
    <row r="64" spans="1:11" ht="30" customHeight="1">
      <c r="A64" s="12" t="s">
        <v>77</v>
      </c>
      <c r="B64" s="12" t="s">
        <v>72</v>
      </c>
      <c r="C64" s="12" t="s">
        <v>29</v>
      </c>
      <c r="D64" s="12" t="s">
        <v>541</v>
      </c>
      <c r="E64" s="17">
        <v>1</v>
      </c>
      <c r="F64" s="13"/>
      <c r="G64" s="12" t="s">
        <v>890</v>
      </c>
      <c r="H64" s="12" t="s">
        <v>902</v>
      </c>
      <c r="I64" s="13"/>
      <c r="J64" s="12" t="s">
        <v>905</v>
      </c>
      <c r="K64" s="12" t="s">
        <v>794</v>
      </c>
    </row>
    <row r="65" spans="1:11" ht="30" customHeight="1">
      <c r="A65" s="12" t="s">
        <v>77</v>
      </c>
      <c r="B65" s="12" t="s">
        <v>72</v>
      </c>
      <c r="C65" s="12" t="s">
        <v>29</v>
      </c>
      <c r="D65" s="12" t="s">
        <v>542</v>
      </c>
      <c r="E65" s="17">
        <v>3</v>
      </c>
      <c r="F65" s="13"/>
      <c r="G65" s="12" t="s">
        <v>890</v>
      </c>
      <c r="H65" s="12" t="s">
        <v>906</v>
      </c>
      <c r="I65" s="13"/>
      <c r="J65" s="12" t="s">
        <v>907</v>
      </c>
      <c r="K65" s="12" t="s">
        <v>794</v>
      </c>
    </row>
    <row r="66" spans="1:11" ht="30" customHeight="1">
      <c r="A66" s="12" t="s">
        <v>77</v>
      </c>
      <c r="B66" s="12" t="s">
        <v>72</v>
      </c>
      <c r="C66" s="12" t="s">
        <v>29</v>
      </c>
      <c r="D66" s="12" t="s">
        <v>543</v>
      </c>
      <c r="E66" s="17">
        <v>1</v>
      </c>
      <c r="F66" s="13"/>
      <c r="G66" s="12" t="s">
        <v>890</v>
      </c>
      <c r="H66" s="12" t="s">
        <v>908</v>
      </c>
      <c r="I66" s="13"/>
      <c r="J66" s="12" t="s">
        <v>909</v>
      </c>
      <c r="K66" s="12" t="s">
        <v>794</v>
      </c>
    </row>
    <row r="67" spans="1:11" ht="30" customHeight="1">
      <c r="A67" s="12" t="s">
        <v>85</v>
      </c>
      <c r="B67" s="12" t="s">
        <v>81</v>
      </c>
      <c r="C67" s="12" t="s">
        <v>29</v>
      </c>
      <c r="D67" s="12" t="s">
        <v>534</v>
      </c>
      <c r="E67" s="17">
        <v>2</v>
      </c>
      <c r="F67" s="13"/>
      <c r="G67" s="12" t="s">
        <v>910</v>
      </c>
      <c r="H67" s="12" t="s">
        <v>911</v>
      </c>
      <c r="I67" s="13"/>
      <c r="J67" s="12" t="s">
        <v>912</v>
      </c>
      <c r="K67" s="12" t="s">
        <v>794</v>
      </c>
    </row>
    <row r="68" spans="1:11" ht="30" customHeight="1">
      <c r="A68" s="12" t="s">
        <v>85</v>
      </c>
      <c r="B68" s="12" t="s">
        <v>81</v>
      </c>
      <c r="C68" s="12" t="s">
        <v>29</v>
      </c>
      <c r="D68" s="12" t="s">
        <v>535</v>
      </c>
      <c r="E68" s="17">
        <v>1</v>
      </c>
      <c r="F68" s="13"/>
      <c r="G68" s="12" t="s">
        <v>910</v>
      </c>
      <c r="H68" s="12" t="s">
        <v>913</v>
      </c>
      <c r="I68" s="13"/>
      <c r="J68" s="12" t="s">
        <v>914</v>
      </c>
      <c r="K68" s="12" t="s">
        <v>794</v>
      </c>
    </row>
    <row r="69" spans="1:11" ht="30" customHeight="1">
      <c r="A69" s="12" t="s">
        <v>85</v>
      </c>
      <c r="B69" s="12" t="s">
        <v>81</v>
      </c>
      <c r="C69" s="12" t="s">
        <v>29</v>
      </c>
      <c r="D69" s="12" t="s">
        <v>536</v>
      </c>
      <c r="E69" s="17">
        <v>0</v>
      </c>
      <c r="F69" s="13"/>
      <c r="G69" s="12" t="s">
        <v>910</v>
      </c>
      <c r="H69" s="12" t="s">
        <v>826</v>
      </c>
      <c r="I69" s="13"/>
      <c r="J69" s="12" t="s">
        <v>915</v>
      </c>
      <c r="K69" s="12" t="s">
        <v>794</v>
      </c>
    </row>
    <row r="70" spans="1:11" ht="30" customHeight="1">
      <c r="A70" s="12" t="s">
        <v>85</v>
      </c>
      <c r="B70" s="12" t="s">
        <v>81</v>
      </c>
      <c r="C70" s="12" t="s">
        <v>29</v>
      </c>
      <c r="D70" s="12" t="s">
        <v>537</v>
      </c>
      <c r="E70" s="17">
        <v>0</v>
      </c>
      <c r="F70" s="13"/>
      <c r="G70" s="12" t="s">
        <v>910</v>
      </c>
      <c r="H70" s="12" t="s">
        <v>916</v>
      </c>
      <c r="I70" s="13"/>
      <c r="J70" s="12" t="s">
        <v>917</v>
      </c>
      <c r="K70" s="12" t="s">
        <v>794</v>
      </c>
    </row>
    <row r="71" spans="1:11" ht="30" customHeight="1">
      <c r="A71" s="12" t="s">
        <v>85</v>
      </c>
      <c r="B71" s="12" t="s">
        <v>81</v>
      </c>
      <c r="C71" s="12" t="s">
        <v>29</v>
      </c>
      <c r="D71" s="12" t="s">
        <v>538</v>
      </c>
      <c r="E71" s="17">
        <v>0</v>
      </c>
      <c r="F71" s="13"/>
      <c r="G71" s="12" t="s">
        <v>910</v>
      </c>
      <c r="H71" s="12" t="s">
        <v>918</v>
      </c>
      <c r="I71" s="13"/>
      <c r="J71" s="12" t="s">
        <v>919</v>
      </c>
      <c r="K71" s="12" t="s">
        <v>794</v>
      </c>
    </row>
    <row r="72" spans="1:11" ht="30" customHeight="1">
      <c r="A72" s="12" t="s">
        <v>85</v>
      </c>
      <c r="B72" s="12" t="s">
        <v>81</v>
      </c>
      <c r="C72" s="12" t="s">
        <v>29</v>
      </c>
      <c r="D72" s="12" t="s">
        <v>539</v>
      </c>
      <c r="E72" s="17">
        <v>1</v>
      </c>
      <c r="F72" s="13"/>
      <c r="G72" s="12" t="s">
        <v>910</v>
      </c>
      <c r="H72" s="12" t="s">
        <v>920</v>
      </c>
      <c r="I72" s="13"/>
      <c r="J72" s="12" t="s">
        <v>921</v>
      </c>
      <c r="K72" s="12" t="s">
        <v>794</v>
      </c>
    </row>
    <row r="73" spans="1:11" ht="30" customHeight="1">
      <c r="A73" s="12" t="s">
        <v>85</v>
      </c>
      <c r="B73" s="12" t="s">
        <v>81</v>
      </c>
      <c r="C73" s="12" t="s">
        <v>29</v>
      </c>
      <c r="D73" s="12" t="s">
        <v>540</v>
      </c>
      <c r="E73" s="17">
        <v>0</v>
      </c>
      <c r="F73" s="13"/>
      <c r="G73" s="12" t="s">
        <v>910</v>
      </c>
      <c r="H73" s="12" t="s">
        <v>826</v>
      </c>
      <c r="I73" s="13"/>
      <c r="J73" s="12" t="s">
        <v>904</v>
      </c>
      <c r="K73" s="12" t="s">
        <v>794</v>
      </c>
    </row>
    <row r="74" spans="1:11" ht="30" customHeight="1">
      <c r="A74" s="12" t="s">
        <v>85</v>
      </c>
      <c r="B74" s="12" t="s">
        <v>81</v>
      </c>
      <c r="C74" s="12" t="s">
        <v>29</v>
      </c>
      <c r="D74" s="12" t="s">
        <v>541</v>
      </c>
      <c r="E74" s="17">
        <v>1</v>
      </c>
      <c r="F74" s="13"/>
      <c r="G74" s="12" t="s">
        <v>910</v>
      </c>
      <c r="H74" s="12" t="s">
        <v>920</v>
      </c>
      <c r="I74" s="13"/>
      <c r="J74" s="12" t="s">
        <v>922</v>
      </c>
      <c r="K74" s="12" t="s">
        <v>794</v>
      </c>
    </row>
    <row r="75" spans="1:11" ht="30" customHeight="1">
      <c r="A75" s="12" t="s">
        <v>85</v>
      </c>
      <c r="B75" s="12" t="s">
        <v>81</v>
      </c>
      <c r="C75" s="12" t="s">
        <v>29</v>
      </c>
      <c r="D75" s="12" t="s">
        <v>542</v>
      </c>
      <c r="E75" s="17">
        <v>0</v>
      </c>
      <c r="F75" s="13"/>
      <c r="G75" s="12" t="s">
        <v>910</v>
      </c>
      <c r="H75" s="12" t="s">
        <v>923</v>
      </c>
      <c r="I75" s="13"/>
      <c r="J75" s="12" t="s">
        <v>924</v>
      </c>
      <c r="K75" s="12" t="s">
        <v>794</v>
      </c>
    </row>
    <row r="76" spans="1:11" ht="30" customHeight="1">
      <c r="A76" s="12" t="s">
        <v>85</v>
      </c>
      <c r="B76" s="12" t="s">
        <v>81</v>
      </c>
      <c r="C76" s="12" t="s">
        <v>29</v>
      </c>
      <c r="D76" s="12" t="s">
        <v>543</v>
      </c>
      <c r="E76" s="17">
        <v>1</v>
      </c>
      <c r="F76" s="13"/>
      <c r="G76" s="12" t="s">
        <v>910</v>
      </c>
      <c r="H76" s="12" t="s">
        <v>925</v>
      </c>
      <c r="I76" s="13"/>
      <c r="J76" s="12" t="s">
        <v>926</v>
      </c>
      <c r="K76" s="12" t="s">
        <v>794</v>
      </c>
    </row>
    <row r="77" spans="1:11" ht="30" customHeight="1">
      <c r="A77" s="12" t="s">
        <v>39</v>
      </c>
      <c r="B77" s="12" t="s">
        <v>28</v>
      </c>
      <c r="C77" s="12" t="s">
        <v>29</v>
      </c>
      <c r="D77" s="12" t="s">
        <v>534</v>
      </c>
      <c r="E77" s="17">
        <v>3</v>
      </c>
      <c r="F77" s="13"/>
      <c r="G77" s="12" t="s">
        <v>791</v>
      </c>
      <c r="H77" s="12" t="s">
        <v>927</v>
      </c>
      <c r="I77" s="13"/>
      <c r="J77" s="12" t="s">
        <v>928</v>
      </c>
      <c r="K77" s="12" t="s">
        <v>794</v>
      </c>
    </row>
    <row r="78" spans="1:11" ht="30" customHeight="1">
      <c r="A78" s="12" t="s">
        <v>39</v>
      </c>
      <c r="B78" s="12" t="s">
        <v>28</v>
      </c>
      <c r="C78" s="12" t="s">
        <v>29</v>
      </c>
      <c r="D78" s="12" t="s">
        <v>535</v>
      </c>
      <c r="E78" s="17">
        <v>0</v>
      </c>
      <c r="F78" s="13"/>
      <c r="G78" s="12" t="s">
        <v>791</v>
      </c>
      <c r="H78" s="12" t="s">
        <v>927</v>
      </c>
      <c r="I78" s="13"/>
      <c r="J78" s="12" t="s">
        <v>929</v>
      </c>
      <c r="K78" s="12" t="s">
        <v>794</v>
      </c>
    </row>
    <row r="79" spans="1:11" ht="30" customHeight="1">
      <c r="A79" s="12" t="s">
        <v>39</v>
      </c>
      <c r="B79" s="12" t="s">
        <v>28</v>
      </c>
      <c r="C79" s="12" t="s">
        <v>29</v>
      </c>
      <c r="D79" s="12" t="s">
        <v>536</v>
      </c>
      <c r="E79" s="17">
        <v>0</v>
      </c>
      <c r="F79" s="13"/>
      <c r="G79" s="12" t="s">
        <v>791</v>
      </c>
      <c r="H79" s="12" t="s">
        <v>930</v>
      </c>
      <c r="I79" s="13"/>
      <c r="J79" s="12" t="s">
        <v>931</v>
      </c>
      <c r="K79" s="12" t="s">
        <v>794</v>
      </c>
    </row>
    <row r="80" spans="1:11" ht="30" customHeight="1">
      <c r="A80" s="12" t="s">
        <v>39</v>
      </c>
      <c r="B80" s="12" t="s">
        <v>28</v>
      </c>
      <c r="C80" s="12" t="s">
        <v>29</v>
      </c>
      <c r="D80" s="12" t="s">
        <v>537</v>
      </c>
      <c r="E80" s="17">
        <v>2</v>
      </c>
      <c r="F80" s="13"/>
      <c r="G80" s="12" t="s">
        <v>791</v>
      </c>
      <c r="H80" s="12" t="s">
        <v>932</v>
      </c>
      <c r="I80" s="13"/>
      <c r="J80" s="12" t="s">
        <v>933</v>
      </c>
      <c r="K80" s="12" t="s">
        <v>794</v>
      </c>
    </row>
    <row r="81" spans="1:11" ht="30" customHeight="1">
      <c r="A81" s="12" t="s">
        <v>39</v>
      </c>
      <c r="B81" s="12" t="s">
        <v>28</v>
      </c>
      <c r="C81" s="12" t="s">
        <v>29</v>
      </c>
      <c r="D81" s="12" t="s">
        <v>538</v>
      </c>
      <c r="E81" s="17">
        <v>2</v>
      </c>
      <c r="F81" s="13"/>
      <c r="G81" s="12" t="s">
        <v>791</v>
      </c>
      <c r="H81" s="12" t="s">
        <v>934</v>
      </c>
      <c r="I81" s="13"/>
      <c r="J81" s="12" t="s">
        <v>935</v>
      </c>
      <c r="K81" s="12" t="s">
        <v>794</v>
      </c>
    </row>
    <row r="82" spans="1:11" ht="30" customHeight="1">
      <c r="A82" s="12" t="s">
        <v>39</v>
      </c>
      <c r="B82" s="12" t="s">
        <v>28</v>
      </c>
      <c r="C82" s="12" t="s">
        <v>29</v>
      </c>
      <c r="D82" s="12" t="s">
        <v>539</v>
      </c>
      <c r="E82" s="17">
        <v>2</v>
      </c>
      <c r="F82" s="13"/>
      <c r="G82" s="12" t="s">
        <v>791</v>
      </c>
      <c r="H82" s="12" t="s">
        <v>932</v>
      </c>
      <c r="I82" s="13"/>
      <c r="J82" s="12" t="s">
        <v>936</v>
      </c>
      <c r="K82" s="12" t="s">
        <v>794</v>
      </c>
    </row>
    <row r="83" spans="1:11" ht="30" customHeight="1">
      <c r="A83" s="12" t="s">
        <v>39</v>
      </c>
      <c r="B83" s="12" t="s">
        <v>28</v>
      </c>
      <c r="C83" s="12" t="s">
        <v>29</v>
      </c>
      <c r="D83" s="12" t="s">
        <v>540</v>
      </c>
      <c r="E83" s="17">
        <v>0</v>
      </c>
      <c r="F83" s="13"/>
      <c r="G83" s="12" t="s">
        <v>791</v>
      </c>
      <c r="H83" s="12" t="s">
        <v>805</v>
      </c>
      <c r="I83" s="13"/>
      <c r="J83" s="12" t="s">
        <v>937</v>
      </c>
      <c r="K83" s="12" t="s">
        <v>794</v>
      </c>
    </row>
    <row r="84" spans="1:11" ht="30" customHeight="1">
      <c r="A84" s="12" t="s">
        <v>39</v>
      </c>
      <c r="B84" s="12" t="s">
        <v>28</v>
      </c>
      <c r="C84" s="12" t="s">
        <v>29</v>
      </c>
      <c r="D84" s="12" t="s">
        <v>541</v>
      </c>
      <c r="E84" s="17">
        <v>1</v>
      </c>
      <c r="F84" s="13"/>
      <c r="G84" s="12" t="s">
        <v>791</v>
      </c>
      <c r="H84" s="12" t="s">
        <v>930</v>
      </c>
      <c r="I84" s="13"/>
      <c r="J84" s="12" t="s">
        <v>938</v>
      </c>
      <c r="K84" s="12" t="s">
        <v>794</v>
      </c>
    </row>
    <row r="85" spans="1:11" ht="30" customHeight="1">
      <c r="A85" s="12" t="s">
        <v>39</v>
      </c>
      <c r="B85" s="12" t="s">
        <v>28</v>
      </c>
      <c r="C85" s="12" t="s">
        <v>29</v>
      </c>
      <c r="D85" s="12" t="s">
        <v>542</v>
      </c>
      <c r="E85" s="17">
        <v>1</v>
      </c>
      <c r="F85" s="13"/>
      <c r="G85" s="12" t="s">
        <v>791</v>
      </c>
      <c r="H85" s="12" t="s">
        <v>939</v>
      </c>
      <c r="I85" s="13"/>
      <c r="J85" s="12" t="s">
        <v>940</v>
      </c>
      <c r="K85" s="12" t="s">
        <v>794</v>
      </c>
    </row>
    <row r="86" spans="1:11" ht="30" customHeight="1">
      <c r="A86" s="12" t="s">
        <v>39</v>
      </c>
      <c r="B86" s="12" t="s">
        <v>28</v>
      </c>
      <c r="C86" s="12" t="s">
        <v>29</v>
      </c>
      <c r="D86" s="12" t="s">
        <v>543</v>
      </c>
      <c r="E86" s="17">
        <v>2</v>
      </c>
      <c r="F86" s="13"/>
      <c r="G86" s="12" t="s">
        <v>791</v>
      </c>
      <c r="H86" s="12" t="s">
        <v>941</v>
      </c>
      <c r="I86" s="13"/>
      <c r="J86" s="12" t="s">
        <v>942</v>
      </c>
      <c r="K86" s="12" t="s">
        <v>794</v>
      </c>
    </row>
    <row r="87" spans="1:11" ht="30" customHeight="1">
      <c r="A87" s="12" t="s">
        <v>70</v>
      </c>
      <c r="B87" s="12" t="s">
        <v>66</v>
      </c>
      <c r="C87" s="12" t="s">
        <v>29</v>
      </c>
      <c r="D87" s="12" t="s">
        <v>534</v>
      </c>
      <c r="E87" s="17">
        <v>2</v>
      </c>
      <c r="F87" s="13"/>
      <c r="G87" s="12" t="s">
        <v>791</v>
      </c>
      <c r="H87" s="12" t="s">
        <v>943</v>
      </c>
      <c r="I87" s="13"/>
      <c r="J87" s="12" t="s">
        <v>944</v>
      </c>
      <c r="K87" s="12" t="s">
        <v>794</v>
      </c>
    </row>
    <row r="88" spans="1:11" ht="30" customHeight="1">
      <c r="A88" s="12" t="s">
        <v>70</v>
      </c>
      <c r="B88" s="12" t="s">
        <v>66</v>
      </c>
      <c r="C88" s="12" t="s">
        <v>29</v>
      </c>
      <c r="D88" s="12" t="s">
        <v>535</v>
      </c>
      <c r="E88" s="17">
        <v>0</v>
      </c>
      <c r="F88" s="13"/>
      <c r="G88" s="12" t="s">
        <v>791</v>
      </c>
      <c r="H88" s="12" t="s">
        <v>945</v>
      </c>
      <c r="I88" s="13"/>
      <c r="J88" s="12" t="s">
        <v>946</v>
      </c>
      <c r="K88" s="12" t="s">
        <v>794</v>
      </c>
    </row>
    <row r="89" spans="1:11" ht="30" customHeight="1">
      <c r="A89" s="12" t="s">
        <v>70</v>
      </c>
      <c r="B89" s="12" t="s">
        <v>66</v>
      </c>
      <c r="C89" s="12" t="s">
        <v>29</v>
      </c>
      <c r="D89" s="12" t="s">
        <v>536</v>
      </c>
      <c r="E89" s="17">
        <v>0</v>
      </c>
      <c r="F89" s="13"/>
      <c r="G89" s="12" t="s">
        <v>791</v>
      </c>
      <c r="H89" s="12" t="s">
        <v>826</v>
      </c>
      <c r="I89" s="13"/>
      <c r="J89" s="12" t="s">
        <v>947</v>
      </c>
      <c r="K89" s="12" t="s">
        <v>794</v>
      </c>
    </row>
    <row r="90" spans="1:11" ht="30" customHeight="1">
      <c r="A90" s="12" t="s">
        <v>70</v>
      </c>
      <c r="B90" s="12" t="s">
        <v>66</v>
      </c>
      <c r="C90" s="12" t="s">
        <v>29</v>
      </c>
      <c r="D90" s="12" t="s">
        <v>537</v>
      </c>
      <c r="E90" s="17">
        <v>0</v>
      </c>
      <c r="F90" s="13"/>
      <c r="G90" s="12" t="s">
        <v>791</v>
      </c>
      <c r="H90" s="12" t="s">
        <v>826</v>
      </c>
      <c r="I90" s="13"/>
      <c r="J90" s="12" t="s">
        <v>948</v>
      </c>
      <c r="K90" s="12" t="s">
        <v>794</v>
      </c>
    </row>
    <row r="91" spans="1:11" ht="30" customHeight="1">
      <c r="A91" s="12" t="s">
        <v>70</v>
      </c>
      <c r="B91" s="12" t="s">
        <v>66</v>
      </c>
      <c r="C91" s="12" t="s">
        <v>29</v>
      </c>
      <c r="D91" s="12" t="s">
        <v>538</v>
      </c>
      <c r="E91" s="17">
        <v>0</v>
      </c>
      <c r="F91" s="13"/>
      <c r="G91" s="12" t="s">
        <v>791</v>
      </c>
      <c r="H91" s="12" t="s">
        <v>918</v>
      </c>
      <c r="I91" s="13"/>
      <c r="J91" s="12" t="s">
        <v>949</v>
      </c>
      <c r="K91" s="12" t="s">
        <v>794</v>
      </c>
    </row>
    <row r="92" spans="1:11" ht="30" customHeight="1">
      <c r="A92" s="12" t="s">
        <v>70</v>
      </c>
      <c r="B92" s="12" t="s">
        <v>66</v>
      </c>
      <c r="C92" s="12" t="s">
        <v>29</v>
      </c>
      <c r="D92" s="12" t="s">
        <v>539</v>
      </c>
      <c r="E92" s="17">
        <v>2</v>
      </c>
      <c r="F92" s="13"/>
      <c r="G92" s="12" t="s">
        <v>791</v>
      </c>
      <c r="H92" s="12" t="s">
        <v>950</v>
      </c>
      <c r="I92" s="13"/>
      <c r="J92" s="12" t="s">
        <v>951</v>
      </c>
      <c r="K92" s="12" t="s">
        <v>794</v>
      </c>
    </row>
    <row r="93" spans="1:11" ht="30" customHeight="1">
      <c r="A93" s="12" t="s">
        <v>70</v>
      </c>
      <c r="B93" s="12" t="s">
        <v>66</v>
      </c>
      <c r="C93" s="12" t="s">
        <v>29</v>
      </c>
      <c r="D93" s="12" t="s">
        <v>540</v>
      </c>
      <c r="E93" s="17">
        <v>0</v>
      </c>
      <c r="F93" s="13"/>
      <c r="G93" s="12" t="s">
        <v>791</v>
      </c>
      <c r="H93" s="12" t="s">
        <v>826</v>
      </c>
      <c r="I93" s="13"/>
      <c r="J93" s="12" t="s">
        <v>904</v>
      </c>
      <c r="K93" s="12" t="s">
        <v>794</v>
      </c>
    </row>
    <row r="94" spans="1:11" ht="30" customHeight="1">
      <c r="A94" s="12" t="s">
        <v>70</v>
      </c>
      <c r="B94" s="12" t="s">
        <v>66</v>
      </c>
      <c r="C94" s="12" t="s">
        <v>29</v>
      </c>
      <c r="D94" s="12" t="s">
        <v>541</v>
      </c>
      <c r="E94" s="17">
        <v>0</v>
      </c>
      <c r="F94" s="13"/>
      <c r="G94" s="12" t="s">
        <v>791</v>
      </c>
      <c r="H94" s="12" t="s">
        <v>826</v>
      </c>
      <c r="I94" s="13"/>
      <c r="J94" s="12" t="s">
        <v>952</v>
      </c>
      <c r="K94" s="12" t="s">
        <v>794</v>
      </c>
    </row>
    <row r="95" spans="1:11" ht="30" customHeight="1">
      <c r="A95" s="12" t="s">
        <v>70</v>
      </c>
      <c r="B95" s="12" t="s">
        <v>66</v>
      </c>
      <c r="C95" s="12" t="s">
        <v>29</v>
      </c>
      <c r="D95" s="12" t="s">
        <v>542</v>
      </c>
      <c r="E95" s="17">
        <v>0</v>
      </c>
      <c r="F95" s="13"/>
      <c r="G95" s="12" t="s">
        <v>791</v>
      </c>
      <c r="H95" s="12" t="s">
        <v>953</v>
      </c>
      <c r="I95" s="13"/>
      <c r="J95" s="12" t="s">
        <v>954</v>
      </c>
      <c r="K95" s="12" t="s">
        <v>794</v>
      </c>
    </row>
    <row r="96" spans="1:11" ht="30" customHeight="1">
      <c r="A96" s="12" t="s">
        <v>70</v>
      </c>
      <c r="B96" s="12" t="s">
        <v>66</v>
      </c>
      <c r="C96" s="12" t="s">
        <v>29</v>
      </c>
      <c r="D96" s="12" t="s">
        <v>543</v>
      </c>
      <c r="E96" s="17">
        <v>1</v>
      </c>
      <c r="F96" s="13"/>
      <c r="G96" s="12" t="s">
        <v>791</v>
      </c>
      <c r="H96" s="12" t="s">
        <v>955</v>
      </c>
      <c r="I96" s="13"/>
      <c r="J96" s="12" t="s">
        <v>956</v>
      </c>
      <c r="K96" s="12" t="s">
        <v>794</v>
      </c>
    </row>
    <row r="97" spans="1:11" ht="30" customHeight="1">
      <c r="A97" s="12" t="s">
        <v>115</v>
      </c>
      <c r="B97" s="12" t="s">
        <v>111</v>
      </c>
      <c r="C97" s="12" t="s">
        <v>98</v>
      </c>
      <c r="D97" s="12" t="s">
        <v>534</v>
      </c>
      <c r="E97" s="17">
        <v>3</v>
      </c>
      <c r="F97" s="13"/>
      <c r="G97" s="12" t="s">
        <v>957</v>
      </c>
      <c r="H97" s="12" t="s">
        <v>958</v>
      </c>
      <c r="I97" s="13"/>
      <c r="J97" s="12" t="s">
        <v>959</v>
      </c>
      <c r="K97" s="12" t="s">
        <v>794</v>
      </c>
    </row>
    <row r="98" spans="1:11" ht="30" customHeight="1">
      <c r="A98" s="12" t="s">
        <v>115</v>
      </c>
      <c r="B98" s="12" t="s">
        <v>111</v>
      </c>
      <c r="C98" s="12" t="s">
        <v>98</v>
      </c>
      <c r="D98" s="12" t="s">
        <v>535</v>
      </c>
      <c r="E98" s="17">
        <v>3</v>
      </c>
      <c r="F98" s="13"/>
      <c r="G98" s="12" t="s">
        <v>957</v>
      </c>
      <c r="H98" s="12" t="s">
        <v>960</v>
      </c>
      <c r="I98" s="13"/>
      <c r="J98" s="12" t="s">
        <v>961</v>
      </c>
      <c r="K98" s="12" t="s">
        <v>794</v>
      </c>
    </row>
    <row r="99" spans="1:11" ht="30" customHeight="1">
      <c r="A99" s="12" t="s">
        <v>115</v>
      </c>
      <c r="B99" s="12" t="s">
        <v>111</v>
      </c>
      <c r="C99" s="12" t="s">
        <v>98</v>
      </c>
      <c r="D99" s="12" t="s">
        <v>536</v>
      </c>
      <c r="E99" s="17">
        <v>3</v>
      </c>
      <c r="F99" s="13"/>
      <c r="G99" s="12" t="s">
        <v>957</v>
      </c>
      <c r="H99" s="12" t="s">
        <v>962</v>
      </c>
      <c r="I99" s="13"/>
      <c r="J99" s="12" t="s">
        <v>963</v>
      </c>
      <c r="K99" s="12" t="s">
        <v>794</v>
      </c>
    </row>
    <row r="100" spans="1:11" ht="30" customHeight="1">
      <c r="A100" s="12" t="s">
        <v>115</v>
      </c>
      <c r="B100" s="12" t="s">
        <v>111</v>
      </c>
      <c r="C100" s="12" t="s">
        <v>98</v>
      </c>
      <c r="D100" s="12" t="s">
        <v>537</v>
      </c>
      <c r="E100" s="17">
        <v>3</v>
      </c>
      <c r="F100" s="13"/>
      <c r="G100" s="12" t="s">
        <v>957</v>
      </c>
      <c r="H100" s="12" t="s">
        <v>964</v>
      </c>
      <c r="I100" s="13"/>
      <c r="J100" s="12" t="s">
        <v>965</v>
      </c>
      <c r="K100" s="12" t="s">
        <v>794</v>
      </c>
    </row>
    <row r="101" spans="1:11" ht="30" customHeight="1">
      <c r="A101" s="12" t="s">
        <v>115</v>
      </c>
      <c r="B101" s="12" t="s">
        <v>111</v>
      </c>
      <c r="C101" s="12" t="s">
        <v>98</v>
      </c>
      <c r="D101" s="12" t="s">
        <v>538</v>
      </c>
      <c r="E101" s="17">
        <v>2</v>
      </c>
      <c r="F101" s="13"/>
      <c r="G101" s="12" t="s">
        <v>957</v>
      </c>
      <c r="H101" s="12" t="s">
        <v>966</v>
      </c>
      <c r="I101" s="13"/>
      <c r="J101" s="12" t="s">
        <v>967</v>
      </c>
      <c r="K101" s="12" t="s">
        <v>794</v>
      </c>
    </row>
    <row r="102" spans="1:11" ht="30" customHeight="1">
      <c r="A102" s="12" t="s">
        <v>115</v>
      </c>
      <c r="B102" s="12" t="s">
        <v>111</v>
      </c>
      <c r="C102" s="12" t="s">
        <v>98</v>
      </c>
      <c r="D102" s="12" t="s">
        <v>539</v>
      </c>
      <c r="E102" s="17">
        <v>2</v>
      </c>
      <c r="F102" s="13"/>
      <c r="G102" s="12" t="s">
        <v>957</v>
      </c>
      <c r="H102" s="12" t="s">
        <v>968</v>
      </c>
      <c r="I102" s="13"/>
      <c r="J102" s="12" t="s">
        <v>969</v>
      </c>
      <c r="K102" s="12" t="s">
        <v>794</v>
      </c>
    </row>
    <row r="103" spans="1:11" ht="30" customHeight="1">
      <c r="A103" s="12" t="s">
        <v>115</v>
      </c>
      <c r="B103" s="12" t="s">
        <v>111</v>
      </c>
      <c r="C103" s="12" t="s">
        <v>98</v>
      </c>
      <c r="D103" s="12" t="s">
        <v>540</v>
      </c>
      <c r="E103" s="17">
        <v>0</v>
      </c>
      <c r="F103" s="13"/>
      <c r="G103" s="12" t="s">
        <v>970</v>
      </c>
      <c r="H103" s="12" t="s">
        <v>971</v>
      </c>
      <c r="I103" s="13"/>
      <c r="J103" s="12" t="s">
        <v>972</v>
      </c>
      <c r="K103" s="12" t="s">
        <v>794</v>
      </c>
    </row>
    <row r="104" spans="1:11" ht="30" customHeight="1">
      <c r="A104" s="12" t="s">
        <v>115</v>
      </c>
      <c r="B104" s="12" t="s">
        <v>111</v>
      </c>
      <c r="C104" s="12" t="s">
        <v>98</v>
      </c>
      <c r="D104" s="12" t="s">
        <v>541</v>
      </c>
      <c r="E104" s="17">
        <v>2</v>
      </c>
      <c r="F104" s="13"/>
      <c r="G104" s="12" t="s">
        <v>957</v>
      </c>
      <c r="H104" s="12" t="s">
        <v>973</v>
      </c>
      <c r="I104" s="13"/>
      <c r="J104" s="12" t="s">
        <v>974</v>
      </c>
      <c r="K104" s="12" t="s">
        <v>794</v>
      </c>
    </row>
    <row r="105" spans="1:11" ht="30" customHeight="1">
      <c r="A105" s="12" t="s">
        <v>115</v>
      </c>
      <c r="B105" s="12" t="s">
        <v>111</v>
      </c>
      <c r="C105" s="12" t="s">
        <v>98</v>
      </c>
      <c r="D105" s="12" t="s">
        <v>542</v>
      </c>
      <c r="E105" s="17">
        <v>3</v>
      </c>
      <c r="F105" s="13"/>
      <c r="G105" s="12" t="s">
        <v>957</v>
      </c>
      <c r="H105" s="12" t="s">
        <v>975</v>
      </c>
      <c r="I105" s="13"/>
      <c r="J105" s="12" t="s">
        <v>976</v>
      </c>
      <c r="K105" s="12" t="s">
        <v>794</v>
      </c>
    </row>
    <row r="106" spans="1:11" ht="30" customHeight="1">
      <c r="A106" s="12" t="s">
        <v>115</v>
      </c>
      <c r="B106" s="12" t="s">
        <v>111</v>
      </c>
      <c r="C106" s="12" t="s">
        <v>98</v>
      </c>
      <c r="D106" s="12" t="s">
        <v>543</v>
      </c>
      <c r="E106" s="17">
        <v>2</v>
      </c>
      <c r="F106" s="13"/>
      <c r="G106" s="12" t="s">
        <v>957</v>
      </c>
      <c r="H106" s="12" t="s">
        <v>977</v>
      </c>
      <c r="I106" s="13"/>
      <c r="J106" s="12" t="s">
        <v>978</v>
      </c>
      <c r="K106" s="12" t="s">
        <v>794</v>
      </c>
    </row>
    <row r="107" spans="1:11" ht="30" customHeight="1">
      <c r="A107" s="12" t="s">
        <v>133</v>
      </c>
      <c r="B107" s="12" t="s">
        <v>129</v>
      </c>
      <c r="C107" s="12" t="s">
        <v>98</v>
      </c>
      <c r="D107" s="12" t="s">
        <v>534</v>
      </c>
      <c r="E107" s="17">
        <v>3</v>
      </c>
      <c r="F107" s="13"/>
      <c r="G107" s="12" t="s">
        <v>979</v>
      </c>
      <c r="H107" s="12" t="s">
        <v>980</v>
      </c>
      <c r="I107" s="13"/>
      <c r="J107" s="12" t="s">
        <v>981</v>
      </c>
      <c r="K107" s="12" t="s">
        <v>794</v>
      </c>
    </row>
    <row r="108" spans="1:11" ht="30" customHeight="1">
      <c r="A108" s="12" t="s">
        <v>133</v>
      </c>
      <c r="B108" s="12" t="s">
        <v>129</v>
      </c>
      <c r="C108" s="12" t="s">
        <v>98</v>
      </c>
      <c r="D108" s="12" t="s">
        <v>535</v>
      </c>
      <c r="E108" s="17">
        <v>3</v>
      </c>
      <c r="F108" s="13"/>
      <c r="G108" s="12" t="s">
        <v>979</v>
      </c>
      <c r="H108" s="12" t="s">
        <v>982</v>
      </c>
      <c r="I108" s="13"/>
      <c r="J108" s="12" t="s">
        <v>983</v>
      </c>
      <c r="K108" s="12" t="s">
        <v>794</v>
      </c>
    </row>
    <row r="109" spans="1:11" ht="30" customHeight="1">
      <c r="A109" s="12" t="s">
        <v>133</v>
      </c>
      <c r="B109" s="12" t="s">
        <v>129</v>
      </c>
      <c r="C109" s="12" t="s">
        <v>98</v>
      </c>
      <c r="D109" s="12" t="s">
        <v>536</v>
      </c>
      <c r="E109" s="17">
        <v>3</v>
      </c>
      <c r="F109" s="13"/>
      <c r="G109" s="12" t="s">
        <v>979</v>
      </c>
      <c r="H109" s="12" t="s">
        <v>984</v>
      </c>
      <c r="I109" s="13"/>
      <c r="J109" s="12" t="s">
        <v>985</v>
      </c>
      <c r="K109" s="12" t="s">
        <v>794</v>
      </c>
    </row>
    <row r="110" spans="1:11" ht="30" customHeight="1">
      <c r="A110" s="12" t="s">
        <v>133</v>
      </c>
      <c r="B110" s="12" t="s">
        <v>129</v>
      </c>
      <c r="C110" s="12" t="s">
        <v>98</v>
      </c>
      <c r="D110" s="12" t="s">
        <v>537</v>
      </c>
      <c r="E110" s="17">
        <v>3</v>
      </c>
      <c r="F110" s="13"/>
      <c r="G110" s="12" t="s">
        <v>979</v>
      </c>
      <c r="H110" s="12" t="s">
        <v>986</v>
      </c>
      <c r="I110" s="13"/>
      <c r="J110" s="12" t="s">
        <v>987</v>
      </c>
      <c r="K110" s="12" t="s">
        <v>794</v>
      </c>
    </row>
    <row r="111" spans="1:11" ht="30" customHeight="1">
      <c r="A111" s="12" t="s">
        <v>133</v>
      </c>
      <c r="B111" s="12" t="s">
        <v>129</v>
      </c>
      <c r="C111" s="12" t="s">
        <v>98</v>
      </c>
      <c r="D111" s="12" t="s">
        <v>538</v>
      </c>
      <c r="E111" s="17">
        <v>2</v>
      </c>
      <c r="F111" s="13"/>
      <c r="G111" s="12" t="s">
        <v>979</v>
      </c>
      <c r="H111" s="12" t="s">
        <v>988</v>
      </c>
      <c r="I111" s="13"/>
      <c r="J111" s="12" t="s">
        <v>989</v>
      </c>
      <c r="K111" s="12" t="s">
        <v>794</v>
      </c>
    </row>
    <row r="112" spans="1:11" ht="30" customHeight="1">
      <c r="A112" s="12" t="s">
        <v>133</v>
      </c>
      <c r="B112" s="12" t="s">
        <v>129</v>
      </c>
      <c r="C112" s="12" t="s">
        <v>98</v>
      </c>
      <c r="D112" s="12" t="s">
        <v>539</v>
      </c>
      <c r="E112" s="17">
        <v>2</v>
      </c>
      <c r="F112" s="13"/>
      <c r="G112" s="12" t="s">
        <v>979</v>
      </c>
      <c r="H112" s="12" t="s">
        <v>988</v>
      </c>
      <c r="I112" s="13"/>
      <c r="J112" s="12" t="s">
        <v>990</v>
      </c>
      <c r="K112" s="12" t="s">
        <v>794</v>
      </c>
    </row>
    <row r="113" spans="1:11" ht="30" customHeight="1">
      <c r="A113" s="12" t="s">
        <v>133</v>
      </c>
      <c r="B113" s="12" t="s">
        <v>129</v>
      </c>
      <c r="C113" s="12" t="s">
        <v>98</v>
      </c>
      <c r="D113" s="12" t="s">
        <v>540</v>
      </c>
      <c r="E113" s="17">
        <v>0</v>
      </c>
      <c r="F113" s="13"/>
      <c r="G113" s="12" t="s">
        <v>991</v>
      </c>
      <c r="H113" s="12" t="s">
        <v>971</v>
      </c>
      <c r="I113" s="13"/>
      <c r="J113" s="12" t="s">
        <v>972</v>
      </c>
      <c r="K113" s="12" t="s">
        <v>794</v>
      </c>
    </row>
    <row r="114" spans="1:11" ht="30" customHeight="1">
      <c r="A114" s="12" t="s">
        <v>133</v>
      </c>
      <c r="B114" s="12" t="s">
        <v>129</v>
      </c>
      <c r="C114" s="12" t="s">
        <v>98</v>
      </c>
      <c r="D114" s="12" t="s">
        <v>541</v>
      </c>
      <c r="E114" s="17">
        <v>1</v>
      </c>
      <c r="F114" s="13"/>
      <c r="G114" s="12" t="s">
        <v>979</v>
      </c>
      <c r="H114" s="12" t="s">
        <v>992</v>
      </c>
      <c r="I114" s="13"/>
      <c r="J114" s="12" t="s">
        <v>993</v>
      </c>
      <c r="K114" s="12" t="s">
        <v>794</v>
      </c>
    </row>
    <row r="115" spans="1:11" ht="30" customHeight="1">
      <c r="A115" s="12" t="s">
        <v>133</v>
      </c>
      <c r="B115" s="12" t="s">
        <v>129</v>
      </c>
      <c r="C115" s="12" t="s">
        <v>98</v>
      </c>
      <c r="D115" s="12" t="s">
        <v>542</v>
      </c>
      <c r="E115" s="17">
        <v>3</v>
      </c>
      <c r="F115" s="13"/>
      <c r="G115" s="12" t="s">
        <v>979</v>
      </c>
      <c r="H115" s="12" t="s">
        <v>994</v>
      </c>
      <c r="I115" s="13"/>
      <c r="J115" s="12" t="s">
        <v>995</v>
      </c>
      <c r="K115" s="12" t="s">
        <v>794</v>
      </c>
    </row>
    <row r="116" spans="1:11" ht="30" customHeight="1">
      <c r="A116" s="12" t="s">
        <v>133</v>
      </c>
      <c r="B116" s="12" t="s">
        <v>129</v>
      </c>
      <c r="C116" s="12" t="s">
        <v>98</v>
      </c>
      <c r="D116" s="12" t="s">
        <v>543</v>
      </c>
      <c r="E116" s="17">
        <v>2</v>
      </c>
      <c r="F116" s="13"/>
      <c r="G116" s="12" t="s">
        <v>979</v>
      </c>
      <c r="H116" s="12" t="s">
        <v>996</v>
      </c>
      <c r="I116" s="13"/>
      <c r="J116" s="12" t="s">
        <v>997</v>
      </c>
      <c r="K116" s="12" t="s">
        <v>794</v>
      </c>
    </row>
    <row r="117" spans="1:11" ht="30" customHeight="1">
      <c r="A117" s="12" t="s">
        <v>102</v>
      </c>
      <c r="B117" s="12" t="s">
        <v>97</v>
      </c>
      <c r="C117" s="12" t="s">
        <v>98</v>
      </c>
      <c r="D117" s="12" t="s">
        <v>534</v>
      </c>
      <c r="E117" s="17">
        <v>3</v>
      </c>
      <c r="F117" s="13"/>
      <c r="G117" s="12" t="s">
        <v>998</v>
      </c>
      <c r="H117" s="12" t="s">
        <v>999</v>
      </c>
      <c r="I117" s="13"/>
      <c r="J117" s="12" t="s">
        <v>1000</v>
      </c>
      <c r="K117" s="12" t="s">
        <v>794</v>
      </c>
    </row>
    <row r="118" spans="1:11" ht="30" customHeight="1">
      <c r="A118" s="12" t="s">
        <v>102</v>
      </c>
      <c r="B118" s="12" t="s">
        <v>97</v>
      </c>
      <c r="C118" s="12" t="s">
        <v>98</v>
      </c>
      <c r="D118" s="12" t="s">
        <v>535</v>
      </c>
      <c r="E118" s="17">
        <v>2</v>
      </c>
      <c r="F118" s="13"/>
      <c r="G118" s="12" t="s">
        <v>998</v>
      </c>
      <c r="H118" s="12" t="s">
        <v>1001</v>
      </c>
      <c r="I118" s="13"/>
      <c r="J118" s="12" t="s">
        <v>1002</v>
      </c>
      <c r="K118" s="12" t="s">
        <v>794</v>
      </c>
    </row>
    <row r="119" spans="1:11" ht="30" customHeight="1">
      <c r="A119" s="12" t="s">
        <v>102</v>
      </c>
      <c r="B119" s="12" t="s">
        <v>97</v>
      </c>
      <c r="C119" s="12" t="s">
        <v>98</v>
      </c>
      <c r="D119" s="12" t="s">
        <v>536</v>
      </c>
      <c r="E119" s="17">
        <v>3</v>
      </c>
      <c r="F119" s="13"/>
      <c r="G119" s="12" t="s">
        <v>998</v>
      </c>
      <c r="H119" s="12" t="s">
        <v>1003</v>
      </c>
      <c r="I119" s="13"/>
      <c r="J119" s="12" t="s">
        <v>1004</v>
      </c>
      <c r="K119" s="12" t="s">
        <v>794</v>
      </c>
    </row>
    <row r="120" spans="1:11" ht="30" customHeight="1">
      <c r="A120" s="12" t="s">
        <v>102</v>
      </c>
      <c r="B120" s="12" t="s">
        <v>97</v>
      </c>
      <c r="C120" s="12" t="s">
        <v>98</v>
      </c>
      <c r="D120" s="12" t="s">
        <v>537</v>
      </c>
      <c r="E120" s="17">
        <v>3</v>
      </c>
      <c r="F120" s="13"/>
      <c r="G120" s="12" t="s">
        <v>998</v>
      </c>
      <c r="H120" s="12" t="s">
        <v>1005</v>
      </c>
      <c r="I120" s="13"/>
      <c r="J120" s="12" t="s">
        <v>1006</v>
      </c>
      <c r="K120" s="12" t="s">
        <v>794</v>
      </c>
    </row>
    <row r="121" spans="1:11" ht="30" customHeight="1">
      <c r="A121" s="12" t="s">
        <v>102</v>
      </c>
      <c r="B121" s="12" t="s">
        <v>97</v>
      </c>
      <c r="C121" s="12" t="s">
        <v>98</v>
      </c>
      <c r="D121" s="12" t="s">
        <v>538</v>
      </c>
      <c r="E121" s="17">
        <v>2</v>
      </c>
      <c r="F121" s="13"/>
      <c r="G121" s="12" t="s">
        <v>998</v>
      </c>
      <c r="H121" s="12" t="s">
        <v>1007</v>
      </c>
      <c r="I121" s="13"/>
      <c r="J121" s="12" t="s">
        <v>1008</v>
      </c>
      <c r="K121" s="12" t="s">
        <v>794</v>
      </c>
    </row>
    <row r="122" spans="1:11" ht="30" customHeight="1">
      <c r="A122" s="12" t="s">
        <v>102</v>
      </c>
      <c r="B122" s="12" t="s">
        <v>97</v>
      </c>
      <c r="C122" s="12" t="s">
        <v>98</v>
      </c>
      <c r="D122" s="12" t="s">
        <v>539</v>
      </c>
      <c r="E122" s="17">
        <v>2</v>
      </c>
      <c r="F122" s="13"/>
      <c r="G122" s="12" t="s">
        <v>998</v>
      </c>
      <c r="H122" s="12" t="s">
        <v>1009</v>
      </c>
      <c r="I122" s="13"/>
      <c r="J122" s="12" t="s">
        <v>1010</v>
      </c>
      <c r="K122" s="12" t="s">
        <v>794</v>
      </c>
    </row>
    <row r="123" spans="1:11" ht="30" customHeight="1">
      <c r="A123" s="12" t="s">
        <v>102</v>
      </c>
      <c r="B123" s="12" t="s">
        <v>97</v>
      </c>
      <c r="C123" s="12" t="s">
        <v>98</v>
      </c>
      <c r="D123" s="12" t="s">
        <v>540</v>
      </c>
      <c r="E123" s="17">
        <v>3</v>
      </c>
      <c r="F123" s="13"/>
      <c r="G123" s="12" t="s">
        <v>998</v>
      </c>
      <c r="H123" s="12" t="s">
        <v>1011</v>
      </c>
      <c r="I123" s="13"/>
      <c r="J123" s="12" t="s">
        <v>1012</v>
      </c>
      <c r="K123" s="12" t="s">
        <v>794</v>
      </c>
    </row>
    <row r="124" spans="1:11" ht="30" customHeight="1">
      <c r="A124" s="12" t="s">
        <v>102</v>
      </c>
      <c r="B124" s="12" t="s">
        <v>97</v>
      </c>
      <c r="C124" s="12" t="s">
        <v>98</v>
      </c>
      <c r="D124" s="12" t="s">
        <v>541</v>
      </c>
      <c r="E124" s="17">
        <v>3</v>
      </c>
      <c r="F124" s="13"/>
      <c r="G124" s="12" t="s">
        <v>998</v>
      </c>
      <c r="H124" s="12" t="s">
        <v>1013</v>
      </c>
      <c r="I124" s="13"/>
      <c r="J124" s="12" t="s">
        <v>1014</v>
      </c>
      <c r="K124" s="12" t="s">
        <v>794</v>
      </c>
    </row>
    <row r="125" spans="1:11" ht="30" customHeight="1">
      <c r="A125" s="12" t="s">
        <v>102</v>
      </c>
      <c r="B125" s="12" t="s">
        <v>97</v>
      </c>
      <c r="C125" s="12" t="s">
        <v>98</v>
      </c>
      <c r="D125" s="12" t="s">
        <v>542</v>
      </c>
      <c r="E125" s="17">
        <v>2</v>
      </c>
      <c r="F125" s="13"/>
      <c r="G125" s="12" t="s">
        <v>998</v>
      </c>
      <c r="H125" s="12" t="s">
        <v>1015</v>
      </c>
      <c r="I125" s="13"/>
      <c r="J125" s="12" t="s">
        <v>1016</v>
      </c>
      <c r="K125" s="12" t="s">
        <v>794</v>
      </c>
    </row>
    <row r="126" spans="1:11" ht="30" customHeight="1">
      <c r="A126" s="12" t="s">
        <v>102</v>
      </c>
      <c r="B126" s="12" t="s">
        <v>97</v>
      </c>
      <c r="C126" s="12" t="s">
        <v>98</v>
      </c>
      <c r="D126" s="12" t="s">
        <v>543</v>
      </c>
      <c r="E126" s="17">
        <v>2</v>
      </c>
      <c r="F126" s="13"/>
      <c r="G126" s="12" t="s">
        <v>998</v>
      </c>
      <c r="H126" s="12" t="s">
        <v>1017</v>
      </c>
      <c r="I126" s="13"/>
      <c r="J126" s="12" t="s">
        <v>1018</v>
      </c>
      <c r="K126" s="12" t="s">
        <v>794</v>
      </c>
    </row>
    <row r="127" spans="1:11" ht="30" customHeight="1">
      <c r="A127" s="12" t="s">
        <v>121</v>
      </c>
      <c r="B127" s="12" t="s">
        <v>117</v>
      </c>
      <c r="C127" s="12" t="s">
        <v>98</v>
      </c>
      <c r="D127" s="12" t="s">
        <v>534</v>
      </c>
      <c r="E127" s="17">
        <v>3</v>
      </c>
      <c r="F127" s="13"/>
      <c r="G127" s="12" t="s">
        <v>1019</v>
      </c>
      <c r="H127" s="12" t="s">
        <v>1020</v>
      </c>
      <c r="I127" s="13"/>
      <c r="J127" s="12" t="s">
        <v>1021</v>
      </c>
      <c r="K127" s="12" t="s">
        <v>794</v>
      </c>
    </row>
    <row r="128" spans="1:11" ht="30" customHeight="1">
      <c r="A128" s="12" t="s">
        <v>121</v>
      </c>
      <c r="B128" s="12" t="s">
        <v>117</v>
      </c>
      <c r="C128" s="12" t="s">
        <v>98</v>
      </c>
      <c r="D128" s="12" t="s">
        <v>535</v>
      </c>
      <c r="E128" s="17">
        <v>3</v>
      </c>
      <c r="F128" s="13"/>
      <c r="G128" s="12" t="s">
        <v>1019</v>
      </c>
      <c r="H128" s="12" t="s">
        <v>1022</v>
      </c>
      <c r="I128" s="13"/>
      <c r="J128" s="12" t="s">
        <v>1023</v>
      </c>
      <c r="K128" s="12" t="s">
        <v>794</v>
      </c>
    </row>
    <row r="129" spans="1:11" ht="30" customHeight="1">
      <c r="A129" s="12" t="s">
        <v>121</v>
      </c>
      <c r="B129" s="12" t="s">
        <v>117</v>
      </c>
      <c r="C129" s="12" t="s">
        <v>98</v>
      </c>
      <c r="D129" s="12" t="s">
        <v>536</v>
      </c>
      <c r="E129" s="17">
        <v>3</v>
      </c>
      <c r="F129" s="13"/>
      <c r="G129" s="12" t="s">
        <v>1019</v>
      </c>
      <c r="H129" s="12" t="s">
        <v>1024</v>
      </c>
      <c r="I129" s="13"/>
      <c r="J129" s="12" t="s">
        <v>1025</v>
      </c>
      <c r="K129" s="12" t="s">
        <v>794</v>
      </c>
    </row>
    <row r="130" spans="1:11" ht="30" customHeight="1">
      <c r="A130" s="12" t="s">
        <v>121</v>
      </c>
      <c r="B130" s="12" t="s">
        <v>117</v>
      </c>
      <c r="C130" s="12" t="s">
        <v>98</v>
      </c>
      <c r="D130" s="12" t="s">
        <v>537</v>
      </c>
      <c r="E130" s="17">
        <v>3</v>
      </c>
      <c r="F130" s="13"/>
      <c r="G130" s="12" t="s">
        <v>1019</v>
      </c>
      <c r="H130" s="12" t="s">
        <v>1026</v>
      </c>
      <c r="I130" s="13"/>
      <c r="J130" s="12" t="s">
        <v>1027</v>
      </c>
      <c r="K130" s="12" t="s">
        <v>794</v>
      </c>
    </row>
    <row r="131" spans="1:11" ht="30" customHeight="1">
      <c r="A131" s="12" t="s">
        <v>121</v>
      </c>
      <c r="B131" s="12" t="s">
        <v>117</v>
      </c>
      <c r="C131" s="12" t="s">
        <v>98</v>
      </c>
      <c r="D131" s="12" t="s">
        <v>538</v>
      </c>
      <c r="E131" s="17">
        <v>3</v>
      </c>
      <c r="F131" s="13"/>
      <c r="G131" s="12" t="s">
        <v>1019</v>
      </c>
      <c r="H131" s="12" t="s">
        <v>1028</v>
      </c>
      <c r="I131" s="13"/>
      <c r="J131" s="12" t="s">
        <v>1029</v>
      </c>
      <c r="K131" s="12" t="s">
        <v>794</v>
      </c>
    </row>
    <row r="132" spans="1:11" ht="30" customHeight="1">
      <c r="A132" s="12" t="s">
        <v>121</v>
      </c>
      <c r="B132" s="12" t="s">
        <v>117</v>
      </c>
      <c r="C132" s="12" t="s">
        <v>98</v>
      </c>
      <c r="D132" s="12" t="s">
        <v>539</v>
      </c>
      <c r="E132" s="17">
        <v>3</v>
      </c>
      <c r="F132" s="13"/>
      <c r="G132" s="12" t="s">
        <v>1019</v>
      </c>
      <c r="H132" s="12" t="s">
        <v>1030</v>
      </c>
      <c r="I132" s="13"/>
      <c r="J132" s="12" t="s">
        <v>1031</v>
      </c>
      <c r="K132" s="12" t="s">
        <v>794</v>
      </c>
    </row>
    <row r="133" spans="1:11" ht="30" customHeight="1">
      <c r="A133" s="12" t="s">
        <v>121</v>
      </c>
      <c r="B133" s="12" t="s">
        <v>117</v>
      </c>
      <c r="C133" s="12" t="s">
        <v>98</v>
      </c>
      <c r="D133" s="12" t="s">
        <v>540</v>
      </c>
      <c r="E133" s="17">
        <v>3</v>
      </c>
      <c r="F133" s="13"/>
      <c r="G133" s="12" t="s">
        <v>1019</v>
      </c>
      <c r="H133" s="12" t="s">
        <v>1032</v>
      </c>
      <c r="I133" s="13"/>
      <c r="J133" s="12" t="s">
        <v>1033</v>
      </c>
      <c r="K133" s="12" t="s">
        <v>794</v>
      </c>
    </row>
    <row r="134" spans="1:11" ht="30" customHeight="1">
      <c r="A134" s="12" t="s">
        <v>121</v>
      </c>
      <c r="B134" s="12" t="s">
        <v>117</v>
      </c>
      <c r="C134" s="12" t="s">
        <v>98</v>
      </c>
      <c r="D134" s="12" t="s">
        <v>541</v>
      </c>
      <c r="E134" s="17">
        <v>3</v>
      </c>
      <c r="F134" s="13"/>
      <c r="G134" s="12" t="s">
        <v>1019</v>
      </c>
      <c r="H134" s="12" t="s">
        <v>1034</v>
      </c>
      <c r="I134" s="13"/>
      <c r="J134" s="12" t="s">
        <v>1035</v>
      </c>
      <c r="K134" s="12" t="s">
        <v>794</v>
      </c>
    </row>
    <row r="135" spans="1:11" ht="30" customHeight="1">
      <c r="A135" s="12" t="s">
        <v>121</v>
      </c>
      <c r="B135" s="12" t="s">
        <v>117</v>
      </c>
      <c r="C135" s="12" t="s">
        <v>98</v>
      </c>
      <c r="D135" s="12" t="s">
        <v>542</v>
      </c>
      <c r="E135" s="17">
        <v>3</v>
      </c>
      <c r="F135" s="13"/>
      <c r="G135" s="12" t="s">
        <v>1019</v>
      </c>
      <c r="H135" s="12" t="s">
        <v>1020</v>
      </c>
      <c r="I135" s="13"/>
      <c r="J135" s="12" t="s">
        <v>1036</v>
      </c>
      <c r="K135" s="12" t="s">
        <v>794</v>
      </c>
    </row>
    <row r="136" spans="1:11" ht="30" customHeight="1">
      <c r="A136" s="12" t="s">
        <v>121</v>
      </c>
      <c r="B136" s="12" t="s">
        <v>117</v>
      </c>
      <c r="C136" s="12" t="s">
        <v>98</v>
      </c>
      <c r="D136" s="12" t="s">
        <v>543</v>
      </c>
      <c r="E136" s="17">
        <v>2</v>
      </c>
      <c r="F136" s="13"/>
      <c r="G136" s="12" t="s">
        <v>1019</v>
      </c>
      <c r="H136" s="12" t="s">
        <v>1037</v>
      </c>
      <c r="I136" s="13"/>
      <c r="J136" s="12" t="s">
        <v>1038</v>
      </c>
      <c r="K136" s="12" t="s">
        <v>794</v>
      </c>
    </row>
    <row r="137" spans="1:11" ht="30" customHeight="1">
      <c r="A137" s="12" t="s">
        <v>139</v>
      </c>
      <c r="B137" s="12" t="s">
        <v>135</v>
      </c>
      <c r="C137" s="12" t="s">
        <v>98</v>
      </c>
      <c r="D137" s="12" t="s">
        <v>534</v>
      </c>
      <c r="E137" s="17">
        <v>3</v>
      </c>
      <c r="F137" s="13"/>
      <c r="G137" s="12" t="s">
        <v>1039</v>
      </c>
      <c r="H137" s="12" t="s">
        <v>1040</v>
      </c>
      <c r="I137" s="13"/>
      <c r="J137" s="12" t="s">
        <v>1041</v>
      </c>
      <c r="K137" s="12" t="s">
        <v>794</v>
      </c>
    </row>
    <row r="138" spans="1:11" ht="30" customHeight="1">
      <c r="A138" s="12" t="s">
        <v>139</v>
      </c>
      <c r="B138" s="12" t="s">
        <v>135</v>
      </c>
      <c r="C138" s="12" t="s">
        <v>98</v>
      </c>
      <c r="D138" s="12" t="s">
        <v>535</v>
      </c>
      <c r="E138" s="17">
        <v>3</v>
      </c>
      <c r="F138" s="13"/>
      <c r="G138" s="12" t="s">
        <v>1039</v>
      </c>
      <c r="H138" s="12" t="s">
        <v>1042</v>
      </c>
      <c r="I138" s="13"/>
      <c r="J138" s="12" t="s">
        <v>1043</v>
      </c>
      <c r="K138" s="12" t="s">
        <v>794</v>
      </c>
    </row>
    <row r="139" spans="1:11" ht="30" customHeight="1">
      <c r="A139" s="12" t="s">
        <v>139</v>
      </c>
      <c r="B139" s="12" t="s">
        <v>135</v>
      </c>
      <c r="C139" s="12" t="s">
        <v>98</v>
      </c>
      <c r="D139" s="12" t="s">
        <v>536</v>
      </c>
      <c r="E139" s="17">
        <v>3</v>
      </c>
      <c r="F139" s="13"/>
      <c r="G139" s="12" t="s">
        <v>1039</v>
      </c>
      <c r="H139" s="12" t="s">
        <v>1044</v>
      </c>
      <c r="I139" s="13"/>
      <c r="J139" s="12" t="s">
        <v>1045</v>
      </c>
      <c r="K139" s="12" t="s">
        <v>794</v>
      </c>
    </row>
    <row r="140" spans="1:11" ht="30" customHeight="1">
      <c r="A140" s="12" t="s">
        <v>139</v>
      </c>
      <c r="B140" s="12" t="s">
        <v>135</v>
      </c>
      <c r="C140" s="12" t="s">
        <v>98</v>
      </c>
      <c r="D140" s="12" t="s">
        <v>537</v>
      </c>
      <c r="E140" s="17">
        <v>3</v>
      </c>
      <c r="F140" s="13"/>
      <c r="G140" s="12" t="s">
        <v>1039</v>
      </c>
      <c r="H140" s="12" t="s">
        <v>1046</v>
      </c>
      <c r="I140" s="13"/>
      <c r="J140" s="12" t="s">
        <v>1047</v>
      </c>
      <c r="K140" s="12" t="s">
        <v>794</v>
      </c>
    </row>
    <row r="141" spans="1:11" ht="30" customHeight="1">
      <c r="A141" s="12" t="s">
        <v>139</v>
      </c>
      <c r="B141" s="12" t="s">
        <v>135</v>
      </c>
      <c r="C141" s="12" t="s">
        <v>98</v>
      </c>
      <c r="D141" s="12" t="s">
        <v>538</v>
      </c>
      <c r="E141" s="17">
        <v>2</v>
      </c>
      <c r="F141" s="13"/>
      <c r="G141" s="12" t="s">
        <v>1039</v>
      </c>
      <c r="H141" s="12" t="s">
        <v>1048</v>
      </c>
      <c r="I141" s="13"/>
      <c r="J141" s="12" t="s">
        <v>1049</v>
      </c>
      <c r="K141" s="12" t="s">
        <v>794</v>
      </c>
    </row>
    <row r="142" spans="1:11" ht="30" customHeight="1">
      <c r="A142" s="12" t="s">
        <v>139</v>
      </c>
      <c r="B142" s="12" t="s">
        <v>135</v>
      </c>
      <c r="C142" s="12" t="s">
        <v>98</v>
      </c>
      <c r="D142" s="12" t="s">
        <v>539</v>
      </c>
      <c r="E142" s="17">
        <v>2</v>
      </c>
      <c r="F142" s="13"/>
      <c r="G142" s="12" t="s">
        <v>1039</v>
      </c>
      <c r="H142" s="12" t="s">
        <v>1050</v>
      </c>
      <c r="I142" s="13"/>
      <c r="J142" s="12" t="s">
        <v>1051</v>
      </c>
      <c r="K142" s="12" t="s">
        <v>794</v>
      </c>
    </row>
    <row r="143" spans="1:11" ht="30" customHeight="1">
      <c r="A143" s="12" t="s">
        <v>139</v>
      </c>
      <c r="B143" s="12" t="s">
        <v>135</v>
      </c>
      <c r="C143" s="12" t="s">
        <v>98</v>
      </c>
      <c r="D143" s="12" t="s">
        <v>540</v>
      </c>
      <c r="E143" s="17">
        <v>3</v>
      </c>
      <c r="F143" s="13"/>
      <c r="G143" s="12" t="s">
        <v>1039</v>
      </c>
      <c r="H143" s="12" t="s">
        <v>1052</v>
      </c>
      <c r="I143" s="13"/>
      <c r="J143" s="12" t="s">
        <v>1053</v>
      </c>
      <c r="K143" s="12" t="s">
        <v>794</v>
      </c>
    </row>
    <row r="144" spans="1:11" ht="30" customHeight="1">
      <c r="A144" s="12" t="s">
        <v>139</v>
      </c>
      <c r="B144" s="12" t="s">
        <v>135</v>
      </c>
      <c r="C144" s="12" t="s">
        <v>98</v>
      </c>
      <c r="D144" s="12" t="s">
        <v>541</v>
      </c>
      <c r="E144" s="17">
        <v>3</v>
      </c>
      <c r="F144" s="13"/>
      <c r="G144" s="12" t="s">
        <v>1039</v>
      </c>
      <c r="H144" s="12" t="s">
        <v>1054</v>
      </c>
      <c r="I144" s="13"/>
      <c r="J144" s="12" t="s">
        <v>1055</v>
      </c>
      <c r="K144" s="12" t="s">
        <v>794</v>
      </c>
    </row>
    <row r="145" spans="1:11" ht="30" customHeight="1">
      <c r="A145" s="12" t="s">
        <v>139</v>
      </c>
      <c r="B145" s="12" t="s">
        <v>135</v>
      </c>
      <c r="C145" s="12" t="s">
        <v>98</v>
      </c>
      <c r="D145" s="12" t="s">
        <v>542</v>
      </c>
      <c r="E145" s="17">
        <v>3</v>
      </c>
      <c r="F145" s="13"/>
      <c r="G145" s="12" t="s">
        <v>1039</v>
      </c>
      <c r="H145" s="12" t="s">
        <v>1056</v>
      </c>
      <c r="I145" s="13"/>
      <c r="J145" s="12" t="s">
        <v>1057</v>
      </c>
      <c r="K145" s="12" t="s">
        <v>794</v>
      </c>
    </row>
    <row r="146" spans="1:11" ht="30" customHeight="1">
      <c r="A146" s="12" t="s">
        <v>139</v>
      </c>
      <c r="B146" s="12" t="s">
        <v>135</v>
      </c>
      <c r="C146" s="12" t="s">
        <v>98</v>
      </c>
      <c r="D146" s="12" t="s">
        <v>543</v>
      </c>
      <c r="E146" s="17">
        <v>2</v>
      </c>
      <c r="F146" s="13"/>
      <c r="G146" s="12" t="s">
        <v>1039</v>
      </c>
      <c r="H146" s="12" t="s">
        <v>1058</v>
      </c>
      <c r="I146" s="13"/>
      <c r="J146" s="12" t="s">
        <v>1059</v>
      </c>
      <c r="K146" s="12" t="s">
        <v>794</v>
      </c>
    </row>
    <row r="147" spans="1:11" ht="30" customHeight="1">
      <c r="A147" s="12" t="s">
        <v>109</v>
      </c>
      <c r="B147" s="12" t="s">
        <v>105</v>
      </c>
      <c r="C147" s="12" t="s">
        <v>98</v>
      </c>
      <c r="D147" s="12" t="s">
        <v>534</v>
      </c>
      <c r="E147" s="17">
        <v>3</v>
      </c>
      <c r="F147" s="13"/>
      <c r="G147" s="12" t="s">
        <v>1060</v>
      </c>
      <c r="H147" s="12" t="s">
        <v>1061</v>
      </c>
      <c r="I147" s="13"/>
      <c r="J147" s="12" t="s">
        <v>1062</v>
      </c>
      <c r="K147" s="12" t="s">
        <v>794</v>
      </c>
    </row>
    <row r="148" spans="1:11" ht="30" customHeight="1">
      <c r="A148" s="12" t="s">
        <v>109</v>
      </c>
      <c r="B148" s="12" t="s">
        <v>105</v>
      </c>
      <c r="C148" s="12" t="s">
        <v>98</v>
      </c>
      <c r="D148" s="12" t="s">
        <v>535</v>
      </c>
      <c r="E148" s="17">
        <v>1</v>
      </c>
      <c r="F148" s="13"/>
      <c r="G148" s="12" t="s">
        <v>1060</v>
      </c>
      <c r="H148" s="12" t="s">
        <v>1063</v>
      </c>
      <c r="I148" s="13"/>
      <c r="J148" s="12" t="s">
        <v>1064</v>
      </c>
      <c r="K148" s="12" t="s">
        <v>794</v>
      </c>
    </row>
    <row r="149" spans="1:11" ht="30" customHeight="1">
      <c r="A149" s="12" t="s">
        <v>109</v>
      </c>
      <c r="B149" s="12" t="s">
        <v>105</v>
      </c>
      <c r="C149" s="12" t="s">
        <v>98</v>
      </c>
      <c r="D149" s="12" t="s">
        <v>536</v>
      </c>
      <c r="E149" s="17">
        <v>3</v>
      </c>
      <c r="F149" s="13"/>
      <c r="G149" s="12" t="s">
        <v>1060</v>
      </c>
      <c r="H149" s="12" t="s">
        <v>1065</v>
      </c>
      <c r="I149" s="13"/>
      <c r="J149" s="12" t="s">
        <v>1066</v>
      </c>
      <c r="K149" s="12" t="s">
        <v>794</v>
      </c>
    </row>
    <row r="150" spans="1:11" ht="30" customHeight="1">
      <c r="A150" s="12" t="s">
        <v>109</v>
      </c>
      <c r="B150" s="12" t="s">
        <v>105</v>
      </c>
      <c r="C150" s="12" t="s">
        <v>98</v>
      </c>
      <c r="D150" s="12" t="s">
        <v>537</v>
      </c>
      <c r="E150" s="17">
        <v>3</v>
      </c>
      <c r="F150" s="13"/>
      <c r="G150" s="12" t="s">
        <v>1060</v>
      </c>
      <c r="H150" s="12" t="s">
        <v>1067</v>
      </c>
      <c r="I150" s="13"/>
      <c r="J150" s="12" t="s">
        <v>1068</v>
      </c>
      <c r="K150" s="12" t="s">
        <v>794</v>
      </c>
    </row>
    <row r="151" spans="1:11" ht="30" customHeight="1">
      <c r="A151" s="12" t="s">
        <v>109</v>
      </c>
      <c r="B151" s="12" t="s">
        <v>105</v>
      </c>
      <c r="C151" s="12" t="s">
        <v>98</v>
      </c>
      <c r="D151" s="12" t="s">
        <v>538</v>
      </c>
      <c r="E151" s="17">
        <v>1</v>
      </c>
      <c r="F151" s="13"/>
      <c r="G151" s="12" t="s">
        <v>1060</v>
      </c>
      <c r="H151" s="12" t="s">
        <v>1069</v>
      </c>
      <c r="I151" s="13"/>
      <c r="J151" s="12" t="s">
        <v>1070</v>
      </c>
      <c r="K151" s="12" t="s">
        <v>794</v>
      </c>
    </row>
    <row r="152" spans="1:11" ht="30" customHeight="1">
      <c r="A152" s="12" t="s">
        <v>109</v>
      </c>
      <c r="B152" s="12" t="s">
        <v>105</v>
      </c>
      <c r="C152" s="12" t="s">
        <v>98</v>
      </c>
      <c r="D152" s="12" t="s">
        <v>539</v>
      </c>
      <c r="E152" s="17">
        <v>2</v>
      </c>
      <c r="F152" s="13"/>
      <c r="G152" s="12" t="s">
        <v>1060</v>
      </c>
      <c r="H152" s="12" t="s">
        <v>1071</v>
      </c>
      <c r="I152" s="13"/>
      <c r="J152" s="12" t="s">
        <v>1072</v>
      </c>
      <c r="K152" s="12" t="s">
        <v>794</v>
      </c>
    </row>
    <row r="153" spans="1:11" ht="30" customHeight="1">
      <c r="A153" s="12" t="s">
        <v>109</v>
      </c>
      <c r="B153" s="12" t="s">
        <v>105</v>
      </c>
      <c r="C153" s="12" t="s">
        <v>98</v>
      </c>
      <c r="D153" s="12" t="s">
        <v>540</v>
      </c>
      <c r="E153" s="17">
        <v>0</v>
      </c>
      <c r="F153" s="13"/>
      <c r="G153" s="12" t="s">
        <v>1073</v>
      </c>
      <c r="H153" s="12" t="s">
        <v>971</v>
      </c>
      <c r="I153" s="13"/>
      <c r="J153" s="12" t="s">
        <v>972</v>
      </c>
      <c r="K153" s="12" t="s">
        <v>794</v>
      </c>
    </row>
    <row r="154" spans="1:11" ht="30" customHeight="1">
      <c r="A154" s="12" t="s">
        <v>109</v>
      </c>
      <c r="B154" s="12" t="s">
        <v>105</v>
      </c>
      <c r="C154" s="12" t="s">
        <v>98</v>
      </c>
      <c r="D154" s="12" t="s">
        <v>541</v>
      </c>
      <c r="E154" s="17">
        <v>3</v>
      </c>
      <c r="F154" s="13"/>
      <c r="G154" s="12" t="s">
        <v>1060</v>
      </c>
      <c r="H154" s="12" t="s">
        <v>1071</v>
      </c>
      <c r="I154" s="13"/>
      <c r="J154" s="12" t="s">
        <v>1074</v>
      </c>
      <c r="K154" s="12" t="s">
        <v>794</v>
      </c>
    </row>
    <row r="155" spans="1:11" ht="30" customHeight="1">
      <c r="A155" s="12" t="s">
        <v>109</v>
      </c>
      <c r="B155" s="12" t="s">
        <v>105</v>
      </c>
      <c r="C155" s="12" t="s">
        <v>98</v>
      </c>
      <c r="D155" s="12" t="s">
        <v>542</v>
      </c>
      <c r="E155" s="17">
        <v>3</v>
      </c>
      <c r="F155" s="13"/>
      <c r="G155" s="12" t="s">
        <v>1060</v>
      </c>
      <c r="H155" s="12" t="s">
        <v>1075</v>
      </c>
      <c r="I155" s="13"/>
      <c r="J155" s="12" t="s">
        <v>1076</v>
      </c>
      <c r="K155" s="12" t="s">
        <v>794</v>
      </c>
    </row>
    <row r="156" spans="1:11" ht="30" customHeight="1">
      <c r="A156" s="12" t="s">
        <v>109</v>
      </c>
      <c r="B156" s="12" t="s">
        <v>105</v>
      </c>
      <c r="C156" s="12" t="s">
        <v>98</v>
      </c>
      <c r="D156" s="12" t="s">
        <v>543</v>
      </c>
      <c r="E156" s="17">
        <v>2</v>
      </c>
      <c r="F156" s="13"/>
      <c r="G156" s="12" t="s">
        <v>1060</v>
      </c>
      <c r="H156" s="12" t="s">
        <v>1077</v>
      </c>
      <c r="I156" s="13"/>
      <c r="J156" s="12" t="s">
        <v>1078</v>
      </c>
      <c r="K156" s="12" t="s">
        <v>794</v>
      </c>
    </row>
    <row r="157" spans="1:11" ht="30" customHeight="1">
      <c r="A157" s="12" t="s">
        <v>127</v>
      </c>
      <c r="B157" s="12" t="s">
        <v>123</v>
      </c>
      <c r="C157" s="12" t="s">
        <v>98</v>
      </c>
      <c r="D157" s="12" t="s">
        <v>534</v>
      </c>
      <c r="E157" s="17">
        <v>3</v>
      </c>
      <c r="F157" s="13"/>
      <c r="G157" s="12" t="s">
        <v>1079</v>
      </c>
      <c r="H157" s="12" t="s">
        <v>1080</v>
      </c>
      <c r="I157" s="13"/>
      <c r="J157" s="12" t="s">
        <v>1081</v>
      </c>
      <c r="K157" s="12" t="s">
        <v>794</v>
      </c>
    </row>
    <row r="158" spans="1:11" ht="30" customHeight="1">
      <c r="A158" s="12" t="s">
        <v>127</v>
      </c>
      <c r="B158" s="12" t="s">
        <v>123</v>
      </c>
      <c r="C158" s="12" t="s">
        <v>98</v>
      </c>
      <c r="D158" s="12" t="s">
        <v>535</v>
      </c>
      <c r="E158" s="17">
        <v>2</v>
      </c>
      <c r="F158" s="13"/>
      <c r="G158" s="12" t="s">
        <v>1079</v>
      </c>
      <c r="H158" s="12" t="s">
        <v>1082</v>
      </c>
      <c r="I158" s="13"/>
      <c r="J158" s="12" t="s">
        <v>1083</v>
      </c>
      <c r="K158" s="12" t="s">
        <v>794</v>
      </c>
    </row>
    <row r="159" spans="1:11" ht="30" customHeight="1">
      <c r="A159" s="12" t="s">
        <v>127</v>
      </c>
      <c r="B159" s="12" t="s">
        <v>123</v>
      </c>
      <c r="C159" s="12" t="s">
        <v>98</v>
      </c>
      <c r="D159" s="12" t="s">
        <v>536</v>
      </c>
      <c r="E159" s="17">
        <v>3</v>
      </c>
      <c r="F159" s="13"/>
      <c r="G159" s="12" t="s">
        <v>1079</v>
      </c>
      <c r="H159" s="12" t="s">
        <v>1084</v>
      </c>
      <c r="I159" s="13"/>
      <c r="J159" s="12" t="s">
        <v>1085</v>
      </c>
      <c r="K159" s="12" t="s">
        <v>794</v>
      </c>
    </row>
    <row r="160" spans="1:11" ht="30" customHeight="1">
      <c r="A160" s="12" t="s">
        <v>127</v>
      </c>
      <c r="B160" s="12" t="s">
        <v>123</v>
      </c>
      <c r="C160" s="12" t="s">
        <v>98</v>
      </c>
      <c r="D160" s="12" t="s">
        <v>537</v>
      </c>
      <c r="E160" s="17">
        <v>3</v>
      </c>
      <c r="F160" s="13"/>
      <c r="G160" s="12" t="s">
        <v>1079</v>
      </c>
      <c r="H160" s="12" t="s">
        <v>1086</v>
      </c>
      <c r="I160" s="13"/>
      <c r="J160" s="12" t="s">
        <v>1087</v>
      </c>
      <c r="K160" s="12" t="s">
        <v>794</v>
      </c>
    </row>
    <row r="161" spans="1:11" ht="30" customHeight="1">
      <c r="A161" s="12" t="s">
        <v>127</v>
      </c>
      <c r="B161" s="12" t="s">
        <v>123</v>
      </c>
      <c r="C161" s="12" t="s">
        <v>98</v>
      </c>
      <c r="D161" s="12" t="s">
        <v>538</v>
      </c>
      <c r="E161" s="17">
        <v>1</v>
      </c>
      <c r="F161" s="13"/>
      <c r="G161" s="12" t="s">
        <v>1079</v>
      </c>
      <c r="H161" s="12" t="s">
        <v>1088</v>
      </c>
      <c r="I161" s="13"/>
      <c r="J161" s="12" t="s">
        <v>1089</v>
      </c>
      <c r="K161" s="12" t="s">
        <v>794</v>
      </c>
    </row>
    <row r="162" spans="1:11" ht="30" customHeight="1">
      <c r="A162" s="12" t="s">
        <v>127</v>
      </c>
      <c r="B162" s="12" t="s">
        <v>123</v>
      </c>
      <c r="C162" s="12" t="s">
        <v>98</v>
      </c>
      <c r="D162" s="12" t="s">
        <v>539</v>
      </c>
      <c r="E162" s="17">
        <v>2</v>
      </c>
      <c r="F162" s="13"/>
      <c r="G162" s="12" t="s">
        <v>1079</v>
      </c>
      <c r="H162" s="12" t="s">
        <v>1090</v>
      </c>
      <c r="I162" s="13"/>
      <c r="J162" s="12" t="s">
        <v>1091</v>
      </c>
      <c r="K162" s="12" t="s">
        <v>794</v>
      </c>
    </row>
    <row r="163" spans="1:11" ht="30" customHeight="1">
      <c r="A163" s="12" t="s">
        <v>127</v>
      </c>
      <c r="B163" s="12" t="s">
        <v>123</v>
      </c>
      <c r="C163" s="12" t="s">
        <v>98</v>
      </c>
      <c r="D163" s="12" t="s">
        <v>540</v>
      </c>
      <c r="E163" s="17">
        <v>0</v>
      </c>
      <c r="F163" s="13"/>
      <c r="G163" s="12" t="s">
        <v>1092</v>
      </c>
      <c r="H163" s="12" t="s">
        <v>971</v>
      </c>
      <c r="I163" s="13"/>
      <c r="J163" s="12" t="s">
        <v>972</v>
      </c>
      <c r="K163" s="12" t="s">
        <v>794</v>
      </c>
    </row>
    <row r="164" spans="1:11" ht="30" customHeight="1">
      <c r="A164" s="12" t="s">
        <v>127</v>
      </c>
      <c r="B164" s="12" t="s">
        <v>123</v>
      </c>
      <c r="C164" s="12" t="s">
        <v>98</v>
      </c>
      <c r="D164" s="12" t="s">
        <v>541</v>
      </c>
      <c r="E164" s="17">
        <v>2</v>
      </c>
      <c r="F164" s="13"/>
      <c r="G164" s="12" t="s">
        <v>1079</v>
      </c>
      <c r="H164" s="12" t="s">
        <v>1093</v>
      </c>
      <c r="I164" s="13"/>
      <c r="J164" s="12" t="s">
        <v>1094</v>
      </c>
      <c r="K164" s="12" t="s">
        <v>794</v>
      </c>
    </row>
    <row r="165" spans="1:11" ht="30" customHeight="1">
      <c r="A165" s="12" t="s">
        <v>127</v>
      </c>
      <c r="B165" s="12" t="s">
        <v>123</v>
      </c>
      <c r="C165" s="12" t="s">
        <v>98</v>
      </c>
      <c r="D165" s="12" t="s">
        <v>542</v>
      </c>
      <c r="E165" s="17">
        <v>3</v>
      </c>
      <c r="F165" s="13"/>
      <c r="G165" s="12" t="s">
        <v>1079</v>
      </c>
      <c r="H165" s="12" t="s">
        <v>1095</v>
      </c>
      <c r="I165" s="13"/>
      <c r="J165" s="12" t="s">
        <v>1096</v>
      </c>
      <c r="K165" s="12" t="s">
        <v>794</v>
      </c>
    </row>
    <row r="166" spans="1:11" ht="30" customHeight="1">
      <c r="A166" s="12" t="s">
        <v>127</v>
      </c>
      <c r="B166" s="12" t="s">
        <v>123</v>
      </c>
      <c r="C166" s="12" t="s">
        <v>98</v>
      </c>
      <c r="D166" s="12" t="s">
        <v>543</v>
      </c>
      <c r="E166" s="17">
        <v>2</v>
      </c>
      <c r="F166" s="13"/>
      <c r="G166" s="12" t="s">
        <v>1079</v>
      </c>
      <c r="H166" s="12" t="s">
        <v>1097</v>
      </c>
      <c r="I166" s="13"/>
      <c r="J166" s="12" t="s">
        <v>1098</v>
      </c>
      <c r="K166" s="12" t="s">
        <v>794</v>
      </c>
    </row>
    <row r="167" spans="1:11" ht="30" customHeight="1">
      <c r="A167" s="12" t="s">
        <v>379</v>
      </c>
      <c r="B167" s="12" t="s">
        <v>373</v>
      </c>
      <c r="C167" s="12" t="s">
        <v>374</v>
      </c>
      <c r="D167" s="12" t="s">
        <v>534</v>
      </c>
      <c r="E167" s="17">
        <v>0</v>
      </c>
      <c r="F167" s="12" t="s">
        <v>32</v>
      </c>
      <c r="G167" s="13"/>
      <c r="H167" s="13"/>
      <c r="I167" s="13"/>
      <c r="J167" s="12" t="s">
        <v>1099</v>
      </c>
      <c r="K167" s="12" t="s">
        <v>794</v>
      </c>
    </row>
    <row r="168" spans="1:11" ht="30" customHeight="1">
      <c r="A168" s="12" t="s">
        <v>379</v>
      </c>
      <c r="B168" s="12" t="s">
        <v>373</v>
      </c>
      <c r="C168" s="12" t="s">
        <v>374</v>
      </c>
      <c r="D168" s="12" t="s">
        <v>535</v>
      </c>
      <c r="E168" s="17">
        <v>0</v>
      </c>
      <c r="F168" s="12" t="s">
        <v>32</v>
      </c>
      <c r="G168" s="13"/>
      <c r="H168" s="13"/>
      <c r="I168" s="13"/>
      <c r="J168" s="12" t="s">
        <v>1100</v>
      </c>
      <c r="K168" s="12" t="s">
        <v>794</v>
      </c>
    </row>
    <row r="169" spans="1:11" ht="30" customHeight="1">
      <c r="A169" s="12" t="s">
        <v>379</v>
      </c>
      <c r="B169" s="12" t="s">
        <v>373</v>
      </c>
      <c r="C169" s="12" t="s">
        <v>374</v>
      </c>
      <c r="D169" s="12" t="s">
        <v>536</v>
      </c>
      <c r="E169" s="17">
        <v>0</v>
      </c>
      <c r="F169" s="12" t="s">
        <v>32</v>
      </c>
      <c r="G169" s="13"/>
      <c r="H169" s="13"/>
      <c r="I169" s="13"/>
      <c r="J169" s="12" t="s">
        <v>1101</v>
      </c>
      <c r="K169" s="12" t="s">
        <v>794</v>
      </c>
    </row>
    <row r="170" spans="1:11" ht="30" customHeight="1">
      <c r="A170" s="12" t="s">
        <v>379</v>
      </c>
      <c r="B170" s="12" t="s">
        <v>373</v>
      </c>
      <c r="C170" s="12" t="s">
        <v>374</v>
      </c>
      <c r="D170" s="12" t="s">
        <v>537</v>
      </c>
      <c r="E170" s="17">
        <v>1</v>
      </c>
      <c r="F170" s="12" t="s">
        <v>32</v>
      </c>
      <c r="G170" s="13"/>
      <c r="H170" s="13"/>
      <c r="I170" s="13"/>
      <c r="J170" s="12" t="s">
        <v>1102</v>
      </c>
      <c r="K170" s="12" t="s">
        <v>794</v>
      </c>
    </row>
    <row r="171" spans="1:11" ht="30" customHeight="1">
      <c r="A171" s="12" t="s">
        <v>379</v>
      </c>
      <c r="B171" s="12" t="s">
        <v>373</v>
      </c>
      <c r="C171" s="12" t="s">
        <v>374</v>
      </c>
      <c r="D171" s="12" t="s">
        <v>538</v>
      </c>
      <c r="E171" s="17">
        <v>2</v>
      </c>
      <c r="F171" s="12" t="s">
        <v>32</v>
      </c>
      <c r="G171" s="13"/>
      <c r="H171" s="13"/>
      <c r="I171" s="13"/>
      <c r="J171" s="12" t="s">
        <v>1103</v>
      </c>
      <c r="K171" s="12" t="s">
        <v>794</v>
      </c>
    </row>
    <row r="172" spans="1:11" ht="30" customHeight="1">
      <c r="A172" s="12" t="s">
        <v>379</v>
      </c>
      <c r="B172" s="12" t="s">
        <v>373</v>
      </c>
      <c r="C172" s="12" t="s">
        <v>374</v>
      </c>
      <c r="D172" s="12" t="s">
        <v>539</v>
      </c>
      <c r="E172" s="17">
        <v>0</v>
      </c>
      <c r="F172" s="12" t="s">
        <v>32</v>
      </c>
      <c r="G172" s="13"/>
      <c r="H172" s="13"/>
      <c r="I172" s="13"/>
      <c r="J172" s="12" t="s">
        <v>1104</v>
      </c>
      <c r="K172" s="12" t="s">
        <v>794</v>
      </c>
    </row>
    <row r="173" spans="1:11" ht="30" customHeight="1">
      <c r="A173" s="12" t="s">
        <v>379</v>
      </c>
      <c r="B173" s="12" t="s">
        <v>373</v>
      </c>
      <c r="C173" s="12" t="s">
        <v>374</v>
      </c>
      <c r="D173" s="12" t="s">
        <v>540</v>
      </c>
      <c r="E173" s="17">
        <v>0</v>
      </c>
      <c r="F173" s="12" t="s">
        <v>32</v>
      </c>
      <c r="G173" s="13"/>
      <c r="H173" s="13"/>
      <c r="I173" s="13"/>
      <c r="J173" s="12" t="s">
        <v>1105</v>
      </c>
      <c r="K173" s="12" t="s">
        <v>794</v>
      </c>
    </row>
    <row r="174" spans="1:11" ht="30" customHeight="1">
      <c r="A174" s="12" t="s">
        <v>379</v>
      </c>
      <c r="B174" s="12" t="s">
        <v>373</v>
      </c>
      <c r="C174" s="12" t="s">
        <v>374</v>
      </c>
      <c r="D174" s="12" t="s">
        <v>541</v>
      </c>
      <c r="E174" s="17">
        <v>0</v>
      </c>
      <c r="F174" s="12" t="s">
        <v>32</v>
      </c>
      <c r="G174" s="13"/>
      <c r="H174" s="13"/>
      <c r="I174" s="13"/>
      <c r="J174" s="12" t="s">
        <v>1106</v>
      </c>
      <c r="K174" s="12" t="s">
        <v>794</v>
      </c>
    </row>
    <row r="175" spans="1:11" ht="30" customHeight="1">
      <c r="A175" s="12" t="s">
        <v>379</v>
      </c>
      <c r="B175" s="12" t="s">
        <v>373</v>
      </c>
      <c r="C175" s="12" t="s">
        <v>374</v>
      </c>
      <c r="D175" s="12" t="s">
        <v>542</v>
      </c>
      <c r="E175" s="17">
        <v>1</v>
      </c>
      <c r="F175" s="12" t="s">
        <v>32</v>
      </c>
      <c r="G175" s="13"/>
      <c r="H175" s="13"/>
      <c r="I175" s="13"/>
      <c r="J175" s="12" t="s">
        <v>1107</v>
      </c>
      <c r="K175" s="12" t="s">
        <v>794</v>
      </c>
    </row>
    <row r="176" spans="1:11" ht="30" customHeight="1">
      <c r="A176" s="12" t="s">
        <v>379</v>
      </c>
      <c r="B176" s="12" t="s">
        <v>373</v>
      </c>
      <c r="C176" s="12" t="s">
        <v>374</v>
      </c>
      <c r="D176" s="12" t="s">
        <v>543</v>
      </c>
      <c r="E176" s="17">
        <v>2</v>
      </c>
      <c r="F176" s="12" t="s">
        <v>32</v>
      </c>
      <c r="G176" s="13"/>
      <c r="H176" s="13"/>
      <c r="I176" s="13"/>
      <c r="J176" s="12" t="s">
        <v>1108</v>
      </c>
      <c r="K176" s="12" t="s">
        <v>794</v>
      </c>
    </row>
    <row r="177" spans="1:11" ht="30" customHeight="1">
      <c r="A177" s="12" t="s">
        <v>379</v>
      </c>
      <c r="B177" s="12" t="s">
        <v>373</v>
      </c>
      <c r="C177" s="12" t="s">
        <v>374</v>
      </c>
      <c r="D177" s="12" t="s">
        <v>534</v>
      </c>
      <c r="E177" s="17">
        <v>1</v>
      </c>
      <c r="F177" s="12" t="s">
        <v>32</v>
      </c>
      <c r="G177" s="13"/>
      <c r="H177" s="13"/>
      <c r="I177" s="13"/>
      <c r="J177" s="12" t="s">
        <v>1109</v>
      </c>
      <c r="K177" s="12" t="s">
        <v>794</v>
      </c>
    </row>
    <row r="178" spans="1:11" ht="30" customHeight="1">
      <c r="A178" s="12" t="s">
        <v>379</v>
      </c>
      <c r="B178" s="12" t="s">
        <v>373</v>
      </c>
      <c r="C178" s="12" t="s">
        <v>374</v>
      </c>
      <c r="D178" s="12" t="s">
        <v>535</v>
      </c>
      <c r="E178" s="17">
        <v>1</v>
      </c>
      <c r="F178" s="12" t="s">
        <v>32</v>
      </c>
      <c r="G178" s="13"/>
      <c r="H178" s="13"/>
      <c r="I178" s="13"/>
      <c r="J178" s="12" t="s">
        <v>1110</v>
      </c>
      <c r="K178" s="12" t="s">
        <v>794</v>
      </c>
    </row>
    <row r="179" spans="1:11" ht="30" customHeight="1">
      <c r="A179" s="12" t="s">
        <v>379</v>
      </c>
      <c r="B179" s="12" t="s">
        <v>373</v>
      </c>
      <c r="C179" s="12" t="s">
        <v>374</v>
      </c>
      <c r="D179" s="12" t="s">
        <v>536</v>
      </c>
      <c r="E179" s="17">
        <v>0</v>
      </c>
      <c r="F179" s="12" t="s">
        <v>32</v>
      </c>
      <c r="G179" s="13"/>
      <c r="H179" s="13"/>
      <c r="I179" s="13"/>
      <c r="J179" s="12" t="s">
        <v>1111</v>
      </c>
      <c r="K179" s="12" t="s">
        <v>794</v>
      </c>
    </row>
    <row r="180" spans="1:11" ht="30" customHeight="1">
      <c r="A180" s="12" t="s">
        <v>379</v>
      </c>
      <c r="B180" s="12" t="s">
        <v>373</v>
      </c>
      <c r="C180" s="12" t="s">
        <v>374</v>
      </c>
      <c r="D180" s="12" t="s">
        <v>537</v>
      </c>
      <c r="E180" s="17">
        <v>1</v>
      </c>
      <c r="F180" s="12" t="s">
        <v>32</v>
      </c>
      <c r="G180" s="13"/>
      <c r="H180" s="13"/>
      <c r="I180" s="13"/>
      <c r="J180" s="12" t="s">
        <v>1112</v>
      </c>
      <c r="K180" s="12" t="s">
        <v>794</v>
      </c>
    </row>
    <row r="181" spans="1:11" ht="30" customHeight="1">
      <c r="A181" s="12" t="s">
        <v>379</v>
      </c>
      <c r="B181" s="12" t="s">
        <v>373</v>
      </c>
      <c r="C181" s="12" t="s">
        <v>374</v>
      </c>
      <c r="D181" s="12" t="s">
        <v>538</v>
      </c>
      <c r="E181" s="17">
        <v>2</v>
      </c>
      <c r="F181" s="12" t="s">
        <v>32</v>
      </c>
      <c r="G181" s="13"/>
      <c r="H181" s="13"/>
      <c r="I181" s="13"/>
      <c r="J181" s="12" t="s">
        <v>1113</v>
      </c>
      <c r="K181" s="12" t="s">
        <v>794</v>
      </c>
    </row>
    <row r="182" spans="1:11" ht="30" customHeight="1">
      <c r="A182" s="12" t="s">
        <v>379</v>
      </c>
      <c r="B182" s="12" t="s">
        <v>373</v>
      </c>
      <c r="C182" s="12" t="s">
        <v>374</v>
      </c>
      <c r="D182" s="12" t="s">
        <v>539</v>
      </c>
      <c r="E182" s="17">
        <v>0</v>
      </c>
      <c r="F182" s="12" t="s">
        <v>32</v>
      </c>
      <c r="G182" s="13"/>
      <c r="H182" s="13"/>
      <c r="I182" s="13"/>
      <c r="J182" s="12" t="s">
        <v>1114</v>
      </c>
      <c r="K182" s="12" t="s">
        <v>794</v>
      </c>
    </row>
    <row r="183" spans="1:11" ht="30" customHeight="1">
      <c r="A183" s="12" t="s">
        <v>379</v>
      </c>
      <c r="B183" s="12" t="s">
        <v>373</v>
      </c>
      <c r="C183" s="12" t="s">
        <v>374</v>
      </c>
      <c r="D183" s="12" t="s">
        <v>540</v>
      </c>
      <c r="E183" s="17">
        <v>0</v>
      </c>
      <c r="F183" s="12" t="s">
        <v>32</v>
      </c>
      <c r="G183" s="13"/>
      <c r="H183" s="13"/>
      <c r="I183" s="13"/>
      <c r="J183" s="12" t="s">
        <v>1115</v>
      </c>
      <c r="K183" s="12" t="s">
        <v>794</v>
      </c>
    </row>
    <row r="184" spans="1:11" ht="30" customHeight="1">
      <c r="A184" s="12" t="s">
        <v>379</v>
      </c>
      <c r="B184" s="12" t="s">
        <v>373</v>
      </c>
      <c r="C184" s="12" t="s">
        <v>374</v>
      </c>
      <c r="D184" s="12" t="s">
        <v>541</v>
      </c>
      <c r="E184" s="17">
        <v>0</v>
      </c>
      <c r="F184" s="12" t="s">
        <v>32</v>
      </c>
      <c r="G184" s="13"/>
      <c r="H184" s="13"/>
      <c r="I184" s="13"/>
      <c r="J184" s="12" t="s">
        <v>1116</v>
      </c>
      <c r="K184" s="12" t="s">
        <v>794</v>
      </c>
    </row>
    <row r="185" spans="1:11" ht="30" customHeight="1">
      <c r="A185" s="12" t="s">
        <v>379</v>
      </c>
      <c r="B185" s="12" t="s">
        <v>373</v>
      </c>
      <c r="C185" s="12" t="s">
        <v>374</v>
      </c>
      <c r="D185" s="12" t="s">
        <v>542</v>
      </c>
      <c r="E185" s="17">
        <v>1</v>
      </c>
      <c r="F185" s="12" t="s">
        <v>32</v>
      </c>
      <c r="G185" s="13"/>
      <c r="H185" s="13"/>
      <c r="I185" s="13"/>
      <c r="J185" s="12" t="s">
        <v>1117</v>
      </c>
      <c r="K185" s="12" t="s">
        <v>794</v>
      </c>
    </row>
    <row r="186" spans="1:11" ht="30" customHeight="1">
      <c r="A186" s="12" t="s">
        <v>379</v>
      </c>
      <c r="B186" s="12" t="s">
        <v>373</v>
      </c>
      <c r="C186" s="12" t="s">
        <v>374</v>
      </c>
      <c r="D186" s="12" t="s">
        <v>543</v>
      </c>
      <c r="E186" s="17">
        <v>2</v>
      </c>
      <c r="F186" s="12" t="s">
        <v>32</v>
      </c>
      <c r="G186" s="13"/>
      <c r="H186" s="13"/>
      <c r="I186" s="13"/>
      <c r="J186" s="12" t="s">
        <v>1118</v>
      </c>
      <c r="K186" s="12" t="s">
        <v>794</v>
      </c>
    </row>
    <row r="187" spans="1:11" ht="30" customHeight="1">
      <c r="A187" s="12" t="s">
        <v>386</v>
      </c>
      <c r="B187" s="12" t="s">
        <v>382</v>
      </c>
      <c r="C187" s="12" t="s">
        <v>374</v>
      </c>
      <c r="D187" s="12" t="s">
        <v>534</v>
      </c>
      <c r="E187" s="17">
        <v>3</v>
      </c>
      <c r="F187" s="12" t="s">
        <v>54</v>
      </c>
      <c r="G187" s="13"/>
      <c r="H187" s="13"/>
      <c r="I187" s="13"/>
      <c r="J187" s="12" t="s">
        <v>1119</v>
      </c>
      <c r="K187" s="12" t="s">
        <v>794</v>
      </c>
    </row>
    <row r="188" spans="1:11" ht="30" customHeight="1">
      <c r="A188" s="12" t="s">
        <v>386</v>
      </c>
      <c r="B188" s="12" t="s">
        <v>382</v>
      </c>
      <c r="C188" s="12" t="s">
        <v>374</v>
      </c>
      <c r="D188" s="12" t="s">
        <v>535</v>
      </c>
      <c r="E188" s="17">
        <v>1</v>
      </c>
      <c r="F188" s="12" t="s">
        <v>54</v>
      </c>
      <c r="G188" s="13"/>
      <c r="H188" s="13"/>
      <c r="I188" s="13"/>
      <c r="J188" s="12" t="s">
        <v>1120</v>
      </c>
      <c r="K188" s="12" t="s">
        <v>794</v>
      </c>
    </row>
    <row r="189" spans="1:11" ht="30" customHeight="1">
      <c r="A189" s="12" t="s">
        <v>386</v>
      </c>
      <c r="B189" s="12" t="s">
        <v>382</v>
      </c>
      <c r="C189" s="12" t="s">
        <v>374</v>
      </c>
      <c r="D189" s="12" t="s">
        <v>536</v>
      </c>
      <c r="E189" s="17">
        <v>2</v>
      </c>
      <c r="F189" s="12" t="s">
        <v>54</v>
      </c>
      <c r="G189" s="13"/>
      <c r="H189" s="13"/>
      <c r="I189" s="13"/>
      <c r="J189" s="12" t="s">
        <v>1121</v>
      </c>
      <c r="K189" s="12" t="s">
        <v>794</v>
      </c>
    </row>
    <row r="190" spans="1:11" ht="30" customHeight="1">
      <c r="A190" s="12" t="s">
        <v>386</v>
      </c>
      <c r="B190" s="12" t="s">
        <v>382</v>
      </c>
      <c r="C190" s="12" t="s">
        <v>374</v>
      </c>
      <c r="D190" s="12" t="s">
        <v>537</v>
      </c>
      <c r="E190" s="17">
        <v>2</v>
      </c>
      <c r="F190" s="12" t="s">
        <v>54</v>
      </c>
      <c r="G190" s="13"/>
      <c r="H190" s="13"/>
      <c r="I190" s="13"/>
      <c r="J190" s="12" t="s">
        <v>1122</v>
      </c>
      <c r="K190" s="12" t="s">
        <v>794</v>
      </c>
    </row>
    <row r="191" spans="1:11" ht="30" customHeight="1">
      <c r="A191" s="12" t="s">
        <v>386</v>
      </c>
      <c r="B191" s="12" t="s">
        <v>382</v>
      </c>
      <c r="C191" s="12" t="s">
        <v>374</v>
      </c>
      <c r="D191" s="12" t="s">
        <v>538</v>
      </c>
      <c r="E191" s="17">
        <v>2</v>
      </c>
      <c r="F191" s="12" t="s">
        <v>54</v>
      </c>
      <c r="G191" s="13"/>
      <c r="H191" s="13"/>
      <c r="I191" s="13"/>
      <c r="J191" s="12" t="s">
        <v>1123</v>
      </c>
      <c r="K191" s="12" t="s">
        <v>794</v>
      </c>
    </row>
    <row r="192" spans="1:11" ht="30" customHeight="1">
      <c r="A192" s="12" t="s">
        <v>386</v>
      </c>
      <c r="B192" s="12" t="s">
        <v>382</v>
      </c>
      <c r="C192" s="12" t="s">
        <v>374</v>
      </c>
      <c r="D192" s="12" t="s">
        <v>539</v>
      </c>
      <c r="E192" s="17">
        <v>1</v>
      </c>
      <c r="F192" s="12" t="s">
        <v>54</v>
      </c>
      <c r="G192" s="13"/>
      <c r="H192" s="13"/>
      <c r="I192" s="13"/>
      <c r="J192" s="12" t="s">
        <v>1124</v>
      </c>
      <c r="K192" s="12" t="s">
        <v>794</v>
      </c>
    </row>
    <row r="193" spans="1:11" ht="30" customHeight="1">
      <c r="A193" s="12" t="s">
        <v>386</v>
      </c>
      <c r="B193" s="12" t="s">
        <v>382</v>
      </c>
      <c r="C193" s="12" t="s">
        <v>374</v>
      </c>
      <c r="D193" s="12" t="s">
        <v>540</v>
      </c>
      <c r="E193" s="17">
        <v>0</v>
      </c>
      <c r="F193" s="12" t="s">
        <v>54</v>
      </c>
      <c r="G193" s="13"/>
      <c r="H193" s="13"/>
      <c r="I193" s="13"/>
      <c r="J193" s="12" t="s">
        <v>1105</v>
      </c>
      <c r="K193" s="12" t="s">
        <v>794</v>
      </c>
    </row>
    <row r="194" spans="1:11" ht="30" customHeight="1">
      <c r="A194" s="12" t="s">
        <v>386</v>
      </c>
      <c r="B194" s="12" t="s">
        <v>382</v>
      </c>
      <c r="C194" s="12" t="s">
        <v>374</v>
      </c>
      <c r="D194" s="12" t="s">
        <v>541</v>
      </c>
      <c r="E194" s="17">
        <v>1</v>
      </c>
      <c r="F194" s="12" t="s">
        <v>54</v>
      </c>
      <c r="G194" s="13"/>
      <c r="H194" s="13"/>
      <c r="I194" s="13"/>
      <c r="J194" s="12" t="s">
        <v>1125</v>
      </c>
      <c r="K194" s="12" t="s">
        <v>794</v>
      </c>
    </row>
    <row r="195" spans="1:11" ht="30" customHeight="1">
      <c r="A195" s="12" t="s">
        <v>386</v>
      </c>
      <c r="B195" s="12" t="s">
        <v>382</v>
      </c>
      <c r="C195" s="12" t="s">
        <v>374</v>
      </c>
      <c r="D195" s="12" t="s">
        <v>542</v>
      </c>
      <c r="E195" s="17">
        <v>3</v>
      </c>
      <c r="F195" s="12" t="s">
        <v>54</v>
      </c>
      <c r="G195" s="13"/>
      <c r="H195" s="13"/>
      <c r="I195" s="13"/>
      <c r="J195" s="12" t="s">
        <v>1126</v>
      </c>
      <c r="K195" s="12" t="s">
        <v>794</v>
      </c>
    </row>
    <row r="196" spans="1:11" ht="30" customHeight="1">
      <c r="A196" s="12" t="s">
        <v>386</v>
      </c>
      <c r="B196" s="12" t="s">
        <v>382</v>
      </c>
      <c r="C196" s="12" t="s">
        <v>374</v>
      </c>
      <c r="D196" s="12" t="s">
        <v>543</v>
      </c>
      <c r="E196" s="17">
        <v>2</v>
      </c>
      <c r="F196" s="12" t="s">
        <v>54</v>
      </c>
      <c r="G196" s="13"/>
      <c r="H196" s="13"/>
      <c r="I196" s="13"/>
      <c r="J196" s="12" t="s">
        <v>1127</v>
      </c>
      <c r="K196" s="12" t="s">
        <v>794</v>
      </c>
    </row>
    <row r="197" spans="1:11" ht="30" customHeight="1">
      <c r="A197" s="12" t="s">
        <v>386</v>
      </c>
      <c r="B197" s="12" t="s">
        <v>382</v>
      </c>
      <c r="C197" s="12" t="s">
        <v>374</v>
      </c>
      <c r="D197" s="12" t="s">
        <v>534</v>
      </c>
      <c r="E197" s="17">
        <v>3</v>
      </c>
      <c r="F197" s="12" t="s">
        <v>54</v>
      </c>
      <c r="G197" s="13"/>
      <c r="H197" s="13"/>
      <c r="I197" s="13"/>
      <c r="J197" s="12" t="s">
        <v>1128</v>
      </c>
      <c r="K197" s="12" t="s">
        <v>794</v>
      </c>
    </row>
    <row r="198" spans="1:11" ht="30" customHeight="1">
      <c r="A198" s="12" t="s">
        <v>386</v>
      </c>
      <c r="B198" s="12" t="s">
        <v>382</v>
      </c>
      <c r="C198" s="12" t="s">
        <v>374</v>
      </c>
      <c r="D198" s="12" t="s">
        <v>535</v>
      </c>
      <c r="E198" s="17">
        <v>1</v>
      </c>
      <c r="F198" s="12" t="s">
        <v>54</v>
      </c>
      <c r="G198" s="13"/>
      <c r="H198" s="13"/>
      <c r="I198" s="13"/>
      <c r="J198" s="12" t="s">
        <v>1129</v>
      </c>
      <c r="K198" s="12" t="s">
        <v>794</v>
      </c>
    </row>
    <row r="199" spans="1:11" ht="30" customHeight="1">
      <c r="A199" s="12" t="s">
        <v>386</v>
      </c>
      <c r="B199" s="12" t="s">
        <v>382</v>
      </c>
      <c r="C199" s="12" t="s">
        <v>374</v>
      </c>
      <c r="D199" s="12" t="s">
        <v>536</v>
      </c>
      <c r="E199" s="17">
        <v>2</v>
      </c>
      <c r="F199" s="12" t="s">
        <v>54</v>
      </c>
      <c r="G199" s="13"/>
      <c r="H199" s="13"/>
      <c r="I199" s="13"/>
      <c r="J199" s="12" t="s">
        <v>1130</v>
      </c>
      <c r="K199" s="12" t="s">
        <v>794</v>
      </c>
    </row>
    <row r="200" spans="1:11" ht="30" customHeight="1">
      <c r="A200" s="12" t="s">
        <v>386</v>
      </c>
      <c r="B200" s="12" t="s">
        <v>382</v>
      </c>
      <c r="C200" s="12" t="s">
        <v>374</v>
      </c>
      <c r="D200" s="12" t="s">
        <v>537</v>
      </c>
      <c r="E200" s="17">
        <v>2</v>
      </c>
      <c r="F200" s="12" t="s">
        <v>54</v>
      </c>
      <c r="G200" s="13"/>
      <c r="H200" s="13"/>
      <c r="I200" s="13"/>
      <c r="J200" s="12" t="s">
        <v>1131</v>
      </c>
      <c r="K200" s="12" t="s">
        <v>794</v>
      </c>
    </row>
    <row r="201" spans="1:11" ht="30" customHeight="1">
      <c r="A201" s="12" t="s">
        <v>386</v>
      </c>
      <c r="B201" s="12" t="s">
        <v>382</v>
      </c>
      <c r="C201" s="12" t="s">
        <v>374</v>
      </c>
      <c r="D201" s="12" t="s">
        <v>538</v>
      </c>
      <c r="E201" s="17">
        <v>2</v>
      </c>
      <c r="F201" s="12" t="s">
        <v>54</v>
      </c>
      <c r="G201" s="13"/>
      <c r="H201" s="13"/>
      <c r="I201" s="13"/>
      <c r="J201" s="12" t="s">
        <v>1132</v>
      </c>
      <c r="K201" s="12" t="s">
        <v>794</v>
      </c>
    </row>
    <row r="202" spans="1:11" ht="30" customHeight="1">
      <c r="A202" s="12" t="s">
        <v>386</v>
      </c>
      <c r="B202" s="12" t="s">
        <v>382</v>
      </c>
      <c r="C202" s="12" t="s">
        <v>374</v>
      </c>
      <c r="D202" s="12" t="s">
        <v>539</v>
      </c>
      <c r="E202" s="17">
        <v>1</v>
      </c>
      <c r="F202" s="12" t="s">
        <v>54</v>
      </c>
      <c r="G202" s="13"/>
      <c r="H202" s="13"/>
      <c r="I202" s="13"/>
      <c r="J202" s="12" t="s">
        <v>1133</v>
      </c>
      <c r="K202" s="12" t="s">
        <v>794</v>
      </c>
    </row>
    <row r="203" spans="1:11" ht="30" customHeight="1">
      <c r="A203" s="12" t="s">
        <v>386</v>
      </c>
      <c r="B203" s="12" t="s">
        <v>382</v>
      </c>
      <c r="C203" s="12" t="s">
        <v>374</v>
      </c>
      <c r="D203" s="12" t="s">
        <v>540</v>
      </c>
      <c r="E203" s="17">
        <v>0</v>
      </c>
      <c r="F203" s="12" t="s">
        <v>54</v>
      </c>
      <c r="G203" s="13"/>
      <c r="H203" s="13"/>
      <c r="I203" s="13"/>
      <c r="J203" s="12" t="s">
        <v>1134</v>
      </c>
      <c r="K203" s="12" t="s">
        <v>794</v>
      </c>
    </row>
    <row r="204" spans="1:11" ht="30" customHeight="1">
      <c r="A204" s="12" t="s">
        <v>386</v>
      </c>
      <c r="B204" s="12" t="s">
        <v>382</v>
      </c>
      <c r="C204" s="12" t="s">
        <v>374</v>
      </c>
      <c r="D204" s="12" t="s">
        <v>541</v>
      </c>
      <c r="E204" s="17">
        <v>0</v>
      </c>
      <c r="F204" s="12" t="s">
        <v>54</v>
      </c>
      <c r="G204" s="13"/>
      <c r="H204" s="13"/>
      <c r="I204" s="13"/>
      <c r="J204" s="12" t="s">
        <v>1135</v>
      </c>
      <c r="K204" s="12" t="s">
        <v>794</v>
      </c>
    </row>
    <row r="205" spans="1:11" ht="30" customHeight="1">
      <c r="A205" s="12" t="s">
        <v>386</v>
      </c>
      <c r="B205" s="12" t="s">
        <v>382</v>
      </c>
      <c r="C205" s="12" t="s">
        <v>374</v>
      </c>
      <c r="D205" s="12" t="s">
        <v>542</v>
      </c>
      <c r="E205" s="17">
        <v>3</v>
      </c>
      <c r="F205" s="12" t="s">
        <v>54</v>
      </c>
      <c r="G205" s="13"/>
      <c r="H205" s="13"/>
      <c r="I205" s="13"/>
      <c r="J205" s="12" t="s">
        <v>1136</v>
      </c>
      <c r="K205" s="12" t="s">
        <v>794</v>
      </c>
    </row>
    <row r="206" spans="1:11" ht="30" customHeight="1">
      <c r="A206" s="12" t="s">
        <v>386</v>
      </c>
      <c r="B206" s="12" t="s">
        <v>382</v>
      </c>
      <c r="C206" s="12" t="s">
        <v>374</v>
      </c>
      <c r="D206" s="12" t="s">
        <v>543</v>
      </c>
      <c r="E206" s="17">
        <v>2</v>
      </c>
      <c r="F206" s="12" t="s">
        <v>54</v>
      </c>
      <c r="G206" s="13"/>
      <c r="H206" s="13"/>
      <c r="I206" s="13"/>
      <c r="J206" s="12" t="s">
        <v>1137</v>
      </c>
      <c r="K206" s="12" t="s">
        <v>794</v>
      </c>
    </row>
    <row r="207" spans="1:11" ht="30" customHeight="1">
      <c r="A207" s="12" t="s">
        <v>422</v>
      </c>
      <c r="B207" s="12" t="s">
        <v>419</v>
      </c>
      <c r="C207" s="12" t="s">
        <v>374</v>
      </c>
      <c r="D207" s="12" t="s">
        <v>534</v>
      </c>
      <c r="E207" s="17">
        <v>3</v>
      </c>
      <c r="F207" s="12" t="s">
        <v>32</v>
      </c>
      <c r="G207" s="13"/>
      <c r="H207" s="13"/>
      <c r="I207" s="13"/>
      <c r="J207" s="12" t="s">
        <v>1138</v>
      </c>
      <c r="K207" s="12" t="s">
        <v>794</v>
      </c>
    </row>
    <row r="208" spans="1:11" ht="30" customHeight="1">
      <c r="A208" s="12" t="s">
        <v>422</v>
      </c>
      <c r="B208" s="12" t="s">
        <v>419</v>
      </c>
      <c r="C208" s="12" t="s">
        <v>374</v>
      </c>
      <c r="D208" s="12" t="s">
        <v>535</v>
      </c>
      <c r="E208" s="17">
        <v>0</v>
      </c>
      <c r="F208" s="12" t="s">
        <v>32</v>
      </c>
      <c r="G208" s="13"/>
      <c r="H208" s="13"/>
      <c r="I208" s="13"/>
      <c r="J208" s="12" t="s">
        <v>1139</v>
      </c>
      <c r="K208" s="12" t="s">
        <v>794</v>
      </c>
    </row>
    <row r="209" spans="1:11" ht="30" customHeight="1">
      <c r="A209" s="12" t="s">
        <v>422</v>
      </c>
      <c r="B209" s="12" t="s">
        <v>419</v>
      </c>
      <c r="C209" s="12" t="s">
        <v>374</v>
      </c>
      <c r="D209" s="12" t="s">
        <v>536</v>
      </c>
      <c r="E209" s="17">
        <v>0</v>
      </c>
      <c r="F209" s="12" t="s">
        <v>32</v>
      </c>
      <c r="G209" s="13"/>
      <c r="H209" s="13"/>
      <c r="I209" s="13"/>
      <c r="J209" s="12" t="s">
        <v>1140</v>
      </c>
      <c r="K209" s="12" t="s">
        <v>794</v>
      </c>
    </row>
    <row r="210" spans="1:11" ht="30" customHeight="1">
      <c r="A210" s="12" t="s">
        <v>422</v>
      </c>
      <c r="B210" s="12" t="s">
        <v>419</v>
      </c>
      <c r="C210" s="12" t="s">
        <v>374</v>
      </c>
      <c r="D210" s="12" t="s">
        <v>537</v>
      </c>
      <c r="E210" s="17">
        <v>2</v>
      </c>
      <c r="F210" s="12" t="s">
        <v>32</v>
      </c>
      <c r="G210" s="13"/>
      <c r="H210" s="13"/>
      <c r="I210" s="13"/>
      <c r="J210" s="12" t="s">
        <v>1141</v>
      </c>
      <c r="K210" s="12" t="s">
        <v>794</v>
      </c>
    </row>
    <row r="211" spans="1:11" ht="30" customHeight="1">
      <c r="A211" s="12" t="s">
        <v>422</v>
      </c>
      <c r="B211" s="12" t="s">
        <v>419</v>
      </c>
      <c r="C211" s="12" t="s">
        <v>374</v>
      </c>
      <c r="D211" s="12" t="s">
        <v>538</v>
      </c>
      <c r="E211" s="17">
        <v>2</v>
      </c>
      <c r="F211" s="12" t="s">
        <v>32</v>
      </c>
      <c r="G211" s="13"/>
      <c r="H211" s="13"/>
      <c r="I211" s="13"/>
      <c r="J211" s="12" t="s">
        <v>1142</v>
      </c>
      <c r="K211" s="12" t="s">
        <v>794</v>
      </c>
    </row>
    <row r="212" spans="1:11" ht="30" customHeight="1">
      <c r="A212" s="12" t="s">
        <v>422</v>
      </c>
      <c r="B212" s="12" t="s">
        <v>419</v>
      </c>
      <c r="C212" s="12" t="s">
        <v>374</v>
      </c>
      <c r="D212" s="12" t="s">
        <v>539</v>
      </c>
      <c r="E212" s="17">
        <v>0</v>
      </c>
      <c r="F212" s="12" t="s">
        <v>32</v>
      </c>
      <c r="G212" s="13"/>
      <c r="H212" s="13"/>
      <c r="I212" s="13"/>
      <c r="J212" s="12" t="s">
        <v>1143</v>
      </c>
      <c r="K212" s="12" t="s">
        <v>794</v>
      </c>
    </row>
    <row r="213" spans="1:11" ht="30" customHeight="1">
      <c r="A213" s="12" t="s">
        <v>422</v>
      </c>
      <c r="B213" s="12" t="s">
        <v>419</v>
      </c>
      <c r="C213" s="12" t="s">
        <v>374</v>
      </c>
      <c r="D213" s="12" t="s">
        <v>540</v>
      </c>
      <c r="E213" s="17">
        <v>0</v>
      </c>
      <c r="F213" s="12" t="s">
        <v>32</v>
      </c>
      <c r="G213" s="13"/>
      <c r="H213" s="13"/>
      <c r="I213" s="13"/>
      <c r="J213" s="12" t="s">
        <v>1105</v>
      </c>
      <c r="K213" s="12" t="s">
        <v>794</v>
      </c>
    </row>
    <row r="214" spans="1:11" ht="30" customHeight="1">
      <c r="A214" s="12" t="s">
        <v>422</v>
      </c>
      <c r="B214" s="12" t="s">
        <v>419</v>
      </c>
      <c r="C214" s="12" t="s">
        <v>374</v>
      </c>
      <c r="D214" s="12" t="s">
        <v>541</v>
      </c>
      <c r="E214" s="17">
        <v>1</v>
      </c>
      <c r="F214" s="12" t="s">
        <v>32</v>
      </c>
      <c r="G214" s="13"/>
      <c r="H214" s="13"/>
      <c r="I214" s="13"/>
      <c r="J214" s="12" t="s">
        <v>1144</v>
      </c>
      <c r="K214" s="12" t="s">
        <v>794</v>
      </c>
    </row>
    <row r="215" spans="1:11" ht="30" customHeight="1">
      <c r="A215" s="12" t="s">
        <v>422</v>
      </c>
      <c r="B215" s="12" t="s">
        <v>419</v>
      </c>
      <c r="C215" s="12" t="s">
        <v>374</v>
      </c>
      <c r="D215" s="12" t="s">
        <v>542</v>
      </c>
      <c r="E215" s="17">
        <v>1</v>
      </c>
      <c r="F215" s="12" t="s">
        <v>32</v>
      </c>
      <c r="G215" s="13"/>
      <c r="H215" s="13"/>
      <c r="I215" s="13"/>
      <c r="J215" s="12" t="s">
        <v>1145</v>
      </c>
      <c r="K215" s="12" t="s">
        <v>794</v>
      </c>
    </row>
    <row r="216" spans="1:11" ht="30" customHeight="1">
      <c r="A216" s="12" t="s">
        <v>422</v>
      </c>
      <c r="B216" s="12" t="s">
        <v>419</v>
      </c>
      <c r="C216" s="12" t="s">
        <v>374</v>
      </c>
      <c r="D216" s="12" t="s">
        <v>543</v>
      </c>
      <c r="E216" s="17">
        <v>2</v>
      </c>
      <c r="F216" s="12" t="s">
        <v>32</v>
      </c>
      <c r="G216" s="13"/>
      <c r="H216" s="13"/>
      <c r="I216" s="13"/>
      <c r="J216" s="12" t="s">
        <v>1146</v>
      </c>
      <c r="K216" s="12" t="s">
        <v>794</v>
      </c>
    </row>
    <row r="217" spans="1:11" ht="30" customHeight="1">
      <c r="A217" s="12" t="s">
        <v>422</v>
      </c>
      <c r="B217" s="12" t="s">
        <v>419</v>
      </c>
      <c r="C217" s="12" t="s">
        <v>374</v>
      </c>
      <c r="D217" s="12" t="s">
        <v>534</v>
      </c>
      <c r="E217" s="17">
        <v>3</v>
      </c>
      <c r="F217" s="12" t="s">
        <v>32</v>
      </c>
      <c r="G217" s="13"/>
      <c r="H217" s="13"/>
      <c r="I217" s="13"/>
      <c r="J217" s="12" t="s">
        <v>1147</v>
      </c>
      <c r="K217" s="12" t="s">
        <v>794</v>
      </c>
    </row>
    <row r="218" spans="1:11" ht="30" customHeight="1">
      <c r="A218" s="12" t="s">
        <v>422</v>
      </c>
      <c r="B218" s="12" t="s">
        <v>419</v>
      </c>
      <c r="C218" s="12" t="s">
        <v>374</v>
      </c>
      <c r="D218" s="12" t="s">
        <v>535</v>
      </c>
      <c r="E218" s="17">
        <v>0</v>
      </c>
      <c r="F218" s="12" t="s">
        <v>32</v>
      </c>
      <c r="G218" s="13"/>
      <c r="H218" s="13"/>
      <c r="I218" s="13"/>
      <c r="J218" s="12" t="s">
        <v>1148</v>
      </c>
      <c r="K218" s="12" t="s">
        <v>794</v>
      </c>
    </row>
    <row r="219" spans="1:11" ht="30" customHeight="1">
      <c r="A219" s="12" t="s">
        <v>422</v>
      </c>
      <c r="B219" s="12" t="s">
        <v>419</v>
      </c>
      <c r="C219" s="12" t="s">
        <v>374</v>
      </c>
      <c r="D219" s="12" t="s">
        <v>536</v>
      </c>
      <c r="E219" s="17">
        <v>1</v>
      </c>
      <c r="F219" s="12" t="s">
        <v>32</v>
      </c>
      <c r="G219" s="13"/>
      <c r="H219" s="13"/>
      <c r="I219" s="13"/>
      <c r="J219" s="12" t="s">
        <v>1149</v>
      </c>
      <c r="K219" s="12" t="s">
        <v>794</v>
      </c>
    </row>
    <row r="220" spans="1:11" ht="30" customHeight="1">
      <c r="A220" s="12" t="s">
        <v>422</v>
      </c>
      <c r="B220" s="12" t="s">
        <v>419</v>
      </c>
      <c r="C220" s="12" t="s">
        <v>374</v>
      </c>
      <c r="D220" s="12" t="s">
        <v>537</v>
      </c>
      <c r="E220" s="17">
        <v>2</v>
      </c>
      <c r="F220" s="12" t="s">
        <v>32</v>
      </c>
      <c r="G220" s="13"/>
      <c r="H220" s="13"/>
      <c r="I220" s="13"/>
      <c r="J220" s="12" t="s">
        <v>1150</v>
      </c>
      <c r="K220" s="12" t="s">
        <v>794</v>
      </c>
    </row>
    <row r="221" spans="1:11" ht="30" customHeight="1">
      <c r="A221" s="12" t="s">
        <v>422</v>
      </c>
      <c r="B221" s="12" t="s">
        <v>419</v>
      </c>
      <c r="C221" s="12" t="s">
        <v>374</v>
      </c>
      <c r="D221" s="12" t="s">
        <v>538</v>
      </c>
      <c r="E221" s="17">
        <v>2</v>
      </c>
      <c r="F221" s="12" t="s">
        <v>32</v>
      </c>
      <c r="G221" s="13"/>
      <c r="H221" s="13"/>
      <c r="I221" s="13"/>
      <c r="J221" s="12" t="s">
        <v>1151</v>
      </c>
      <c r="K221" s="12" t="s">
        <v>794</v>
      </c>
    </row>
    <row r="222" spans="1:11" ht="30" customHeight="1">
      <c r="A222" s="12" t="s">
        <v>422</v>
      </c>
      <c r="B222" s="12" t="s">
        <v>419</v>
      </c>
      <c r="C222" s="12" t="s">
        <v>374</v>
      </c>
      <c r="D222" s="12" t="s">
        <v>539</v>
      </c>
      <c r="E222" s="17">
        <v>1</v>
      </c>
      <c r="F222" s="12" t="s">
        <v>32</v>
      </c>
      <c r="G222" s="13"/>
      <c r="H222" s="13"/>
      <c r="I222" s="13"/>
      <c r="J222" s="12" t="s">
        <v>1152</v>
      </c>
      <c r="K222" s="12" t="s">
        <v>794</v>
      </c>
    </row>
    <row r="223" spans="1:11" ht="30" customHeight="1">
      <c r="A223" s="12" t="s">
        <v>422</v>
      </c>
      <c r="B223" s="12" t="s">
        <v>419</v>
      </c>
      <c r="C223" s="12" t="s">
        <v>374</v>
      </c>
      <c r="D223" s="12" t="s">
        <v>540</v>
      </c>
      <c r="E223" s="17">
        <v>0</v>
      </c>
      <c r="F223" s="12" t="s">
        <v>32</v>
      </c>
      <c r="G223" s="13"/>
      <c r="H223" s="13"/>
      <c r="I223" s="13"/>
      <c r="J223" s="12" t="s">
        <v>1153</v>
      </c>
      <c r="K223" s="12" t="s">
        <v>794</v>
      </c>
    </row>
    <row r="224" spans="1:11" ht="30" customHeight="1">
      <c r="A224" s="12" t="s">
        <v>422</v>
      </c>
      <c r="B224" s="12" t="s">
        <v>419</v>
      </c>
      <c r="C224" s="12" t="s">
        <v>374</v>
      </c>
      <c r="D224" s="12" t="s">
        <v>541</v>
      </c>
      <c r="E224" s="17">
        <v>1</v>
      </c>
      <c r="F224" s="12" t="s">
        <v>32</v>
      </c>
      <c r="G224" s="13"/>
      <c r="H224" s="13"/>
      <c r="I224" s="13"/>
      <c r="J224" s="12" t="s">
        <v>1154</v>
      </c>
      <c r="K224" s="12" t="s">
        <v>794</v>
      </c>
    </row>
    <row r="225" spans="1:11" ht="30" customHeight="1">
      <c r="A225" s="12" t="s">
        <v>422</v>
      </c>
      <c r="B225" s="12" t="s">
        <v>419</v>
      </c>
      <c r="C225" s="12" t="s">
        <v>374</v>
      </c>
      <c r="D225" s="12" t="s">
        <v>542</v>
      </c>
      <c r="E225" s="17">
        <v>1</v>
      </c>
      <c r="F225" s="12" t="s">
        <v>32</v>
      </c>
      <c r="G225" s="13"/>
      <c r="H225" s="13"/>
      <c r="I225" s="13"/>
      <c r="J225" s="12" t="s">
        <v>1155</v>
      </c>
      <c r="K225" s="12" t="s">
        <v>794</v>
      </c>
    </row>
    <row r="226" spans="1:11" ht="30" customHeight="1">
      <c r="A226" s="12" t="s">
        <v>422</v>
      </c>
      <c r="B226" s="12" t="s">
        <v>419</v>
      </c>
      <c r="C226" s="12" t="s">
        <v>374</v>
      </c>
      <c r="D226" s="12" t="s">
        <v>543</v>
      </c>
      <c r="E226" s="17">
        <v>3</v>
      </c>
      <c r="F226" s="12" t="s">
        <v>32</v>
      </c>
      <c r="G226" s="13"/>
      <c r="H226" s="13"/>
      <c r="I226" s="13"/>
      <c r="J226" s="12" t="s">
        <v>1156</v>
      </c>
      <c r="K226" s="12" t="s">
        <v>794</v>
      </c>
    </row>
    <row r="227" spans="1:11" ht="30" customHeight="1">
      <c r="A227" s="12" t="s">
        <v>402</v>
      </c>
      <c r="B227" s="12" t="s">
        <v>399</v>
      </c>
      <c r="C227" s="12" t="s">
        <v>374</v>
      </c>
      <c r="D227" s="12" t="s">
        <v>534</v>
      </c>
      <c r="E227" s="17">
        <v>3</v>
      </c>
      <c r="F227" s="12" t="s">
        <v>32</v>
      </c>
      <c r="G227" s="13"/>
      <c r="H227" s="13"/>
      <c r="I227" s="13"/>
      <c r="J227" s="12" t="s">
        <v>1157</v>
      </c>
      <c r="K227" s="12" t="s">
        <v>794</v>
      </c>
    </row>
    <row r="228" spans="1:11" ht="30" customHeight="1">
      <c r="A228" s="12" t="s">
        <v>402</v>
      </c>
      <c r="B228" s="12" t="s">
        <v>399</v>
      </c>
      <c r="C228" s="12" t="s">
        <v>374</v>
      </c>
      <c r="D228" s="12" t="s">
        <v>535</v>
      </c>
      <c r="E228" s="17">
        <v>0</v>
      </c>
      <c r="F228" s="12" t="s">
        <v>32</v>
      </c>
      <c r="G228" s="13"/>
      <c r="H228" s="13"/>
      <c r="I228" s="13"/>
      <c r="J228" s="12" t="s">
        <v>1158</v>
      </c>
      <c r="K228" s="12" t="s">
        <v>794</v>
      </c>
    </row>
    <row r="229" spans="1:11" ht="30" customHeight="1">
      <c r="A229" s="12" t="s">
        <v>402</v>
      </c>
      <c r="B229" s="12" t="s">
        <v>399</v>
      </c>
      <c r="C229" s="12" t="s">
        <v>374</v>
      </c>
      <c r="D229" s="12" t="s">
        <v>536</v>
      </c>
      <c r="E229" s="17">
        <v>0</v>
      </c>
      <c r="F229" s="12" t="s">
        <v>32</v>
      </c>
      <c r="G229" s="13"/>
      <c r="H229" s="13"/>
      <c r="I229" s="13"/>
      <c r="J229" s="12" t="s">
        <v>1159</v>
      </c>
      <c r="K229" s="12" t="s">
        <v>794</v>
      </c>
    </row>
    <row r="230" spans="1:11" ht="30" customHeight="1">
      <c r="A230" s="12" t="s">
        <v>402</v>
      </c>
      <c r="B230" s="12" t="s">
        <v>399</v>
      </c>
      <c r="C230" s="12" t="s">
        <v>374</v>
      </c>
      <c r="D230" s="12" t="s">
        <v>537</v>
      </c>
      <c r="E230" s="17">
        <v>2</v>
      </c>
      <c r="F230" s="12" t="s">
        <v>32</v>
      </c>
      <c r="G230" s="13"/>
      <c r="H230" s="13"/>
      <c r="I230" s="13"/>
      <c r="J230" s="12" t="s">
        <v>1160</v>
      </c>
      <c r="K230" s="12" t="s">
        <v>794</v>
      </c>
    </row>
    <row r="231" spans="1:11" ht="30" customHeight="1">
      <c r="A231" s="12" t="s">
        <v>402</v>
      </c>
      <c r="B231" s="12" t="s">
        <v>399</v>
      </c>
      <c r="C231" s="12" t="s">
        <v>374</v>
      </c>
      <c r="D231" s="12" t="s">
        <v>538</v>
      </c>
      <c r="E231" s="17">
        <v>1</v>
      </c>
      <c r="F231" s="12" t="s">
        <v>32</v>
      </c>
      <c r="G231" s="13"/>
      <c r="H231" s="13"/>
      <c r="I231" s="13"/>
      <c r="J231" s="12" t="s">
        <v>1161</v>
      </c>
      <c r="K231" s="12" t="s">
        <v>794</v>
      </c>
    </row>
    <row r="232" spans="1:11" ht="30" customHeight="1">
      <c r="A232" s="12" t="s">
        <v>402</v>
      </c>
      <c r="B232" s="12" t="s">
        <v>399</v>
      </c>
      <c r="C232" s="12" t="s">
        <v>374</v>
      </c>
      <c r="D232" s="12" t="s">
        <v>539</v>
      </c>
      <c r="E232" s="17">
        <v>0</v>
      </c>
      <c r="F232" s="12" t="s">
        <v>32</v>
      </c>
      <c r="G232" s="13"/>
      <c r="H232" s="13"/>
      <c r="I232" s="13"/>
      <c r="J232" s="12" t="s">
        <v>1162</v>
      </c>
      <c r="K232" s="12" t="s">
        <v>794</v>
      </c>
    </row>
    <row r="233" spans="1:11" ht="30" customHeight="1">
      <c r="A233" s="12" t="s">
        <v>402</v>
      </c>
      <c r="B233" s="12" t="s">
        <v>399</v>
      </c>
      <c r="C233" s="12" t="s">
        <v>374</v>
      </c>
      <c r="D233" s="12" t="s">
        <v>540</v>
      </c>
      <c r="E233" s="17">
        <v>0</v>
      </c>
      <c r="F233" s="12" t="s">
        <v>32</v>
      </c>
      <c r="G233" s="13"/>
      <c r="H233" s="13"/>
      <c r="I233" s="13"/>
      <c r="J233" s="12" t="s">
        <v>1105</v>
      </c>
      <c r="K233" s="12" t="s">
        <v>794</v>
      </c>
    </row>
    <row r="234" spans="1:11" ht="30" customHeight="1">
      <c r="A234" s="12" t="s">
        <v>402</v>
      </c>
      <c r="B234" s="12" t="s">
        <v>399</v>
      </c>
      <c r="C234" s="12" t="s">
        <v>374</v>
      </c>
      <c r="D234" s="12" t="s">
        <v>541</v>
      </c>
      <c r="E234" s="17">
        <v>0</v>
      </c>
      <c r="F234" s="12" t="s">
        <v>32</v>
      </c>
      <c r="G234" s="13"/>
      <c r="H234" s="13"/>
      <c r="I234" s="13"/>
      <c r="J234" s="12" t="s">
        <v>1163</v>
      </c>
      <c r="K234" s="12" t="s">
        <v>794</v>
      </c>
    </row>
    <row r="235" spans="1:11" ht="30" customHeight="1">
      <c r="A235" s="12" t="s">
        <v>402</v>
      </c>
      <c r="B235" s="12" t="s">
        <v>399</v>
      </c>
      <c r="C235" s="12" t="s">
        <v>374</v>
      </c>
      <c r="D235" s="12" t="s">
        <v>542</v>
      </c>
      <c r="E235" s="17">
        <v>1</v>
      </c>
      <c r="F235" s="12" t="s">
        <v>32</v>
      </c>
      <c r="G235" s="13"/>
      <c r="H235" s="13"/>
      <c r="I235" s="13"/>
      <c r="J235" s="12" t="s">
        <v>1164</v>
      </c>
      <c r="K235" s="12" t="s">
        <v>794</v>
      </c>
    </row>
    <row r="236" spans="1:11" ht="30" customHeight="1">
      <c r="A236" s="12" t="s">
        <v>402</v>
      </c>
      <c r="B236" s="12" t="s">
        <v>399</v>
      </c>
      <c r="C236" s="12" t="s">
        <v>374</v>
      </c>
      <c r="D236" s="12" t="s">
        <v>543</v>
      </c>
      <c r="E236" s="17">
        <v>1</v>
      </c>
      <c r="F236" s="12" t="s">
        <v>32</v>
      </c>
      <c r="G236" s="13"/>
      <c r="H236" s="13"/>
      <c r="I236" s="13"/>
      <c r="J236" s="12" t="s">
        <v>1165</v>
      </c>
      <c r="K236" s="12" t="s">
        <v>794</v>
      </c>
    </row>
    <row r="237" spans="1:11" ht="30" customHeight="1">
      <c r="A237" s="12" t="s">
        <v>402</v>
      </c>
      <c r="B237" s="12" t="s">
        <v>399</v>
      </c>
      <c r="C237" s="12" t="s">
        <v>374</v>
      </c>
      <c r="D237" s="12" t="s">
        <v>534</v>
      </c>
      <c r="E237" s="17">
        <v>3</v>
      </c>
      <c r="F237" s="12" t="s">
        <v>32</v>
      </c>
      <c r="G237" s="13"/>
      <c r="H237" s="13"/>
      <c r="I237" s="13"/>
      <c r="J237" s="12" t="s">
        <v>1166</v>
      </c>
      <c r="K237" s="12" t="s">
        <v>794</v>
      </c>
    </row>
    <row r="238" spans="1:11" ht="30" customHeight="1">
      <c r="A238" s="12" t="s">
        <v>402</v>
      </c>
      <c r="B238" s="12" t="s">
        <v>399</v>
      </c>
      <c r="C238" s="12" t="s">
        <v>374</v>
      </c>
      <c r="D238" s="12" t="s">
        <v>535</v>
      </c>
      <c r="E238" s="17">
        <v>0</v>
      </c>
      <c r="F238" s="12" t="s">
        <v>32</v>
      </c>
      <c r="G238" s="13"/>
      <c r="H238" s="13"/>
      <c r="I238" s="13"/>
      <c r="J238" s="12" t="s">
        <v>1167</v>
      </c>
      <c r="K238" s="12" t="s">
        <v>794</v>
      </c>
    </row>
    <row r="239" spans="1:11" ht="30" customHeight="1">
      <c r="A239" s="12" t="s">
        <v>402</v>
      </c>
      <c r="B239" s="12" t="s">
        <v>399</v>
      </c>
      <c r="C239" s="12" t="s">
        <v>374</v>
      </c>
      <c r="D239" s="12" t="s">
        <v>536</v>
      </c>
      <c r="E239" s="17">
        <v>1</v>
      </c>
      <c r="F239" s="12" t="s">
        <v>32</v>
      </c>
      <c r="G239" s="13"/>
      <c r="H239" s="13"/>
      <c r="I239" s="13"/>
      <c r="J239" s="12" t="s">
        <v>1168</v>
      </c>
      <c r="K239" s="12" t="s">
        <v>794</v>
      </c>
    </row>
    <row r="240" spans="1:11" ht="30" customHeight="1">
      <c r="A240" s="12" t="s">
        <v>402</v>
      </c>
      <c r="B240" s="12" t="s">
        <v>399</v>
      </c>
      <c r="C240" s="12" t="s">
        <v>374</v>
      </c>
      <c r="D240" s="12" t="s">
        <v>537</v>
      </c>
      <c r="E240" s="17">
        <v>2</v>
      </c>
      <c r="F240" s="12" t="s">
        <v>32</v>
      </c>
      <c r="G240" s="13"/>
      <c r="H240" s="13"/>
      <c r="I240" s="13"/>
      <c r="J240" s="12" t="s">
        <v>1169</v>
      </c>
      <c r="K240" s="12" t="s">
        <v>794</v>
      </c>
    </row>
    <row r="241" spans="1:11" ht="30" customHeight="1">
      <c r="A241" s="12" t="s">
        <v>402</v>
      </c>
      <c r="B241" s="12" t="s">
        <v>399</v>
      </c>
      <c r="C241" s="12" t="s">
        <v>374</v>
      </c>
      <c r="D241" s="12" t="s">
        <v>538</v>
      </c>
      <c r="E241" s="17">
        <v>1</v>
      </c>
      <c r="F241" s="12" t="s">
        <v>32</v>
      </c>
      <c r="G241" s="13"/>
      <c r="H241" s="13"/>
      <c r="I241" s="13"/>
      <c r="J241" s="12" t="s">
        <v>1170</v>
      </c>
      <c r="K241" s="12" t="s">
        <v>794</v>
      </c>
    </row>
    <row r="242" spans="1:11" ht="30" customHeight="1">
      <c r="A242" s="12" t="s">
        <v>402</v>
      </c>
      <c r="B242" s="12" t="s">
        <v>399</v>
      </c>
      <c r="C242" s="12" t="s">
        <v>374</v>
      </c>
      <c r="D242" s="12" t="s">
        <v>539</v>
      </c>
      <c r="E242" s="17">
        <v>0</v>
      </c>
      <c r="F242" s="12" t="s">
        <v>32</v>
      </c>
      <c r="G242" s="13"/>
      <c r="H242" s="13"/>
      <c r="I242" s="13"/>
      <c r="J242" s="12" t="s">
        <v>1171</v>
      </c>
      <c r="K242" s="12" t="s">
        <v>794</v>
      </c>
    </row>
    <row r="243" spans="1:11" ht="30" customHeight="1">
      <c r="A243" s="12" t="s">
        <v>402</v>
      </c>
      <c r="B243" s="12" t="s">
        <v>399</v>
      </c>
      <c r="C243" s="12" t="s">
        <v>374</v>
      </c>
      <c r="D243" s="12" t="s">
        <v>540</v>
      </c>
      <c r="E243" s="17">
        <v>0</v>
      </c>
      <c r="F243" s="12" t="s">
        <v>32</v>
      </c>
      <c r="G243" s="13"/>
      <c r="H243" s="13"/>
      <c r="I243" s="13"/>
      <c r="J243" s="12" t="s">
        <v>1172</v>
      </c>
      <c r="K243" s="12" t="s">
        <v>794</v>
      </c>
    </row>
    <row r="244" spans="1:11" ht="30" customHeight="1">
      <c r="A244" s="12" t="s">
        <v>402</v>
      </c>
      <c r="B244" s="12" t="s">
        <v>399</v>
      </c>
      <c r="C244" s="12" t="s">
        <v>374</v>
      </c>
      <c r="D244" s="12" t="s">
        <v>541</v>
      </c>
      <c r="E244" s="17">
        <v>0</v>
      </c>
      <c r="F244" s="12" t="s">
        <v>32</v>
      </c>
      <c r="G244" s="13"/>
      <c r="H244" s="13"/>
      <c r="I244" s="13"/>
      <c r="J244" s="12" t="s">
        <v>1173</v>
      </c>
      <c r="K244" s="12" t="s">
        <v>794</v>
      </c>
    </row>
    <row r="245" spans="1:11" ht="30" customHeight="1">
      <c r="A245" s="12" t="s">
        <v>402</v>
      </c>
      <c r="B245" s="12" t="s">
        <v>399</v>
      </c>
      <c r="C245" s="12" t="s">
        <v>374</v>
      </c>
      <c r="D245" s="12" t="s">
        <v>542</v>
      </c>
      <c r="E245" s="17">
        <v>0</v>
      </c>
      <c r="F245" s="12" t="s">
        <v>32</v>
      </c>
      <c r="G245" s="13"/>
      <c r="H245" s="13"/>
      <c r="I245" s="13"/>
      <c r="J245" s="12" t="s">
        <v>1174</v>
      </c>
      <c r="K245" s="12" t="s">
        <v>794</v>
      </c>
    </row>
    <row r="246" spans="1:11" ht="30" customHeight="1">
      <c r="A246" s="12" t="s">
        <v>402</v>
      </c>
      <c r="B246" s="12" t="s">
        <v>399</v>
      </c>
      <c r="C246" s="12" t="s">
        <v>374</v>
      </c>
      <c r="D246" s="12" t="s">
        <v>543</v>
      </c>
      <c r="E246" s="17">
        <v>2</v>
      </c>
      <c r="F246" s="12" t="s">
        <v>32</v>
      </c>
      <c r="G246" s="13"/>
      <c r="H246" s="13"/>
      <c r="I246" s="13"/>
      <c r="J246" s="12" t="s">
        <v>1175</v>
      </c>
      <c r="K246" s="12" t="s">
        <v>794</v>
      </c>
    </row>
    <row r="247" spans="1:11" ht="30" customHeight="1">
      <c r="A247" s="12" t="s">
        <v>417</v>
      </c>
      <c r="B247" s="12" t="s">
        <v>414</v>
      </c>
      <c r="C247" s="12" t="s">
        <v>374</v>
      </c>
      <c r="D247" s="12" t="s">
        <v>534</v>
      </c>
      <c r="E247" s="17">
        <v>3</v>
      </c>
      <c r="F247" s="12" t="s">
        <v>54</v>
      </c>
      <c r="G247" s="13"/>
      <c r="H247" s="13"/>
      <c r="I247" s="13"/>
      <c r="J247" s="12" t="s">
        <v>1176</v>
      </c>
      <c r="K247" s="12" t="s">
        <v>794</v>
      </c>
    </row>
    <row r="248" spans="1:11" ht="30" customHeight="1">
      <c r="A248" s="12" t="s">
        <v>417</v>
      </c>
      <c r="B248" s="12" t="s">
        <v>414</v>
      </c>
      <c r="C248" s="12" t="s">
        <v>374</v>
      </c>
      <c r="D248" s="12" t="s">
        <v>535</v>
      </c>
      <c r="E248" s="17">
        <v>3</v>
      </c>
      <c r="F248" s="12" t="s">
        <v>54</v>
      </c>
      <c r="G248" s="13"/>
      <c r="H248" s="13"/>
      <c r="I248" s="13"/>
      <c r="J248" s="12" t="s">
        <v>1177</v>
      </c>
      <c r="K248" s="12" t="s">
        <v>794</v>
      </c>
    </row>
    <row r="249" spans="1:11" ht="30" customHeight="1">
      <c r="A249" s="12" t="s">
        <v>417</v>
      </c>
      <c r="B249" s="12" t="s">
        <v>414</v>
      </c>
      <c r="C249" s="12" t="s">
        <v>374</v>
      </c>
      <c r="D249" s="12" t="s">
        <v>536</v>
      </c>
      <c r="E249" s="17">
        <v>3</v>
      </c>
      <c r="F249" s="12" t="s">
        <v>54</v>
      </c>
      <c r="G249" s="13"/>
      <c r="H249" s="13"/>
      <c r="I249" s="13"/>
      <c r="J249" s="12" t="s">
        <v>1178</v>
      </c>
      <c r="K249" s="12" t="s">
        <v>794</v>
      </c>
    </row>
    <row r="250" spans="1:11" ht="30" customHeight="1">
      <c r="A250" s="12" t="s">
        <v>417</v>
      </c>
      <c r="B250" s="12" t="s">
        <v>414</v>
      </c>
      <c r="C250" s="12" t="s">
        <v>374</v>
      </c>
      <c r="D250" s="12" t="s">
        <v>537</v>
      </c>
      <c r="E250" s="17">
        <v>2</v>
      </c>
      <c r="F250" s="12" t="s">
        <v>54</v>
      </c>
      <c r="G250" s="13"/>
      <c r="H250" s="13"/>
      <c r="I250" s="13"/>
      <c r="J250" s="12" t="s">
        <v>1179</v>
      </c>
      <c r="K250" s="12" t="s">
        <v>794</v>
      </c>
    </row>
    <row r="251" spans="1:11" ht="30" customHeight="1">
      <c r="A251" s="12" t="s">
        <v>417</v>
      </c>
      <c r="B251" s="12" t="s">
        <v>414</v>
      </c>
      <c r="C251" s="12" t="s">
        <v>374</v>
      </c>
      <c r="D251" s="12" t="s">
        <v>538</v>
      </c>
      <c r="E251" s="17">
        <v>1</v>
      </c>
      <c r="F251" s="12" t="s">
        <v>54</v>
      </c>
      <c r="G251" s="13"/>
      <c r="H251" s="13"/>
      <c r="I251" s="13"/>
      <c r="J251" s="12" t="s">
        <v>1180</v>
      </c>
      <c r="K251" s="12" t="s">
        <v>794</v>
      </c>
    </row>
    <row r="252" spans="1:11" ht="30" customHeight="1">
      <c r="A252" s="12" t="s">
        <v>417</v>
      </c>
      <c r="B252" s="12" t="s">
        <v>414</v>
      </c>
      <c r="C252" s="12" t="s">
        <v>374</v>
      </c>
      <c r="D252" s="12" t="s">
        <v>539</v>
      </c>
      <c r="E252" s="17">
        <v>1</v>
      </c>
      <c r="F252" s="12" t="s">
        <v>54</v>
      </c>
      <c r="G252" s="13"/>
      <c r="H252" s="13"/>
      <c r="I252" s="13"/>
      <c r="J252" s="12" t="s">
        <v>1181</v>
      </c>
      <c r="K252" s="12" t="s">
        <v>794</v>
      </c>
    </row>
    <row r="253" spans="1:11" ht="30" customHeight="1">
      <c r="A253" s="12" t="s">
        <v>417</v>
      </c>
      <c r="B253" s="12" t="s">
        <v>414</v>
      </c>
      <c r="C253" s="12" t="s">
        <v>374</v>
      </c>
      <c r="D253" s="12" t="s">
        <v>540</v>
      </c>
      <c r="E253" s="17">
        <v>0</v>
      </c>
      <c r="F253" s="12" t="s">
        <v>54</v>
      </c>
      <c r="G253" s="13"/>
      <c r="H253" s="13"/>
      <c r="I253" s="13"/>
      <c r="J253" s="12" t="s">
        <v>1182</v>
      </c>
      <c r="K253" s="12" t="s">
        <v>794</v>
      </c>
    </row>
    <row r="254" spans="1:11" ht="30" customHeight="1">
      <c r="A254" s="12" t="s">
        <v>417</v>
      </c>
      <c r="B254" s="12" t="s">
        <v>414</v>
      </c>
      <c r="C254" s="12" t="s">
        <v>374</v>
      </c>
      <c r="D254" s="12" t="s">
        <v>541</v>
      </c>
      <c r="E254" s="17">
        <v>2</v>
      </c>
      <c r="F254" s="12" t="s">
        <v>54</v>
      </c>
      <c r="G254" s="13"/>
      <c r="H254" s="13"/>
      <c r="I254" s="13"/>
      <c r="J254" s="12" t="s">
        <v>1183</v>
      </c>
      <c r="K254" s="12" t="s">
        <v>794</v>
      </c>
    </row>
    <row r="255" spans="1:11" ht="30" customHeight="1">
      <c r="A255" s="12" t="s">
        <v>417</v>
      </c>
      <c r="B255" s="12" t="s">
        <v>414</v>
      </c>
      <c r="C255" s="12" t="s">
        <v>374</v>
      </c>
      <c r="D255" s="12" t="s">
        <v>542</v>
      </c>
      <c r="E255" s="17">
        <v>3</v>
      </c>
      <c r="F255" s="12" t="s">
        <v>54</v>
      </c>
      <c r="G255" s="13"/>
      <c r="H255" s="13"/>
      <c r="I255" s="13"/>
      <c r="J255" s="12" t="s">
        <v>1184</v>
      </c>
      <c r="K255" s="12" t="s">
        <v>794</v>
      </c>
    </row>
    <row r="256" spans="1:11" ht="30" customHeight="1">
      <c r="A256" s="12" t="s">
        <v>417</v>
      </c>
      <c r="B256" s="12" t="s">
        <v>414</v>
      </c>
      <c r="C256" s="12" t="s">
        <v>374</v>
      </c>
      <c r="D256" s="12" t="s">
        <v>543</v>
      </c>
      <c r="E256" s="17">
        <v>3</v>
      </c>
      <c r="F256" s="12" t="s">
        <v>54</v>
      </c>
      <c r="G256" s="13"/>
      <c r="H256" s="13"/>
      <c r="I256" s="13"/>
      <c r="J256" s="12" t="s">
        <v>1185</v>
      </c>
      <c r="K256" s="12" t="s">
        <v>794</v>
      </c>
    </row>
    <row r="257" spans="1:11" ht="30" customHeight="1">
      <c r="A257" s="12" t="s">
        <v>417</v>
      </c>
      <c r="B257" s="12" t="s">
        <v>414</v>
      </c>
      <c r="C257" s="12" t="s">
        <v>374</v>
      </c>
      <c r="D257" s="12" t="s">
        <v>534</v>
      </c>
      <c r="E257" s="17">
        <v>3</v>
      </c>
      <c r="F257" s="12" t="s">
        <v>54</v>
      </c>
      <c r="G257" s="13"/>
      <c r="H257" s="13"/>
      <c r="I257" s="13"/>
      <c r="J257" s="12" t="s">
        <v>1186</v>
      </c>
      <c r="K257" s="12" t="s">
        <v>794</v>
      </c>
    </row>
    <row r="258" spans="1:11" ht="30" customHeight="1">
      <c r="A258" s="12" t="s">
        <v>417</v>
      </c>
      <c r="B258" s="12" t="s">
        <v>414</v>
      </c>
      <c r="C258" s="12" t="s">
        <v>374</v>
      </c>
      <c r="D258" s="12" t="s">
        <v>535</v>
      </c>
      <c r="E258" s="17">
        <v>3</v>
      </c>
      <c r="F258" s="12" t="s">
        <v>54</v>
      </c>
      <c r="G258" s="13"/>
      <c r="H258" s="13"/>
      <c r="I258" s="13"/>
      <c r="J258" s="12" t="s">
        <v>1187</v>
      </c>
      <c r="K258" s="12" t="s">
        <v>794</v>
      </c>
    </row>
    <row r="259" spans="1:11" ht="30" customHeight="1">
      <c r="A259" s="12" t="s">
        <v>417</v>
      </c>
      <c r="B259" s="12" t="s">
        <v>414</v>
      </c>
      <c r="C259" s="12" t="s">
        <v>374</v>
      </c>
      <c r="D259" s="12" t="s">
        <v>536</v>
      </c>
      <c r="E259" s="17">
        <v>3</v>
      </c>
      <c r="F259" s="12" t="s">
        <v>54</v>
      </c>
      <c r="G259" s="13"/>
      <c r="H259" s="13"/>
      <c r="I259" s="13"/>
      <c r="J259" s="12" t="s">
        <v>1188</v>
      </c>
      <c r="K259" s="12" t="s">
        <v>794</v>
      </c>
    </row>
    <row r="260" spans="1:11" ht="30" customHeight="1">
      <c r="A260" s="12" t="s">
        <v>417</v>
      </c>
      <c r="B260" s="12" t="s">
        <v>414</v>
      </c>
      <c r="C260" s="12" t="s">
        <v>374</v>
      </c>
      <c r="D260" s="12" t="s">
        <v>537</v>
      </c>
      <c r="E260" s="17">
        <v>3</v>
      </c>
      <c r="F260" s="12" t="s">
        <v>54</v>
      </c>
      <c r="G260" s="13"/>
      <c r="H260" s="13"/>
      <c r="I260" s="13"/>
      <c r="J260" s="12" t="s">
        <v>1189</v>
      </c>
      <c r="K260" s="12" t="s">
        <v>794</v>
      </c>
    </row>
    <row r="261" spans="1:11" ht="30" customHeight="1">
      <c r="A261" s="12" t="s">
        <v>417</v>
      </c>
      <c r="B261" s="12" t="s">
        <v>414</v>
      </c>
      <c r="C261" s="12" t="s">
        <v>374</v>
      </c>
      <c r="D261" s="12" t="s">
        <v>538</v>
      </c>
      <c r="E261" s="17">
        <v>2</v>
      </c>
      <c r="F261" s="12" t="s">
        <v>54</v>
      </c>
      <c r="G261" s="13"/>
      <c r="H261" s="13"/>
      <c r="I261" s="13"/>
      <c r="J261" s="12" t="s">
        <v>1190</v>
      </c>
      <c r="K261" s="12" t="s">
        <v>794</v>
      </c>
    </row>
    <row r="262" spans="1:11" ht="30" customHeight="1">
      <c r="A262" s="12" t="s">
        <v>417</v>
      </c>
      <c r="B262" s="12" t="s">
        <v>414</v>
      </c>
      <c r="C262" s="12" t="s">
        <v>374</v>
      </c>
      <c r="D262" s="12" t="s">
        <v>539</v>
      </c>
      <c r="E262" s="17">
        <v>1</v>
      </c>
      <c r="F262" s="12" t="s">
        <v>54</v>
      </c>
      <c r="G262" s="13"/>
      <c r="H262" s="13"/>
      <c r="I262" s="13"/>
      <c r="J262" s="12" t="s">
        <v>1191</v>
      </c>
      <c r="K262" s="12" t="s">
        <v>794</v>
      </c>
    </row>
    <row r="263" spans="1:11" ht="30" customHeight="1">
      <c r="A263" s="12" t="s">
        <v>417</v>
      </c>
      <c r="B263" s="12" t="s">
        <v>414</v>
      </c>
      <c r="C263" s="12" t="s">
        <v>374</v>
      </c>
      <c r="D263" s="12" t="s">
        <v>540</v>
      </c>
      <c r="E263" s="17">
        <v>0</v>
      </c>
      <c r="F263" s="12" t="s">
        <v>54</v>
      </c>
      <c r="G263" s="13"/>
      <c r="H263" s="13"/>
      <c r="I263" s="13"/>
      <c r="J263" s="12" t="s">
        <v>1192</v>
      </c>
      <c r="K263" s="12" t="s">
        <v>794</v>
      </c>
    </row>
    <row r="264" spans="1:11" ht="30" customHeight="1">
      <c r="A264" s="12" t="s">
        <v>417</v>
      </c>
      <c r="B264" s="12" t="s">
        <v>414</v>
      </c>
      <c r="C264" s="12" t="s">
        <v>374</v>
      </c>
      <c r="D264" s="12" t="s">
        <v>541</v>
      </c>
      <c r="E264" s="17">
        <v>3</v>
      </c>
      <c r="F264" s="12" t="s">
        <v>54</v>
      </c>
      <c r="G264" s="13"/>
      <c r="H264" s="13"/>
      <c r="I264" s="13"/>
      <c r="J264" s="12" t="s">
        <v>1193</v>
      </c>
      <c r="K264" s="12" t="s">
        <v>794</v>
      </c>
    </row>
    <row r="265" spans="1:11" ht="30" customHeight="1">
      <c r="A265" s="12" t="s">
        <v>417</v>
      </c>
      <c r="B265" s="12" t="s">
        <v>414</v>
      </c>
      <c r="C265" s="12" t="s">
        <v>374</v>
      </c>
      <c r="D265" s="12" t="s">
        <v>542</v>
      </c>
      <c r="E265" s="17">
        <v>3</v>
      </c>
      <c r="F265" s="12" t="s">
        <v>54</v>
      </c>
      <c r="G265" s="13"/>
      <c r="H265" s="13"/>
      <c r="I265" s="13"/>
      <c r="J265" s="12" t="s">
        <v>1194</v>
      </c>
      <c r="K265" s="12" t="s">
        <v>794</v>
      </c>
    </row>
    <row r="266" spans="1:11" ht="30" customHeight="1">
      <c r="A266" s="12" t="s">
        <v>417</v>
      </c>
      <c r="B266" s="12" t="s">
        <v>414</v>
      </c>
      <c r="C266" s="12" t="s">
        <v>374</v>
      </c>
      <c r="D266" s="12" t="s">
        <v>543</v>
      </c>
      <c r="E266" s="17">
        <v>3</v>
      </c>
      <c r="F266" s="12" t="s">
        <v>54</v>
      </c>
      <c r="G266" s="13"/>
      <c r="H266" s="13"/>
      <c r="I266" s="13"/>
      <c r="J266" s="12" t="s">
        <v>1195</v>
      </c>
      <c r="K266" s="12" t="s">
        <v>794</v>
      </c>
    </row>
    <row r="267" spans="1:11" ht="30" customHeight="1">
      <c r="A267" s="12" t="s">
        <v>392</v>
      </c>
      <c r="B267" s="12" t="s">
        <v>388</v>
      </c>
      <c r="C267" s="12" t="s">
        <v>374</v>
      </c>
      <c r="D267" s="12" t="s">
        <v>534</v>
      </c>
      <c r="E267" s="17">
        <v>3</v>
      </c>
      <c r="F267" s="12" t="s">
        <v>54</v>
      </c>
      <c r="G267" s="13"/>
      <c r="H267" s="13"/>
      <c r="I267" s="13"/>
      <c r="J267" s="12" t="s">
        <v>1196</v>
      </c>
      <c r="K267" s="12" t="s">
        <v>794</v>
      </c>
    </row>
    <row r="268" spans="1:11" ht="30" customHeight="1">
      <c r="A268" s="12" t="s">
        <v>392</v>
      </c>
      <c r="B268" s="12" t="s">
        <v>388</v>
      </c>
      <c r="C268" s="12" t="s">
        <v>374</v>
      </c>
      <c r="D268" s="12" t="s">
        <v>535</v>
      </c>
      <c r="E268" s="17">
        <v>1</v>
      </c>
      <c r="F268" s="12" t="s">
        <v>54</v>
      </c>
      <c r="G268" s="13"/>
      <c r="H268" s="13"/>
      <c r="I268" s="13"/>
      <c r="J268" s="12" t="s">
        <v>1197</v>
      </c>
      <c r="K268" s="12" t="s">
        <v>794</v>
      </c>
    </row>
    <row r="269" spans="1:11" ht="30" customHeight="1">
      <c r="A269" s="12" t="s">
        <v>392</v>
      </c>
      <c r="B269" s="12" t="s">
        <v>388</v>
      </c>
      <c r="C269" s="12" t="s">
        <v>374</v>
      </c>
      <c r="D269" s="12" t="s">
        <v>536</v>
      </c>
      <c r="E269" s="17">
        <v>1</v>
      </c>
      <c r="F269" s="12" t="s">
        <v>54</v>
      </c>
      <c r="G269" s="13"/>
      <c r="H269" s="13"/>
      <c r="I269" s="13"/>
      <c r="J269" s="12" t="s">
        <v>1198</v>
      </c>
      <c r="K269" s="12" t="s">
        <v>794</v>
      </c>
    </row>
    <row r="270" spans="1:11" ht="30" customHeight="1">
      <c r="A270" s="12" t="s">
        <v>392</v>
      </c>
      <c r="B270" s="12" t="s">
        <v>388</v>
      </c>
      <c r="C270" s="12" t="s">
        <v>374</v>
      </c>
      <c r="D270" s="12" t="s">
        <v>537</v>
      </c>
      <c r="E270" s="17">
        <v>2</v>
      </c>
      <c r="F270" s="12" t="s">
        <v>54</v>
      </c>
      <c r="G270" s="13"/>
      <c r="H270" s="13"/>
      <c r="I270" s="13"/>
      <c r="J270" s="12" t="s">
        <v>1199</v>
      </c>
      <c r="K270" s="12" t="s">
        <v>794</v>
      </c>
    </row>
    <row r="271" spans="1:11" ht="30" customHeight="1">
      <c r="A271" s="12" t="s">
        <v>392</v>
      </c>
      <c r="B271" s="12" t="s">
        <v>388</v>
      </c>
      <c r="C271" s="12" t="s">
        <v>374</v>
      </c>
      <c r="D271" s="12" t="s">
        <v>538</v>
      </c>
      <c r="E271" s="17">
        <v>2</v>
      </c>
      <c r="F271" s="12" t="s">
        <v>54</v>
      </c>
      <c r="G271" s="13"/>
      <c r="H271" s="13"/>
      <c r="I271" s="13"/>
      <c r="J271" s="12" t="s">
        <v>1200</v>
      </c>
      <c r="K271" s="12" t="s">
        <v>794</v>
      </c>
    </row>
    <row r="272" spans="1:11" ht="30" customHeight="1">
      <c r="A272" s="12" t="s">
        <v>392</v>
      </c>
      <c r="B272" s="12" t="s">
        <v>388</v>
      </c>
      <c r="C272" s="12" t="s">
        <v>374</v>
      </c>
      <c r="D272" s="12" t="s">
        <v>539</v>
      </c>
      <c r="E272" s="17">
        <v>0</v>
      </c>
      <c r="F272" s="12" t="s">
        <v>54</v>
      </c>
      <c r="G272" s="13"/>
      <c r="H272" s="13"/>
      <c r="I272" s="13"/>
      <c r="J272" s="12" t="s">
        <v>1201</v>
      </c>
      <c r="K272" s="12" t="s">
        <v>794</v>
      </c>
    </row>
    <row r="273" spans="1:11" ht="30" customHeight="1">
      <c r="A273" s="12" t="s">
        <v>392</v>
      </c>
      <c r="B273" s="12" t="s">
        <v>388</v>
      </c>
      <c r="C273" s="12" t="s">
        <v>374</v>
      </c>
      <c r="D273" s="12" t="s">
        <v>540</v>
      </c>
      <c r="E273" s="17">
        <v>0</v>
      </c>
      <c r="F273" s="12" t="s">
        <v>54</v>
      </c>
      <c r="G273" s="13"/>
      <c r="H273" s="13"/>
      <c r="I273" s="13"/>
      <c r="J273" s="12" t="s">
        <v>1202</v>
      </c>
      <c r="K273" s="12" t="s">
        <v>794</v>
      </c>
    </row>
    <row r="274" spans="1:11" ht="30" customHeight="1">
      <c r="A274" s="12" t="s">
        <v>392</v>
      </c>
      <c r="B274" s="12" t="s">
        <v>388</v>
      </c>
      <c r="C274" s="12" t="s">
        <v>374</v>
      </c>
      <c r="D274" s="12" t="s">
        <v>541</v>
      </c>
      <c r="E274" s="17">
        <v>2</v>
      </c>
      <c r="F274" s="12" t="s">
        <v>54</v>
      </c>
      <c r="G274" s="13"/>
      <c r="H274" s="13"/>
      <c r="I274" s="13"/>
      <c r="J274" s="12" t="s">
        <v>1203</v>
      </c>
      <c r="K274" s="12" t="s">
        <v>794</v>
      </c>
    </row>
    <row r="275" spans="1:11" ht="30" customHeight="1">
      <c r="A275" s="12" t="s">
        <v>392</v>
      </c>
      <c r="B275" s="12" t="s">
        <v>388</v>
      </c>
      <c r="C275" s="12" t="s">
        <v>374</v>
      </c>
      <c r="D275" s="12" t="s">
        <v>542</v>
      </c>
      <c r="E275" s="17">
        <v>3</v>
      </c>
      <c r="F275" s="12" t="s">
        <v>54</v>
      </c>
      <c r="G275" s="13"/>
      <c r="H275" s="13"/>
      <c r="I275" s="13"/>
      <c r="J275" s="12" t="s">
        <v>1204</v>
      </c>
      <c r="K275" s="12" t="s">
        <v>794</v>
      </c>
    </row>
    <row r="276" spans="1:11" ht="30" customHeight="1">
      <c r="A276" s="12" t="s">
        <v>392</v>
      </c>
      <c r="B276" s="12" t="s">
        <v>388</v>
      </c>
      <c r="C276" s="12" t="s">
        <v>374</v>
      </c>
      <c r="D276" s="12" t="s">
        <v>543</v>
      </c>
      <c r="E276" s="17">
        <v>2</v>
      </c>
      <c r="F276" s="12" t="s">
        <v>54</v>
      </c>
      <c r="G276" s="13"/>
      <c r="H276" s="13"/>
      <c r="I276" s="13"/>
      <c r="J276" s="12" t="s">
        <v>1205</v>
      </c>
      <c r="K276" s="12" t="s">
        <v>794</v>
      </c>
    </row>
    <row r="277" spans="1:11" ht="30" customHeight="1">
      <c r="A277" s="12" t="s">
        <v>392</v>
      </c>
      <c r="B277" s="12" t="s">
        <v>388</v>
      </c>
      <c r="C277" s="12" t="s">
        <v>374</v>
      </c>
      <c r="D277" s="12" t="s">
        <v>534</v>
      </c>
      <c r="E277" s="17">
        <v>3</v>
      </c>
      <c r="F277" s="12" t="s">
        <v>1206</v>
      </c>
      <c r="G277" s="13"/>
      <c r="H277" s="13"/>
      <c r="I277" s="13"/>
      <c r="J277" s="12" t="s">
        <v>1207</v>
      </c>
      <c r="K277" s="12" t="s">
        <v>794</v>
      </c>
    </row>
    <row r="278" spans="1:11" ht="30" customHeight="1">
      <c r="A278" s="12" t="s">
        <v>392</v>
      </c>
      <c r="B278" s="12" t="s">
        <v>388</v>
      </c>
      <c r="C278" s="12" t="s">
        <v>374</v>
      </c>
      <c r="D278" s="12" t="s">
        <v>535</v>
      </c>
      <c r="E278" s="17">
        <v>1</v>
      </c>
      <c r="F278" s="12" t="s">
        <v>1206</v>
      </c>
      <c r="G278" s="13"/>
      <c r="H278" s="13"/>
      <c r="I278" s="13"/>
      <c r="J278" s="12" t="s">
        <v>1208</v>
      </c>
      <c r="K278" s="12" t="s">
        <v>794</v>
      </c>
    </row>
    <row r="279" spans="1:11" ht="30" customHeight="1">
      <c r="A279" s="12" t="s">
        <v>392</v>
      </c>
      <c r="B279" s="12" t="s">
        <v>388</v>
      </c>
      <c r="C279" s="12" t="s">
        <v>374</v>
      </c>
      <c r="D279" s="12" t="s">
        <v>536</v>
      </c>
      <c r="E279" s="17">
        <v>2</v>
      </c>
      <c r="F279" s="12" t="s">
        <v>1206</v>
      </c>
      <c r="G279" s="13"/>
      <c r="H279" s="13"/>
      <c r="I279" s="13"/>
      <c r="J279" s="12" t="s">
        <v>1209</v>
      </c>
      <c r="K279" s="12" t="s">
        <v>794</v>
      </c>
    </row>
    <row r="280" spans="1:11" ht="30" customHeight="1">
      <c r="A280" s="12" t="s">
        <v>392</v>
      </c>
      <c r="B280" s="12" t="s">
        <v>388</v>
      </c>
      <c r="C280" s="12" t="s">
        <v>374</v>
      </c>
      <c r="D280" s="12" t="s">
        <v>537</v>
      </c>
      <c r="E280" s="17">
        <v>2</v>
      </c>
      <c r="F280" s="12" t="s">
        <v>1206</v>
      </c>
      <c r="G280" s="13"/>
      <c r="H280" s="13"/>
      <c r="I280" s="13"/>
      <c r="J280" s="12" t="s">
        <v>1210</v>
      </c>
      <c r="K280" s="12" t="s">
        <v>794</v>
      </c>
    </row>
    <row r="281" spans="1:11" ht="30" customHeight="1">
      <c r="A281" s="12" t="s">
        <v>392</v>
      </c>
      <c r="B281" s="12" t="s">
        <v>388</v>
      </c>
      <c r="C281" s="12" t="s">
        <v>374</v>
      </c>
      <c r="D281" s="12" t="s">
        <v>538</v>
      </c>
      <c r="E281" s="17">
        <v>2</v>
      </c>
      <c r="F281" s="12" t="s">
        <v>1206</v>
      </c>
      <c r="G281" s="13"/>
      <c r="H281" s="13"/>
      <c r="I281" s="13"/>
      <c r="J281" s="12" t="s">
        <v>1211</v>
      </c>
      <c r="K281" s="12" t="s">
        <v>794</v>
      </c>
    </row>
    <row r="282" spans="1:11" ht="30" customHeight="1">
      <c r="A282" s="12" t="s">
        <v>392</v>
      </c>
      <c r="B282" s="12" t="s">
        <v>388</v>
      </c>
      <c r="C282" s="12" t="s">
        <v>374</v>
      </c>
      <c r="D282" s="12" t="s">
        <v>539</v>
      </c>
      <c r="E282" s="17">
        <v>1</v>
      </c>
      <c r="F282" s="12" t="s">
        <v>1206</v>
      </c>
      <c r="G282" s="13"/>
      <c r="H282" s="13"/>
      <c r="I282" s="13"/>
      <c r="J282" s="12" t="s">
        <v>1212</v>
      </c>
      <c r="K282" s="12" t="s">
        <v>794</v>
      </c>
    </row>
    <row r="283" spans="1:11" ht="30" customHeight="1">
      <c r="A283" s="12" t="s">
        <v>392</v>
      </c>
      <c r="B283" s="12" t="s">
        <v>388</v>
      </c>
      <c r="C283" s="12" t="s">
        <v>374</v>
      </c>
      <c r="D283" s="12" t="s">
        <v>540</v>
      </c>
      <c r="E283" s="17">
        <v>0</v>
      </c>
      <c r="F283" s="12" t="s">
        <v>1206</v>
      </c>
      <c r="G283" s="13"/>
      <c r="H283" s="13"/>
      <c r="I283" s="13"/>
      <c r="J283" s="12" t="s">
        <v>1213</v>
      </c>
      <c r="K283" s="12" t="s">
        <v>794</v>
      </c>
    </row>
    <row r="284" spans="1:11" ht="30" customHeight="1">
      <c r="A284" s="12" t="s">
        <v>392</v>
      </c>
      <c r="B284" s="12" t="s">
        <v>388</v>
      </c>
      <c r="C284" s="12" t="s">
        <v>374</v>
      </c>
      <c r="D284" s="12" t="s">
        <v>541</v>
      </c>
      <c r="E284" s="17">
        <v>2</v>
      </c>
      <c r="F284" s="12" t="s">
        <v>1206</v>
      </c>
      <c r="G284" s="13"/>
      <c r="H284" s="13"/>
      <c r="I284" s="13"/>
      <c r="J284" s="12" t="s">
        <v>1214</v>
      </c>
      <c r="K284" s="12" t="s">
        <v>794</v>
      </c>
    </row>
    <row r="285" spans="1:11" ht="30" customHeight="1">
      <c r="A285" s="12" t="s">
        <v>392</v>
      </c>
      <c r="B285" s="12" t="s">
        <v>388</v>
      </c>
      <c r="C285" s="12" t="s">
        <v>374</v>
      </c>
      <c r="D285" s="12" t="s">
        <v>542</v>
      </c>
      <c r="E285" s="17">
        <v>3</v>
      </c>
      <c r="F285" s="12" t="s">
        <v>1206</v>
      </c>
      <c r="G285" s="13"/>
      <c r="H285" s="13"/>
      <c r="I285" s="13"/>
      <c r="J285" s="12" t="s">
        <v>1215</v>
      </c>
      <c r="K285" s="12" t="s">
        <v>794</v>
      </c>
    </row>
    <row r="286" spans="1:11" ht="30" customHeight="1">
      <c r="A286" s="12" t="s">
        <v>392</v>
      </c>
      <c r="B286" s="12" t="s">
        <v>388</v>
      </c>
      <c r="C286" s="12" t="s">
        <v>374</v>
      </c>
      <c r="D286" s="12" t="s">
        <v>543</v>
      </c>
      <c r="E286" s="17">
        <v>2</v>
      </c>
      <c r="F286" s="12" t="s">
        <v>1206</v>
      </c>
      <c r="G286" s="13"/>
      <c r="H286" s="13"/>
      <c r="I286" s="13"/>
      <c r="J286" s="12" t="s">
        <v>1216</v>
      </c>
      <c r="K286" s="12" t="s">
        <v>794</v>
      </c>
    </row>
    <row r="287" spans="1:11" ht="30" customHeight="1">
      <c r="A287" s="12" t="s">
        <v>407</v>
      </c>
      <c r="B287" s="12" t="s">
        <v>404</v>
      </c>
      <c r="C287" s="12" t="s">
        <v>374</v>
      </c>
      <c r="D287" s="12" t="s">
        <v>534</v>
      </c>
      <c r="E287" s="17">
        <v>3</v>
      </c>
      <c r="F287" s="12" t="s">
        <v>54</v>
      </c>
      <c r="G287" s="13"/>
      <c r="H287" s="13"/>
      <c r="I287" s="13"/>
      <c r="J287" s="12" t="s">
        <v>1217</v>
      </c>
      <c r="K287" s="12" t="s">
        <v>794</v>
      </c>
    </row>
    <row r="288" spans="1:11" ht="30" customHeight="1">
      <c r="A288" s="12" t="s">
        <v>407</v>
      </c>
      <c r="B288" s="12" t="s">
        <v>404</v>
      </c>
      <c r="C288" s="12" t="s">
        <v>374</v>
      </c>
      <c r="D288" s="12" t="s">
        <v>535</v>
      </c>
      <c r="E288" s="17">
        <v>3</v>
      </c>
      <c r="F288" s="12" t="s">
        <v>54</v>
      </c>
      <c r="G288" s="13"/>
      <c r="H288" s="13"/>
      <c r="I288" s="13"/>
      <c r="J288" s="12" t="s">
        <v>1218</v>
      </c>
      <c r="K288" s="12" t="s">
        <v>794</v>
      </c>
    </row>
    <row r="289" spans="1:11" ht="30" customHeight="1">
      <c r="A289" s="12" t="s">
        <v>407</v>
      </c>
      <c r="B289" s="12" t="s">
        <v>404</v>
      </c>
      <c r="C289" s="12" t="s">
        <v>374</v>
      </c>
      <c r="D289" s="12" t="s">
        <v>536</v>
      </c>
      <c r="E289" s="17">
        <v>3</v>
      </c>
      <c r="F289" s="12" t="s">
        <v>54</v>
      </c>
      <c r="G289" s="13"/>
      <c r="H289" s="13"/>
      <c r="I289" s="13"/>
      <c r="J289" s="12" t="s">
        <v>1219</v>
      </c>
      <c r="K289" s="12" t="s">
        <v>794</v>
      </c>
    </row>
    <row r="290" spans="1:11" ht="30" customHeight="1">
      <c r="A290" s="12" t="s">
        <v>407</v>
      </c>
      <c r="B290" s="12" t="s">
        <v>404</v>
      </c>
      <c r="C290" s="12" t="s">
        <v>374</v>
      </c>
      <c r="D290" s="12" t="s">
        <v>537</v>
      </c>
      <c r="E290" s="17">
        <v>3</v>
      </c>
      <c r="F290" s="12" t="s">
        <v>54</v>
      </c>
      <c r="G290" s="13"/>
      <c r="H290" s="13"/>
      <c r="I290" s="13"/>
      <c r="J290" s="12" t="s">
        <v>1220</v>
      </c>
      <c r="K290" s="12" t="s">
        <v>794</v>
      </c>
    </row>
    <row r="291" spans="1:11" ht="30" customHeight="1">
      <c r="A291" s="12" t="s">
        <v>407</v>
      </c>
      <c r="B291" s="12" t="s">
        <v>404</v>
      </c>
      <c r="C291" s="12" t="s">
        <v>374</v>
      </c>
      <c r="D291" s="12" t="s">
        <v>538</v>
      </c>
      <c r="E291" s="17">
        <v>2</v>
      </c>
      <c r="F291" s="12" t="s">
        <v>54</v>
      </c>
      <c r="G291" s="13"/>
      <c r="H291" s="13"/>
      <c r="I291" s="13"/>
      <c r="J291" s="12" t="s">
        <v>1221</v>
      </c>
      <c r="K291" s="12" t="s">
        <v>794</v>
      </c>
    </row>
    <row r="292" spans="1:11" ht="30" customHeight="1">
      <c r="A292" s="12" t="s">
        <v>407</v>
      </c>
      <c r="B292" s="12" t="s">
        <v>404</v>
      </c>
      <c r="C292" s="12" t="s">
        <v>374</v>
      </c>
      <c r="D292" s="12" t="s">
        <v>539</v>
      </c>
      <c r="E292" s="17">
        <v>2</v>
      </c>
      <c r="F292" s="12" t="s">
        <v>54</v>
      </c>
      <c r="G292" s="13"/>
      <c r="H292" s="13"/>
      <c r="I292" s="13"/>
      <c r="J292" s="12" t="s">
        <v>1222</v>
      </c>
      <c r="K292" s="12" t="s">
        <v>794</v>
      </c>
    </row>
    <row r="293" spans="1:11" ht="30" customHeight="1">
      <c r="A293" s="12" t="s">
        <v>407</v>
      </c>
      <c r="B293" s="12" t="s">
        <v>404</v>
      </c>
      <c r="C293" s="12" t="s">
        <v>374</v>
      </c>
      <c r="D293" s="12" t="s">
        <v>540</v>
      </c>
      <c r="E293" s="17">
        <v>1</v>
      </c>
      <c r="F293" s="12" t="s">
        <v>54</v>
      </c>
      <c r="G293" s="13"/>
      <c r="H293" s="13"/>
      <c r="I293" s="13"/>
      <c r="J293" s="12" t="s">
        <v>1223</v>
      </c>
      <c r="K293" s="12" t="s">
        <v>794</v>
      </c>
    </row>
    <row r="294" spans="1:11" ht="30" customHeight="1">
      <c r="A294" s="12" t="s">
        <v>407</v>
      </c>
      <c r="B294" s="12" t="s">
        <v>404</v>
      </c>
      <c r="C294" s="12" t="s">
        <v>374</v>
      </c>
      <c r="D294" s="12" t="s">
        <v>541</v>
      </c>
      <c r="E294" s="17">
        <v>2</v>
      </c>
      <c r="F294" s="12" t="s">
        <v>54</v>
      </c>
      <c r="G294" s="13"/>
      <c r="H294" s="13"/>
      <c r="I294" s="13"/>
      <c r="J294" s="12" t="s">
        <v>1224</v>
      </c>
      <c r="K294" s="12" t="s">
        <v>794</v>
      </c>
    </row>
    <row r="295" spans="1:11" ht="30" customHeight="1">
      <c r="A295" s="12" t="s">
        <v>407</v>
      </c>
      <c r="B295" s="12" t="s">
        <v>404</v>
      </c>
      <c r="C295" s="12" t="s">
        <v>374</v>
      </c>
      <c r="D295" s="12" t="s">
        <v>542</v>
      </c>
      <c r="E295" s="17">
        <v>3</v>
      </c>
      <c r="F295" s="12" t="s">
        <v>54</v>
      </c>
      <c r="G295" s="13"/>
      <c r="H295" s="13"/>
      <c r="I295" s="13"/>
      <c r="J295" s="12" t="s">
        <v>1225</v>
      </c>
      <c r="K295" s="12" t="s">
        <v>794</v>
      </c>
    </row>
    <row r="296" spans="1:11" ht="30" customHeight="1">
      <c r="A296" s="12" t="s">
        <v>407</v>
      </c>
      <c r="B296" s="12" t="s">
        <v>404</v>
      </c>
      <c r="C296" s="12" t="s">
        <v>374</v>
      </c>
      <c r="D296" s="12" t="s">
        <v>543</v>
      </c>
      <c r="E296" s="17">
        <v>2</v>
      </c>
      <c r="F296" s="12" t="s">
        <v>54</v>
      </c>
      <c r="G296" s="13"/>
      <c r="H296" s="13"/>
      <c r="I296" s="13"/>
      <c r="J296" s="12" t="s">
        <v>1226</v>
      </c>
      <c r="K296" s="12" t="s">
        <v>794</v>
      </c>
    </row>
    <row r="297" spans="1:11" ht="30" customHeight="1">
      <c r="A297" s="12" t="s">
        <v>407</v>
      </c>
      <c r="B297" s="12" t="s">
        <v>404</v>
      </c>
      <c r="C297" s="12" t="s">
        <v>374</v>
      </c>
      <c r="D297" s="12" t="s">
        <v>534</v>
      </c>
      <c r="E297" s="17">
        <v>3</v>
      </c>
      <c r="F297" s="12" t="s">
        <v>1206</v>
      </c>
      <c r="G297" s="13"/>
      <c r="H297" s="13"/>
      <c r="I297" s="13"/>
      <c r="J297" s="12" t="s">
        <v>1227</v>
      </c>
      <c r="K297" s="12" t="s">
        <v>794</v>
      </c>
    </row>
    <row r="298" spans="1:11" ht="30" customHeight="1">
      <c r="A298" s="12" t="s">
        <v>407</v>
      </c>
      <c r="B298" s="12" t="s">
        <v>404</v>
      </c>
      <c r="C298" s="12" t="s">
        <v>374</v>
      </c>
      <c r="D298" s="12" t="s">
        <v>535</v>
      </c>
      <c r="E298" s="17">
        <v>3</v>
      </c>
      <c r="F298" s="12" t="s">
        <v>1206</v>
      </c>
      <c r="G298" s="13"/>
      <c r="H298" s="13"/>
      <c r="I298" s="13"/>
      <c r="J298" s="12" t="s">
        <v>1228</v>
      </c>
      <c r="K298" s="12" t="s">
        <v>794</v>
      </c>
    </row>
    <row r="299" spans="1:11" ht="30" customHeight="1">
      <c r="A299" s="12" t="s">
        <v>407</v>
      </c>
      <c r="B299" s="12" t="s">
        <v>404</v>
      </c>
      <c r="C299" s="12" t="s">
        <v>374</v>
      </c>
      <c r="D299" s="12" t="s">
        <v>536</v>
      </c>
      <c r="E299" s="17">
        <v>3</v>
      </c>
      <c r="F299" s="12" t="s">
        <v>1206</v>
      </c>
      <c r="G299" s="13"/>
      <c r="H299" s="13"/>
      <c r="I299" s="13"/>
      <c r="J299" s="12" t="s">
        <v>1229</v>
      </c>
      <c r="K299" s="12" t="s">
        <v>794</v>
      </c>
    </row>
    <row r="300" spans="1:11" ht="30" customHeight="1">
      <c r="A300" s="12" t="s">
        <v>407</v>
      </c>
      <c r="B300" s="12" t="s">
        <v>404</v>
      </c>
      <c r="C300" s="12" t="s">
        <v>374</v>
      </c>
      <c r="D300" s="12" t="s">
        <v>537</v>
      </c>
      <c r="E300" s="17">
        <v>2</v>
      </c>
      <c r="F300" s="12" t="s">
        <v>1206</v>
      </c>
      <c r="G300" s="13"/>
      <c r="H300" s="13"/>
      <c r="I300" s="13"/>
      <c r="J300" s="12" t="s">
        <v>1230</v>
      </c>
      <c r="K300" s="12" t="s">
        <v>794</v>
      </c>
    </row>
    <row r="301" spans="1:11" ht="30" customHeight="1">
      <c r="A301" s="12" t="s">
        <v>407</v>
      </c>
      <c r="B301" s="12" t="s">
        <v>404</v>
      </c>
      <c r="C301" s="12" t="s">
        <v>374</v>
      </c>
      <c r="D301" s="12" t="s">
        <v>538</v>
      </c>
      <c r="E301" s="17">
        <v>2</v>
      </c>
      <c r="F301" s="12" t="s">
        <v>1206</v>
      </c>
      <c r="G301" s="13"/>
      <c r="H301" s="13"/>
      <c r="I301" s="13"/>
      <c r="J301" s="12" t="s">
        <v>1231</v>
      </c>
      <c r="K301" s="12" t="s">
        <v>794</v>
      </c>
    </row>
    <row r="302" spans="1:11" ht="30" customHeight="1">
      <c r="A302" s="12" t="s">
        <v>407</v>
      </c>
      <c r="B302" s="12" t="s">
        <v>404</v>
      </c>
      <c r="C302" s="12" t="s">
        <v>374</v>
      </c>
      <c r="D302" s="12" t="s">
        <v>539</v>
      </c>
      <c r="E302" s="17">
        <v>1</v>
      </c>
      <c r="F302" s="12" t="s">
        <v>1206</v>
      </c>
      <c r="G302" s="13"/>
      <c r="H302" s="13"/>
      <c r="I302" s="13"/>
      <c r="J302" s="12" t="s">
        <v>1232</v>
      </c>
      <c r="K302" s="12" t="s">
        <v>794</v>
      </c>
    </row>
    <row r="303" spans="1:11" ht="30" customHeight="1">
      <c r="A303" s="12" t="s">
        <v>407</v>
      </c>
      <c r="B303" s="12" t="s">
        <v>404</v>
      </c>
      <c r="C303" s="12" t="s">
        <v>374</v>
      </c>
      <c r="D303" s="12" t="s">
        <v>540</v>
      </c>
      <c r="E303" s="17">
        <v>0</v>
      </c>
      <c r="F303" s="12" t="s">
        <v>1206</v>
      </c>
      <c r="G303" s="13"/>
      <c r="H303" s="13"/>
      <c r="I303" s="13"/>
      <c r="J303" s="12" t="s">
        <v>1233</v>
      </c>
      <c r="K303" s="12" t="s">
        <v>794</v>
      </c>
    </row>
    <row r="304" spans="1:11" ht="30" customHeight="1">
      <c r="A304" s="12" t="s">
        <v>407</v>
      </c>
      <c r="B304" s="12" t="s">
        <v>404</v>
      </c>
      <c r="C304" s="12" t="s">
        <v>374</v>
      </c>
      <c r="D304" s="12" t="s">
        <v>541</v>
      </c>
      <c r="E304" s="17">
        <v>3</v>
      </c>
      <c r="F304" s="12" t="s">
        <v>1206</v>
      </c>
      <c r="G304" s="13"/>
      <c r="H304" s="13"/>
      <c r="I304" s="13"/>
      <c r="J304" s="12" t="s">
        <v>1234</v>
      </c>
      <c r="K304" s="12" t="s">
        <v>794</v>
      </c>
    </row>
    <row r="305" spans="1:11" ht="30" customHeight="1">
      <c r="A305" s="12" t="s">
        <v>407</v>
      </c>
      <c r="B305" s="12" t="s">
        <v>404</v>
      </c>
      <c r="C305" s="12" t="s">
        <v>374</v>
      </c>
      <c r="D305" s="12" t="s">
        <v>542</v>
      </c>
      <c r="E305" s="17">
        <v>3</v>
      </c>
      <c r="F305" s="12" t="s">
        <v>1206</v>
      </c>
      <c r="G305" s="13"/>
      <c r="H305" s="13"/>
      <c r="I305" s="13"/>
      <c r="J305" s="12" t="s">
        <v>1235</v>
      </c>
      <c r="K305" s="12" t="s">
        <v>794</v>
      </c>
    </row>
    <row r="306" spans="1:11" ht="30" customHeight="1">
      <c r="A306" s="12" t="s">
        <v>407</v>
      </c>
      <c r="B306" s="12" t="s">
        <v>404</v>
      </c>
      <c r="C306" s="12" t="s">
        <v>374</v>
      </c>
      <c r="D306" s="12" t="s">
        <v>543</v>
      </c>
      <c r="E306" s="17">
        <v>2</v>
      </c>
      <c r="F306" s="12" t="s">
        <v>1206</v>
      </c>
      <c r="G306" s="13"/>
      <c r="H306" s="13"/>
      <c r="I306" s="13"/>
      <c r="J306" s="12" t="s">
        <v>1236</v>
      </c>
      <c r="K306" s="12" t="s">
        <v>794</v>
      </c>
    </row>
    <row r="307" spans="1:11" ht="30" customHeight="1">
      <c r="A307" s="12" t="s">
        <v>412</v>
      </c>
      <c r="B307" s="12" t="s">
        <v>409</v>
      </c>
      <c r="C307" s="12" t="s">
        <v>374</v>
      </c>
      <c r="D307" s="12" t="s">
        <v>534</v>
      </c>
      <c r="E307" s="17">
        <v>3</v>
      </c>
      <c r="F307" s="12" t="s">
        <v>54</v>
      </c>
      <c r="G307" s="13"/>
      <c r="H307" s="13"/>
      <c r="I307" s="13"/>
      <c r="J307" s="12" t="s">
        <v>1237</v>
      </c>
      <c r="K307" s="12" t="s">
        <v>794</v>
      </c>
    </row>
    <row r="308" spans="1:11" ht="30" customHeight="1">
      <c r="A308" s="12" t="s">
        <v>412</v>
      </c>
      <c r="B308" s="12" t="s">
        <v>409</v>
      </c>
      <c r="C308" s="12" t="s">
        <v>374</v>
      </c>
      <c r="D308" s="12" t="s">
        <v>535</v>
      </c>
      <c r="E308" s="17">
        <v>3</v>
      </c>
      <c r="F308" s="12" t="s">
        <v>54</v>
      </c>
      <c r="G308" s="13"/>
      <c r="H308" s="13"/>
      <c r="I308" s="13"/>
      <c r="J308" s="12" t="s">
        <v>1238</v>
      </c>
      <c r="K308" s="12" t="s">
        <v>794</v>
      </c>
    </row>
    <row r="309" spans="1:11" ht="30" customHeight="1">
      <c r="A309" s="12" t="s">
        <v>412</v>
      </c>
      <c r="B309" s="12" t="s">
        <v>409</v>
      </c>
      <c r="C309" s="12" t="s">
        <v>374</v>
      </c>
      <c r="D309" s="12" t="s">
        <v>536</v>
      </c>
      <c r="E309" s="17">
        <v>3</v>
      </c>
      <c r="F309" s="12" t="s">
        <v>54</v>
      </c>
      <c r="G309" s="13"/>
      <c r="H309" s="13"/>
      <c r="I309" s="13"/>
      <c r="J309" s="12" t="s">
        <v>1239</v>
      </c>
      <c r="K309" s="12" t="s">
        <v>794</v>
      </c>
    </row>
    <row r="310" spans="1:11" ht="30" customHeight="1">
      <c r="A310" s="12" t="s">
        <v>412</v>
      </c>
      <c r="B310" s="12" t="s">
        <v>409</v>
      </c>
      <c r="C310" s="12" t="s">
        <v>374</v>
      </c>
      <c r="D310" s="12" t="s">
        <v>537</v>
      </c>
      <c r="E310" s="17">
        <v>3</v>
      </c>
      <c r="F310" s="12" t="s">
        <v>54</v>
      </c>
      <c r="G310" s="13"/>
      <c r="H310" s="13"/>
      <c r="I310" s="13"/>
      <c r="J310" s="12" t="s">
        <v>1240</v>
      </c>
      <c r="K310" s="12" t="s">
        <v>794</v>
      </c>
    </row>
    <row r="311" spans="1:11" ht="30" customHeight="1">
      <c r="A311" s="12" t="s">
        <v>412</v>
      </c>
      <c r="B311" s="12" t="s">
        <v>409</v>
      </c>
      <c r="C311" s="12" t="s">
        <v>374</v>
      </c>
      <c r="D311" s="12" t="s">
        <v>538</v>
      </c>
      <c r="E311" s="17">
        <v>2</v>
      </c>
      <c r="F311" s="12" t="s">
        <v>54</v>
      </c>
      <c r="G311" s="13"/>
      <c r="H311" s="13"/>
      <c r="I311" s="13"/>
      <c r="J311" s="12" t="s">
        <v>1241</v>
      </c>
      <c r="K311" s="12" t="s">
        <v>794</v>
      </c>
    </row>
    <row r="312" spans="1:11" ht="30" customHeight="1">
      <c r="A312" s="12" t="s">
        <v>412</v>
      </c>
      <c r="B312" s="12" t="s">
        <v>409</v>
      </c>
      <c r="C312" s="12" t="s">
        <v>374</v>
      </c>
      <c r="D312" s="12" t="s">
        <v>539</v>
      </c>
      <c r="E312" s="17">
        <v>2</v>
      </c>
      <c r="F312" s="12" t="s">
        <v>54</v>
      </c>
      <c r="G312" s="13"/>
      <c r="H312" s="13"/>
      <c r="I312" s="13"/>
      <c r="J312" s="12" t="s">
        <v>1242</v>
      </c>
      <c r="K312" s="12" t="s">
        <v>794</v>
      </c>
    </row>
    <row r="313" spans="1:11" ht="30" customHeight="1">
      <c r="A313" s="12" t="s">
        <v>412</v>
      </c>
      <c r="B313" s="12" t="s">
        <v>409</v>
      </c>
      <c r="C313" s="12" t="s">
        <v>374</v>
      </c>
      <c r="D313" s="12" t="s">
        <v>540</v>
      </c>
      <c r="E313" s="17">
        <v>3</v>
      </c>
      <c r="F313" s="12" t="s">
        <v>54</v>
      </c>
      <c r="G313" s="13"/>
      <c r="H313" s="13"/>
      <c r="I313" s="13"/>
      <c r="J313" s="12" t="s">
        <v>1243</v>
      </c>
      <c r="K313" s="12" t="s">
        <v>794</v>
      </c>
    </row>
    <row r="314" spans="1:11" ht="30" customHeight="1">
      <c r="A314" s="12" t="s">
        <v>412</v>
      </c>
      <c r="B314" s="12" t="s">
        <v>409</v>
      </c>
      <c r="C314" s="12" t="s">
        <v>374</v>
      </c>
      <c r="D314" s="12" t="s">
        <v>541</v>
      </c>
      <c r="E314" s="17">
        <v>2</v>
      </c>
      <c r="F314" s="12" t="s">
        <v>54</v>
      </c>
      <c r="G314" s="13"/>
      <c r="H314" s="13"/>
      <c r="I314" s="13"/>
      <c r="J314" s="12" t="s">
        <v>1244</v>
      </c>
      <c r="K314" s="12" t="s">
        <v>794</v>
      </c>
    </row>
    <row r="315" spans="1:11" ht="30" customHeight="1">
      <c r="A315" s="12" t="s">
        <v>412</v>
      </c>
      <c r="B315" s="12" t="s">
        <v>409</v>
      </c>
      <c r="C315" s="12" t="s">
        <v>374</v>
      </c>
      <c r="D315" s="12" t="s">
        <v>542</v>
      </c>
      <c r="E315" s="17">
        <v>3</v>
      </c>
      <c r="F315" s="12" t="s">
        <v>54</v>
      </c>
      <c r="G315" s="13"/>
      <c r="H315" s="13"/>
      <c r="I315" s="13"/>
      <c r="J315" s="12" t="s">
        <v>1245</v>
      </c>
      <c r="K315" s="12" t="s">
        <v>794</v>
      </c>
    </row>
    <row r="316" spans="1:11" ht="30" customHeight="1">
      <c r="A316" s="12" t="s">
        <v>412</v>
      </c>
      <c r="B316" s="12" t="s">
        <v>409</v>
      </c>
      <c r="C316" s="12" t="s">
        <v>374</v>
      </c>
      <c r="D316" s="12" t="s">
        <v>543</v>
      </c>
      <c r="E316" s="17">
        <v>3</v>
      </c>
      <c r="F316" s="12" t="s">
        <v>54</v>
      </c>
      <c r="G316" s="13"/>
      <c r="H316" s="13"/>
      <c r="I316" s="13"/>
      <c r="J316" s="12" t="s">
        <v>1246</v>
      </c>
      <c r="K316" s="12" t="s">
        <v>794</v>
      </c>
    </row>
    <row r="317" spans="1:11" ht="30" customHeight="1">
      <c r="A317" s="12" t="s">
        <v>412</v>
      </c>
      <c r="B317" s="12" t="s">
        <v>409</v>
      </c>
      <c r="C317" s="12" t="s">
        <v>374</v>
      </c>
      <c r="D317" s="12" t="s">
        <v>534</v>
      </c>
      <c r="E317" s="17">
        <v>3</v>
      </c>
      <c r="F317" s="12" t="s">
        <v>1206</v>
      </c>
      <c r="G317" s="13"/>
      <c r="H317" s="13"/>
      <c r="I317" s="13"/>
      <c r="J317" s="12" t="s">
        <v>1247</v>
      </c>
      <c r="K317" s="12" t="s">
        <v>794</v>
      </c>
    </row>
    <row r="318" spans="1:11" ht="30" customHeight="1">
      <c r="A318" s="12" t="s">
        <v>412</v>
      </c>
      <c r="B318" s="12" t="s">
        <v>409</v>
      </c>
      <c r="C318" s="12" t="s">
        <v>374</v>
      </c>
      <c r="D318" s="12" t="s">
        <v>535</v>
      </c>
      <c r="E318" s="17">
        <v>3</v>
      </c>
      <c r="F318" s="12" t="s">
        <v>1206</v>
      </c>
      <c r="G318" s="13"/>
      <c r="H318" s="13"/>
      <c r="I318" s="13"/>
      <c r="J318" s="12" t="s">
        <v>1248</v>
      </c>
      <c r="K318" s="12" t="s">
        <v>794</v>
      </c>
    </row>
    <row r="319" spans="1:11" ht="30" customHeight="1">
      <c r="A319" s="12" t="s">
        <v>412</v>
      </c>
      <c r="B319" s="12" t="s">
        <v>409</v>
      </c>
      <c r="C319" s="12" t="s">
        <v>374</v>
      </c>
      <c r="D319" s="12" t="s">
        <v>536</v>
      </c>
      <c r="E319" s="17">
        <v>3</v>
      </c>
      <c r="F319" s="12" t="s">
        <v>1206</v>
      </c>
      <c r="G319" s="13"/>
      <c r="H319" s="13"/>
      <c r="I319" s="13"/>
      <c r="J319" s="12" t="s">
        <v>1249</v>
      </c>
      <c r="K319" s="12" t="s">
        <v>794</v>
      </c>
    </row>
    <row r="320" spans="1:11" ht="30" customHeight="1">
      <c r="A320" s="12" t="s">
        <v>412</v>
      </c>
      <c r="B320" s="12" t="s">
        <v>409</v>
      </c>
      <c r="C320" s="12" t="s">
        <v>374</v>
      </c>
      <c r="D320" s="12" t="s">
        <v>537</v>
      </c>
      <c r="E320" s="17">
        <v>2</v>
      </c>
      <c r="F320" s="12" t="s">
        <v>1206</v>
      </c>
      <c r="G320" s="13"/>
      <c r="H320" s="13"/>
      <c r="I320" s="13"/>
      <c r="J320" s="12" t="s">
        <v>1250</v>
      </c>
      <c r="K320" s="12" t="s">
        <v>794</v>
      </c>
    </row>
    <row r="321" spans="1:11" ht="30" customHeight="1">
      <c r="A321" s="12" t="s">
        <v>412</v>
      </c>
      <c r="B321" s="12" t="s">
        <v>409</v>
      </c>
      <c r="C321" s="12" t="s">
        <v>374</v>
      </c>
      <c r="D321" s="12" t="s">
        <v>538</v>
      </c>
      <c r="E321" s="17">
        <v>2</v>
      </c>
      <c r="F321" s="12" t="s">
        <v>1206</v>
      </c>
      <c r="G321" s="13"/>
      <c r="H321" s="13"/>
      <c r="I321" s="13"/>
      <c r="J321" s="12" t="s">
        <v>1251</v>
      </c>
      <c r="K321" s="12" t="s">
        <v>794</v>
      </c>
    </row>
    <row r="322" spans="1:11" ht="30" customHeight="1">
      <c r="A322" s="12" t="s">
        <v>412</v>
      </c>
      <c r="B322" s="12" t="s">
        <v>409</v>
      </c>
      <c r="C322" s="12" t="s">
        <v>374</v>
      </c>
      <c r="D322" s="12" t="s">
        <v>539</v>
      </c>
      <c r="E322" s="17">
        <v>1</v>
      </c>
      <c r="F322" s="12" t="s">
        <v>1206</v>
      </c>
      <c r="G322" s="13"/>
      <c r="H322" s="13"/>
      <c r="I322" s="13"/>
      <c r="J322" s="12" t="s">
        <v>1252</v>
      </c>
      <c r="K322" s="12" t="s">
        <v>794</v>
      </c>
    </row>
    <row r="323" spans="1:11" ht="30" customHeight="1">
      <c r="A323" s="12" t="s">
        <v>412</v>
      </c>
      <c r="B323" s="12" t="s">
        <v>409</v>
      </c>
      <c r="C323" s="12" t="s">
        <v>374</v>
      </c>
      <c r="D323" s="12" t="s">
        <v>540</v>
      </c>
      <c r="E323" s="17">
        <v>0</v>
      </c>
      <c r="F323" s="12" t="s">
        <v>1206</v>
      </c>
      <c r="G323" s="13"/>
      <c r="H323" s="13"/>
      <c r="I323" s="13"/>
      <c r="J323" s="12" t="s">
        <v>1253</v>
      </c>
      <c r="K323" s="12" t="s">
        <v>794</v>
      </c>
    </row>
    <row r="324" spans="1:11" ht="30" customHeight="1">
      <c r="A324" s="12" t="s">
        <v>412</v>
      </c>
      <c r="B324" s="12" t="s">
        <v>409</v>
      </c>
      <c r="C324" s="12" t="s">
        <v>374</v>
      </c>
      <c r="D324" s="12" t="s">
        <v>541</v>
      </c>
      <c r="E324" s="17">
        <v>1</v>
      </c>
      <c r="F324" s="12" t="s">
        <v>1206</v>
      </c>
      <c r="G324" s="13"/>
      <c r="H324" s="13"/>
      <c r="I324" s="13"/>
      <c r="J324" s="12" t="s">
        <v>1254</v>
      </c>
      <c r="K324" s="12" t="s">
        <v>794</v>
      </c>
    </row>
    <row r="325" spans="1:11" ht="30" customHeight="1">
      <c r="A325" s="12" t="s">
        <v>412</v>
      </c>
      <c r="B325" s="12" t="s">
        <v>409</v>
      </c>
      <c r="C325" s="12" t="s">
        <v>374</v>
      </c>
      <c r="D325" s="12" t="s">
        <v>542</v>
      </c>
      <c r="E325" s="17">
        <v>3</v>
      </c>
      <c r="F325" s="12" t="s">
        <v>1206</v>
      </c>
      <c r="G325" s="13"/>
      <c r="H325" s="13"/>
      <c r="I325" s="13"/>
      <c r="J325" s="12" t="s">
        <v>1255</v>
      </c>
      <c r="K325" s="12" t="s">
        <v>794</v>
      </c>
    </row>
    <row r="326" spans="1:11" ht="30" customHeight="1">
      <c r="A326" s="12" t="s">
        <v>412</v>
      </c>
      <c r="B326" s="12" t="s">
        <v>409</v>
      </c>
      <c r="C326" s="12" t="s">
        <v>374</v>
      </c>
      <c r="D326" s="12" t="s">
        <v>543</v>
      </c>
      <c r="E326" s="17">
        <v>2</v>
      </c>
      <c r="F326" s="12" t="s">
        <v>1206</v>
      </c>
      <c r="G326" s="13"/>
      <c r="H326" s="13"/>
      <c r="I326" s="13"/>
      <c r="J326" s="12" t="s">
        <v>1256</v>
      </c>
      <c r="K326" s="12" t="s">
        <v>794</v>
      </c>
    </row>
    <row r="327" spans="1:11" ht="30" customHeight="1">
      <c r="A327" s="12" t="s">
        <v>397</v>
      </c>
      <c r="B327" s="12" t="s">
        <v>394</v>
      </c>
      <c r="C327" s="12" t="s">
        <v>374</v>
      </c>
      <c r="D327" s="12" t="s">
        <v>534</v>
      </c>
      <c r="E327" s="17">
        <v>3</v>
      </c>
      <c r="F327" s="12" t="s">
        <v>54</v>
      </c>
      <c r="G327" s="13"/>
      <c r="H327" s="13"/>
      <c r="I327" s="13"/>
      <c r="J327" s="12" t="s">
        <v>1257</v>
      </c>
      <c r="K327" s="12" t="s">
        <v>794</v>
      </c>
    </row>
    <row r="328" spans="1:11" ht="30" customHeight="1">
      <c r="A328" s="12" t="s">
        <v>397</v>
      </c>
      <c r="B328" s="12" t="s">
        <v>394</v>
      </c>
      <c r="C328" s="12" t="s">
        <v>374</v>
      </c>
      <c r="D328" s="12" t="s">
        <v>535</v>
      </c>
      <c r="E328" s="17">
        <v>3</v>
      </c>
      <c r="F328" s="12" t="s">
        <v>54</v>
      </c>
      <c r="G328" s="13"/>
      <c r="H328" s="13"/>
      <c r="I328" s="13"/>
      <c r="J328" s="12" t="s">
        <v>1258</v>
      </c>
      <c r="K328" s="12" t="s">
        <v>794</v>
      </c>
    </row>
    <row r="329" spans="1:11" ht="30" customHeight="1">
      <c r="A329" s="12" t="s">
        <v>397</v>
      </c>
      <c r="B329" s="12" t="s">
        <v>394</v>
      </c>
      <c r="C329" s="12" t="s">
        <v>374</v>
      </c>
      <c r="D329" s="12" t="s">
        <v>536</v>
      </c>
      <c r="E329" s="17">
        <v>3</v>
      </c>
      <c r="F329" s="12" t="s">
        <v>54</v>
      </c>
      <c r="G329" s="13"/>
      <c r="H329" s="13"/>
      <c r="I329" s="13"/>
      <c r="J329" s="12" t="s">
        <v>1259</v>
      </c>
      <c r="K329" s="12" t="s">
        <v>794</v>
      </c>
    </row>
    <row r="330" spans="1:11" ht="30" customHeight="1">
      <c r="A330" s="12" t="s">
        <v>397</v>
      </c>
      <c r="B330" s="12" t="s">
        <v>394</v>
      </c>
      <c r="C330" s="12" t="s">
        <v>374</v>
      </c>
      <c r="D330" s="12" t="s">
        <v>537</v>
      </c>
      <c r="E330" s="17">
        <v>3</v>
      </c>
      <c r="F330" s="12" t="s">
        <v>54</v>
      </c>
      <c r="G330" s="13"/>
      <c r="H330" s="13"/>
      <c r="I330" s="13"/>
      <c r="J330" s="12" t="s">
        <v>1260</v>
      </c>
      <c r="K330" s="12" t="s">
        <v>794</v>
      </c>
    </row>
    <row r="331" spans="1:11" ht="30" customHeight="1">
      <c r="A331" s="12" t="s">
        <v>397</v>
      </c>
      <c r="B331" s="12" t="s">
        <v>394</v>
      </c>
      <c r="C331" s="12" t="s">
        <v>374</v>
      </c>
      <c r="D331" s="12" t="s">
        <v>538</v>
      </c>
      <c r="E331" s="17">
        <v>3</v>
      </c>
      <c r="F331" s="12" t="s">
        <v>54</v>
      </c>
      <c r="G331" s="13"/>
      <c r="H331" s="13"/>
      <c r="I331" s="13"/>
      <c r="J331" s="12" t="s">
        <v>1261</v>
      </c>
      <c r="K331" s="12" t="s">
        <v>794</v>
      </c>
    </row>
    <row r="332" spans="1:11" ht="30" customHeight="1">
      <c r="A332" s="12" t="s">
        <v>397</v>
      </c>
      <c r="B332" s="12" t="s">
        <v>394</v>
      </c>
      <c r="C332" s="12" t="s">
        <v>374</v>
      </c>
      <c r="D332" s="12" t="s">
        <v>539</v>
      </c>
      <c r="E332" s="17">
        <v>2</v>
      </c>
      <c r="F332" s="12" t="s">
        <v>54</v>
      </c>
      <c r="G332" s="13"/>
      <c r="H332" s="13"/>
      <c r="I332" s="13"/>
      <c r="J332" s="12" t="s">
        <v>1262</v>
      </c>
      <c r="K332" s="12" t="s">
        <v>794</v>
      </c>
    </row>
    <row r="333" spans="1:11" ht="30" customHeight="1">
      <c r="A333" s="12" t="s">
        <v>397</v>
      </c>
      <c r="B333" s="12" t="s">
        <v>394</v>
      </c>
      <c r="C333" s="12" t="s">
        <v>374</v>
      </c>
      <c r="D333" s="12" t="s">
        <v>540</v>
      </c>
      <c r="E333" s="17">
        <v>3</v>
      </c>
      <c r="F333" s="12" t="s">
        <v>54</v>
      </c>
      <c r="G333" s="13"/>
      <c r="H333" s="13"/>
      <c r="I333" s="13"/>
      <c r="J333" s="12" t="s">
        <v>1263</v>
      </c>
      <c r="K333" s="12" t="s">
        <v>794</v>
      </c>
    </row>
    <row r="334" spans="1:11" ht="30" customHeight="1">
      <c r="A334" s="12" t="s">
        <v>397</v>
      </c>
      <c r="B334" s="12" t="s">
        <v>394</v>
      </c>
      <c r="C334" s="12" t="s">
        <v>374</v>
      </c>
      <c r="D334" s="12" t="s">
        <v>541</v>
      </c>
      <c r="E334" s="17">
        <v>3</v>
      </c>
      <c r="F334" s="12" t="s">
        <v>54</v>
      </c>
      <c r="G334" s="13"/>
      <c r="H334" s="13"/>
      <c r="I334" s="13"/>
      <c r="J334" s="12" t="s">
        <v>1264</v>
      </c>
      <c r="K334" s="12" t="s">
        <v>794</v>
      </c>
    </row>
    <row r="335" spans="1:11" ht="30" customHeight="1">
      <c r="A335" s="12" t="s">
        <v>397</v>
      </c>
      <c r="B335" s="12" t="s">
        <v>394</v>
      </c>
      <c r="C335" s="12" t="s">
        <v>374</v>
      </c>
      <c r="D335" s="12" t="s">
        <v>542</v>
      </c>
      <c r="E335" s="17">
        <v>3</v>
      </c>
      <c r="F335" s="12" t="s">
        <v>54</v>
      </c>
      <c r="G335" s="13"/>
      <c r="H335" s="13"/>
      <c r="I335" s="13"/>
      <c r="J335" s="12" t="s">
        <v>1265</v>
      </c>
      <c r="K335" s="12" t="s">
        <v>794</v>
      </c>
    </row>
    <row r="336" spans="1:11" ht="30" customHeight="1">
      <c r="A336" s="12" t="s">
        <v>397</v>
      </c>
      <c r="B336" s="12" t="s">
        <v>394</v>
      </c>
      <c r="C336" s="12" t="s">
        <v>374</v>
      </c>
      <c r="D336" s="12" t="s">
        <v>543</v>
      </c>
      <c r="E336" s="17">
        <v>3</v>
      </c>
      <c r="F336" s="12" t="s">
        <v>54</v>
      </c>
      <c r="G336" s="13"/>
      <c r="H336" s="13"/>
      <c r="I336" s="13"/>
      <c r="J336" s="12" t="s">
        <v>1266</v>
      </c>
      <c r="K336" s="12" t="s">
        <v>794</v>
      </c>
    </row>
    <row r="337" spans="1:11" ht="30" customHeight="1">
      <c r="A337" s="12" t="s">
        <v>397</v>
      </c>
      <c r="B337" s="12" t="s">
        <v>394</v>
      </c>
      <c r="C337" s="12" t="s">
        <v>374</v>
      </c>
      <c r="D337" s="12" t="s">
        <v>534</v>
      </c>
      <c r="E337" s="17">
        <v>3</v>
      </c>
      <c r="F337" s="12" t="s">
        <v>1206</v>
      </c>
      <c r="G337" s="13"/>
      <c r="H337" s="13"/>
      <c r="I337" s="13"/>
      <c r="J337" s="12" t="s">
        <v>1267</v>
      </c>
      <c r="K337" s="12" t="s">
        <v>794</v>
      </c>
    </row>
    <row r="338" spans="1:11" ht="30" customHeight="1">
      <c r="A338" s="12" t="s">
        <v>397</v>
      </c>
      <c r="B338" s="12" t="s">
        <v>394</v>
      </c>
      <c r="C338" s="12" t="s">
        <v>374</v>
      </c>
      <c r="D338" s="12" t="s">
        <v>535</v>
      </c>
      <c r="E338" s="17">
        <v>3</v>
      </c>
      <c r="F338" s="12" t="s">
        <v>1206</v>
      </c>
      <c r="G338" s="13"/>
      <c r="H338" s="13"/>
      <c r="I338" s="13"/>
      <c r="J338" s="12" t="s">
        <v>1268</v>
      </c>
      <c r="K338" s="12" t="s">
        <v>794</v>
      </c>
    </row>
    <row r="339" spans="1:11" ht="30" customHeight="1">
      <c r="A339" s="12" t="s">
        <v>397</v>
      </c>
      <c r="B339" s="12" t="s">
        <v>394</v>
      </c>
      <c r="C339" s="12" t="s">
        <v>374</v>
      </c>
      <c r="D339" s="12" t="s">
        <v>536</v>
      </c>
      <c r="E339" s="17">
        <v>3</v>
      </c>
      <c r="F339" s="12" t="s">
        <v>1206</v>
      </c>
      <c r="G339" s="13"/>
      <c r="H339" s="13"/>
      <c r="I339" s="13"/>
      <c r="J339" s="12" t="s">
        <v>1269</v>
      </c>
      <c r="K339" s="12" t="s">
        <v>794</v>
      </c>
    </row>
    <row r="340" spans="1:11" ht="30" customHeight="1">
      <c r="A340" s="12" t="s">
        <v>397</v>
      </c>
      <c r="B340" s="12" t="s">
        <v>394</v>
      </c>
      <c r="C340" s="12" t="s">
        <v>374</v>
      </c>
      <c r="D340" s="12" t="s">
        <v>537</v>
      </c>
      <c r="E340" s="17">
        <v>2</v>
      </c>
      <c r="F340" s="12" t="s">
        <v>1206</v>
      </c>
      <c r="G340" s="13"/>
      <c r="H340" s="13"/>
      <c r="I340" s="13"/>
      <c r="J340" s="12" t="s">
        <v>1270</v>
      </c>
      <c r="K340" s="12" t="s">
        <v>794</v>
      </c>
    </row>
    <row r="341" spans="1:11" ht="30" customHeight="1">
      <c r="A341" s="12" t="s">
        <v>397</v>
      </c>
      <c r="B341" s="12" t="s">
        <v>394</v>
      </c>
      <c r="C341" s="12" t="s">
        <v>374</v>
      </c>
      <c r="D341" s="12" t="s">
        <v>538</v>
      </c>
      <c r="E341" s="17">
        <v>2</v>
      </c>
      <c r="F341" s="12" t="s">
        <v>1206</v>
      </c>
      <c r="G341" s="13"/>
      <c r="H341" s="13"/>
      <c r="I341" s="13"/>
      <c r="J341" s="12" t="s">
        <v>1271</v>
      </c>
      <c r="K341" s="12" t="s">
        <v>794</v>
      </c>
    </row>
    <row r="342" spans="1:11" ht="30" customHeight="1">
      <c r="A342" s="12" t="s">
        <v>397</v>
      </c>
      <c r="B342" s="12" t="s">
        <v>394</v>
      </c>
      <c r="C342" s="12" t="s">
        <v>374</v>
      </c>
      <c r="D342" s="12" t="s">
        <v>539</v>
      </c>
      <c r="E342" s="17">
        <v>1</v>
      </c>
      <c r="F342" s="12" t="s">
        <v>1206</v>
      </c>
      <c r="G342" s="13"/>
      <c r="H342" s="13"/>
      <c r="I342" s="13"/>
      <c r="J342" s="12" t="s">
        <v>1272</v>
      </c>
      <c r="K342" s="12" t="s">
        <v>794</v>
      </c>
    </row>
    <row r="343" spans="1:11" ht="30" customHeight="1">
      <c r="A343" s="12" t="s">
        <v>397</v>
      </c>
      <c r="B343" s="12" t="s">
        <v>394</v>
      </c>
      <c r="C343" s="12" t="s">
        <v>374</v>
      </c>
      <c r="D343" s="12" t="s">
        <v>540</v>
      </c>
      <c r="E343" s="17">
        <v>0</v>
      </c>
      <c r="F343" s="12" t="s">
        <v>1206</v>
      </c>
      <c r="G343" s="13"/>
      <c r="H343" s="13"/>
      <c r="I343" s="13"/>
      <c r="J343" s="12" t="s">
        <v>1253</v>
      </c>
      <c r="K343" s="12" t="s">
        <v>794</v>
      </c>
    </row>
    <row r="344" spans="1:11" ht="30" customHeight="1">
      <c r="A344" s="12" t="s">
        <v>397</v>
      </c>
      <c r="B344" s="12" t="s">
        <v>394</v>
      </c>
      <c r="C344" s="12" t="s">
        <v>374</v>
      </c>
      <c r="D344" s="12" t="s">
        <v>541</v>
      </c>
      <c r="E344" s="17">
        <v>1</v>
      </c>
      <c r="F344" s="12" t="s">
        <v>1206</v>
      </c>
      <c r="G344" s="13"/>
      <c r="H344" s="13"/>
      <c r="I344" s="13"/>
      <c r="J344" s="12" t="s">
        <v>1273</v>
      </c>
      <c r="K344" s="12" t="s">
        <v>794</v>
      </c>
    </row>
    <row r="345" spans="1:11" ht="30" customHeight="1">
      <c r="A345" s="12" t="s">
        <v>397</v>
      </c>
      <c r="B345" s="12" t="s">
        <v>394</v>
      </c>
      <c r="C345" s="12" t="s">
        <v>374</v>
      </c>
      <c r="D345" s="12" t="s">
        <v>542</v>
      </c>
      <c r="E345" s="17">
        <v>3</v>
      </c>
      <c r="F345" s="12" t="s">
        <v>1206</v>
      </c>
      <c r="G345" s="13"/>
      <c r="H345" s="13"/>
      <c r="I345" s="13"/>
      <c r="J345" s="12" t="s">
        <v>1274</v>
      </c>
      <c r="K345" s="12" t="s">
        <v>794</v>
      </c>
    </row>
    <row r="346" spans="1:11" ht="30" customHeight="1">
      <c r="A346" s="12" t="s">
        <v>397</v>
      </c>
      <c r="B346" s="12" t="s">
        <v>394</v>
      </c>
      <c r="C346" s="12" t="s">
        <v>374</v>
      </c>
      <c r="D346" s="12" t="s">
        <v>543</v>
      </c>
      <c r="E346" s="17">
        <v>3</v>
      </c>
      <c r="F346" s="12" t="s">
        <v>1206</v>
      </c>
      <c r="G346" s="13"/>
      <c r="H346" s="13"/>
      <c r="I346" s="13"/>
      <c r="J346" s="12" t="s">
        <v>1275</v>
      </c>
      <c r="K346" s="12" t="s">
        <v>794</v>
      </c>
    </row>
    <row r="347" spans="1:11" ht="30" customHeight="1">
      <c r="A347" s="12" t="s">
        <v>427</v>
      </c>
      <c r="B347" s="12" t="s">
        <v>424</v>
      </c>
      <c r="C347" s="12" t="s">
        <v>374</v>
      </c>
      <c r="D347" s="12" t="s">
        <v>534</v>
      </c>
      <c r="E347" s="17">
        <v>3</v>
      </c>
      <c r="F347" s="12" t="s">
        <v>54</v>
      </c>
      <c r="G347" s="13"/>
      <c r="H347" s="13"/>
      <c r="I347" s="13"/>
      <c r="J347" s="12" t="s">
        <v>1276</v>
      </c>
      <c r="K347" s="12" t="s">
        <v>794</v>
      </c>
    </row>
    <row r="348" spans="1:11" ht="30" customHeight="1">
      <c r="A348" s="12" t="s">
        <v>427</v>
      </c>
      <c r="B348" s="12" t="s">
        <v>424</v>
      </c>
      <c r="C348" s="12" t="s">
        <v>374</v>
      </c>
      <c r="D348" s="12" t="s">
        <v>535</v>
      </c>
      <c r="E348" s="17">
        <v>2</v>
      </c>
      <c r="F348" s="12" t="s">
        <v>54</v>
      </c>
      <c r="G348" s="13"/>
      <c r="H348" s="13"/>
      <c r="I348" s="13"/>
      <c r="J348" s="12" t="s">
        <v>1277</v>
      </c>
      <c r="K348" s="12" t="s">
        <v>794</v>
      </c>
    </row>
    <row r="349" spans="1:11" ht="30" customHeight="1">
      <c r="A349" s="12" t="s">
        <v>427</v>
      </c>
      <c r="B349" s="12" t="s">
        <v>424</v>
      </c>
      <c r="C349" s="12" t="s">
        <v>374</v>
      </c>
      <c r="D349" s="12" t="s">
        <v>536</v>
      </c>
      <c r="E349" s="17">
        <v>1</v>
      </c>
      <c r="F349" s="12" t="s">
        <v>54</v>
      </c>
      <c r="G349" s="13"/>
      <c r="H349" s="13"/>
      <c r="I349" s="13"/>
      <c r="J349" s="12" t="s">
        <v>1278</v>
      </c>
      <c r="K349" s="12" t="s">
        <v>794</v>
      </c>
    </row>
    <row r="350" spans="1:11" ht="30" customHeight="1">
      <c r="A350" s="12" t="s">
        <v>427</v>
      </c>
      <c r="B350" s="12" t="s">
        <v>424</v>
      </c>
      <c r="C350" s="12" t="s">
        <v>374</v>
      </c>
      <c r="D350" s="12" t="s">
        <v>537</v>
      </c>
      <c r="E350" s="17">
        <v>2</v>
      </c>
      <c r="F350" s="12" t="s">
        <v>54</v>
      </c>
      <c r="G350" s="13"/>
      <c r="H350" s="13"/>
      <c r="I350" s="13"/>
      <c r="J350" s="12" t="s">
        <v>1279</v>
      </c>
      <c r="K350" s="12" t="s">
        <v>794</v>
      </c>
    </row>
    <row r="351" spans="1:11" ht="30" customHeight="1">
      <c r="A351" s="12" t="s">
        <v>427</v>
      </c>
      <c r="B351" s="12" t="s">
        <v>424</v>
      </c>
      <c r="C351" s="12" t="s">
        <v>374</v>
      </c>
      <c r="D351" s="12" t="s">
        <v>538</v>
      </c>
      <c r="E351" s="17">
        <v>0</v>
      </c>
      <c r="F351" s="12" t="s">
        <v>54</v>
      </c>
      <c r="G351" s="13"/>
      <c r="H351" s="13"/>
      <c r="I351" s="13"/>
      <c r="J351" s="12" t="s">
        <v>1280</v>
      </c>
      <c r="K351" s="12" t="s">
        <v>794</v>
      </c>
    </row>
    <row r="352" spans="1:11" ht="30" customHeight="1">
      <c r="A352" s="12" t="s">
        <v>427</v>
      </c>
      <c r="B352" s="12" t="s">
        <v>424</v>
      </c>
      <c r="C352" s="12" t="s">
        <v>374</v>
      </c>
      <c r="D352" s="12" t="s">
        <v>539</v>
      </c>
      <c r="E352" s="17">
        <v>0</v>
      </c>
      <c r="F352" s="12" t="s">
        <v>54</v>
      </c>
      <c r="G352" s="13"/>
      <c r="H352" s="13"/>
      <c r="I352" s="13"/>
      <c r="J352" s="12" t="s">
        <v>1281</v>
      </c>
      <c r="K352" s="12" t="s">
        <v>794</v>
      </c>
    </row>
    <row r="353" spans="1:11" ht="30" customHeight="1">
      <c r="A353" s="12" t="s">
        <v>427</v>
      </c>
      <c r="B353" s="12" t="s">
        <v>424</v>
      </c>
      <c r="C353" s="12" t="s">
        <v>374</v>
      </c>
      <c r="D353" s="12" t="s">
        <v>540</v>
      </c>
      <c r="E353" s="17">
        <v>0</v>
      </c>
      <c r="F353" s="12" t="s">
        <v>54</v>
      </c>
      <c r="G353" s="13"/>
      <c r="H353" s="13"/>
      <c r="I353" s="13"/>
      <c r="J353" s="12" t="s">
        <v>1282</v>
      </c>
      <c r="K353" s="12" t="s">
        <v>794</v>
      </c>
    </row>
    <row r="354" spans="1:11" ht="30" customHeight="1">
      <c r="A354" s="12" t="s">
        <v>427</v>
      </c>
      <c r="B354" s="12" t="s">
        <v>424</v>
      </c>
      <c r="C354" s="12" t="s">
        <v>374</v>
      </c>
      <c r="D354" s="12" t="s">
        <v>541</v>
      </c>
      <c r="E354" s="17">
        <v>0</v>
      </c>
      <c r="F354" s="12" t="s">
        <v>54</v>
      </c>
      <c r="G354" s="13"/>
      <c r="H354" s="13"/>
      <c r="I354" s="13"/>
      <c r="J354" s="12" t="s">
        <v>1283</v>
      </c>
      <c r="K354" s="12" t="s">
        <v>794</v>
      </c>
    </row>
    <row r="355" spans="1:11" ht="30" customHeight="1">
      <c r="A355" s="12" t="s">
        <v>427</v>
      </c>
      <c r="B355" s="12" t="s">
        <v>424</v>
      </c>
      <c r="C355" s="12" t="s">
        <v>374</v>
      </c>
      <c r="D355" s="12" t="s">
        <v>542</v>
      </c>
      <c r="E355" s="17">
        <v>3</v>
      </c>
      <c r="F355" s="12" t="s">
        <v>54</v>
      </c>
      <c r="G355" s="13"/>
      <c r="H355" s="13"/>
      <c r="I355" s="13"/>
      <c r="J355" s="12" t="s">
        <v>1284</v>
      </c>
      <c r="K355" s="12" t="s">
        <v>794</v>
      </c>
    </row>
    <row r="356" spans="1:11" ht="30" customHeight="1">
      <c r="A356" s="12" t="s">
        <v>427</v>
      </c>
      <c r="B356" s="12" t="s">
        <v>424</v>
      </c>
      <c r="C356" s="12" t="s">
        <v>374</v>
      </c>
      <c r="D356" s="12" t="s">
        <v>543</v>
      </c>
      <c r="E356" s="17">
        <v>3</v>
      </c>
      <c r="F356" s="12" t="s">
        <v>54</v>
      </c>
      <c r="G356" s="13"/>
      <c r="H356" s="13"/>
      <c r="I356" s="13"/>
      <c r="J356" s="12" t="s">
        <v>1285</v>
      </c>
      <c r="K356" s="12" t="s">
        <v>794</v>
      </c>
    </row>
    <row r="357" spans="1:11" ht="30" customHeight="1">
      <c r="A357" s="12" t="s">
        <v>427</v>
      </c>
      <c r="B357" s="12" t="s">
        <v>424</v>
      </c>
      <c r="C357" s="12" t="s">
        <v>374</v>
      </c>
      <c r="D357" s="12" t="s">
        <v>534</v>
      </c>
      <c r="E357" s="17">
        <v>3</v>
      </c>
      <c r="F357" s="12" t="s">
        <v>1206</v>
      </c>
      <c r="G357" s="13"/>
      <c r="H357" s="13"/>
      <c r="I357" s="13"/>
      <c r="J357" s="12" t="s">
        <v>1286</v>
      </c>
      <c r="K357" s="12" t="s">
        <v>794</v>
      </c>
    </row>
    <row r="358" spans="1:11" ht="30" customHeight="1">
      <c r="A358" s="12" t="s">
        <v>427</v>
      </c>
      <c r="B358" s="12" t="s">
        <v>424</v>
      </c>
      <c r="C358" s="12" t="s">
        <v>374</v>
      </c>
      <c r="D358" s="12" t="s">
        <v>535</v>
      </c>
      <c r="E358" s="17">
        <v>3</v>
      </c>
      <c r="F358" s="12" t="s">
        <v>1206</v>
      </c>
      <c r="G358" s="13"/>
      <c r="H358" s="13"/>
      <c r="I358" s="13"/>
      <c r="J358" s="12" t="s">
        <v>1287</v>
      </c>
      <c r="K358" s="12" t="s">
        <v>794</v>
      </c>
    </row>
    <row r="359" spans="1:11" ht="30" customHeight="1">
      <c r="A359" s="12" t="s">
        <v>427</v>
      </c>
      <c r="B359" s="12" t="s">
        <v>424</v>
      </c>
      <c r="C359" s="12" t="s">
        <v>374</v>
      </c>
      <c r="D359" s="12" t="s">
        <v>536</v>
      </c>
      <c r="E359" s="17">
        <v>1</v>
      </c>
      <c r="F359" s="12" t="s">
        <v>1206</v>
      </c>
      <c r="G359" s="13"/>
      <c r="H359" s="13"/>
      <c r="I359" s="13"/>
      <c r="J359" s="12" t="s">
        <v>1288</v>
      </c>
      <c r="K359" s="12" t="s">
        <v>794</v>
      </c>
    </row>
    <row r="360" spans="1:11" ht="30" customHeight="1">
      <c r="A360" s="12" t="s">
        <v>427</v>
      </c>
      <c r="B360" s="12" t="s">
        <v>424</v>
      </c>
      <c r="C360" s="12" t="s">
        <v>374</v>
      </c>
      <c r="D360" s="12" t="s">
        <v>537</v>
      </c>
      <c r="E360" s="17">
        <v>2</v>
      </c>
      <c r="F360" s="12" t="s">
        <v>1206</v>
      </c>
      <c r="G360" s="13"/>
      <c r="H360" s="13"/>
      <c r="I360" s="13"/>
      <c r="J360" s="12" t="s">
        <v>1289</v>
      </c>
      <c r="K360" s="12" t="s">
        <v>794</v>
      </c>
    </row>
    <row r="361" spans="1:11" ht="30" customHeight="1">
      <c r="A361" s="12" t="s">
        <v>427</v>
      </c>
      <c r="B361" s="12" t="s">
        <v>424</v>
      </c>
      <c r="C361" s="12" t="s">
        <v>374</v>
      </c>
      <c r="D361" s="12" t="s">
        <v>538</v>
      </c>
      <c r="E361" s="17">
        <v>2</v>
      </c>
      <c r="F361" s="12" t="s">
        <v>1206</v>
      </c>
      <c r="G361" s="13"/>
      <c r="H361" s="13"/>
      <c r="I361" s="13"/>
      <c r="J361" s="12" t="s">
        <v>1290</v>
      </c>
      <c r="K361" s="12" t="s">
        <v>794</v>
      </c>
    </row>
    <row r="362" spans="1:11" ht="30" customHeight="1">
      <c r="A362" s="12" t="s">
        <v>427</v>
      </c>
      <c r="B362" s="12" t="s">
        <v>424</v>
      </c>
      <c r="C362" s="12" t="s">
        <v>374</v>
      </c>
      <c r="D362" s="12" t="s">
        <v>539</v>
      </c>
      <c r="E362" s="17">
        <v>1</v>
      </c>
      <c r="F362" s="12" t="s">
        <v>1206</v>
      </c>
      <c r="G362" s="13"/>
      <c r="H362" s="13"/>
      <c r="I362" s="13"/>
      <c r="J362" s="12" t="s">
        <v>1291</v>
      </c>
      <c r="K362" s="12" t="s">
        <v>794</v>
      </c>
    </row>
    <row r="363" spans="1:11" ht="30" customHeight="1">
      <c r="A363" s="12" t="s">
        <v>427</v>
      </c>
      <c r="B363" s="12" t="s">
        <v>424</v>
      </c>
      <c r="C363" s="12" t="s">
        <v>374</v>
      </c>
      <c r="D363" s="12" t="s">
        <v>540</v>
      </c>
      <c r="E363" s="17">
        <v>0</v>
      </c>
      <c r="F363" s="12" t="s">
        <v>1206</v>
      </c>
      <c r="G363" s="13"/>
      <c r="H363" s="13"/>
      <c r="I363" s="13"/>
      <c r="J363" s="12" t="s">
        <v>1253</v>
      </c>
      <c r="K363" s="12" t="s">
        <v>794</v>
      </c>
    </row>
    <row r="364" spans="1:11" ht="30" customHeight="1">
      <c r="A364" s="12" t="s">
        <v>427</v>
      </c>
      <c r="B364" s="12" t="s">
        <v>424</v>
      </c>
      <c r="C364" s="12" t="s">
        <v>374</v>
      </c>
      <c r="D364" s="12" t="s">
        <v>541</v>
      </c>
      <c r="E364" s="17">
        <v>1</v>
      </c>
      <c r="F364" s="12" t="s">
        <v>1206</v>
      </c>
      <c r="G364" s="13"/>
      <c r="H364" s="13"/>
      <c r="I364" s="13"/>
      <c r="J364" s="12" t="s">
        <v>1292</v>
      </c>
      <c r="K364" s="12" t="s">
        <v>794</v>
      </c>
    </row>
    <row r="365" spans="1:11" ht="30" customHeight="1">
      <c r="A365" s="12" t="s">
        <v>427</v>
      </c>
      <c r="B365" s="12" t="s">
        <v>424</v>
      </c>
      <c r="C365" s="12" t="s">
        <v>374</v>
      </c>
      <c r="D365" s="12" t="s">
        <v>542</v>
      </c>
      <c r="E365" s="17">
        <v>3</v>
      </c>
      <c r="F365" s="12" t="s">
        <v>1206</v>
      </c>
      <c r="G365" s="13"/>
      <c r="H365" s="13"/>
      <c r="I365" s="13"/>
      <c r="J365" s="12" t="s">
        <v>1293</v>
      </c>
      <c r="K365" s="12" t="s">
        <v>794</v>
      </c>
    </row>
    <row r="366" spans="1:11" ht="30" customHeight="1">
      <c r="A366" s="12" t="s">
        <v>427</v>
      </c>
      <c r="B366" s="12" t="s">
        <v>424</v>
      </c>
      <c r="C366" s="12" t="s">
        <v>374</v>
      </c>
      <c r="D366" s="12" t="s">
        <v>543</v>
      </c>
      <c r="E366" s="17">
        <v>2</v>
      </c>
      <c r="F366" s="12" t="s">
        <v>1206</v>
      </c>
      <c r="G366" s="13"/>
      <c r="H366" s="13"/>
      <c r="I366" s="13"/>
      <c r="J366" s="12" t="s">
        <v>1294</v>
      </c>
      <c r="K366" s="12" t="s">
        <v>794</v>
      </c>
    </row>
    <row r="367" spans="1:11" ht="30" customHeight="1">
      <c r="A367" s="12" t="s">
        <v>240</v>
      </c>
      <c r="B367" s="12" t="s">
        <v>235</v>
      </c>
      <c r="C367" s="12" t="s">
        <v>207</v>
      </c>
      <c r="D367" s="12" t="s">
        <v>534</v>
      </c>
      <c r="E367" s="12" t="s">
        <v>1295</v>
      </c>
      <c r="F367" s="12" t="s">
        <v>54</v>
      </c>
      <c r="G367" s="12" t="s">
        <v>237</v>
      </c>
      <c r="H367" s="12" t="s">
        <v>1296</v>
      </c>
      <c r="I367" s="12" t="s">
        <v>239</v>
      </c>
      <c r="J367" s="12" t="s">
        <v>1297</v>
      </c>
      <c r="K367" s="12" t="s">
        <v>794</v>
      </c>
    </row>
    <row r="368" spans="1:11" ht="30" customHeight="1">
      <c r="A368" s="12" t="s">
        <v>240</v>
      </c>
      <c r="B368" s="12" t="s">
        <v>235</v>
      </c>
      <c r="C368" s="12" t="s">
        <v>207</v>
      </c>
      <c r="D368" s="12" t="s">
        <v>535</v>
      </c>
      <c r="E368" s="12" t="s">
        <v>1295</v>
      </c>
      <c r="F368" s="12" t="s">
        <v>54</v>
      </c>
      <c r="G368" s="12" t="s">
        <v>237</v>
      </c>
      <c r="H368" s="12" t="s">
        <v>1296</v>
      </c>
      <c r="I368" s="12" t="s">
        <v>239</v>
      </c>
      <c r="J368" s="12" t="s">
        <v>1297</v>
      </c>
      <c r="K368" s="12" t="s">
        <v>794</v>
      </c>
    </row>
    <row r="369" spans="1:11" ht="30" customHeight="1">
      <c r="A369" s="12" t="s">
        <v>240</v>
      </c>
      <c r="B369" s="12" t="s">
        <v>235</v>
      </c>
      <c r="C369" s="12" t="s">
        <v>207</v>
      </c>
      <c r="D369" s="12" t="s">
        <v>536</v>
      </c>
      <c r="E369" s="12" t="s">
        <v>1295</v>
      </c>
      <c r="F369" s="12" t="s">
        <v>54</v>
      </c>
      <c r="G369" s="12" t="s">
        <v>237</v>
      </c>
      <c r="H369" s="12" t="s">
        <v>1296</v>
      </c>
      <c r="I369" s="12" t="s">
        <v>239</v>
      </c>
      <c r="J369" s="12" t="s">
        <v>1297</v>
      </c>
      <c r="K369" s="12" t="s">
        <v>794</v>
      </c>
    </row>
    <row r="370" spans="1:11" ht="30" customHeight="1">
      <c r="A370" s="12" t="s">
        <v>240</v>
      </c>
      <c r="B370" s="12" t="s">
        <v>235</v>
      </c>
      <c r="C370" s="12" t="s">
        <v>207</v>
      </c>
      <c r="D370" s="12" t="s">
        <v>537</v>
      </c>
      <c r="E370" s="12" t="s">
        <v>1295</v>
      </c>
      <c r="F370" s="12" t="s">
        <v>54</v>
      </c>
      <c r="G370" s="12" t="s">
        <v>237</v>
      </c>
      <c r="H370" s="12" t="s">
        <v>1296</v>
      </c>
      <c r="I370" s="12" t="s">
        <v>239</v>
      </c>
      <c r="J370" s="12" t="s">
        <v>1297</v>
      </c>
      <c r="K370" s="12" t="s">
        <v>794</v>
      </c>
    </row>
    <row r="371" spans="1:11" ht="30" customHeight="1">
      <c r="A371" s="12" t="s">
        <v>240</v>
      </c>
      <c r="B371" s="12" t="s">
        <v>235</v>
      </c>
      <c r="C371" s="12" t="s">
        <v>207</v>
      </c>
      <c r="D371" s="12" t="s">
        <v>538</v>
      </c>
      <c r="E371" s="12" t="s">
        <v>1295</v>
      </c>
      <c r="F371" s="12" t="s">
        <v>54</v>
      </c>
      <c r="G371" s="12" t="s">
        <v>237</v>
      </c>
      <c r="H371" s="12" t="s">
        <v>1296</v>
      </c>
      <c r="I371" s="12" t="s">
        <v>239</v>
      </c>
      <c r="J371" s="12" t="s">
        <v>1297</v>
      </c>
      <c r="K371" s="12" t="s">
        <v>794</v>
      </c>
    </row>
    <row r="372" spans="1:11" ht="30" customHeight="1">
      <c r="A372" s="12" t="s">
        <v>240</v>
      </c>
      <c r="B372" s="12" t="s">
        <v>235</v>
      </c>
      <c r="C372" s="12" t="s">
        <v>207</v>
      </c>
      <c r="D372" s="12" t="s">
        <v>539</v>
      </c>
      <c r="E372" s="12" t="s">
        <v>1295</v>
      </c>
      <c r="F372" s="12" t="s">
        <v>54</v>
      </c>
      <c r="G372" s="12" t="s">
        <v>237</v>
      </c>
      <c r="H372" s="12" t="s">
        <v>1296</v>
      </c>
      <c r="I372" s="12" t="s">
        <v>239</v>
      </c>
      <c r="J372" s="12" t="s">
        <v>1297</v>
      </c>
      <c r="K372" s="12" t="s">
        <v>794</v>
      </c>
    </row>
    <row r="373" spans="1:11" ht="30" customHeight="1">
      <c r="A373" s="12" t="s">
        <v>240</v>
      </c>
      <c r="B373" s="12" t="s">
        <v>235</v>
      </c>
      <c r="C373" s="12" t="s">
        <v>207</v>
      </c>
      <c r="D373" s="12" t="s">
        <v>540</v>
      </c>
      <c r="E373" s="12" t="s">
        <v>1295</v>
      </c>
      <c r="F373" s="12" t="s">
        <v>54</v>
      </c>
      <c r="G373" s="12" t="s">
        <v>237</v>
      </c>
      <c r="H373" s="12" t="s">
        <v>1296</v>
      </c>
      <c r="I373" s="12" t="s">
        <v>239</v>
      </c>
      <c r="J373" s="12" t="s">
        <v>1297</v>
      </c>
      <c r="K373" s="12" t="s">
        <v>794</v>
      </c>
    </row>
    <row r="374" spans="1:11" ht="30" customHeight="1">
      <c r="A374" s="12" t="s">
        <v>240</v>
      </c>
      <c r="B374" s="12" t="s">
        <v>235</v>
      </c>
      <c r="C374" s="12" t="s">
        <v>207</v>
      </c>
      <c r="D374" s="12" t="s">
        <v>541</v>
      </c>
      <c r="E374" s="12" t="s">
        <v>1295</v>
      </c>
      <c r="F374" s="12" t="s">
        <v>54</v>
      </c>
      <c r="G374" s="12" t="s">
        <v>237</v>
      </c>
      <c r="H374" s="12" t="s">
        <v>1296</v>
      </c>
      <c r="I374" s="12" t="s">
        <v>239</v>
      </c>
      <c r="J374" s="12" t="s">
        <v>1297</v>
      </c>
      <c r="K374" s="12" t="s">
        <v>794</v>
      </c>
    </row>
    <row r="375" spans="1:11" ht="30" customHeight="1">
      <c r="A375" s="12" t="s">
        <v>240</v>
      </c>
      <c r="B375" s="12" t="s">
        <v>235</v>
      </c>
      <c r="C375" s="12" t="s">
        <v>207</v>
      </c>
      <c r="D375" s="12" t="s">
        <v>542</v>
      </c>
      <c r="E375" s="12" t="s">
        <v>1295</v>
      </c>
      <c r="F375" s="12" t="s">
        <v>54</v>
      </c>
      <c r="G375" s="12" t="s">
        <v>237</v>
      </c>
      <c r="H375" s="12" t="s">
        <v>1296</v>
      </c>
      <c r="I375" s="12" t="s">
        <v>239</v>
      </c>
      <c r="J375" s="12" t="s">
        <v>1297</v>
      </c>
      <c r="K375" s="12" t="s">
        <v>794</v>
      </c>
    </row>
    <row r="376" spans="1:11" ht="30" customHeight="1">
      <c r="A376" s="12" t="s">
        <v>240</v>
      </c>
      <c r="B376" s="12" t="s">
        <v>235</v>
      </c>
      <c r="C376" s="12" t="s">
        <v>207</v>
      </c>
      <c r="D376" s="12" t="s">
        <v>543</v>
      </c>
      <c r="E376" s="12" t="s">
        <v>1295</v>
      </c>
      <c r="F376" s="12" t="s">
        <v>54</v>
      </c>
      <c r="G376" s="12" t="s">
        <v>237</v>
      </c>
      <c r="H376" s="12" t="s">
        <v>1296</v>
      </c>
      <c r="I376" s="12" t="s">
        <v>239</v>
      </c>
      <c r="J376" s="12" t="s">
        <v>1297</v>
      </c>
      <c r="K376" s="12" t="s">
        <v>794</v>
      </c>
    </row>
    <row r="377" spans="1:11" ht="30" customHeight="1">
      <c r="A377" s="12" t="s">
        <v>227</v>
      </c>
      <c r="B377" s="12" t="s">
        <v>223</v>
      </c>
      <c r="C377" s="12" t="s">
        <v>207</v>
      </c>
      <c r="D377" s="12" t="s">
        <v>534</v>
      </c>
      <c r="E377" s="17">
        <v>3</v>
      </c>
      <c r="F377" s="12" t="s">
        <v>32</v>
      </c>
      <c r="G377" s="12" t="s">
        <v>1298</v>
      </c>
      <c r="H377" s="12" t="s">
        <v>1299</v>
      </c>
      <c r="I377" s="12" t="s">
        <v>1300</v>
      </c>
      <c r="J377" s="12" t="s">
        <v>1301</v>
      </c>
      <c r="K377" s="12" t="s">
        <v>794</v>
      </c>
    </row>
    <row r="378" spans="1:11" ht="30" customHeight="1">
      <c r="A378" s="12" t="s">
        <v>227</v>
      </c>
      <c r="B378" s="12" t="s">
        <v>223</v>
      </c>
      <c r="C378" s="12" t="s">
        <v>207</v>
      </c>
      <c r="D378" s="12" t="s">
        <v>535</v>
      </c>
      <c r="E378" s="17">
        <v>3</v>
      </c>
      <c r="F378" s="12" t="s">
        <v>32</v>
      </c>
      <c r="G378" s="12" t="s">
        <v>1298</v>
      </c>
      <c r="H378" s="12" t="s">
        <v>1299</v>
      </c>
      <c r="I378" s="12" t="s">
        <v>1300</v>
      </c>
      <c r="J378" s="12" t="s">
        <v>1302</v>
      </c>
      <c r="K378" s="12" t="s">
        <v>794</v>
      </c>
    </row>
    <row r="379" spans="1:11" ht="30" customHeight="1">
      <c r="A379" s="12" t="s">
        <v>227</v>
      </c>
      <c r="B379" s="12" t="s">
        <v>223</v>
      </c>
      <c r="C379" s="12" t="s">
        <v>207</v>
      </c>
      <c r="D379" s="12" t="s">
        <v>536</v>
      </c>
      <c r="E379" s="17">
        <v>2</v>
      </c>
      <c r="F379" s="12" t="s">
        <v>32</v>
      </c>
      <c r="G379" s="12" t="s">
        <v>1298</v>
      </c>
      <c r="H379" s="12" t="s">
        <v>1299</v>
      </c>
      <c r="I379" s="12" t="s">
        <v>1300</v>
      </c>
      <c r="J379" s="12" t="s">
        <v>1303</v>
      </c>
      <c r="K379" s="12" t="s">
        <v>794</v>
      </c>
    </row>
    <row r="380" spans="1:11" ht="30" customHeight="1">
      <c r="A380" s="12" t="s">
        <v>227</v>
      </c>
      <c r="B380" s="12" t="s">
        <v>223</v>
      </c>
      <c r="C380" s="12" t="s">
        <v>207</v>
      </c>
      <c r="D380" s="12" t="s">
        <v>537</v>
      </c>
      <c r="E380" s="17">
        <v>3</v>
      </c>
      <c r="F380" s="12" t="s">
        <v>32</v>
      </c>
      <c r="G380" s="12" t="s">
        <v>1298</v>
      </c>
      <c r="H380" s="12" t="s">
        <v>1299</v>
      </c>
      <c r="I380" s="12" t="s">
        <v>1300</v>
      </c>
      <c r="J380" s="12" t="s">
        <v>1304</v>
      </c>
      <c r="K380" s="12" t="s">
        <v>794</v>
      </c>
    </row>
    <row r="381" spans="1:11" ht="30" customHeight="1">
      <c r="A381" s="12" t="s">
        <v>227</v>
      </c>
      <c r="B381" s="12" t="s">
        <v>223</v>
      </c>
      <c r="C381" s="12" t="s">
        <v>207</v>
      </c>
      <c r="D381" s="12" t="s">
        <v>538</v>
      </c>
      <c r="E381" s="17">
        <v>2</v>
      </c>
      <c r="F381" s="12" t="s">
        <v>32</v>
      </c>
      <c r="G381" s="12" t="s">
        <v>1298</v>
      </c>
      <c r="H381" s="12" t="s">
        <v>1299</v>
      </c>
      <c r="I381" s="12" t="s">
        <v>1300</v>
      </c>
      <c r="J381" s="12" t="s">
        <v>1305</v>
      </c>
      <c r="K381" s="12" t="s">
        <v>794</v>
      </c>
    </row>
    <row r="382" spans="1:11" ht="30" customHeight="1">
      <c r="A382" s="12" t="s">
        <v>227</v>
      </c>
      <c r="B382" s="12" t="s">
        <v>223</v>
      </c>
      <c r="C382" s="12" t="s">
        <v>207</v>
      </c>
      <c r="D382" s="12" t="s">
        <v>539</v>
      </c>
      <c r="E382" s="17">
        <v>2</v>
      </c>
      <c r="F382" s="12" t="s">
        <v>32</v>
      </c>
      <c r="G382" s="12" t="s">
        <v>1298</v>
      </c>
      <c r="H382" s="12" t="s">
        <v>1299</v>
      </c>
      <c r="I382" s="12" t="s">
        <v>1300</v>
      </c>
      <c r="J382" s="12" t="s">
        <v>1306</v>
      </c>
      <c r="K382" s="12" t="s">
        <v>794</v>
      </c>
    </row>
    <row r="383" spans="1:11" ht="30" customHeight="1">
      <c r="A383" s="12" t="s">
        <v>227</v>
      </c>
      <c r="B383" s="12" t="s">
        <v>223</v>
      </c>
      <c r="C383" s="12" t="s">
        <v>207</v>
      </c>
      <c r="D383" s="12" t="s">
        <v>540</v>
      </c>
      <c r="E383" s="17">
        <v>0</v>
      </c>
      <c r="F383" s="12" t="s">
        <v>32</v>
      </c>
      <c r="G383" s="12" t="s">
        <v>1298</v>
      </c>
      <c r="H383" s="12" t="s">
        <v>1299</v>
      </c>
      <c r="I383" s="12" t="s">
        <v>1300</v>
      </c>
      <c r="J383" s="12" t="s">
        <v>1307</v>
      </c>
      <c r="K383" s="12" t="s">
        <v>794</v>
      </c>
    </row>
    <row r="384" spans="1:11" ht="30" customHeight="1">
      <c r="A384" s="12" t="s">
        <v>227</v>
      </c>
      <c r="B384" s="12" t="s">
        <v>223</v>
      </c>
      <c r="C384" s="12" t="s">
        <v>207</v>
      </c>
      <c r="D384" s="12" t="s">
        <v>541</v>
      </c>
      <c r="E384" s="17">
        <v>2</v>
      </c>
      <c r="F384" s="12" t="s">
        <v>32</v>
      </c>
      <c r="G384" s="12" t="s">
        <v>1298</v>
      </c>
      <c r="H384" s="12" t="s">
        <v>1299</v>
      </c>
      <c r="I384" s="12" t="s">
        <v>1300</v>
      </c>
      <c r="J384" s="12" t="s">
        <v>1308</v>
      </c>
      <c r="K384" s="12" t="s">
        <v>794</v>
      </c>
    </row>
    <row r="385" spans="1:11" ht="30" customHeight="1">
      <c r="A385" s="12" t="s">
        <v>227</v>
      </c>
      <c r="B385" s="12" t="s">
        <v>223</v>
      </c>
      <c r="C385" s="12" t="s">
        <v>207</v>
      </c>
      <c r="D385" s="12" t="s">
        <v>542</v>
      </c>
      <c r="E385" s="17">
        <v>2</v>
      </c>
      <c r="F385" s="12" t="s">
        <v>32</v>
      </c>
      <c r="G385" s="12" t="s">
        <v>1298</v>
      </c>
      <c r="H385" s="12" t="s">
        <v>1299</v>
      </c>
      <c r="I385" s="12" t="s">
        <v>1300</v>
      </c>
      <c r="J385" s="12" t="s">
        <v>1309</v>
      </c>
      <c r="K385" s="12" t="s">
        <v>794</v>
      </c>
    </row>
    <row r="386" spans="1:11" ht="30" customHeight="1">
      <c r="A386" s="12" t="s">
        <v>227</v>
      </c>
      <c r="B386" s="12" t="s">
        <v>223</v>
      </c>
      <c r="C386" s="12" t="s">
        <v>207</v>
      </c>
      <c r="D386" s="12" t="s">
        <v>543</v>
      </c>
      <c r="E386" s="17">
        <v>2</v>
      </c>
      <c r="F386" s="12" t="s">
        <v>32</v>
      </c>
      <c r="G386" s="12" t="s">
        <v>1298</v>
      </c>
      <c r="H386" s="12" t="s">
        <v>1299</v>
      </c>
      <c r="I386" s="12" t="s">
        <v>1300</v>
      </c>
      <c r="J386" s="12" t="s">
        <v>1310</v>
      </c>
      <c r="K386" s="12" t="s">
        <v>794</v>
      </c>
    </row>
    <row r="387" spans="1:11" ht="30" customHeight="1">
      <c r="A387" s="12" t="s">
        <v>278</v>
      </c>
      <c r="B387" s="12" t="s">
        <v>274</v>
      </c>
      <c r="C387" s="12" t="s">
        <v>207</v>
      </c>
      <c r="D387" s="12" t="s">
        <v>534</v>
      </c>
      <c r="E387" s="17">
        <v>3</v>
      </c>
      <c r="F387" s="12" t="s">
        <v>32</v>
      </c>
      <c r="G387" s="12" t="s">
        <v>1311</v>
      </c>
      <c r="H387" s="12" t="s">
        <v>1312</v>
      </c>
      <c r="I387" s="12" t="s">
        <v>1300</v>
      </c>
      <c r="J387" s="12" t="s">
        <v>1301</v>
      </c>
      <c r="K387" s="12" t="s">
        <v>794</v>
      </c>
    </row>
    <row r="388" spans="1:11" ht="30" customHeight="1">
      <c r="A388" s="12" t="s">
        <v>278</v>
      </c>
      <c r="B388" s="12" t="s">
        <v>274</v>
      </c>
      <c r="C388" s="12" t="s">
        <v>207</v>
      </c>
      <c r="D388" s="12" t="s">
        <v>535</v>
      </c>
      <c r="E388" s="17">
        <v>2</v>
      </c>
      <c r="F388" s="12" t="s">
        <v>32</v>
      </c>
      <c r="G388" s="12" t="s">
        <v>1311</v>
      </c>
      <c r="H388" s="12" t="s">
        <v>1312</v>
      </c>
      <c r="I388" s="12" t="s">
        <v>1300</v>
      </c>
      <c r="J388" s="12" t="s">
        <v>1302</v>
      </c>
      <c r="K388" s="12" t="s">
        <v>794</v>
      </c>
    </row>
    <row r="389" spans="1:11" ht="30" customHeight="1">
      <c r="A389" s="12" t="s">
        <v>278</v>
      </c>
      <c r="B389" s="12" t="s">
        <v>274</v>
      </c>
      <c r="C389" s="12" t="s">
        <v>207</v>
      </c>
      <c r="D389" s="12" t="s">
        <v>536</v>
      </c>
      <c r="E389" s="17">
        <v>2</v>
      </c>
      <c r="F389" s="12" t="s">
        <v>32</v>
      </c>
      <c r="G389" s="12" t="s">
        <v>1311</v>
      </c>
      <c r="H389" s="12" t="s">
        <v>1312</v>
      </c>
      <c r="I389" s="12" t="s">
        <v>1300</v>
      </c>
      <c r="J389" s="12" t="s">
        <v>1303</v>
      </c>
      <c r="K389" s="12" t="s">
        <v>794</v>
      </c>
    </row>
    <row r="390" spans="1:11" ht="30" customHeight="1">
      <c r="A390" s="12" t="s">
        <v>278</v>
      </c>
      <c r="B390" s="12" t="s">
        <v>274</v>
      </c>
      <c r="C390" s="12" t="s">
        <v>207</v>
      </c>
      <c r="D390" s="12" t="s">
        <v>537</v>
      </c>
      <c r="E390" s="17">
        <v>2</v>
      </c>
      <c r="F390" s="12" t="s">
        <v>32</v>
      </c>
      <c r="G390" s="12" t="s">
        <v>1311</v>
      </c>
      <c r="H390" s="12" t="s">
        <v>1312</v>
      </c>
      <c r="I390" s="12" t="s">
        <v>1300</v>
      </c>
      <c r="J390" s="12" t="s">
        <v>1304</v>
      </c>
      <c r="K390" s="12" t="s">
        <v>794</v>
      </c>
    </row>
    <row r="391" spans="1:11" ht="30" customHeight="1">
      <c r="A391" s="12" t="s">
        <v>278</v>
      </c>
      <c r="B391" s="12" t="s">
        <v>274</v>
      </c>
      <c r="C391" s="12" t="s">
        <v>207</v>
      </c>
      <c r="D391" s="12" t="s">
        <v>538</v>
      </c>
      <c r="E391" s="17">
        <v>1</v>
      </c>
      <c r="F391" s="12" t="s">
        <v>32</v>
      </c>
      <c r="G391" s="12" t="s">
        <v>1311</v>
      </c>
      <c r="H391" s="12" t="s">
        <v>1312</v>
      </c>
      <c r="I391" s="12" t="s">
        <v>1300</v>
      </c>
      <c r="J391" s="12" t="s">
        <v>1305</v>
      </c>
      <c r="K391" s="12" t="s">
        <v>794</v>
      </c>
    </row>
    <row r="392" spans="1:11" ht="30" customHeight="1">
      <c r="A392" s="12" t="s">
        <v>278</v>
      </c>
      <c r="B392" s="12" t="s">
        <v>274</v>
      </c>
      <c r="C392" s="12" t="s">
        <v>207</v>
      </c>
      <c r="D392" s="12" t="s">
        <v>539</v>
      </c>
      <c r="E392" s="17">
        <v>1</v>
      </c>
      <c r="F392" s="12" t="s">
        <v>32</v>
      </c>
      <c r="G392" s="12" t="s">
        <v>1311</v>
      </c>
      <c r="H392" s="12" t="s">
        <v>1312</v>
      </c>
      <c r="I392" s="12" t="s">
        <v>1300</v>
      </c>
      <c r="J392" s="12" t="s">
        <v>1306</v>
      </c>
      <c r="K392" s="12" t="s">
        <v>794</v>
      </c>
    </row>
    <row r="393" spans="1:11" ht="30" customHeight="1">
      <c r="A393" s="12" t="s">
        <v>278</v>
      </c>
      <c r="B393" s="12" t="s">
        <v>274</v>
      </c>
      <c r="C393" s="12" t="s">
        <v>207</v>
      </c>
      <c r="D393" s="12" t="s">
        <v>540</v>
      </c>
      <c r="E393" s="17">
        <v>0</v>
      </c>
      <c r="F393" s="12" t="s">
        <v>32</v>
      </c>
      <c r="G393" s="12" t="s">
        <v>1311</v>
      </c>
      <c r="H393" s="12" t="s">
        <v>1312</v>
      </c>
      <c r="I393" s="12" t="s">
        <v>1300</v>
      </c>
      <c r="J393" s="12" t="s">
        <v>1307</v>
      </c>
      <c r="K393" s="12" t="s">
        <v>794</v>
      </c>
    </row>
    <row r="394" spans="1:11" ht="30" customHeight="1">
      <c r="A394" s="12" t="s">
        <v>278</v>
      </c>
      <c r="B394" s="12" t="s">
        <v>274</v>
      </c>
      <c r="C394" s="12" t="s">
        <v>207</v>
      </c>
      <c r="D394" s="12" t="s">
        <v>541</v>
      </c>
      <c r="E394" s="17">
        <v>1</v>
      </c>
      <c r="F394" s="12" t="s">
        <v>32</v>
      </c>
      <c r="G394" s="12" t="s">
        <v>1311</v>
      </c>
      <c r="H394" s="12" t="s">
        <v>1312</v>
      </c>
      <c r="I394" s="12" t="s">
        <v>1300</v>
      </c>
      <c r="J394" s="12" t="s">
        <v>1308</v>
      </c>
      <c r="K394" s="12" t="s">
        <v>794</v>
      </c>
    </row>
    <row r="395" spans="1:11" ht="30" customHeight="1">
      <c r="A395" s="12" t="s">
        <v>278</v>
      </c>
      <c r="B395" s="12" t="s">
        <v>274</v>
      </c>
      <c r="C395" s="12" t="s">
        <v>207</v>
      </c>
      <c r="D395" s="12" t="s">
        <v>542</v>
      </c>
      <c r="E395" s="17">
        <v>2</v>
      </c>
      <c r="F395" s="12" t="s">
        <v>32</v>
      </c>
      <c r="G395" s="12" t="s">
        <v>1311</v>
      </c>
      <c r="H395" s="12" t="s">
        <v>1312</v>
      </c>
      <c r="I395" s="12" t="s">
        <v>1300</v>
      </c>
      <c r="J395" s="12" t="s">
        <v>1309</v>
      </c>
      <c r="K395" s="12" t="s">
        <v>794</v>
      </c>
    </row>
    <row r="396" spans="1:11" ht="30" customHeight="1">
      <c r="A396" s="12" t="s">
        <v>278</v>
      </c>
      <c r="B396" s="12" t="s">
        <v>274</v>
      </c>
      <c r="C396" s="12" t="s">
        <v>207</v>
      </c>
      <c r="D396" s="12" t="s">
        <v>543</v>
      </c>
      <c r="E396" s="17">
        <v>2</v>
      </c>
      <c r="F396" s="12" t="s">
        <v>32</v>
      </c>
      <c r="G396" s="12" t="s">
        <v>1311</v>
      </c>
      <c r="H396" s="12" t="s">
        <v>1312</v>
      </c>
      <c r="I396" s="12" t="s">
        <v>1300</v>
      </c>
      <c r="J396" s="12" t="s">
        <v>1310</v>
      </c>
      <c r="K396" s="12" t="s">
        <v>794</v>
      </c>
    </row>
    <row r="397" spans="1:11" ht="30" customHeight="1">
      <c r="A397" s="12" t="s">
        <v>212</v>
      </c>
      <c r="B397" s="12" t="s">
        <v>206</v>
      </c>
      <c r="C397" s="12" t="s">
        <v>207</v>
      </c>
      <c r="D397" s="12" t="s">
        <v>534</v>
      </c>
      <c r="E397" s="17">
        <v>2</v>
      </c>
      <c r="F397" s="12" t="s">
        <v>32</v>
      </c>
      <c r="G397" s="12" t="s">
        <v>1313</v>
      </c>
      <c r="H397" s="12" t="s">
        <v>1314</v>
      </c>
      <c r="I397" s="12" t="s">
        <v>1300</v>
      </c>
      <c r="J397" s="12" t="s">
        <v>1301</v>
      </c>
      <c r="K397" s="12" t="s">
        <v>794</v>
      </c>
    </row>
    <row r="398" spans="1:11" ht="30" customHeight="1">
      <c r="A398" s="12" t="s">
        <v>212</v>
      </c>
      <c r="B398" s="12" t="s">
        <v>206</v>
      </c>
      <c r="C398" s="12" t="s">
        <v>207</v>
      </c>
      <c r="D398" s="12" t="s">
        <v>535</v>
      </c>
      <c r="E398" s="17">
        <v>1</v>
      </c>
      <c r="F398" s="12" t="s">
        <v>32</v>
      </c>
      <c r="G398" s="12" t="s">
        <v>1313</v>
      </c>
      <c r="H398" s="12" t="s">
        <v>1314</v>
      </c>
      <c r="I398" s="12" t="s">
        <v>1300</v>
      </c>
      <c r="J398" s="12" t="s">
        <v>1302</v>
      </c>
      <c r="K398" s="12" t="s">
        <v>794</v>
      </c>
    </row>
    <row r="399" spans="1:11" ht="30" customHeight="1">
      <c r="A399" s="12" t="s">
        <v>212</v>
      </c>
      <c r="B399" s="12" t="s">
        <v>206</v>
      </c>
      <c r="C399" s="12" t="s">
        <v>207</v>
      </c>
      <c r="D399" s="12" t="s">
        <v>536</v>
      </c>
      <c r="E399" s="17">
        <v>2</v>
      </c>
      <c r="F399" s="12" t="s">
        <v>32</v>
      </c>
      <c r="G399" s="12" t="s">
        <v>1313</v>
      </c>
      <c r="H399" s="12" t="s">
        <v>1314</v>
      </c>
      <c r="I399" s="12" t="s">
        <v>1300</v>
      </c>
      <c r="J399" s="12" t="s">
        <v>1303</v>
      </c>
      <c r="K399" s="12" t="s">
        <v>794</v>
      </c>
    </row>
    <row r="400" spans="1:11" ht="30" customHeight="1">
      <c r="A400" s="12" t="s">
        <v>212</v>
      </c>
      <c r="B400" s="12" t="s">
        <v>206</v>
      </c>
      <c r="C400" s="12" t="s">
        <v>207</v>
      </c>
      <c r="D400" s="12" t="s">
        <v>537</v>
      </c>
      <c r="E400" s="17">
        <v>2</v>
      </c>
      <c r="F400" s="12" t="s">
        <v>32</v>
      </c>
      <c r="G400" s="12" t="s">
        <v>1313</v>
      </c>
      <c r="H400" s="12" t="s">
        <v>1314</v>
      </c>
      <c r="I400" s="12" t="s">
        <v>1300</v>
      </c>
      <c r="J400" s="12" t="s">
        <v>1304</v>
      </c>
      <c r="K400" s="12" t="s">
        <v>794</v>
      </c>
    </row>
    <row r="401" spans="1:11" ht="30" customHeight="1">
      <c r="A401" s="12" t="s">
        <v>212</v>
      </c>
      <c r="B401" s="12" t="s">
        <v>206</v>
      </c>
      <c r="C401" s="12" t="s">
        <v>207</v>
      </c>
      <c r="D401" s="12" t="s">
        <v>538</v>
      </c>
      <c r="E401" s="17">
        <v>2</v>
      </c>
      <c r="F401" s="12" t="s">
        <v>32</v>
      </c>
      <c r="G401" s="12" t="s">
        <v>1313</v>
      </c>
      <c r="H401" s="12" t="s">
        <v>1314</v>
      </c>
      <c r="I401" s="12" t="s">
        <v>1300</v>
      </c>
      <c r="J401" s="12" t="s">
        <v>1305</v>
      </c>
      <c r="K401" s="12" t="s">
        <v>794</v>
      </c>
    </row>
    <row r="402" spans="1:11" ht="30" customHeight="1">
      <c r="A402" s="12" t="s">
        <v>212</v>
      </c>
      <c r="B402" s="12" t="s">
        <v>206</v>
      </c>
      <c r="C402" s="12" t="s">
        <v>207</v>
      </c>
      <c r="D402" s="12" t="s">
        <v>539</v>
      </c>
      <c r="E402" s="17">
        <v>1</v>
      </c>
      <c r="F402" s="12" t="s">
        <v>32</v>
      </c>
      <c r="G402" s="12" t="s">
        <v>1313</v>
      </c>
      <c r="H402" s="12" t="s">
        <v>1314</v>
      </c>
      <c r="I402" s="12" t="s">
        <v>1300</v>
      </c>
      <c r="J402" s="12" t="s">
        <v>1306</v>
      </c>
      <c r="K402" s="12" t="s">
        <v>794</v>
      </c>
    </row>
    <row r="403" spans="1:11" ht="30" customHeight="1">
      <c r="A403" s="12" t="s">
        <v>212</v>
      </c>
      <c r="B403" s="12" t="s">
        <v>206</v>
      </c>
      <c r="C403" s="12" t="s">
        <v>207</v>
      </c>
      <c r="D403" s="12" t="s">
        <v>540</v>
      </c>
      <c r="E403" s="17">
        <v>0</v>
      </c>
      <c r="F403" s="12" t="s">
        <v>32</v>
      </c>
      <c r="G403" s="12" t="s">
        <v>1313</v>
      </c>
      <c r="H403" s="12" t="s">
        <v>1314</v>
      </c>
      <c r="I403" s="12" t="s">
        <v>1300</v>
      </c>
      <c r="J403" s="12" t="s">
        <v>1307</v>
      </c>
      <c r="K403" s="12" t="s">
        <v>794</v>
      </c>
    </row>
    <row r="404" spans="1:11" ht="30" customHeight="1">
      <c r="A404" s="12" t="s">
        <v>212</v>
      </c>
      <c r="B404" s="12" t="s">
        <v>206</v>
      </c>
      <c r="C404" s="12" t="s">
        <v>207</v>
      </c>
      <c r="D404" s="12" t="s">
        <v>541</v>
      </c>
      <c r="E404" s="17">
        <v>1</v>
      </c>
      <c r="F404" s="12" t="s">
        <v>32</v>
      </c>
      <c r="G404" s="12" t="s">
        <v>1313</v>
      </c>
      <c r="H404" s="12" t="s">
        <v>1314</v>
      </c>
      <c r="I404" s="12" t="s">
        <v>1300</v>
      </c>
      <c r="J404" s="12" t="s">
        <v>1308</v>
      </c>
      <c r="K404" s="12" t="s">
        <v>794</v>
      </c>
    </row>
    <row r="405" spans="1:11" ht="30" customHeight="1">
      <c r="A405" s="12" t="s">
        <v>212</v>
      </c>
      <c r="B405" s="12" t="s">
        <v>206</v>
      </c>
      <c r="C405" s="12" t="s">
        <v>207</v>
      </c>
      <c r="D405" s="12" t="s">
        <v>542</v>
      </c>
      <c r="E405" s="17">
        <v>3</v>
      </c>
      <c r="F405" s="12" t="s">
        <v>32</v>
      </c>
      <c r="G405" s="12" t="s">
        <v>1313</v>
      </c>
      <c r="H405" s="12" t="s">
        <v>1314</v>
      </c>
      <c r="I405" s="12" t="s">
        <v>1300</v>
      </c>
      <c r="J405" s="12" t="s">
        <v>1309</v>
      </c>
      <c r="K405" s="12" t="s">
        <v>794</v>
      </c>
    </row>
    <row r="406" spans="1:11" ht="30" customHeight="1">
      <c r="A406" s="12" t="s">
        <v>212</v>
      </c>
      <c r="B406" s="12" t="s">
        <v>206</v>
      </c>
      <c r="C406" s="12" t="s">
        <v>207</v>
      </c>
      <c r="D406" s="12" t="s">
        <v>543</v>
      </c>
      <c r="E406" s="17">
        <v>2</v>
      </c>
      <c r="F406" s="12" t="s">
        <v>32</v>
      </c>
      <c r="G406" s="12" t="s">
        <v>1313</v>
      </c>
      <c r="H406" s="12" t="s">
        <v>1314</v>
      </c>
      <c r="I406" s="12" t="s">
        <v>1300</v>
      </c>
      <c r="J406" s="12" t="s">
        <v>1310</v>
      </c>
      <c r="K406" s="12" t="s">
        <v>794</v>
      </c>
    </row>
    <row r="407" spans="1:11" ht="30" customHeight="1">
      <c r="A407" s="12" t="s">
        <v>300</v>
      </c>
      <c r="B407" s="12" t="s">
        <v>296</v>
      </c>
      <c r="C407" s="12" t="s">
        <v>207</v>
      </c>
      <c r="D407" s="12" t="s">
        <v>534</v>
      </c>
      <c r="E407" s="17">
        <v>3</v>
      </c>
      <c r="F407" s="12" t="s">
        <v>32</v>
      </c>
      <c r="G407" s="12" t="s">
        <v>1315</v>
      </c>
      <c r="H407" s="12" t="s">
        <v>1316</v>
      </c>
      <c r="I407" s="12" t="s">
        <v>1300</v>
      </c>
      <c r="J407" s="12" t="s">
        <v>1301</v>
      </c>
      <c r="K407" s="12" t="s">
        <v>794</v>
      </c>
    </row>
    <row r="408" spans="1:11" ht="30" customHeight="1">
      <c r="A408" s="12" t="s">
        <v>300</v>
      </c>
      <c r="B408" s="12" t="s">
        <v>296</v>
      </c>
      <c r="C408" s="12" t="s">
        <v>207</v>
      </c>
      <c r="D408" s="12" t="s">
        <v>535</v>
      </c>
      <c r="E408" s="17">
        <v>2</v>
      </c>
      <c r="F408" s="12" t="s">
        <v>32</v>
      </c>
      <c r="G408" s="12" t="s">
        <v>1315</v>
      </c>
      <c r="H408" s="12" t="s">
        <v>1316</v>
      </c>
      <c r="I408" s="12" t="s">
        <v>1300</v>
      </c>
      <c r="J408" s="12" t="s">
        <v>1302</v>
      </c>
      <c r="K408" s="12" t="s">
        <v>794</v>
      </c>
    </row>
    <row r="409" spans="1:11" ht="30" customHeight="1">
      <c r="A409" s="12" t="s">
        <v>300</v>
      </c>
      <c r="B409" s="12" t="s">
        <v>296</v>
      </c>
      <c r="C409" s="12" t="s">
        <v>207</v>
      </c>
      <c r="D409" s="12" t="s">
        <v>536</v>
      </c>
      <c r="E409" s="17">
        <v>2</v>
      </c>
      <c r="F409" s="12" t="s">
        <v>32</v>
      </c>
      <c r="G409" s="12" t="s">
        <v>1315</v>
      </c>
      <c r="H409" s="12" t="s">
        <v>1316</v>
      </c>
      <c r="I409" s="12" t="s">
        <v>1300</v>
      </c>
      <c r="J409" s="12" t="s">
        <v>1303</v>
      </c>
      <c r="K409" s="12" t="s">
        <v>794</v>
      </c>
    </row>
    <row r="410" spans="1:11" ht="30" customHeight="1">
      <c r="A410" s="12" t="s">
        <v>300</v>
      </c>
      <c r="B410" s="12" t="s">
        <v>296</v>
      </c>
      <c r="C410" s="12" t="s">
        <v>207</v>
      </c>
      <c r="D410" s="12" t="s">
        <v>537</v>
      </c>
      <c r="E410" s="17">
        <v>2</v>
      </c>
      <c r="F410" s="12" t="s">
        <v>32</v>
      </c>
      <c r="G410" s="12" t="s">
        <v>1315</v>
      </c>
      <c r="H410" s="12" t="s">
        <v>1316</v>
      </c>
      <c r="I410" s="12" t="s">
        <v>1300</v>
      </c>
      <c r="J410" s="12" t="s">
        <v>1304</v>
      </c>
      <c r="K410" s="12" t="s">
        <v>794</v>
      </c>
    </row>
    <row r="411" spans="1:11" ht="30" customHeight="1">
      <c r="A411" s="12" t="s">
        <v>300</v>
      </c>
      <c r="B411" s="12" t="s">
        <v>296</v>
      </c>
      <c r="C411" s="12" t="s">
        <v>207</v>
      </c>
      <c r="D411" s="12" t="s">
        <v>538</v>
      </c>
      <c r="E411" s="17">
        <v>1</v>
      </c>
      <c r="F411" s="12" t="s">
        <v>32</v>
      </c>
      <c r="G411" s="12" t="s">
        <v>1315</v>
      </c>
      <c r="H411" s="12" t="s">
        <v>1316</v>
      </c>
      <c r="I411" s="12" t="s">
        <v>1300</v>
      </c>
      <c r="J411" s="12" t="s">
        <v>1305</v>
      </c>
      <c r="K411" s="12" t="s">
        <v>794</v>
      </c>
    </row>
    <row r="412" spans="1:11" ht="30" customHeight="1">
      <c r="A412" s="12" t="s">
        <v>300</v>
      </c>
      <c r="B412" s="12" t="s">
        <v>296</v>
      </c>
      <c r="C412" s="12" t="s">
        <v>207</v>
      </c>
      <c r="D412" s="12" t="s">
        <v>539</v>
      </c>
      <c r="E412" s="17">
        <v>1</v>
      </c>
      <c r="F412" s="12" t="s">
        <v>32</v>
      </c>
      <c r="G412" s="12" t="s">
        <v>1315</v>
      </c>
      <c r="H412" s="12" t="s">
        <v>1316</v>
      </c>
      <c r="I412" s="12" t="s">
        <v>1300</v>
      </c>
      <c r="J412" s="12" t="s">
        <v>1306</v>
      </c>
      <c r="K412" s="12" t="s">
        <v>794</v>
      </c>
    </row>
    <row r="413" spans="1:11" ht="30" customHeight="1">
      <c r="A413" s="12" t="s">
        <v>300</v>
      </c>
      <c r="B413" s="12" t="s">
        <v>296</v>
      </c>
      <c r="C413" s="12" t="s">
        <v>207</v>
      </c>
      <c r="D413" s="12" t="s">
        <v>540</v>
      </c>
      <c r="E413" s="17">
        <v>0</v>
      </c>
      <c r="F413" s="12" t="s">
        <v>32</v>
      </c>
      <c r="G413" s="12" t="s">
        <v>1315</v>
      </c>
      <c r="H413" s="12" t="s">
        <v>1316</v>
      </c>
      <c r="I413" s="12" t="s">
        <v>1300</v>
      </c>
      <c r="J413" s="12" t="s">
        <v>1307</v>
      </c>
      <c r="K413" s="12" t="s">
        <v>794</v>
      </c>
    </row>
    <row r="414" spans="1:11" ht="30" customHeight="1">
      <c r="A414" s="12" t="s">
        <v>300</v>
      </c>
      <c r="B414" s="12" t="s">
        <v>296</v>
      </c>
      <c r="C414" s="12" t="s">
        <v>207</v>
      </c>
      <c r="D414" s="12" t="s">
        <v>541</v>
      </c>
      <c r="E414" s="17">
        <v>1</v>
      </c>
      <c r="F414" s="12" t="s">
        <v>32</v>
      </c>
      <c r="G414" s="12" t="s">
        <v>1315</v>
      </c>
      <c r="H414" s="12" t="s">
        <v>1316</v>
      </c>
      <c r="I414" s="12" t="s">
        <v>1300</v>
      </c>
      <c r="J414" s="12" t="s">
        <v>1308</v>
      </c>
      <c r="K414" s="12" t="s">
        <v>794</v>
      </c>
    </row>
    <row r="415" spans="1:11" ht="30" customHeight="1">
      <c r="A415" s="12" t="s">
        <v>300</v>
      </c>
      <c r="B415" s="12" t="s">
        <v>296</v>
      </c>
      <c r="C415" s="12" t="s">
        <v>207</v>
      </c>
      <c r="D415" s="12" t="s">
        <v>542</v>
      </c>
      <c r="E415" s="17">
        <v>3</v>
      </c>
      <c r="F415" s="12" t="s">
        <v>32</v>
      </c>
      <c r="G415" s="12" t="s">
        <v>1315</v>
      </c>
      <c r="H415" s="12" t="s">
        <v>1316</v>
      </c>
      <c r="I415" s="12" t="s">
        <v>1300</v>
      </c>
      <c r="J415" s="12" t="s">
        <v>1309</v>
      </c>
      <c r="K415" s="12" t="s">
        <v>794</v>
      </c>
    </row>
    <row r="416" spans="1:11" ht="30" customHeight="1">
      <c r="A416" s="12" t="s">
        <v>300</v>
      </c>
      <c r="B416" s="12" t="s">
        <v>296</v>
      </c>
      <c r="C416" s="12" t="s">
        <v>207</v>
      </c>
      <c r="D416" s="12" t="s">
        <v>543</v>
      </c>
      <c r="E416" s="17">
        <v>2</v>
      </c>
      <c r="F416" s="12" t="s">
        <v>32</v>
      </c>
      <c r="G416" s="12" t="s">
        <v>1315</v>
      </c>
      <c r="H416" s="12" t="s">
        <v>1316</v>
      </c>
      <c r="I416" s="12" t="s">
        <v>1300</v>
      </c>
      <c r="J416" s="12" t="s">
        <v>1310</v>
      </c>
      <c r="K416" s="12" t="s">
        <v>794</v>
      </c>
    </row>
    <row r="417" spans="1:11" ht="30" customHeight="1">
      <c r="A417" s="12" t="s">
        <v>284</v>
      </c>
      <c r="B417" s="12" t="s">
        <v>280</v>
      </c>
      <c r="C417" s="12" t="s">
        <v>207</v>
      </c>
      <c r="D417" s="12" t="s">
        <v>534</v>
      </c>
      <c r="E417" s="17">
        <v>3</v>
      </c>
      <c r="F417" s="12" t="s">
        <v>32</v>
      </c>
      <c r="G417" s="12" t="s">
        <v>1317</v>
      </c>
      <c r="H417" s="12" t="s">
        <v>1318</v>
      </c>
      <c r="I417" s="12" t="s">
        <v>1300</v>
      </c>
      <c r="J417" s="12" t="s">
        <v>1301</v>
      </c>
      <c r="K417" s="12" t="s">
        <v>794</v>
      </c>
    </row>
    <row r="418" spans="1:11" ht="30" customHeight="1">
      <c r="A418" s="12" t="s">
        <v>284</v>
      </c>
      <c r="B418" s="12" t="s">
        <v>280</v>
      </c>
      <c r="C418" s="12" t="s">
        <v>207</v>
      </c>
      <c r="D418" s="12" t="s">
        <v>535</v>
      </c>
      <c r="E418" s="17">
        <v>2</v>
      </c>
      <c r="F418" s="12" t="s">
        <v>32</v>
      </c>
      <c r="G418" s="12" t="s">
        <v>1317</v>
      </c>
      <c r="H418" s="12" t="s">
        <v>1318</v>
      </c>
      <c r="I418" s="12" t="s">
        <v>1300</v>
      </c>
      <c r="J418" s="12" t="s">
        <v>1302</v>
      </c>
      <c r="K418" s="12" t="s">
        <v>794</v>
      </c>
    </row>
    <row r="419" spans="1:11" ht="30" customHeight="1">
      <c r="A419" s="12" t="s">
        <v>284</v>
      </c>
      <c r="B419" s="12" t="s">
        <v>280</v>
      </c>
      <c r="C419" s="12" t="s">
        <v>207</v>
      </c>
      <c r="D419" s="12" t="s">
        <v>536</v>
      </c>
      <c r="E419" s="17">
        <v>2</v>
      </c>
      <c r="F419" s="12" t="s">
        <v>32</v>
      </c>
      <c r="G419" s="12" t="s">
        <v>1317</v>
      </c>
      <c r="H419" s="12" t="s">
        <v>1318</v>
      </c>
      <c r="I419" s="12" t="s">
        <v>1300</v>
      </c>
      <c r="J419" s="12" t="s">
        <v>1303</v>
      </c>
      <c r="K419" s="12" t="s">
        <v>794</v>
      </c>
    </row>
    <row r="420" spans="1:11" ht="30" customHeight="1">
      <c r="A420" s="12" t="s">
        <v>284</v>
      </c>
      <c r="B420" s="12" t="s">
        <v>280</v>
      </c>
      <c r="C420" s="12" t="s">
        <v>207</v>
      </c>
      <c r="D420" s="12" t="s">
        <v>537</v>
      </c>
      <c r="E420" s="17">
        <v>2</v>
      </c>
      <c r="F420" s="12" t="s">
        <v>32</v>
      </c>
      <c r="G420" s="12" t="s">
        <v>1317</v>
      </c>
      <c r="H420" s="12" t="s">
        <v>1318</v>
      </c>
      <c r="I420" s="12" t="s">
        <v>1300</v>
      </c>
      <c r="J420" s="12" t="s">
        <v>1304</v>
      </c>
      <c r="K420" s="12" t="s">
        <v>794</v>
      </c>
    </row>
    <row r="421" spans="1:11" ht="30" customHeight="1">
      <c r="A421" s="12" t="s">
        <v>284</v>
      </c>
      <c r="B421" s="12" t="s">
        <v>280</v>
      </c>
      <c r="C421" s="12" t="s">
        <v>207</v>
      </c>
      <c r="D421" s="12" t="s">
        <v>538</v>
      </c>
      <c r="E421" s="17">
        <v>2</v>
      </c>
      <c r="F421" s="12" t="s">
        <v>32</v>
      </c>
      <c r="G421" s="12" t="s">
        <v>1317</v>
      </c>
      <c r="H421" s="12" t="s">
        <v>1318</v>
      </c>
      <c r="I421" s="12" t="s">
        <v>1300</v>
      </c>
      <c r="J421" s="12" t="s">
        <v>1305</v>
      </c>
      <c r="K421" s="12" t="s">
        <v>794</v>
      </c>
    </row>
    <row r="422" spans="1:11" ht="30" customHeight="1">
      <c r="A422" s="12" t="s">
        <v>284</v>
      </c>
      <c r="B422" s="12" t="s">
        <v>280</v>
      </c>
      <c r="C422" s="12" t="s">
        <v>207</v>
      </c>
      <c r="D422" s="12" t="s">
        <v>539</v>
      </c>
      <c r="E422" s="17">
        <v>2</v>
      </c>
      <c r="F422" s="12" t="s">
        <v>32</v>
      </c>
      <c r="G422" s="12" t="s">
        <v>1317</v>
      </c>
      <c r="H422" s="12" t="s">
        <v>1318</v>
      </c>
      <c r="I422" s="12" t="s">
        <v>1300</v>
      </c>
      <c r="J422" s="12" t="s">
        <v>1306</v>
      </c>
      <c r="K422" s="12" t="s">
        <v>794</v>
      </c>
    </row>
    <row r="423" spans="1:11" ht="30" customHeight="1">
      <c r="A423" s="12" t="s">
        <v>284</v>
      </c>
      <c r="B423" s="12" t="s">
        <v>280</v>
      </c>
      <c r="C423" s="12" t="s">
        <v>207</v>
      </c>
      <c r="D423" s="12" t="s">
        <v>540</v>
      </c>
      <c r="E423" s="17">
        <v>0</v>
      </c>
      <c r="F423" s="12" t="s">
        <v>32</v>
      </c>
      <c r="G423" s="12" t="s">
        <v>1317</v>
      </c>
      <c r="H423" s="12" t="s">
        <v>1318</v>
      </c>
      <c r="I423" s="12" t="s">
        <v>1300</v>
      </c>
      <c r="J423" s="12" t="s">
        <v>1307</v>
      </c>
      <c r="K423" s="12" t="s">
        <v>794</v>
      </c>
    </row>
    <row r="424" spans="1:11" ht="30" customHeight="1">
      <c r="A424" s="12" t="s">
        <v>284</v>
      </c>
      <c r="B424" s="12" t="s">
        <v>280</v>
      </c>
      <c r="C424" s="12" t="s">
        <v>207</v>
      </c>
      <c r="D424" s="12" t="s">
        <v>541</v>
      </c>
      <c r="E424" s="17">
        <v>1</v>
      </c>
      <c r="F424" s="12" t="s">
        <v>32</v>
      </c>
      <c r="G424" s="12" t="s">
        <v>1317</v>
      </c>
      <c r="H424" s="12" t="s">
        <v>1318</v>
      </c>
      <c r="I424" s="12" t="s">
        <v>1300</v>
      </c>
      <c r="J424" s="12" t="s">
        <v>1308</v>
      </c>
      <c r="K424" s="12" t="s">
        <v>794</v>
      </c>
    </row>
    <row r="425" spans="1:11" ht="30" customHeight="1">
      <c r="A425" s="12" t="s">
        <v>284</v>
      </c>
      <c r="B425" s="12" t="s">
        <v>280</v>
      </c>
      <c r="C425" s="12" t="s">
        <v>207</v>
      </c>
      <c r="D425" s="12" t="s">
        <v>542</v>
      </c>
      <c r="E425" s="17">
        <v>3</v>
      </c>
      <c r="F425" s="12" t="s">
        <v>32</v>
      </c>
      <c r="G425" s="12" t="s">
        <v>1317</v>
      </c>
      <c r="H425" s="12" t="s">
        <v>1318</v>
      </c>
      <c r="I425" s="12" t="s">
        <v>1300</v>
      </c>
      <c r="J425" s="12" t="s">
        <v>1309</v>
      </c>
      <c r="K425" s="12" t="s">
        <v>794</v>
      </c>
    </row>
    <row r="426" spans="1:11" ht="30" customHeight="1">
      <c r="A426" s="12" t="s">
        <v>284</v>
      </c>
      <c r="B426" s="12" t="s">
        <v>280</v>
      </c>
      <c r="C426" s="12" t="s">
        <v>207</v>
      </c>
      <c r="D426" s="12" t="s">
        <v>543</v>
      </c>
      <c r="E426" s="17">
        <v>2</v>
      </c>
      <c r="F426" s="12" t="s">
        <v>32</v>
      </c>
      <c r="G426" s="12" t="s">
        <v>1317</v>
      </c>
      <c r="H426" s="12" t="s">
        <v>1318</v>
      </c>
      <c r="I426" s="12" t="s">
        <v>1300</v>
      </c>
      <c r="J426" s="12" t="s">
        <v>1310</v>
      </c>
      <c r="K426" s="12" t="s">
        <v>794</v>
      </c>
    </row>
    <row r="427" spans="1:11" ht="30" customHeight="1">
      <c r="A427" s="12" t="s">
        <v>272</v>
      </c>
      <c r="B427" s="12" t="s">
        <v>269</v>
      </c>
      <c r="C427" s="12" t="s">
        <v>207</v>
      </c>
      <c r="D427" s="12" t="s">
        <v>534</v>
      </c>
      <c r="E427" s="17">
        <v>2</v>
      </c>
      <c r="F427" s="12" t="s">
        <v>32</v>
      </c>
      <c r="G427" s="12" t="s">
        <v>1319</v>
      </c>
      <c r="H427" s="12" t="s">
        <v>1320</v>
      </c>
      <c r="I427" s="12" t="s">
        <v>1300</v>
      </c>
      <c r="J427" s="12" t="s">
        <v>1301</v>
      </c>
      <c r="K427" s="12" t="s">
        <v>794</v>
      </c>
    </row>
    <row r="428" spans="1:11" ht="30" customHeight="1">
      <c r="A428" s="12" t="s">
        <v>272</v>
      </c>
      <c r="B428" s="12" t="s">
        <v>269</v>
      </c>
      <c r="C428" s="12" t="s">
        <v>207</v>
      </c>
      <c r="D428" s="12" t="s">
        <v>535</v>
      </c>
      <c r="E428" s="17">
        <v>2</v>
      </c>
      <c r="F428" s="12" t="s">
        <v>32</v>
      </c>
      <c r="G428" s="12" t="s">
        <v>1319</v>
      </c>
      <c r="H428" s="12" t="s">
        <v>1320</v>
      </c>
      <c r="I428" s="12" t="s">
        <v>1300</v>
      </c>
      <c r="J428" s="12" t="s">
        <v>1302</v>
      </c>
      <c r="K428" s="12" t="s">
        <v>794</v>
      </c>
    </row>
    <row r="429" spans="1:11" ht="30" customHeight="1">
      <c r="A429" s="12" t="s">
        <v>272</v>
      </c>
      <c r="B429" s="12" t="s">
        <v>269</v>
      </c>
      <c r="C429" s="12" t="s">
        <v>207</v>
      </c>
      <c r="D429" s="12" t="s">
        <v>536</v>
      </c>
      <c r="E429" s="17">
        <v>2</v>
      </c>
      <c r="F429" s="12" t="s">
        <v>32</v>
      </c>
      <c r="G429" s="12" t="s">
        <v>1319</v>
      </c>
      <c r="H429" s="12" t="s">
        <v>1320</v>
      </c>
      <c r="I429" s="12" t="s">
        <v>1300</v>
      </c>
      <c r="J429" s="12" t="s">
        <v>1303</v>
      </c>
      <c r="K429" s="12" t="s">
        <v>794</v>
      </c>
    </row>
    <row r="430" spans="1:11" ht="30" customHeight="1">
      <c r="A430" s="12" t="s">
        <v>272</v>
      </c>
      <c r="B430" s="12" t="s">
        <v>269</v>
      </c>
      <c r="C430" s="12" t="s">
        <v>207</v>
      </c>
      <c r="D430" s="12" t="s">
        <v>537</v>
      </c>
      <c r="E430" s="17">
        <v>1</v>
      </c>
      <c r="F430" s="12" t="s">
        <v>32</v>
      </c>
      <c r="G430" s="12" t="s">
        <v>1319</v>
      </c>
      <c r="H430" s="12" t="s">
        <v>1320</v>
      </c>
      <c r="I430" s="12" t="s">
        <v>1300</v>
      </c>
      <c r="J430" s="12" t="s">
        <v>1304</v>
      </c>
      <c r="K430" s="12" t="s">
        <v>794</v>
      </c>
    </row>
    <row r="431" spans="1:11" ht="30" customHeight="1">
      <c r="A431" s="12" t="s">
        <v>272</v>
      </c>
      <c r="B431" s="12" t="s">
        <v>269</v>
      </c>
      <c r="C431" s="12" t="s">
        <v>207</v>
      </c>
      <c r="D431" s="12" t="s">
        <v>538</v>
      </c>
      <c r="E431" s="17">
        <v>1</v>
      </c>
      <c r="F431" s="12" t="s">
        <v>32</v>
      </c>
      <c r="G431" s="12" t="s">
        <v>1319</v>
      </c>
      <c r="H431" s="12" t="s">
        <v>1320</v>
      </c>
      <c r="I431" s="12" t="s">
        <v>1300</v>
      </c>
      <c r="J431" s="12" t="s">
        <v>1305</v>
      </c>
      <c r="K431" s="12" t="s">
        <v>794</v>
      </c>
    </row>
    <row r="432" spans="1:11" ht="30" customHeight="1">
      <c r="A432" s="12" t="s">
        <v>272</v>
      </c>
      <c r="B432" s="12" t="s">
        <v>269</v>
      </c>
      <c r="C432" s="12" t="s">
        <v>207</v>
      </c>
      <c r="D432" s="12" t="s">
        <v>539</v>
      </c>
      <c r="E432" s="17">
        <v>0</v>
      </c>
      <c r="F432" s="12" t="s">
        <v>32</v>
      </c>
      <c r="G432" s="12" t="s">
        <v>1319</v>
      </c>
      <c r="H432" s="12" t="s">
        <v>1320</v>
      </c>
      <c r="I432" s="12" t="s">
        <v>1300</v>
      </c>
      <c r="J432" s="12" t="s">
        <v>1306</v>
      </c>
      <c r="K432" s="12" t="s">
        <v>794</v>
      </c>
    </row>
    <row r="433" spans="1:11" ht="30" customHeight="1">
      <c r="A433" s="12" t="s">
        <v>272</v>
      </c>
      <c r="B433" s="12" t="s">
        <v>269</v>
      </c>
      <c r="C433" s="12" t="s">
        <v>207</v>
      </c>
      <c r="D433" s="12" t="s">
        <v>540</v>
      </c>
      <c r="E433" s="17">
        <v>0</v>
      </c>
      <c r="F433" s="12" t="s">
        <v>32</v>
      </c>
      <c r="G433" s="12" t="s">
        <v>1319</v>
      </c>
      <c r="H433" s="12" t="s">
        <v>1320</v>
      </c>
      <c r="I433" s="12" t="s">
        <v>1300</v>
      </c>
      <c r="J433" s="12" t="s">
        <v>1307</v>
      </c>
      <c r="K433" s="12" t="s">
        <v>794</v>
      </c>
    </row>
    <row r="434" spans="1:11" ht="30" customHeight="1">
      <c r="A434" s="12" t="s">
        <v>272</v>
      </c>
      <c r="B434" s="12" t="s">
        <v>269</v>
      </c>
      <c r="C434" s="12" t="s">
        <v>207</v>
      </c>
      <c r="D434" s="12" t="s">
        <v>541</v>
      </c>
      <c r="E434" s="17">
        <v>0</v>
      </c>
      <c r="F434" s="12" t="s">
        <v>32</v>
      </c>
      <c r="G434" s="12" t="s">
        <v>1319</v>
      </c>
      <c r="H434" s="12" t="s">
        <v>1320</v>
      </c>
      <c r="I434" s="12" t="s">
        <v>1300</v>
      </c>
      <c r="J434" s="12" t="s">
        <v>1308</v>
      </c>
      <c r="K434" s="12" t="s">
        <v>794</v>
      </c>
    </row>
    <row r="435" spans="1:11" ht="30" customHeight="1">
      <c r="A435" s="12" t="s">
        <v>272</v>
      </c>
      <c r="B435" s="12" t="s">
        <v>269</v>
      </c>
      <c r="C435" s="12" t="s">
        <v>207</v>
      </c>
      <c r="D435" s="12" t="s">
        <v>542</v>
      </c>
      <c r="E435" s="17">
        <v>0</v>
      </c>
      <c r="F435" s="12" t="s">
        <v>32</v>
      </c>
      <c r="G435" s="12" t="s">
        <v>1319</v>
      </c>
      <c r="H435" s="12" t="s">
        <v>1320</v>
      </c>
      <c r="I435" s="12" t="s">
        <v>1300</v>
      </c>
      <c r="J435" s="12" t="s">
        <v>1309</v>
      </c>
      <c r="K435" s="12" t="s">
        <v>794</v>
      </c>
    </row>
    <row r="436" spans="1:11" ht="30" customHeight="1">
      <c r="A436" s="12" t="s">
        <v>272</v>
      </c>
      <c r="B436" s="12" t="s">
        <v>269</v>
      </c>
      <c r="C436" s="12" t="s">
        <v>207</v>
      </c>
      <c r="D436" s="12" t="s">
        <v>543</v>
      </c>
      <c r="E436" s="17">
        <v>2</v>
      </c>
      <c r="F436" s="12" t="s">
        <v>32</v>
      </c>
      <c r="G436" s="12" t="s">
        <v>1319</v>
      </c>
      <c r="H436" s="12" t="s">
        <v>1320</v>
      </c>
      <c r="I436" s="12" t="s">
        <v>1300</v>
      </c>
      <c r="J436" s="12" t="s">
        <v>1310</v>
      </c>
      <c r="K436" s="12" t="s">
        <v>794</v>
      </c>
    </row>
    <row r="437" spans="1:11" ht="30" customHeight="1">
      <c r="A437" s="12" t="s">
        <v>294</v>
      </c>
      <c r="B437" s="12" t="s">
        <v>291</v>
      </c>
      <c r="C437" s="12" t="s">
        <v>207</v>
      </c>
      <c r="D437" s="12" t="s">
        <v>534</v>
      </c>
      <c r="E437" s="17">
        <v>1</v>
      </c>
      <c r="F437" s="12" t="s">
        <v>32</v>
      </c>
      <c r="G437" s="12" t="s">
        <v>1313</v>
      </c>
      <c r="H437" s="12" t="s">
        <v>1321</v>
      </c>
      <c r="I437" s="12" t="s">
        <v>1300</v>
      </c>
      <c r="J437" s="12" t="s">
        <v>1301</v>
      </c>
      <c r="K437" s="12" t="s">
        <v>794</v>
      </c>
    </row>
    <row r="438" spans="1:11" ht="30" customHeight="1">
      <c r="A438" s="12" t="s">
        <v>294</v>
      </c>
      <c r="B438" s="12" t="s">
        <v>291</v>
      </c>
      <c r="C438" s="12" t="s">
        <v>207</v>
      </c>
      <c r="D438" s="12" t="s">
        <v>535</v>
      </c>
      <c r="E438" s="17">
        <v>1</v>
      </c>
      <c r="F438" s="12" t="s">
        <v>32</v>
      </c>
      <c r="G438" s="12" t="s">
        <v>1313</v>
      </c>
      <c r="H438" s="12" t="s">
        <v>1321</v>
      </c>
      <c r="I438" s="12" t="s">
        <v>1300</v>
      </c>
      <c r="J438" s="12" t="s">
        <v>1302</v>
      </c>
      <c r="K438" s="12" t="s">
        <v>794</v>
      </c>
    </row>
    <row r="439" spans="1:11" ht="30" customHeight="1">
      <c r="A439" s="12" t="s">
        <v>294</v>
      </c>
      <c r="B439" s="12" t="s">
        <v>291</v>
      </c>
      <c r="C439" s="12" t="s">
        <v>207</v>
      </c>
      <c r="D439" s="12" t="s">
        <v>536</v>
      </c>
      <c r="E439" s="17">
        <v>1</v>
      </c>
      <c r="F439" s="12" t="s">
        <v>32</v>
      </c>
      <c r="G439" s="12" t="s">
        <v>1313</v>
      </c>
      <c r="H439" s="12" t="s">
        <v>1321</v>
      </c>
      <c r="I439" s="12" t="s">
        <v>1300</v>
      </c>
      <c r="J439" s="12" t="s">
        <v>1303</v>
      </c>
      <c r="K439" s="12" t="s">
        <v>794</v>
      </c>
    </row>
    <row r="440" spans="1:11" ht="30" customHeight="1">
      <c r="A440" s="12" t="s">
        <v>294</v>
      </c>
      <c r="B440" s="12" t="s">
        <v>291</v>
      </c>
      <c r="C440" s="12" t="s">
        <v>207</v>
      </c>
      <c r="D440" s="12" t="s">
        <v>537</v>
      </c>
      <c r="E440" s="17">
        <v>1</v>
      </c>
      <c r="F440" s="12" t="s">
        <v>32</v>
      </c>
      <c r="G440" s="12" t="s">
        <v>1313</v>
      </c>
      <c r="H440" s="12" t="s">
        <v>1321</v>
      </c>
      <c r="I440" s="12" t="s">
        <v>1300</v>
      </c>
      <c r="J440" s="12" t="s">
        <v>1304</v>
      </c>
      <c r="K440" s="12" t="s">
        <v>794</v>
      </c>
    </row>
    <row r="441" spans="1:11" ht="30" customHeight="1">
      <c r="A441" s="12" t="s">
        <v>294</v>
      </c>
      <c r="B441" s="12" t="s">
        <v>291</v>
      </c>
      <c r="C441" s="12" t="s">
        <v>207</v>
      </c>
      <c r="D441" s="12" t="s">
        <v>538</v>
      </c>
      <c r="E441" s="17">
        <v>1</v>
      </c>
      <c r="F441" s="12" t="s">
        <v>32</v>
      </c>
      <c r="G441" s="12" t="s">
        <v>1313</v>
      </c>
      <c r="H441" s="12" t="s">
        <v>1321</v>
      </c>
      <c r="I441" s="12" t="s">
        <v>1300</v>
      </c>
      <c r="J441" s="12" t="s">
        <v>1305</v>
      </c>
      <c r="K441" s="12" t="s">
        <v>794</v>
      </c>
    </row>
    <row r="442" spans="1:11" ht="30" customHeight="1">
      <c r="A442" s="12" t="s">
        <v>294</v>
      </c>
      <c r="B442" s="12" t="s">
        <v>291</v>
      </c>
      <c r="C442" s="12" t="s">
        <v>207</v>
      </c>
      <c r="D442" s="12" t="s">
        <v>539</v>
      </c>
      <c r="E442" s="17">
        <v>0</v>
      </c>
      <c r="F442" s="12" t="s">
        <v>32</v>
      </c>
      <c r="G442" s="12" t="s">
        <v>1313</v>
      </c>
      <c r="H442" s="12" t="s">
        <v>1321</v>
      </c>
      <c r="I442" s="12" t="s">
        <v>1300</v>
      </c>
      <c r="J442" s="12" t="s">
        <v>1306</v>
      </c>
      <c r="K442" s="12" t="s">
        <v>794</v>
      </c>
    </row>
    <row r="443" spans="1:11" ht="30" customHeight="1">
      <c r="A443" s="12" t="s">
        <v>294</v>
      </c>
      <c r="B443" s="12" t="s">
        <v>291</v>
      </c>
      <c r="C443" s="12" t="s">
        <v>207</v>
      </c>
      <c r="D443" s="12" t="s">
        <v>540</v>
      </c>
      <c r="E443" s="17">
        <v>0</v>
      </c>
      <c r="F443" s="12" t="s">
        <v>32</v>
      </c>
      <c r="G443" s="12" t="s">
        <v>1313</v>
      </c>
      <c r="H443" s="12" t="s">
        <v>1321</v>
      </c>
      <c r="I443" s="12" t="s">
        <v>1300</v>
      </c>
      <c r="J443" s="12" t="s">
        <v>1307</v>
      </c>
      <c r="K443" s="12" t="s">
        <v>794</v>
      </c>
    </row>
    <row r="444" spans="1:11" ht="30" customHeight="1">
      <c r="A444" s="12" t="s">
        <v>294</v>
      </c>
      <c r="B444" s="12" t="s">
        <v>291</v>
      </c>
      <c r="C444" s="12" t="s">
        <v>207</v>
      </c>
      <c r="D444" s="12" t="s">
        <v>541</v>
      </c>
      <c r="E444" s="17">
        <v>0</v>
      </c>
      <c r="F444" s="12" t="s">
        <v>32</v>
      </c>
      <c r="G444" s="12" t="s">
        <v>1313</v>
      </c>
      <c r="H444" s="12" t="s">
        <v>1321</v>
      </c>
      <c r="I444" s="12" t="s">
        <v>1300</v>
      </c>
      <c r="J444" s="12" t="s">
        <v>1308</v>
      </c>
      <c r="K444" s="12" t="s">
        <v>794</v>
      </c>
    </row>
    <row r="445" spans="1:11" ht="30" customHeight="1">
      <c r="A445" s="12" t="s">
        <v>294</v>
      </c>
      <c r="B445" s="12" t="s">
        <v>291</v>
      </c>
      <c r="C445" s="12" t="s">
        <v>207</v>
      </c>
      <c r="D445" s="12" t="s">
        <v>542</v>
      </c>
      <c r="E445" s="17">
        <v>0</v>
      </c>
      <c r="F445" s="12" t="s">
        <v>32</v>
      </c>
      <c r="G445" s="12" t="s">
        <v>1313</v>
      </c>
      <c r="H445" s="12" t="s">
        <v>1321</v>
      </c>
      <c r="I445" s="12" t="s">
        <v>1300</v>
      </c>
      <c r="J445" s="12" t="s">
        <v>1309</v>
      </c>
      <c r="K445" s="12" t="s">
        <v>794</v>
      </c>
    </row>
    <row r="446" spans="1:11" ht="30" customHeight="1">
      <c r="A446" s="12" t="s">
        <v>294</v>
      </c>
      <c r="B446" s="12" t="s">
        <v>291</v>
      </c>
      <c r="C446" s="12" t="s">
        <v>207</v>
      </c>
      <c r="D446" s="12" t="s">
        <v>543</v>
      </c>
      <c r="E446" s="17">
        <v>1</v>
      </c>
      <c r="F446" s="12" t="s">
        <v>32</v>
      </c>
      <c r="G446" s="12" t="s">
        <v>1313</v>
      </c>
      <c r="H446" s="12" t="s">
        <v>1321</v>
      </c>
      <c r="I446" s="12" t="s">
        <v>1300</v>
      </c>
      <c r="J446" s="12" t="s">
        <v>1310</v>
      </c>
      <c r="K446" s="12" t="s">
        <v>794</v>
      </c>
    </row>
    <row r="447" spans="1:11" ht="30" customHeight="1">
      <c r="A447" s="12" t="s">
        <v>248</v>
      </c>
      <c r="B447" s="12" t="s">
        <v>244</v>
      </c>
      <c r="C447" s="12" t="s">
        <v>207</v>
      </c>
      <c r="D447" s="12" t="s">
        <v>534</v>
      </c>
      <c r="E447" s="17">
        <v>0</v>
      </c>
      <c r="F447" s="12" t="s">
        <v>32</v>
      </c>
      <c r="G447" s="12" t="s">
        <v>1319</v>
      </c>
      <c r="H447" s="12" t="s">
        <v>1321</v>
      </c>
      <c r="I447" s="12" t="s">
        <v>1300</v>
      </c>
      <c r="J447" s="12" t="s">
        <v>1301</v>
      </c>
      <c r="K447" s="12" t="s">
        <v>794</v>
      </c>
    </row>
    <row r="448" spans="1:11" ht="30" customHeight="1">
      <c r="A448" s="12" t="s">
        <v>248</v>
      </c>
      <c r="B448" s="12" t="s">
        <v>244</v>
      </c>
      <c r="C448" s="12" t="s">
        <v>207</v>
      </c>
      <c r="D448" s="12" t="s">
        <v>535</v>
      </c>
      <c r="E448" s="17">
        <v>0</v>
      </c>
      <c r="F448" s="12" t="s">
        <v>32</v>
      </c>
      <c r="G448" s="12" t="s">
        <v>1319</v>
      </c>
      <c r="H448" s="12" t="s">
        <v>1321</v>
      </c>
      <c r="I448" s="12" t="s">
        <v>1300</v>
      </c>
      <c r="J448" s="12" t="s">
        <v>1302</v>
      </c>
      <c r="K448" s="12" t="s">
        <v>794</v>
      </c>
    </row>
    <row r="449" spans="1:11" ht="30" customHeight="1">
      <c r="A449" s="12" t="s">
        <v>248</v>
      </c>
      <c r="B449" s="12" t="s">
        <v>244</v>
      </c>
      <c r="C449" s="12" t="s">
        <v>207</v>
      </c>
      <c r="D449" s="12" t="s">
        <v>536</v>
      </c>
      <c r="E449" s="17">
        <v>1</v>
      </c>
      <c r="F449" s="12" t="s">
        <v>32</v>
      </c>
      <c r="G449" s="12" t="s">
        <v>1319</v>
      </c>
      <c r="H449" s="12" t="s">
        <v>1321</v>
      </c>
      <c r="I449" s="12" t="s">
        <v>1300</v>
      </c>
      <c r="J449" s="12" t="s">
        <v>1303</v>
      </c>
      <c r="K449" s="12" t="s">
        <v>794</v>
      </c>
    </row>
    <row r="450" spans="1:11" ht="30" customHeight="1">
      <c r="A450" s="12" t="s">
        <v>248</v>
      </c>
      <c r="B450" s="12" t="s">
        <v>244</v>
      </c>
      <c r="C450" s="12" t="s">
        <v>207</v>
      </c>
      <c r="D450" s="12" t="s">
        <v>537</v>
      </c>
      <c r="E450" s="17">
        <v>1</v>
      </c>
      <c r="F450" s="12" t="s">
        <v>32</v>
      </c>
      <c r="G450" s="12" t="s">
        <v>1319</v>
      </c>
      <c r="H450" s="12" t="s">
        <v>1321</v>
      </c>
      <c r="I450" s="12" t="s">
        <v>1300</v>
      </c>
      <c r="J450" s="12" t="s">
        <v>1304</v>
      </c>
      <c r="K450" s="12" t="s">
        <v>794</v>
      </c>
    </row>
    <row r="451" spans="1:11" ht="30" customHeight="1">
      <c r="A451" s="12" t="s">
        <v>248</v>
      </c>
      <c r="B451" s="12" t="s">
        <v>244</v>
      </c>
      <c r="C451" s="12" t="s">
        <v>207</v>
      </c>
      <c r="D451" s="12" t="s">
        <v>538</v>
      </c>
      <c r="E451" s="17">
        <v>1</v>
      </c>
      <c r="F451" s="12" t="s">
        <v>32</v>
      </c>
      <c r="G451" s="12" t="s">
        <v>1319</v>
      </c>
      <c r="H451" s="12" t="s">
        <v>1321</v>
      </c>
      <c r="I451" s="12" t="s">
        <v>1300</v>
      </c>
      <c r="J451" s="12" t="s">
        <v>1305</v>
      </c>
      <c r="K451" s="12" t="s">
        <v>794</v>
      </c>
    </row>
    <row r="452" spans="1:11" ht="30" customHeight="1">
      <c r="A452" s="12" t="s">
        <v>248</v>
      </c>
      <c r="B452" s="12" t="s">
        <v>244</v>
      </c>
      <c r="C452" s="12" t="s">
        <v>207</v>
      </c>
      <c r="D452" s="12" t="s">
        <v>539</v>
      </c>
      <c r="E452" s="17">
        <v>0</v>
      </c>
      <c r="F452" s="12" t="s">
        <v>32</v>
      </c>
      <c r="G452" s="12" t="s">
        <v>1319</v>
      </c>
      <c r="H452" s="12" t="s">
        <v>1321</v>
      </c>
      <c r="I452" s="12" t="s">
        <v>1300</v>
      </c>
      <c r="J452" s="12" t="s">
        <v>1306</v>
      </c>
      <c r="K452" s="12" t="s">
        <v>794</v>
      </c>
    </row>
    <row r="453" spans="1:11" ht="30" customHeight="1">
      <c r="A453" s="12" t="s">
        <v>248</v>
      </c>
      <c r="B453" s="12" t="s">
        <v>244</v>
      </c>
      <c r="C453" s="12" t="s">
        <v>207</v>
      </c>
      <c r="D453" s="12" t="s">
        <v>540</v>
      </c>
      <c r="E453" s="17">
        <v>0</v>
      </c>
      <c r="F453" s="12" t="s">
        <v>32</v>
      </c>
      <c r="G453" s="12" t="s">
        <v>1319</v>
      </c>
      <c r="H453" s="12" t="s">
        <v>1321</v>
      </c>
      <c r="I453" s="12" t="s">
        <v>1300</v>
      </c>
      <c r="J453" s="12" t="s">
        <v>1307</v>
      </c>
      <c r="K453" s="12" t="s">
        <v>794</v>
      </c>
    </row>
    <row r="454" spans="1:11" ht="30" customHeight="1">
      <c r="A454" s="12" t="s">
        <v>248</v>
      </c>
      <c r="B454" s="12" t="s">
        <v>244</v>
      </c>
      <c r="C454" s="12" t="s">
        <v>207</v>
      </c>
      <c r="D454" s="12" t="s">
        <v>541</v>
      </c>
      <c r="E454" s="17">
        <v>0</v>
      </c>
      <c r="F454" s="12" t="s">
        <v>32</v>
      </c>
      <c r="G454" s="12" t="s">
        <v>1319</v>
      </c>
      <c r="H454" s="12" t="s">
        <v>1321</v>
      </c>
      <c r="I454" s="12" t="s">
        <v>1300</v>
      </c>
      <c r="J454" s="12" t="s">
        <v>1308</v>
      </c>
      <c r="K454" s="12" t="s">
        <v>794</v>
      </c>
    </row>
    <row r="455" spans="1:11" ht="30" customHeight="1">
      <c r="A455" s="12" t="s">
        <v>248</v>
      </c>
      <c r="B455" s="12" t="s">
        <v>244</v>
      </c>
      <c r="C455" s="12" t="s">
        <v>207</v>
      </c>
      <c r="D455" s="12" t="s">
        <v>542</v>
      </c>
      <c r="E455" s="17">
        <v>0</v>
      </c>
      <c r="F455" s="12" t="s">
        <v>32</v>
      </c>
      <c r="G455" s="12" t="s">
        <v>1319</v>
      </c>
      <c r="H455" s="12" t="s">
        <v>1321</v>
      </c>
      <c r="I455" s="12" t="s">
        <v>1300</v>
      </c>
      <c r="J455" s="12" t="s">
        <v>1309</v>
      </c>
      <c r="K455" s="12" t="s">
        <v>794</v>
      </c>
    </row>
    <row r="456" spans="1:11" ht="30" customHeight="1">
      <c r="A456" s="12" t="s">
        <v>248</v>
      </c>
      <c r="B456" s="12" t="s">
        <v>244</v>
      </c>
      <c r="C456" s="12" t="s">
        <v>207</v>
      </c>
      <c r="D456" s="12" t="s">
        <v>543</v>
      </c>
      <c r="E456" s="17">
        <v>1</v>
      </c>
      <c r="F456" s="12" t="s">
        <v>32</v>
      </c>
      <c r="G456" s="12" t="s">
        <v>1319</v>
      </c>
      <c r="H456" s="12" t="s">
        <v>1321</v>
      </c>
      <c r="I456" s="12" t="s">
        <v>1300</v>
      </c>
      <c r="J456" s="12" t="s">
        <v>1310</v>
      </c>
      <c r="K456" s="12" t="s">
        <v>794</v>
      </c>
    </row>
    <row r="457" spans="1:11" ht="30" customHeight="1">
      <c r="A457" s="12" t="s">
        <v>233</v>
      </c>
      <c r="B457" s="12" t="s">
        <v>229</v>
      </c>
      <c r="C457" s="12" t="s">
        <v>207</v>
      </c>
      <c r="D457" s="12" t="s">
        <v>534</v>
      </c>
      <c r="E457" s="17">
        <v>3</v>
      </c>
      <c r="F457" s="12" t="s">
        <v>32</v>
      </c>
      <c r="G457" s="12" t="s">
        <v>1322</v>
      </c>
      <c r="H457" s="12" t="s">
        <v>1323</v>
      </c>
      <c r="I457" s="12" t="s">
        <v>1300</v>
      </c>
      <c r="J457" s="12" t="s">
        <v>1301</v>
      </c>
      <c r="K457" s="12" t="s">
        <v>794</v>
      </c>
    </row>
    <row r="458" spans="1:11" ht="30" customHeight="1">
      <c r="A458" s="12" t="s">
        <v>233</v>
      </c>
      <c r="B458" s="12" t="s">
        <v>229</v>
      </c>
      <c r="C458" s="12" t="s">
        <v>207</v>
      </c>
      <c r="D458" s="12" t="s">
        <v>535</v>
      </c>
      <c r="E458" s="17">
        <v>2</v>
      </c>
      <c r="F458" s="12" t="s">
        <v>32</v>
      </c>
      <c r="G458" s="12" t="s">
        <v>1322</v>
      </c>
      <c r="H458" s="12" t="s">
        <v>1323</v>
      </c>
      <c r="I458" s="12" t="s">
        <v>1300</v>
      </c>
      <c r="J458" s="12" t="s">
        <v>1302</v>
      </c>
      <c r="K458" s="12" t="s">
        <v>794</v>
      </c>
    </row>
    <row r="459" spans="1:11" ht="30" customHeight="1">
      <c r="A459" s="12" t="s">
        <v>233</v>
      </c>
      <c r="B459" s="12" t="s">
        <v>229</v>
      </c>
      <c r="C459" s="12" t="s">
        <v>207</v>
      </c>
      <c r="D459" s="12" t="s">
        <v>536</v>
      </c>
      <c r="E459" s="17">
        <v>2</v>
      </c>
      <c r="F459" s="12" t="s">
        <v>32</v>
      </c>
      <c r="G459" s="12" t="s">
        <v>1322</v>
      </c>
      <c r="H459" s="12" t="s">
        <v>1323</v>
      </c>
      <c r="I459" s="12" t="s">
        <v>1300</v>
      </c>
      <c r="J459" s="12" t="s">
        <v>1303</v>
      </c>
      <c r="K459" s="12" t="s">
        <v>794</v>
      </c>
    </row>
    <row r="460" spans="1:11" ht="30" customHeight="1">
      <c r="A460" s="12" t="s">
        <v>233</v>
      </c>
      <c r="B460" s="12" t="s">
        <v>229</v>
      </c>
      <c r="C460" s="12" t="s">
        <v>207</v>
      </c>
      <c r="D460" s="12" t="s">
        <v>537</v>
      </c>
      <c r="E460" s="17">
        <v>2</v>
      </c>
      <c r="F460" s="12" t="s">
        <v>32</v>
      </c>
      <c r="G460" s="12" t="s">
        <v>1322</v>
      </c>
      <c r="H460" s="12" t="s">
        <v>1323</v>
      </c>
      <c r="I460" s="12" t="s">
        <v>1300</v>
      </c>
      <c r="J460" s="12" t="s">
        <v>1304</v>
      </c>
      <c r="K460" s="12" t="s">
        <v>794</v>
      </c>
    </row>
    <row r="461" spans="1:11" ht="30" customHeight="1">
      <c r="A461" s="12" t="s">
        <v>233</v>
      </c>
      <c r="B461" s="12" t="s">
        <v>229</v>
      </c>
      <c r="C461" s="12" t="s">
        <v>207</v>
      </c>
      <c r="D461" s="12" t="s">
        <v>538</v>
      </c>
      <c r="E461" s="17">
        <v>1</v>
      </c>
      <c r="F461" s="12" t="s">
        <v>32</v>
      </c>
      <c r="G461" s="12" t="s">
        <v>1322</v>
      </c>
      <c r="H461" s="12" t="s">
        <v>1323</v>
      </c>
      <c r="I461" s="12" t="s">
        <v>1300</v>
      </c>
      <c r="J461" s="12" t="s">
        <v>1305</v>
      </c>
      <c r="K461" s="12" t="s">
        <v>794</v>
      </c>
    </row>
    <row r="462" spans="1:11" ht="30" customHeight="1">
      <c r="A462" s="12" t="s">
        <v>233</v>
      </c>
      <c r="B462" s="12" t="s">
        <v>229</v>
      </c>
      <c r="C462" s="12" t="s">
        <v>207</v>
      </c>
      <c r="D462" s="12" t="s">
        <v>539</v>
      </c>
      <c r="E462" s="17">
        <v>1</v>
      </c>
      <c r="F462" s="12" t="s">
        <v>32</v>
      </c>
      <c r="G462" s="12" t="s">
        <v>1322</v>
      </c>
      <c r="H462" s="12" t="s">
        <v>1323</v>
      </c>
      <c r="I462" s="12" t="s">
        <v>1300</v>
      </c>
      <c r="J462" s="12" t="s">
        <v>1306</v>
      </c>
      <c r="K462" s="12" t="s">
        <v>794</v>
      </c>
    </row>
    <row r="463" spans="1:11" ht="30" customHeight="1">
      <c r="A463" s="12" t="s">
        <v>233</v>
      </c>
      <c r="B463" s="12" t="s">
        <v>229</v>
      </c>
      <c r="C463" s="12" t="s">
        <v>207</v>
      </c>
      <c r="D463" s="12" t="s">
        <v>540</v>
      </c>
      <c r="E463" s="17">
        <v>0</v>
      </c>
      <c r="F463" s="12" t="s">
        <v>32</v>
      </c>
      <c r="G463" s="12" t="s">
        <v>1322</v>
      </c>
      <c r="H463" s="12" t="s">
        <v>1323</v>
      </c>
      <c r="I463" s="12" t="s">
        <v>1300</v>
      </c>
      <c r="J463" s="12" t="s">
        <v>1307</v>
      </c>
      <c r="K463" s="12" t="s">
        <v>794</v>
      </c>
    </row>
    <row r="464" spans="1:11" ht="30" customHeight="1">
      <c r="A464" s="12" t="s">
        <v>233</v>
      </c>
      <c r="B464" s="12" t="s">
        <v>229</v>
      </c>
      <c r="C464" s="12" t="s">
        <v>207</v>
      </c>
      <c r="D464" s="12" t="s">
        <v>541</v>
      </c>
      <c r="E464" s="17">
        <v>1</v>
      </c>
      <c r="F464" s="12" t="s">
        <v>32</v>
      </c>
      <c r="G464" s="12" t="s">
        <v>1322</v>
      </c>
      <c r="H464" s="12" t="s">
        <v>1323</v>
      </c>
      <c r="I464" s="12" t="s">
        <v>1300</v>
      </c>
      <c r="J464" s="12" t="s">
        <v>1308</v>
      </c>
      <c r="K464" s="12" t="s">
        <v>794</v>
      </c>
    </row>
    <row r="465" spans="1:11" ht="30" customHeight="1">
      <c r="A465" s="12" t="s">
        <v>233</v>
      </c>
      <c r="B465" s="12" t="s">
        <v>229</v>
      </c>
      <c r="C465" s="12" t="s">
        <v>207</v>
      </c>
      <c r="D465" s="12" t="s">
        <v>542</v>
      </c>
      <c r="E465" s="17">
        <v>2</v>
      </c>
      <c r="F465" s="12" t="s">
        <v>32</v>
      </c>
      <c r="G465" s="12" t="s">
        <v>1322</v>
      </c>
      <c r="H465" s="12" t="s">
        <v>1323</v>
      </c>
      <c r="I465" s="12" t="s">
        <v>1300</v>
      </c>
      <c r="J465" s="12" t="s">
        <v>1309</v>
      </c>
      <c r="K465" s="12" t="s">
        <v>794</v>
      </c>
    </row>
    <row r="466" spans="1:11" ht="30" customHeight="1">
      <c r="A466" s="12" t="s">
        <v>233</v>
      </c>
      <c r="B466" s="12" t="s">
        <v>229</v>
      </c>
      <c r="C466" s="12" t="s">
        <v>207</v>
      </c>
      <c r="D466" s="12" t="s">
        <v>543</v>
      </c>
      <c r="E466" s="17">
        <v>2</v>
      </c>
      <c r="F466" s="12" t="s">
        <v>32</v>
      </c>
      <c r="G466" s="12" t="s">
        <v>1322</v>
      </c>
      <c r="H466" s="12" t="s">
        <v>1323</v>
      </c>
      <c r="I466" s="12" t="s">
        <v>1300</v>
      </c>
      <c r="J466" s="12" t="s">
        <v>1310</v>
      </c>
      <c r="K466" s="12" t="s">
        <v>794</v>
      </c>
    </row>
    <row r="467" spans="1:11" ht="30" customHeight="1">
      <c r="A467" s="12" t="s">
        <v>289</v>
      </c>
      <c r="B467" s="12" t="s">
        <v>286</v>
      </c>
      <c r="C467" s="12" t="s">
        <v>207</v>
      </c>
      <c r="D467" s="12" t="s">
        <v>534</v>
      </c>
      <c r="E467" s="17">
        <v>3</v>
      </c>
      <c r="F467" s="12" t="s">
        <v>32</v>
      </c>
      <c r="G467" s="12" t="s">
        <v>1311</v>
      </c>
      <c r="H467" s="12" t="s">
        <v>1324</v>
      </c>
      <c r="I467" s="12" t="s">
        <v>1300</v>
      </c>
      <c r="J467" s="12" t="s">
        <v>1301</v>
      </c>
      <c r="K467" s="12" t="s">
        <v>794</v>
      </c>
    </row>
    <row r="468" spans="1:11" ht="30" customHeight="1">
      <c r="A468" s="12" t="s">
        <v>289</v>
      </c>
      <c r="B468" s="12" t="s">
        <v>286</v>
      </c>
      <c r="C468" s="12" t="s">
        <v>207</v>
      </c>
      <c r="D468" s="12" t="s">
        <v>535</v>
      </c>
      <c r="E468" s="17">
        <v>2</v>
      </c>
      <c r="F468" s="12" t="s">
        <v>32</v>
      </c>
      <c r="G468" s="12" t="s">
        <v>1311</v>
      </c>
      <c r="H468" s="12" t="s">
        <v>1324</v>
      </c>
      <c r="I468" s="12" t="s">
        <v>1300</v>
      </c>
      <c r="J468" s="12" t="s">
        <v>1302</v>
      </c>
      <c r="K468" s="12" t="s">
        <v>794</v>
      </c>
    </row>
    <row r="469" spans="1:11" ht="30" customHeight="1">
      <c r="A469" s="12" t="s">
        <v>289</v>
      </c>
      <c r="B469" s="12" t="s">
        <v>286</v>
      </c>
      <c r="C469" s="12" t="s">
        <v>207</v>
      </c>
      <c r="D469" s="12" t="s">
        <v>536</v>
      </c>
      <c r="E469" s="17">
        <v>2</v>
      </c>
      <c r="F469" s="12" t="s">
        <v>32</v>
      </c>
      <c r="G469" s="12" t="s">
        <v>1311</v>
      </c>
      <c r="H469" s="12" t="s">
        <v>1324</v>
      </c>
      <c r="I469" s="12" t="s">
        <v>1300</v>
      </c>
      <c r="J469" s="12" t="s">
        <v>1303</v>
      </c>
      <c r="K469" s="12" t="s">
        <v>794</v>
      </c>
    </row>
    <row r="470" spans="1:11" ht="30" customHeight="1">
      <c r="A470" s="12" t="s">
        <v>289</v>
      </c>
      <c r="B470" s="12" t="s">
        <v>286</v>
      </c>
      <c r="C470" s="12" t="s">
        <v>207</v>
      </c>
      <c r="D470" s="12" t="s">
        <v>537</v>
      </c>
      <c r="E470" s="17">
        <v>2</v>
      </c>
      <c r="F470" s="12" t="s">
        <v>32</v>
      </c>
      <c r="G470" s="12" t="s">
        <v>1311</v>
      </c>
      <c r="H470" s="12" t="s">
        <v>1324</v>
      </c>
      <c r="I470" s="12" t="s">
        <v>1300</v>
      </c>
      <c r="J470" s="12" t="s">
        <v>1304</v>
      </c>
      <c r="K470" s="12" t="s">
        <v>794</v>
      </c>
    </row>
    <row r="471" spans="1:11" ht="30" customHeight="1">
      <c r="A471" s="12" t="s">
        <v>289</v>
      </c>
      <c r="B471" s="12" t="s">
        <v>286</v>
      </c>
      <c r="C471" s="12" t="s">
        <v>207</v>
      </c>
      <c r="D471" s="12" t="s">
        <v>538</v>
      </c>
      <c r="E471" s="17">
        <v>1</v>
      </c>
      <c r="F471" s="12" t="s">
        <v>32</v>
      </c>
      <c r="G471" s="12" t="s">
        <v>1311</v>
      </c>
      <c r="H471" s="12" t="s">
        <v>1324</v>
      </c>
      <c r="I471" s="12" t="s">
        <v>1300</v>
      </c>
      <c r="J471" s="12" t="s">
        <v>1305</v>
      </c>
      <c r="K471" s="12" t="s">
        <v>794</v>
      </c>
    </row>
    <row r="472" spans="1:11" ht="30" customHeight="1">
      <c r="A472" s="12" t="s">
        <v>289</v>
      </c>
      <c r="B472" s="12" t="s">
        <v>286</v>
      </c>
      <c r="C472" s="12" t="s">
        <v>207</v>
      </c>
      <c r="D472" s="12" t="s">
        <v>539</v>
      </c>
      <c r="E472" s="17">
        <v>1</v>
      </c>
      <c r="F472" s="12" t="s">
        <v>32</v>
      </c>
      <c r="G472" s="12" t="s">
        <v>1311</v>
      </c>
      <c r="H472" s="12" t="s">
        <v>1324</v>
      </c>
      <c r="I472" s="12" t="s">
        <v>1300</v>
      </c>
      <c r="J472" s="12" t="s">
        <v>1306</v>
      </c>
      <c r="K472" s="12" t="s">
        <v>794</v>
      </c>
    </row>
    <row r="473" spans="1:11" ht="30" customHeight="1">
      <c r="A473" s="12" t="s">
        <v>289</v>
      </c>
      <c r="B473" s="12" t="s">
        <v>286</v>
      </c>
      <c r="C473" s="12" t="s">
        <v>207</v>
      </c>
      <c r="D473" s="12" t="s">
        <v>540</v>
      </c>
      <c r="E473" s="17">
        <v>0</v>
      </c>
      <c r="F473" s="12" t="s">
        <v>32</v>
      </c>
      <c r="G473" s="12" t="s">
        <v>1311</v>
      </c>
      <c r="H473" s="12" t="s">
        <v>1324</v>
      </c>
      <c r="I473" s="12" t="s">
        <v>1300</v>
      </c>
      <c r="J473" s="12" t="s">
        <v>1307</v>
      </c>
      <c r="K473" s="12" t="s">
        <v>794</v>
      </c>
    </row>
    <row r="474" spans="1:11" ht="30" customHeight="1">
      <c r="A474" s="12" t="s">
        <v>289</v>
      </c>
      <c r="B474" s="12" t="s">
        <v>286</v>
      </c>
      <c r="C474" s="12" t="s">
        <v>207</v>
      </c>
      <c r="D474" s="12" t="s">
        <v>541</v>
      </c>
      <c r="E474" s="17">
        <v>1</v>
      </c>
      <c r="F474" s="12" t="s">
        <v>32</v>
      </c>
      <c r="G474" s="12" t="s">
        <v>1311</v>
      </c>
      <c r="H474" s="12" t="s">
        <v>1324</v>
      </c>
      <c r="I474" s="12" t="s">
        <v>1300</v>
      </c>
      <c r="J474" s="12" t="s">
        <v>1308</v>
      </c>
      <c r="K474" s="12" t="s">
        <v>794</v>
      </c>
    </row>
    <row r="475" spans="1:11" ht="30" customHeight="1">
      <c r="A475" s="12" t="s">
        <v>289</v>
      </c>
      <c r="B475" s="12" t="s">
        <v>286</v>
      </c>
      <c r="C475" s="12" t="s">
        <v>207</v>
      </c>
      <c r="D475" s="12" t="s">
        <v>542</v>
      </c>
      <c r="E475" s="17">
        <v>2</v>
      </c>
      <c r="F475" s="12" t="s">
        <v>32</v>
      </c>
      <c r="G475" s="12" t="s">
        <v>1311</v>
      </c>
      <c r="H475" s="12" t="s">
        <v>1324</v>
      </c>
      <c r="I475" s="12" t="s">
        <v>1300</v>
      </c>
      <c r="J475" s="12" t="s">
        <v>1309</v>
      </c>
      <c r="K475" s="12" t="s">
        <v>794</v>
      </c>
    </row>
    <row r="476" spans="1:11" ht="30" customHeight="1">
      <c r="A476" s="12" t="s">
        <v>289</v>
      </c>
      <c r="B476" s="12" t="s">
        <v>286</v>
      </c>
      <c r="C476" s="12" t="s">
        <v>207</v>
      </c>
      <c r="D476" s="12" t="s">
        <v>543</v>
      </c>
      <c r="E476" s="17">
        <v>2</v>
      </c>
      <c r="F476" s="12" t="s">
        <v>32</v>
      </c>
      <c r="G476" s="12" t="s">
        <v>1311</v>
      </c>
      <c r="H476" s="12" t="s">
        <v>1324</v>
      </c>
      <c r="I476" s="12" t="s">
        <v>1300</v>
      </c>
      <c r="J476" s="12" t="s">
        <v>1310</v>
      </c>
      <c r="K476" s="12" t="s">
        <v>794</v>
      </c>
    </row>
    <row r="477" spans="1:11" ht="30" customHeight="1">
      <c r="A477" s="12" t="s">
        <v>221</v>
      </c>
      <c r="B477" s="12" t="s">
        <v>217</v>
      </c>
      <c r="C477" s="12" t="s">
        <v>207</v>
      </c>
      <c r="D477" s="12" t="s">
        <v>534</v>
      </c>
      <c r="E477" s="17">
        <v>3</v>
      </c>
      <c r="F477" s="12" t="s">
        <v>54</v>
      </c>
      <c r="G477" s="12" t="s">
        <v>1325</v>
      </c>
      <c r="H477" s="12" t="s">
        <v>1326</v>
      </c>
      <c r="I477" s="12" t="s">
        <v>1300</v>
      </c>
      <c r="J477" s="12" t="s">
        <v>1301</v>
      </c>
      <c r="K477" s="12" t="s">
        <v>794</v>
      </c>
    </row>
    <row r="478" spans="1:11" ht="30" customHeight="1">
      <c r="A478" s="12" t="s">
        <v>221</v>
      </c>
      <c r="B478" s="12" t="s">
        <v>217</v>
      </c>
      <c r="C478" s="12" t="s">
        <v>207</v>
      </c>
      <c r="D478" s="12" t="s">
        <v>535</v>
      </c>
      <c r="E478" s="17">
        <v>3</v>
      </c>
      <c r="F478" s="12" t="s">
        <v>54</v>
      </c>
      <c r="G478" s="12" t="s">
        <v>1325</v>
      </c>
      <c r="H478" s="12" t="s">
        <v>1326</v>
      </c>
      <c r="I478" s="12" t="s">
        <v>1300</v>
      </c>
      <c r="J478" s="12" t="s">
        <v>1302</v>
      </c>
      <c r="K478" s="12" t="s">
        <v>794</v>
      </c>
    </row>
    <row r="479" spans="1:11" ht="30" customHeight="1">
      <c r="A479" s="12" t="s">
        <v>221</v>
      </c>
      <c r="B479" s="12" t="s">
        <v>217</v>
      </c>
      <c r="C479" s="12" t="s">
        <v>207</v>
      </c>
      <c r="D479" s="12" t="s">
        <v>536</v>
      </c>
      <c r="E479" s="17">
        <v>2</v>
      </c>
      <c r="F479" s="12" t="s">
        <v>54</v>
      </c>
      <c r="G479" s="12" t="s">
        <v>1325</v>
      </c>
      <c r="H479" s="12" t="s">
        <v>1326</v>
      </c>
      <c r="I479" s="12" t="s">
        <v>1300</v>
      </c>
      <c r="J479" s="12" t="s">
        <v>1303</v>
      </c>
      <c r="K479" s="12" t="s">
        <v>794</v>
      </c>
    </row>
    <row r="480" spans="1:11" ht="30" customHeight="1">
      <c r="A480" s="12" t="s">
        <v>221</v>
      </c>
      <c r="B480" s="12" t="s">
        <v>217</v>
      </c>
      <c r="C480" s="12" t="s">
        <v>207</v>
      </c>
      <c r="D480" s="12" t="s">
        <v>537</v>
      </c>
      <c r="E480" s="17">
        <v>2</v>
      </c>
      <c r="F480" s="12" t="s">
        <v>54</v>
      </c>
      <c r="G480" s="12" t="s">
        <v>1325</v>
      </c>
      <c r="H480" s="12" t="s">
        <v>1326</v>
      </c>
      <c r="I480" s="12" t="s">
        <v>1300</v>
      </c>
      <c r="J480" s="12" t="s">
        <v>1304</v>
      </c>
      <c r="K480" s="12" t="s">
        <v>794</v>
      </c>
    </row>
    <row r="481" spans="1:11" ht="30" customHeight="1">
      <c r="A481" s="12" t="s">
        <v>221</v>
      </c>
      <c r="B481" s="12" t="s">
        <v>217</v>
      </c>
      <c r="C481" s="12" t="s">
        <v>207</v>
      </c>
      <c r="D481" s="12" t="s">
        <v>538</v>
      </c>
      <c r="E481" s="17">
        <v>2</v>
      </c>
      <c r="F481" s="12" t="s">
        <v>54</v>
      </c>
      <c r="G481" s="12" t="s">
        <v>1325</v>
      </c>
      <c r="H481" s="12" t="s">
        <v>1326</v>
      </c>
      <c r="I481" s="12" t="s">
        <v>1300</v>
      </c>
      <c r="J481" s="12" t="s">
        <v>1305</v>
      </c>
      <c r="K481" s="12" t="s">
        <v>794</v>
      </c>
    </row>
    <row r="482" spans="1:11" ht="30" customHeight="1">
      <c r="A482" s="12" t="s">
        <v>221</v>
      </c>
      <c r="B482" s="12" t="s">
        <v>217</v>
      </c>
      <c r="C482" s="12" t="s">
        <v>207</v>
      </c>
      <c r="D482" s="12" t="s">
        <v>539</v>
      </c>
      <c r="E482" s="17">
        <v>2</v>
      </c>
      <c r="F482" s="12" t="s">
        <v>54</v>
      </c>
      <c r="G482" s="12" t="s">
        <v>1325</v>
      </c>
      <c r="H482" s="12" t="s">
        <v>1326</v>
      </c>
      <c r="I482" s="12" t="s">
        <v>1300</v>
      </c>
      <c r="J482" s="12" t="s">
        <v>1306</v>
      </c>
      <c r="K482" s="12" t="s">
        <v>794</v>
      </c>
    </row>
    <row r="483" spans="1:11" ht="30" customHeight="1">
      <c r="A483" s="12" t="s">
        <v>221</v>
      </c>
      <c r="B483" s="12" t="s">
        <v>217</v>
      </c>
      <c r="C483" s="12" t="s">
        <v>207</v>
      </c>
      <c r="D483" s="12" t="s">
        <v>540</v>
      </c>
      <c r="E483" s="17">
        <v>0</v>
      </c>
      <c r="F483" s="12" t="s">
        <v>54</v>
      </c>
      <c r="G483" s="12" t="s">
        <v>1325</v>
      </c>
      <c r="H483" s="12" t="s">
        <v>1326</v>
      </c>
      <c r="I483" s="12" t="s">
        <v>1300</v>
      </c>
      <c r="J483" s="12" t="s">
        <v>1307</v>
      </c>
      <c r="K483" s="12" t="s">
        <v>794</v>
      </c>
    </row>
    <row r="484" spans="1:11" ht="30" customHeight="1">
      <c r="A484" s="12" t="s">
        <v>221</v>
      </c>
      <c r="B484" s="12" t="s">
        <v>217</v>
      </c>
      <c r="C484" s="12" t="s">
        <v>207</v>
      </c>
      <c r="D484" s="12" t="s">
        <v>541</v>
      </c>
      <c r="E484" s="17">
        <v>2</v>
      </c>
      <c r="F484" s="12" t="s">
        <v>54</v>
      </c>
      <c r="G484" s="12" t="s">
        <v>1325</v>
      </c>
      <c r="H484" s="12" t="s">
        <v>1326</v>
      </c>
      <c r="I484" s="12" t="s">
        <v>1300</v>
      </c>
      <c r="J484" s="12" t="s">
        <v>1308</v>
      </c>
      <c r="K484" s="12" t="s">
        <v>794</v>
      </c>
    </row>
    <row r="485" spans="1:11" ht="30" customHeight="1">
      <c r="A485" s="12" t="s">
        <v>221</v>
      </c>
      <c r="B485" s="12" t="s">
        <v>217</v>
      </c>
      <c r="C485" s="12" t="s">
        <v>207</v>
      </c>
      <c r="D485" s="12" t="s">
        <v>542</v>
      </c>
      <c r="E485" s="17">
        <v>3</v>
      </c>
      <c r="F485" s="12" t="s">
        <v>54</v>
      </c>
      <c r="G485" s="12" t="s">
        <v>1325</v>
      </c>
      <c r="H485" s="12" t="s">
        <v>1326</v>
      </c>
      <c r="I485" s="12" t="s">
        <v>1300</v>
      </c>
      <c r="J485" s="12" t="s">
        <v>1309</v>
      </c>
      <c r="K485" s="12" t="s">
        <v>794</v>
      </c>
    </row>
    <row r="486" spans="1:11" ht="30" customHeight="1">
      <c r="A486" s="12" t="s">
        <v>221</v>
      </c>
      <c r="B486" s="12" t="s">
        <v>217</v>
      </c>
      <c r="C486" s="12" t="s">
        <v>207</v>
      </c>
      <c r="D486" s="12" t="s">
        <v>543</v>
      </c>
      <c r="E486" s="17">
        <v>2</v>
      </c>
      <c r="F486" s="12" t="s">
        <v>54</v>
      </c>
      <c r="G486" s="12" t="s">
        <v>1325</v>
      </c>
      <c r="H486" s="12" t="s">
        <v>1326</v>
      </c>
      <c r="I486" s="12" t="s">
        <v>1300</v>
      </c>
      <c r="J486" s="12" t="s">
        <v>1310</v>
      </c>
      <c r="K486" s="12" t="s">
        <v>794</v>
      </c>
    </row>
    <row r="487" spans="1:11" ht="30" customHeight="1">
      <c r="A487" s="12" t="s">
        <v>175</v>
      </c>
      <c r="B487" s="12" t="s">
        <v>171</v>
      </c>
      <c r="C487" s="12" t="s">
        <v>142</v>
      </c>
      <c r="D487" s="12" t="s">
        <v>534</v>
      </c>
      <c r="E487" s="17">
        <v>3</v>
      </c>
      <c r="F487" s="12" t="s">
        <v>32</v>
      </c>
      <c r="G487" s="12" t="s">
        <v>143</v>
      </c>
      <c r="H487" s="13"/>
      <c r="I487" s="13"/>
      <c r="J487" s="12" t="s">
        <v>1327</v>
      </c>
      <c r="K487" s="12" t="s">
        <v>794</v>
      </c>
    </row>
    <row r="488" spans="1:11" ht="30" customHeight="1">
      <c r="A488" s="12" t="s">
        <v>175</v>
      </c>
      <c r="B488" s="12" t="s">
        <v>171</v>
      </c>
      <c r="C488" s="12" t="s">
        <v>142</v>
      </c>
      <c r="D488" s="12" t="s">
        <v>535</v>
      </c>
      <c r="E488" s="17">
        <v>3</v>
      </c>
      <c r="F488" s="12" t="s">
        <v>32</v>
      </c>
      <c r="G488" s="12" t="s">
        <v>143</v>
      </c>
      <c r="H488" s="13"/>
      <c r="I488" s="13"/>
      <c r="J488" s="12" t="s">
        <v>1327</v>
      </c>
      <c r="K488" s="12" t="s">
        <v>794</v>
      </c>
    </row>
    <row r="489" spans="1:11" ht="30" customHeight="1">
      <c r="A489" s="12" t="s">
        <v>175</v>
      </c>
      <c r="B489" s="12" t="s">
        <v>171</v>
      </c>
      <c r="C489" s="12" t="s">
        <v>142</v>
      </c>
      <c r="D489" s="12" t="s">
        <v>536</v>
      </c>
      <c r="E489" s="17">
        <v>3</v>
      </c>
      <c r="F489" s="12" t="s">
        <v>32</v>
      </c>
      <c r="G489" s="12" t="s">
        <v>143</v>
      </c>
      <c r="H489" s="13"/>
      <c r="I489" s="13"/>
      <c r="J489" s="12" t="s">
        <v>1327</v>
      </c>
      <c r="K489" s="12" t="s">
        <v>794</v>
      </c>
    </row>
    <row r="490" spans="1:11" ht="30" customHeight="1">
      <c r="A490" s="12" t="s">
        <v>175</v>
      </c>
      <c r="B490" s="12" t="s">
        <v>171</v>
      </c>
      <c r="C490" s="12" t="s">
        <v>142</v>
      </c>
      <c r="D490" s="12" t="s">
        <v>537</v>
      </c>
      <c r="E490" s="17">
        <v>3</v>
      </c>
      <c r="F490" s="12" t="s">
        <v>32</v>
      </c>
      <c r="G490" s="12" t="s">
        <v>143</v>
      </c>
      <c r="H490" s="13"/>
      <c r="I490" s="13"/>
      <c r="J490" s="12" t="s">
        <v>1327</v>
      </c>
      <c r="K490" s="12" t="s">
        <v>794</v>
      </c>
    </row>
    <row r="491" spans="1:11" ht="30" customHeight="1">
      <c r="A491" s="12" t="s">
        <v>175</v>
      </c>
      <c r="B491" s="12" t="s">
        <v>171</v>
      </c>
      <c r="C491" s="12" t="s">
        <v>142</v>
      </c>
      <c r="D491" s="12" t="s">
        <v>538</v>
      </c>
      <c r="E491" s="17">
        <v>3</v>
      </c>
      <c r="F491" s="12" t="s">
        <v>32</v>
      </c>
      <c r="G491" s="12" t="s">
        <v>143</v>
      </c>
      <c r="H491" s="13"/>
      <c r="I491" s="13"/>
      <c r="J491" s="12" t="s">
        <v>1327</v>
      </c>
      <c r="K491" s="12" t="s">
        <v>794</v>
      </c>
    </row>
    <row r="492" spans="1:11" ht="30" customHeight="1">
      <c r="A492" s="12" t="s">
        <v>175</v>
      </c>
      <c r="B492" s="12" t="s">
        <v>171</v>
      </c>
      <c r="C492" s="12" t="s">
        <v>142</v>
      </c>
      <c r="D492" s="12" t="s">
        <v>539</v>
      </c>
      <c r="E492" s="17">
        <v>3</v>
      </c>
      <c r="F492" s="12" t="s">
        <v>32</v>
      </c>
      <c r="G492" s="12" t="s">
        <v>143</v>
      </c>
      <c r="H492" s="13"/>
      <c r="I492" s="13"/>
      <c r="J492" s="12" t="s">
        <v>1327</v>
      </c>
      <c r="K492" s="12" t="s">
        <v>794</v>
      </c>
    </row>
    <row r="493" spans="1:11" ht="30" customHeight="1">
      <c r="A493" s="12" t="s">
        <v>175</v>
      </c>
      <c r="B493" s="12" t="s">
        <v>171</v>
      </c>
      <c r="C493" s="12" t="s">
        <v>142</v>
      </c>
      <c r="D493" s="12" t="s">
        <v>540</v>
      </c>
      <c r="E493" s="17">
        <v>3</v>
      </c>
      <c r="F493" s="12" t="s">
        <v>32</v>
      </c>
      <c r="G493" s="12" t="s">
        <v>143</v>
      </c>
      <c r="H493" s="13"/>
      <c r="I493" s="13"/>
      <c r="J493" s="12" t="s">
        <v>1327</v>
      </c>
      <c r="K493" s="12" t="s">
        <v>794</v>
      </c>
    </row>
    <row r="494" spans="1:11" ht="30" customHeight="1">
      <c r="A494" s="12" t="s">
        <v>175</v>
      </c>
      <c r="B494" s="12" t="s">
        <v>171</v>
      </c>
      <c r="C494" s="12" t="s">
        <v>142</v>
      </c>
      <c r="D494" s="12" t="s">
        <v>541</v>
      </c>
      <c r="E494" s="17">
        <v>3</v>
      </c>
      <c r="F494" s="12" t="s">
        <v>32</v>
      </c>
      <c r="G494" s="12" t="s">
        <v>143</v>
      </c>
      <c r="H494" s="13"/>
      <c r="I494" s="13"/>
      <c r="J494" s="12" t="s">
        <v>1327</v>
      </c>
      <c r="K494" s="12" t="s">
        <v>794</v>
      </c>
    </row>
    <row r="495" spans="1:11" ht="30" customHeight="1">
      <c r="A495" s="12" t="s">
        <v>175</v>
      </c>
      <c r="B495" s="12" t="s">
        <v>171</v>
      </c>
      <c r="C495" s="12" t="s">
        <v>142</v>
      </c>
      <c r="D495" s="12" t="s">
        <v>542</v>
      </c>
      <c r="E495" s="17">
        <v>3</v>
      </c>
      <c r="F495" s="12" t="s">
        <v>32</v>
      </c>
      <c r="G495" s="12" t="s">
        <v>143</v>
      </c>
      <c r="H495" s="13"/>
      <c r="I495" s="13"/>
      <c r="J495" s="12" t="s">
        <v>1327</v>
      </c>
      <c r="K495" s="12" t="s">
        <v>794</v>
      </c>
    </row>
    <row r="496" spans="1:11" ht="30" customHeight="1">
      <c r="A496" s="12" t="s">
        <v>175</v>
      </c>
      <c r="B496" s="12" t="s">
        <v>171</v>
      </c>
      <c r="C496" s="12" t="s">
        <v>142</v>
      </c>
      <c r="D496" s="12" t="s">
        <v>543</v>
      </c>
      <c r="E496" s="17">
        <v>3</v>
      </c>
      <c r="F496" s="12" t="s">
        <v>32</v>
      </c>
      <c r="G496" s="12" t="s">
        <v>143</v>
      </c>
      <c r="H496" s="13"/>
      <c r="I496" s="13"/>
      <c r="J496" s="12" t="s">
        <v>1327</v>
      </c>
      <c r="K496" s="12" t="s">
        <v>794</v>
      </c>
    </row>
    <row r="497" spans="1:11" ht="30" customHeight="1">
      <c r="A497" s="12" t="s">
        <v>204</v>
      </c>
      <c r="B497" s="12" t="s">
        <v>200</v>
      </c>
      <c r="C497" s="12" t="s">
        <v>142</v>
      </c>
      <c r="D497" s="12" t="s">
        <v>534</v>
      </c>
      <c r="E497" s="17">
        <v>3</v>
      </c>
      <c r="F497" s="12" t="s">
        <v>32</v>
      </c>
      <c r="G497" s="12" t="s">
        <v>143</v>
      </c>
      <c r="H497" s="13"/>
      <c r="I497" s="12" t="s">
        <v>1328</v>
      </c>
      <c r="J497" s="12" t="s">
        <v>1327</v>
      </c>
      <c r="K497" s="12" t="s">
        <v>794</v>
      </c>
    </row>
    <row r="498" spans="1:11" ht="30" customHeight="1">
      <c r="A498" s="12" t="s">
        <v>204</v>
      </c>
      <c r="B498" s="12" t="s">
        <v>200</v>
      </c>
      <c r="C498" s="12" t="s">
        <v>142</v>
      </c>
      <c r="D498" s="12" t="s">
        <v>535</v>
      </c>
      <c r="E498" s="17">
        <v>3</v>
      </c>
      <c r="F498" s="12" t="s">
        <v>32</v>
      </c>
      <c r="G498" s="12" t="s">
        <v>143</v>
      </c>
      <c r="H498" s="13"/>
      <c r="I498" s="12" t="s">
        <v>1328</v>
      </c>
      <c r="J498" s="12" t="s">
        <v>1327</v>
      </c>
      <c r="K498" s="12" t="s">
        <v>794</v>
      </c>
    </row>
    <row r="499" spans="1:11" ht="30" customHeight="1">
      <c r="A499" s="12" t="s">
        <v>204</v>
      </c>
      <c r="B499" s="12" t="s">
        <v>200</v>
      </c>
      <c r="C499" s="12" t="s">
        <v>142</v>
      </c>
      <c r="D499" s="12" t="s">
        <v>536</v>
      </c>
      <c r="E499" s="17">
        <v>3</v>
      </c>
      <c r="F499" s="12" t="s">
        <v>32</v>
      </c>
      <c r="G499" s="12" t="s">
        <v>143</v>
      </c>
      <c r="H499" s="13"/>
      <c r="I499" s="12" t="s">
        <v>1328</v>
      </c>
      <c r="J499" s="12" t="s">
        <v>1327</v>
      </c>
      <c r="K499" s="12" t="s">
        <v>794</v>
      </c>
    </row>
    <row r="500" spans="1:11" ht="30" customHeight="1">
      <c r="A500" s="12" t="s">
        <v>204</v>
      </c>
      <c r="B500" s="12" t="s">
        <v>200</v>
      </c>
      <c r="C500" s="12" t="s">
        <v>142</v>
      </c>
      <c r="D500" s="12" t="s">
        <v>537</v>
      </c>
      <c r="E500" s="17">
        <v>3</v>
      </c>
      <c r="F500" s="12" t="s">
        <v>32</v>
      </c>
      <c r="G500" s="12" t="s">
        <v>143</v>
      </c>
      <c r="H500" s="13"/>
      <c r="I500" s="12" t="s">
        <v>1328</v>
      </c>
      <c r="J500" s="12" t="s">
        <v>1327</v>
      </c>
      <c r="K500" s="12" t="s">
        <v>794</v>
      </c>
    </row>
    <row r="501" spans="1:11" ht="30" customHeight="1">
      <c r="A501" s="12" t="s">
        <v>204</v>
      </c>
      <c r="B501" s="12" t="s">
        <v>200</v>
      </c>
      <c r="C501" s="12" t="s">
        <v>142</v>
      </c>
      <c r="D501" s="12" t="s">
        <v>538</v>
      </c>
      <c r="E501" s="17">
        <v>3</v>
      </c>
      <c r="F501" s="12" t="s">
        <v>32</v>
      </c>
      <c r="G501" s="12" t="s">
        <v>143</v>
      </c>
      <c r="H501" s="13"/>
      <c r="I501" s="12" t="s">
        <v>1328</v>
      </c>
      <c r="J501" s="12" t="s">
        <v>1327</v>
      </c>
      <c r="K501" s="12" t="s">
        <v>794</v>
      </c>
    </row>
    <row r="502" spans="1:11" ht="30" customHeight="1">
      <c r="A502" s="12" t="s">
        <v>204</v>
      </c>
      <c r="B502" s="12" t="s">
        <v>200</v>
      </c>
      <c r="C502" s="12" t="s">
        <v>142</v>
      </c>
      <c r="D502" s="12" t="s">
        <v>539</v>
      </c>
      <c r="E502" s="17">
        <v>3</v>
      </c>
      <c r="F502" s="12" t="s">
        <v>32</v>
      </c>
      <c r="G502" s="12" t="s">
        <v>143</v>
      </c>
      <c r="H502" s="13"/>
      <c r="I502" s="12" t="s">
        <v>1328</v>
      </c>
      <c r="J502" s="12" t="s">
        <v>1327</v>
      </c>
      <c r="K502" s="12" t="s">
        <v>794</v>
      </c>
    </row>
    <row r="503" spans="1:11" ht="30" customHeight="1">
      <c r="A503" s="12" t="s">
        <v>204</v>
      </c>
      <c r="B503" s="12" t="s">
        <v>200</v>
      </c>
      <c r="C503" s="12" t="s">
        <v>142</v>
      </c>
      <c r="D503" s="12" t="s">
        <v>540</v>
      </c>
      <c r="E503" s="17">
        <v>3</v>
      </c>
      <c r="F503" s="12" t="s">
        <v>32</v>
      </c>
      <c r="G503" s="12" t="s">
        <v>143</v>
      </c>
      <c r="H503" s="13"/>
      <c r="I503" s="12" t="s">
        <v>1328</v>
      </c>
      <c r="J503" s="12" t="s">
        <v>1327</v>
      </c>
      <c r="K503" s="12" t="s">
        <v>794</v>
      </c>
    </row>
    <row r="504" spans="1:11" ht="30" customHeight="1">
      <c r="A504" s="12" t="s">
        <v>204</v>
      </c>
      <c r="B504" s="12" t="s">
        <v>200</v>
      </c>
      <c r="C504" s="12" t="s">
        <v>142</v>
      </c>
      <c r="D504" s="12" t="s">
        <v>541</v>
      </c>
      <c r="E504" s="17">
        <v>3</v>
      </c>
      <c r="F504" s="12" t="s">
        <v>32</v>
      </c>
      <c r="G504" s="12" t="s">
        <v>143</v>
      </c>
      <c r="H504" s="13"/>
      <c r="I504" s="12" t="s">
        <v>1328</v>
      </c>
      <c r="J504" s="12" t="s">
        <v>1327</v>
      </c>
      <c r="K504" s="12" t="s">
        <v>794</v>
      </c>
    </row>
    <row r="505" spans="1:11" ht="30" customHeight="1">
      <c r="A505" s="12" t="s">
        <v>204</v>
      </c>
      <c r="B505" s="12" t="s">
        <v>200</v>
      </c>
      <c r="C505" s="12" t="s">
        <v>142</v>
      </c>
      <c r="D505" s="12" t="s">
        <v>542</v>
      </c>
      <c r="E505" s="17">
        <v>3</v>
      </c>
      <c r="F505" s="12" t="s">
        <v>32</v>
      </c>
      <c r="G505" s="12" t="s">
        <v>143</v>
      </c>
      <c r="H505" s="13"/>
      <c r="I505" s="12" t="s">
        <v>1328</v>
      </c>
      <c r="J505" s="12" t="s">
        <v>1327</v>
      </c>
      <c r="K505" s="12" t="s">
        <v>794</v>
      </c>
    </row>
    <row r="506" spans="1:11" ht="30" customHeight="1">
      <c r="A506" s="12" t="s">
        <v>204</v>
      </c>
      <c r="B506" s="12" t="s">
        <v>200</v>
      </c>
      <c r="C506" s="12" t="s">
        <v>142</v>
      </c>
      <c r="D506" s="12" t="s">
        <v>543</v>
      </c>
      <c r="E506" s="17">
        <v>3</v>
      </c>
      <c r="F506" s="12" t="s">
        <v>32</v>
      </c>
      <c r="G506" s="12" t="s">
        <v>143</v>
      </c>
      <c r="H506" s="13"/>
      <c r="I506" s="12" t="s">
        <v>1328</v>
      </c>
      <c r="J506" s="12" t="s">
        <v>1327</v>
      </c>
      <c r="K506" s="12" t="s">
        <v>794</v>
      </c>
    </row>
    <row r="507" spans="1:11" ht="30" customHeight="1">
      <c r="A507" s="12" t="s">
        <v>193</v>
      </c>
      <c r="B507" s="12" t="s">
        <v>189</v>
      </c>
      <c r="C507" s="12" t="s">
        <v>142</v>
      </c>
      <c r="D507" s="12" t="s">
        <v>534</v>
      </c>
      <c r="E507" s="17">
        <v>3</v>
      </c>
      <c r="F507" s="12" t="s">
        <v>32</v>
      </c>
      <c r="G507" s="12" t="s">
        <v>143</v>
      </c>
      <c r="H507" s="13"/>
      <c r="I507" s="13"/>
      <c r="J507" s="12" t="s">
        <v>1327</v>
      </c>
      <c r="K507" s="12" t="s">
        <v>794</v>
      </c>
    </row>
    <row r="508" spans="1:11" ht="30" customHeight="1">
      <c r="A508" s="12" t="s">
        <v>193</v>
      </c>
      <c r="B508" s="12" t="s">
        <v>189</v>
      </c>
      <c r="C508" s="12" t="s">
        <v>142</v>
      </c>
      <c r="D508" s="12" t="s">
        <v>535</v>
      </c>
      <c r="E508" s="17">
        <v>3</v>
      </c>
      <c r="F508" s="12" t="s">
        <v>32</v>
      </c>
      <c r="G508" s="12" t="s">
        <v>143</v>
      </c>
      <c r="H508" s="13"/>
      <c r="I508" s="13"/>
      <c r="J508" s="12" t="s">
        <v>1327</v>
      </c>
      <c r="K508" s="12" t="s">
        <v>794</v>
      </c>
    </row>
    <row r="509" spans="1:11" ht="30" customHeight="1">
      <c r="A509" s="12" t="s">
        <v>193</v>
      </c>
      <c r="B509" s="12" t="s">
        <v>189</v>
      </c>
      <c r="C509" s="12" t="s">
        <v>142</v>
      </c>
      <c r="D509" s="12" t="s">
        <v>536</v>
      </c>
      <c r="E509" s="17">
        <v>3</v>
      </c>
      <c r="F509" s="12" t="s">
        <v>32</v>
      </c>
      <c r="G509" s="12" t="s">
        <v>143</v>
      </c>
      <c r="H509" s="13"/>
      <c r="I509" s="13"/>
      <c r="J509" s="12" t="s">
        <v>1327</v>
      </c>
      <c r="K509" s="12" t="s">
        <v>794</v>
      </c>
    </row>
    <row r="510" spans="1:11" ht="30" customHeight="1">
      <c r="A510" s="12" t="s">
        <v>193</v>
      </c>
      <c r="B510" s="12" t="s">
        <v>189</v>
      </c>
      <c r="C510" s="12" t="s">
        <v>142</v>
      </c>
      <c r="D510" s="12" t="s">
        <v>537</v>
      </c>
      <c r="E510" s="17">
        <v>3</v>
      </c>
      <c r="F510" s="12" t="s">
        <v>32</v>
      </c>
      <c r="G510" s="12" t="s">
        <v>143</v>
      </c>
      <c r="H510" s="13"/>
      <c r="I510" s="13"/>
      <c r="J510" s="12" t="s">
        <v>1327</v>
      </c>
      <c r="K510" s="12" t="s">
        <v>794</v>
      </c>
    </row>
    <row r="511" spans="1:11" ht="30" customHeight="1">
      <c r="A511" s="12" t="s">
        <v>193</v>
      </c>
      <c r="B511" s="12" t="s">
        <v>189</v>
      </c>
      <c r="C511" s="12" t="s">
        <v>142</v>
      </c>
      <c r="D511" s="12" t="s">
        <v>538</v>
      </c>
      <c r="E511" s="17">
        <v>3</v>
      </c>
      <c r="F511" s="12" t="s">
        <v>32</v>
      </c>
      <c r="G511" s="12" t="s">
        <v>143</v>
      </c>
      <c r="H511" s="13"/>
      <c r="I511" s="13"/>
      <c r="J511" s="12" t="s">
        <v>1327</v>
      </c>
      <c r="K511" s="12" t="s">
        <v>794</v>
      </c>
    </row>
    <row r="512" spans="1:11" ht="30" customHeight="1">
      <c r="A512" s="12" t="s">
        <v>193</v>
      </c>
      <c r="B512" s="12" t="s">
        <v>189</v>
      </c>
      <c r="C512" s="12" t="s">
        <v>142</v>
      </c>
      <c r="D512" s="12" t="s">
        <v>539</v>
      </c>
      <c r="E512" s="17">
        <v>3</v>
      </c>
      <c r="F512" s="12" t="s">
        <v>32</v>
      </c>
      <c r="G512" s="12" t="s">
        <v>143</v>
      </c>
      <c r="H512" s="13"/>
      <c r="I512" s="13"/>
      <c r="J512" s="12" t="s">
        <v>1327</v>
      </c>
      <c r="K512" s="12" t="s">
        <v>794</v>
      </c>
    </row>
    <row r="513" spans="1:11" ht="30" customHeight="1">
      <c r="A513" s="12" t="s">
        <v>193</v>
      </c>
      <c r="B513" s="12" t="s">
        <v>189</v>
      </c>
      <c r="C513" s="12" t="s">
        <v>142</v>
      </c>
      <c r="D513" s="12" t="s">
        <v>540</v>
      </c>
      <c r="E513" s="17">
        <v>3</v>
      </c>
      <c r="F513" s="12" t="s">
        <v>32</v>
      </c>
      <c r="G513" s="12" t="s">
        <v>143</v>
      </c>
      <c r="H513" s="13"/>
      <c r="I513" s="13"/>
      <c r="J513" s="12" t="s">
        <v>1327</v>
      </c>
      <c r="K513" s="12" t="s">
        <v>794</v>
      </c>
    </row>
    <row r="514" spans="1:11" ht="30" customHeight="1">
      <c r="A514" s="12" t="s">
        <v>193</v>
      </c>
      <c r="B514" s="12" t="s">
        <v>189</v>
      </c>
      <c r="C514" s="12" t="s">
        <v>142</v>
      </c>
      <c r="D514" s="12" t="s">
        <v>541</v>
      </c>
      <c r="E514" s="17">
        <v>3</v>
      </c>
      <c r="F514" s="12" t="s">
        <v>32</v>
      </c>
      <c r="G514" s="12" t="s">
        <v>143</v>
      </c>
      <c r="H514" s="13"/>
      <c r="I514" s="13"/>
      <c r="J514" s="12" t="s">
        <v>1327</v>
      </c>
      <c r="K514" s="12" t="s">
        <v>794</v>
      </c>
    </row>
    <row r="515" spans="1:11" ht="30" customHeight="1">
      <c r="A515" s="12" t="s">
        <v>193</v>
      </c>
      <c r="B515" s="12" t="s">
        <v>189</v>
      </c>
      <c r="C515" s="12" t="s">
        <v>142</v>
      </c>
      <c r="D515" s="12" t="s">
        <v>542</v>
      </c>
      <c r="E515" s="17">
        <v>3</v>
      </c>
      <c r="F515" s="12" t="s">
        <v>32</v>
      </c>
      <c r="G515" s="12" t="s">
        <v>143</v>
      </c>
      <c r="H515" s="13"/>
      <c r="I515" s="13"/>
      <c r="J515" s="12" t="s">
        <v>1327</v>
      </c>
      <c r="K515" s="12" t="s">
        <v>794</v>
      </c>
    </row>
    <row r="516" spans="1:11" ht="30" customHeight="1">
      <c r="A516" s="12" t="s">
        <v>193</v>
      </c>
      <c r="B516" s="12" t="s">
        <v>189</v>
      </c>
      <c r="C516" s="12" t="s">
        <v>142</v>
      </c>
      <c r="D516" s="12" t="s">
        <v>543</v>
      </c>
      <c r="E516" s="17">
        <v>3</v>
      </c>
      <c r="F516" s="12" t="s">
        <v>32</v>
      </c>
      <c r="G516" s="12" t="s">
        <v>143</v>
      </c>
      <c r="H516" s="13"/>
      <c r="I516" s="13"/>
      <c r="J516" s="12" t="s">
        <v>1327</v>
      </c>
      <c r="K516" s="12" t="s">
        <v>794</v>
      </c>
    </row>
    <row r="517" spans="1:11" ht="30" customHeight="1">
      <c r="A517" s="12" t="s">
        <v>155</v>
      </c>
      <c r="B517" s="12" t="s">
        <v>151</v>
      </c>
      <c r="C517" s="12" t="s">
        <v>142</v>
      </c>
      <c r="D517" s="12" t="s">
        <v>534</v>
      </c>
      <c r="E517" s="17">
        <v>3</v>
      </c>
      <c r="F517" s="12" t="s">
        <v>32</v>
      </c>
      <c r="G517" s="12" t="s">
        <v>143</v>
      </c>
      <c r="H517" s="13"/>
      <c r="I517" s="13"/>
      <c r="J517" s="12" t="s">
        <v>1327</v>
      </c>
      <c r="K517" s="12" t="s">
        <v>794</v>
      </c>
    </row>
    <row r="518" spans="1:11" ht="30" customHeight="1">
      <c r="A518" s="12" t="s">
        <v>155</v>
      </c>
      <c r="B518" s="12" t="s">
        <v>151</v>
      </c>
      <c r="C518" s="12" t="s">
        <v>142</v>
      </c>
      <c r="D518" s="12" t="s">
        <v>535</v>
      </c>
      <c r="E518" s="17">
        <v>0</v>
      </c>
      <c r="F518" s="12" t="s">
        <v>32</v>
      </c>
      <c r="G518" s="12" t="s">
        <v>143</v>
      </c>
      <c r="H518" s="13"/>
      <c r="I518" s="13"/>
      <c r="J518" s="12" t="s">
        <v>1327</v>
      </c>
      <c r="K518" s="12" t="s">
        <v>794</v>
      </c>
    </row>
    <row r="519" spans="1:11" ht="30" customHeight="1">
      <c r="A519" s="12" t="s">
        <v>155</v>
      </c>
      <c r="B519" s="12" t="s">
        <v>151</v>
      </c>
      <c r="C519" s="12" t="s">
        <v>142</v>
      </c>
      <c r="D519" s="12" t="s">
        <v>536</v>
      </c>
      <c r="E519" s="17">
        <v>0</v>
      </c>
      <c r="F519" s="12" t="s">
        <v>32</v>
      </c>
      <c r="G519" s="12" t="s">
        <v>143</v>
      </c>
      <c r="H519" s="13"/>
      <c r="I519" s="13"/>
      <c r="J519" s="12" t="s">
        <v>1327</v>
      </c>
      <c r="K519" s="12" t="s">
        <v>794</v>
      </c>
    </row>
    <row r="520" spans="1:11" ht="30" customHeight="1">
      <c r="A520" s="12" t="s">
        <v>155</v>
      </c>
      <c r="B520" s="12" t="s">
        <v>151</v>
      </c>
      <c r="C520" s="12" t="s">
        <v>142</v>
      </c>
      <c r="D520" s="12" t="s">
        <v>537</v>
      </c>
      <c r="E520" s="17">
        <v>2</v>
      </c>
      <c r="F520" s="12" t="s">
        <v>32</v>
      </c>
      <c r="G520" s="12" t="s">
        <v>143</v>
      </c>
      <c r="H520" s="13"/>
      <c r="I520" s="13"/>
      <c r="J520" s="12" t="s">
        <v>1327</v>
      </c>
      <c r="K520" s="12" t="s">
        <v>794</v>
      </c>
    </row>
    <row r="521" spans="1:11" ht="30" customHeight="1">
      <c r="A521" s="12" t="s">
        <v>155</v>
      </c>
      <c r="B521" s="12" t="s">
        <v>151</v>
      </c>
      <c r="C521" s="12" t="s">
        <v>142</v>
      </c>
      <c r="D521" s="12" t="s">
        <v>538</v>
      </c>
      <c r="E521" s="17">
        <v>2</v>
      </c>
      <c r="F521" s="12" t="s">
        <v>32</v>
      </c>
      <c r="G521" s="12" t="s">
        <v>143</v>
      </c>
      <c r="H521" s="13"/>
      <c r="I521" s="13"/>
      <c r="J521" s="12" t="s">
        <v>1327</v>
      </c>
      <c r="K521" s="12" t="s">
        <v>794</v>
      </c>
    </row>
    <row r="522" spans="1:11" ht="30" customHeight="1">
      <c r="A522" s="12" t="s">
        <v>155</v>
      </c>
      <c r="B522" s="12" t="s">
        <v>151</v>
      </c>
      <c r="C522" s="12" t="s">
        <v>142</v>
      </c>
      <c r="D522" s="12" t="s">
        <v>539</v>
      </c>
      <c r="E522" s="17">
        <v>1</v>
      </c>
      <c r="F522" s="12" t="s">
        <v>32</v>
      </c>
      <c r="G522" s="12" t="s">
        <v>143</v>
      </c>
      <c r="H522" s="13"/>
      <c r="I522" s="13"/>
      <c r="J522" s="12" t="s">
        <v>1327</v>
      </c>
      <c r="K522" s="12" t="s">
        <v>794</v>
      </c>
    </row>
    <row r="523" spans="1:11" ht="30" customHeight="1">
      <c r="A523" s="12" t="s">
        <v>155</v>
      </c>
      <c r="B523" s="12" t="s">
        <v>151</v>
      </c>
      <c r="C523" s="12" t="s">
        <v>142</v>
      </c>
      <c r="D523" s="12" t="s">
        <v>540</v>
      </c>
      <c r="E523" s="17">
        <v>3</v>
      </c>
      <c r="F523" s="12" t="s">
        <v>32</v>
      </c>
      <c r="G523" s="12" t="s">
        <v>143</v>
      </c>
      <c r="H523" s="13"/>
      <c r="I523" s="13"/>
      <c r="J523" s="12" t="s">
        <v>1327</v>
      </c>
      <c r="K523" s="12" t="s">
        <v>794</v>
      </c>
    </row>
    <row r="524" spans="1:11" ht="30" customHeight="1">
      <c r="A524" s="12" t="s">
        <v>155</v>
      </c>
      <c r="B524" s="12" t="s">
        <v>151</v>
      </c>
      <c r="C524" s="12" t="s">
        <v>142</v>
      </c>
      <c r="D524" s="12" t="s">
        <v>541</v>
      </c>
      <c r="E524" s="17">
        <v>3</v>
      </c>
      <c r="F524" s="12" t="s">
        <v>32</v>
      </c>
      <c r="G524" s="12" t="s">
        <v>143</v>
      </c>
      <c r="H524" s="13"/>
      <c r="I524" s="13"/>
      <c r="J524" s="12" t="s">
        <v>1327</v>
      </c>
      <c r="K524" s="12" t="s">
        <v>794</v>
      </c>
    </row>
    <row r="525" spans="1:11" ht="30" customHeight="1">
      <c r="A525" s="12" t="s">
        <v>155</v>
      </c>
      <c r="B525" s="12" t="s">
        <v>151</v>
      </c>
      <c r="C525" s="12" t="s">
        <v>142</v>
      </c>
      <c r="D525" s="12" t="s">
        <v>542</v>
      </c>
      <c r="E525" s="17">
        <v>3</v>
      </c>
      <c r="F525" s="12" t="s">
        <v>32</v>
      </c>
      <c r="G525" s="12" t="s">
        <v>143</v>
      </c>
      <c r="H525" s="13"/>
      <c r="I525" s="13"/>
      <c r="J525" s="12" t="s">
        <v>1327</v>
      </c>
      <c r="K525" s="12" t="s">
        <v>794</v>
      </c>
    </row>
    <row r="526" spans="1:11" ht="30" customHeight="1">
      <c r="A526" s="12" t="s">
        <v>155</v>
      </c>
      <c r="B526" s="12" t="s">
        <v>151</v>
      </c>
      <c r="C526" s="12" t="s">
        <v>142</v>
      </c>
      <c r="D526" s="12" t="s">
        <v>543</v>
      </c>
      <c r="E526" s="17">
        <v>0</v>
      </c>
      <c r="F526" s="12" t="s">
        <v>32</v>
      </c>
      <c r="G526" s="12" t="s">
        <v>143</v>
      </c>
      <c r="H526" s="13"/>
      <c r="I526" s="13"/>
      <c r="J526" s="12" t="s">
        <v>1327</v>
      </c>
      <c r="K526" s="12" t="s">
        <v>794</v>
      </c>
    </row>
    <row r="527" spans="1:11" ht="30" customHeight="1">
      <c r="A527" s="12" t="s">
        <v>181</v>
      </c>
      <c r="B527" s="12" t="s">
        <v>178</v>
      </c>
      <c r="C527" s="12" t="s">
        <v>142</v>
      </c>
      <c r="D527" s="12" t="s">
        <v>534</v>
      </c>
      <c r="E527" s="17">
        <v>3</v>
      </c>
      <c r="F527" s="12" t="s">
        <v>32</v>
      </c>
      <c r="G527" s="12" t="s">
        <v>143</v>
      </c>
      <c r="H527" s="13"/>
      <c r="I527" s="13"/>
      <c r="J527" s="12" t="s">
        <v>1327</v>
      </c>
      <c r="K527" s="12" t="s">
        <v>794</v>
      </c>
    </row>
    <row r="528" spans="1:11" ht="30" customHeight="1">
      <c r="A528" s="12" t="s">
        <v>181</v>
      </c>
      <c r="B528" s="12" t="s">
        <v>178</v>
      </c>
      <c r="C528" s="12" t="s">
        <v>142</v>
      </c>
      <c r="D528" s="12" t="s">
        <v>535</v>
      </c>
      <c r="E528" s="17">
        <v>0</v>
      </c>
      <c r="F528" s="12" t="s">
        <v>32</v>
      </c>
      <c r="G528" s="12" t="s">
        <v>143</v>
      </c>
      <c r="H528" s="13"/>
      <c r="I528" s="13"/>
      <c r="J528" s="12" t="s">
        <v>1327</v>
      </c>
      <c r="K528" s="12" t="s">
        <v>794</v>
      </c>
    </row>
    <row r="529" spans="1:11" ht="30" customHeight="1">
      <c r="A529" s="12" t="s">
        <v>181</v>
      </c>
      <c r="B529" s="12" t="s">
        <v>178</v>
      </c>
      <c r="C529" s="12" t="s">
        <v>142</v>
      </c>
      <c r="D529" s="12" t="s">
        <v>536</v>
      </c>
      <c r="E529" s="17">
        <v>0</v>
      </c>
      <c r="F529" s="12" t="s">
        <v>32</v>
      </c>
      <c r="G529" s="12" t="s">
        <v>143</v>
      </c>
      <c r="H529" s="13"/>
      <c r="I529" s="13"/>
      <c r="J529" s="12" t="s">
        <v>1327</v>
      </c>
      <c r="K529" s="12" t="s">
        <v>794</v>
      </c>
    </row>
    <row r="530" spans="1:11" ht="30" customHeight="1">
      <c r="A530" s="12" t="s">
        <v>181</v>
      </c>
      <c r="B530" s="12" t="s">
        <v>178</v>
      </c>
      <c r="C530" s="12" t="s">
        <v>142</v>
      </c>
      <c r="D530" s="12" t="s">
        <v>537</v>
      </c>
      <c r="E530" s="17">
        <v>0</v>
      </c>
      <c r="F530" s="12" t="s">
        <v>32</v>
      </c>
      <c r="G530" s="12" t="s">
        <v>143</v>
      </c>
      <c r="H530" s="13"/>
      <c r="I530" s="13"/>
      <c r="J530" s="12" t="s">
        <v>1327</v>
      </c>
      <c r="K530" s="12" t="s">
        <v>794</v>
      </c>
    </row>
    <row r="531" spans="1:11" ht="30" customHeight="1">
      <c r="A531" s="12" t="s">
        <v>181</v>
      </c>
      <c r="B531" s="12" t="s">
        <v>178</v>
      </c>
      <c r="C531" s="12" t="s">
        <v>142</v>
      </c>
      <c r="D531" s="12" t="s">
        <v>538</v>
      </c>
      <c r="E531" s="17">
        <v>0</v>
      </c>
      <c r="F531" s="12" t="s">
        <v>32</v>
      </c>
      <c r="G531" s="12" t="s">
        <v>143</v>
      </c>
      <c r="H531" s="13"/>
      <c r="I531" s="13"/>
      <c r="J531" s="12" t="s">
        <v>1327</v>
      </c>
      <c r="K531" s="12" t="s">
        <v>794</v>
      </c>
    </row>
    <row r="532" spans="1:11" ht="30" customHeight="1">
      <c r="A532" s="12" t="s">
        <v>181</v>
      </c>
      <c r="B532" s="12" t="s">
        <v>178</v>
      </c>
      <c r="C532" s="12" t="s">
        <v>142</v>
      </c>
      <c r="D532" s="12" t="s">
        <v>539</v>
      </c>
      <c r="E532" s="17">
        <v>0</v>
      </c>
      <c r="F532" s="12" t="s">
        <v>32</v>
      </c>
      <c r="G532" s="12" t="s">
        <v>143</v>
      </c>
      <c r="H532" s="13"/>
      <c r="I532" s="13"/>
      <c r="J532" s="12" t="s">
        <v>1327</v>
      </c>
      <c r="K532" s="12" t="s">
        <v>794</v>
      </c>
    </row>
    <row r="533" spans="1:11" ht="30" customHeight="1">
      <c r="A533" s="12" t="s">
        <v>181</v>
      </c>
      <c r="B533" s="12" t="s">
        <v>178</v>
      </c>
      <c r="C533" s="12" t="s">
        <v>142</v>
      </c>
      <c r="D533" s="12" t="s">
        <v>540</v>
      </c>
      <c r="E533" s="17">
        <v>3</v>
      </c>
      <c r="F533" s="12" t="s">
        <v>32</v>
      </c>
      <c r="G533" s="12" t="s">
        <v>143</v>
      </c>
      <c r="H533" s="13"/>
      <c r="I533" s="13"/>
      <c r="J533" s="12" t="s">
        <v>1327</v>
      </c>
      <c r="K533" s="12" t="s">
        <v>794</v>
      </c>
    </row>
    <row r="534" spans="1:11" ht="30" customHeight="1">
      <c r="A534" s="12" t="s">
        <v>181</v>
      </c>
      <c r="B534" s="12" t="s">
        <v>178</v>
      </c>
      <c r="C534" s="12" t="s">
        <v>142</v>
      </c>
      <c r="D534" s="12" t="s">
        <v>541</v>
      </c>
      <c r="E534" s="17">
        <v>2</v>
      </c>
      <c r="F534" s="12" t="s">
        <v>32</v>
      </c>
      <c r="G534" s="12" t="s">
        <v>143</v>
      </c>
      <c r="H534" s="13"/>
      <c r="I534" s="13"/>
      <c r="J534" s="12" t="s">
        <v>1327</v>
      </c>
      <c r="K534" s="12" t="s">
        <v>794</v>
      </c>
    </row>
    <row r="535" spans="1:11" ht="30" customHeight="1">
      <c r="A535" s="12" t="s">
        <v>181</v>
      </c>
      <c r="B535" s="12" t="s">
        <v>178</v>
      </c>
      <c r="C535" s="12" t="s">
        <v>142</v>
      </c>
      <c r="D535" s="12" t="s">
        <v>542</v>
      </c>
      <c r="E535" s="17">
        <v>2</v>
      </c>
      <c r="F535" s="12" t="s">
        <v>32</v>
      </c>
      <c r="G535" s="12" t="s">
        <v>143</v>
      </c>
      <c r="H535" s="13"/>
      <c r="I535" s="13"/>
      <c r="J535" s="12" t="s">
        <v>1327</v>
      </c>
      <c r="K535" s="12" t="s">
        <v>794</v>
      </c>
    </row>
    <row r="536" spans="1:11" ht="30" customHeight="1">
      <c r="A536" s="12" t="s">
        <v>181</v>
      </c>
      <c r="B536" s="12" t="s">
        <v>178</v>
      </c>
      <c r="C536" s="12" t="s">
        <v>142</v>
      </c>
      <c r="D536" s="12" t="s">
        <v>543</v>
      </c>
      <c r="E536" s="17">
        <v>0</v>
      </c>
      <c r="F536" s="12" t="s">
        <v>32</v>
      </c>
      <c r="G536" s="12" t="s">
        <v>143</v>
      </c>
      <c r="H536" s="13"/>
      <c r="I536" s="13"/>
      <c r="J536" s="12" t="s">
        <v>1327</v>
      </c>
      <c r="K536" s="12" t="s">
        <v>794</v>
      </c>
    </row>
    <row r="537" spans="1:11" ht="30" customHeight="1">
      <c r="A537" s="12" t="s">
        <v>162</v>
      </c>
      <c r="B537" s="12" t="s">
        <v>158</v>
      </c>
      <c r="C537" s="12" t="s">
        <v>142</v>
      </c>
      <c r="D537" s="12" t="s">
        <v>534</v>
      </c>
      <c r="E537" s="17">
        <v>3</v>
      </c>
      <c r="F537" s="12" t="s">
        <v>32</v>
      </c>
      <c r="G537" s="12" t="s">
        <v>143</v>
      </c>
      <c r="H537" s="13"/>
      <c r="I537" s="13"/>
      <c r="J537" s="12" t="s">
        <v>1327</v>
      </c>
      <c r="K537" s="12" t="s">
        <v>794</v>
      </c>
    </row>
    <row r="538" spans="1:11" ht="30" customHeight="1">
      <c r="A538" s="12" t="s">
        <v>162</v>
      </c>
      <c r="B538" s="12" t="s">
        <v>158</v>
      </c>
      <c r="C538" s="12" t="s">
        <v>142</v>
      </c>
      <c r="D538" s="12" t="s">
        <v>535</v>
      </c>
      <c r="E538" s="17">
        <v>0</v>
      </c>
      <c r="F538" s="12" t="s">
        <v>32</v>
      </c>
      <c r="G538" s="12" t="s">
        <v>143</v>
      </c>
      <c r="H538" s="13"/>
      <c r="I538" s="13"/>
      <c r="J538" s="12" t="s">
        <v>1327</v>
      </c>
      <c r="K538" s="12" t="s">
        <v>794</v>
      </c>
    </row>
    <row r="539" spans="1:11" ht="30" customHeight="1">
      <c r="A539" s="12" t="s">
        <v>162</v>
      </c>
      <c r="B539" s="12" t="s">
        <v>158</v>
      </c>
      <c r="C539" s="12" t="s">
        <v>142</v>
      </c>
      <c r="D539" s="12" t="s">
        <v>536</v>
      </c>
      <c r="E539" s="17">
        <v>0</v>
      </c>
      <c r="F539" s="12" t="s">
        <v>32</v>
      </c>
      <c r="G539" s="12" t="s">
        <v>143</v>
      </c>
      <c r="H539" s="13"/>
      <c r="I539" s="13"/>
      <c r="J539" s="12" t="s">
        <v>1327</v>
      </c>
      <c r="K539" s="12" t="s">
        <v>794</v>
      </c>
    </row>
    <row r="540" spans="1:11" ht="30" customHeight="1">
      <c r="A540" s="12" t="s">
        <v>162</v>
      </c>
      <c r="B540" s="12" t="s">
        <v>158</v>
      </c>
      <c r="C540" s="12" t="s">
        <v>142</v>
      </c>
      <c r="D540" s="12" t="s">
        <v>537</v>
      </c>
      <c r="E540" s="17">
        <v>0</v>
      </c>
      <c r="F540" s="12" t="s">
        <v>32</v>
      </c>
      <c r="G540" s="12" t="s">
        <v>143</v>
      </c>
      <c r="H540" s="13"/>
      <c r="I540" s="13"/>
      <c r="J540" s="12" t="s">
        <v>1327</v>
      </c>
      <c r="K540" s="12" t="s">
        <v>794</v>
      </c>
    </row>
    <row r="541" spans="1:11" ht="30" customHeight="1">
      <c r="A541" s="12" t="s">
        <v>162</v>
      </c>
      <c r="B541" s="12" t="s">
        <v>158</v>
      </c>
      <c r="C541" s="12" t="s">
        <v>142</v>
      </c>
      <c r="D541" s="12" t="s">
        <v>538</v>
      </c>
      <c r="E541" s="17">
        <v>0</v>
      </c>
      <c r="F541" s="12" t="s">
        <v>32</v>
      </c>
      <c r="G541" s="12" t="s">
        <v>143</v>
      </c>
      <c r="H541" s="13"/>
      <c r="I541" s="13"/>
      <c r="J541" s="12" t="s">
        <v>1327</v>
      </c>
      <c r="K541" s="12" t="s">
        <v>794</v>
      </c>
    </row>
    <row r="542" spans="1:11" ht="30" customHeight="1">
      <c r="A542" s="12" t="s">
        <v>162</v>
      </c>
      <c r="B542" s="12" t="s">
        <v>158</v>
      </c>
      <c r="C542" s="12" t="s">
        <v>142</v>
      </c>
      <c r="D542" s="12" t="s">
        <v>539</v>
      </c>
      <c r="E542" s="17">
        <v>0</v>
      </c>
      <c r="F542" s="12" t="s">
        <v>32</v>
      </c>
      <c r="G542" s="12" t="s">
        <v>143</v>
      </c>
      <c r="H542" s="13"/>
      <c r="I542" s="13"/>
      <c r="J542" s="12" t="s">
        <v>1327</v>
      </c>
      <c r="K542" s="12" t="s">
        <v>794</v>
      </c>
    </row>
    <row r="543" spans="1:11" ht="30" customHeight="1">
      <c r="A543" s="12" t="s">
        <v>162</v>
      </c>
      <c r="B543" s="12" t="s">
        <v>158</v>
      </c>
      <c r="C543" s="12" t="s">
        <v>142</v>
      </c>
      <c r="D543" s="12" t="s">
        <v>540</v>
      </c>
      <c r="E543" s="17">
        <v>2</v>
      </c>
      <c r="F543" s="12" t="s">
        <v>32</v>
      </c>
      <c r="G543" s="12" t="s">
        <v>143</v>
      </c>
      <c r="H543" s="13"/>
      <c r="I543" s="13"/>
      <c r="J543" s="12" t="s">
        <v>1327</v>
      </c>
      <c r="K543" s="12" t="s">
        <v>794</v>
      </c>
    </row>
    <row r="544" spans="1:11" ht="30" customHeight="1">
      <c r="A544" s="12" t="s">
        <v>162</v>
      </c>
      <c r="B544" s="12" t="s">
        <v>158</v>
      </c>
      <c r="C544" s="12" t="s">
        <v>142</v>
      </c>
      <c r="D544" s="12" t="s">
        <v>541</v>
      </c>
      <c r="E544" s="17">
        <v>2</v>
      </c>
      <c r="F544" s="12" t="s">
        <v>32</v>
      </c>
      <c r="G544" s="12" t="s">
        <v>143</v>
      </c>
      <c r="H544" s="13"/>
      <c r="I544" s="13"/>
      <c r="J544" s="12" t="s">
        <v>1327</v>
      </c>
      <c r="K544" s="12" t="s">
        <v>794</v>
      </c>
    </row>
    <row r="545" spans="1:11" ht="30" customHeight="1">
      <c r="A545" s="12" t="s">
        <v>162</v>
      </c>
      <c r="B545" s="12" t="s">
        <v>158</v>
      </c>
      <c r="C545" s="12" t="s">
        <v>142</v>
      </c>
      <c r="D545" s="12" t="s">
        <v>542</v>
      </c>
      <c r="E545" s="17">
        <v>2</v>
      </c>
      <c r="F545" s="12" t="s">
        <v>32</v>
      </c>
      <c r="G545" s="12" t="s">
        <v>143</v>
      </c>
      <c r="H545" s="13"/>
      <c r="I545" s="13"/>
      <c r="J545" s="12" t="s">
        <v>1327</v>
      </c>
      <c r="K545" s="12" t="s">
        <v>794</v>
      </c>
    </row>
    <row r="546" spans="1:11" ht="30" customHeight="1">
      <c r="A546" s="12" t="s">
        <v>162</v>
      </c>
      <c r="B546" s="12" t="s">
        <v>158</v>
      </c>
      <c r="C546" s="12" t="s">
        <v>142</v>
      </c>
      <c r="D546" s="12" t="s">
        <v>543</v>
      </c>
      <c r="E546" s="17">
        <v>0</v>
      </c>
      <c r="F546" s="12" t="s">
        <v>32</v>
      </c>
      <c r="G546" s="12" t="s">
        <v>143</v>
      </c>
      <c r="H546" s="13"/>
      <c r="I546" s="13"/>
      <c r="J546" s="12" t="s">
        <v>1327</v>
      </c>
      <c r="K546" s="12" t="s">
        <v>794</v>
      </c>
    </row>
    <row r="547" spans="1:11" ht="30" customHeight="1">
      <c r="A547" s="12" t="s">
        <v>198</v>
      </c>
      <c r="B547" s="12" t="s">
        <v>196</v>
      </c>
      <c r="C547" s="12" t="s">
        <v>142</v>
      </c>
      <c r="D547" s="12" t="s">
        <v>534</v>
      </c>
      <c r="E547" s="17">
        <v>3</v>
      </c>
      <c r="F547" s="12" t="s">
        <v>32</v>
      </c>
      <c r="G547" s="12" t="s">
        <v>143</v>
      </c>
      <c r="H547" s="13"/>
      <c r="I547" s="13"/>
      <c r="J547" s="12" t="s">
        <v>1327</v>
      </c>
      <c r="K547" s="12" t="s">
        <v>794</v>
      </c>
    </row>
    <row r="548" spans="1:11" ht="30" customHeight="1">
      <c r="A548" s="12" t="s">
        <v>198</v>
      </c>
      <c r="B548" s="12" t="s">
        <v>196</v>
      </c>
      <c r="C548" s="12" t="s">
        <v>142</v>
      </c>
      <c r="D548" s="12" t="s">
        <v>535</v>
      </c>
      <c r="E548" s="17">
        <v>0</v>
      </c>
      <c r="F548" s="12" t="s">
        <v>32</v>
      </c>
      <c r="G548" s="12" t="s">
        <v>143</v>
      </c>
      <c r="H548" s="13"/>
      <c r="I548" s="13"/>
      <c r="J548" s="12" t="s">
        <v>1327</v>
      </c>
      <c r="K548" s="12" t="s">
        <v>794</v>
      </c>
    </row>
    <row r="549" spans="1:11" ht="30" customHeight="1">
      <c r="A549" s="12" t="s">
        <v>198</v>
      </c>
      <c r="B549" s="12" t="s">
        <v>196</v>
      </c>
      <c r="C549" s="12" t="s">
        <v>142</v>
      </c>
      <c r="D549" s="12" t="s">
        <v>536</v>
      </c>
      <c r="E549" s="17">
        <v>0</v>
      </c>
      <c r="F549" s="12" t="s">
        <v>32</v>
      </c>
      <c r="G549" s="12" t="s">
        <v>143</v>
      </c>
      <c r="H549" s="13"/>
      <c r="I549" s="13"/>
      <c r="J549" s="12" t="s">
        <v>1327</v>
      </c>
      <c r="K549" s="12" t="s">
        <v>794</v>
      </c>
    </row>
    <row r="550" spans="1:11" ht="30" customHeight="1">
      <c r="A550" s="12" t="s">
        <v>198</v>
      </c>
      <c r="B550" s="12" t="s">
        <v>196</v>
      </c>
      <c r="C550" s="12" t="s">
        <v>142</v>
      </c>
      <c r="D550" s="12" t="s">
        <v>537</v>
      </c>
      <c r="E550" s="17">
        <v>0</v>
      </c>
      <c r="F550" s="12" t="s">
        <v>32</v>
      </c>
      <c r="G550" s="12" t="s">
        <v>143</v>
      </c>
      <c r="H550" s="13"/>
      <c r="I550" s="13"/>
      <c r="J550" s="12" t="s">
        <v>1327</v>
      </c>
      <c r="K550" s="12" t="s">
        <v>794</v>
      </c>
    </row>
    <row r="551" spans="1:11" ht="30" customHeight="1">
      <c r="A551" s="12" t="s">
        <v>198</v>
      </c>
      <c r="B551" s="12" t="s">
        <v>196</v>
      </c>
      <c r="C551" s="12" t="s">
        <v>142</v>
      </c>
      <c r="D551" s="12" t="s">
        <v>538</v>
      </c>
      <c r="E551" s="17">
        <v>0</v>
      </c>
      <c r="F551" s="12" t="s">
        <v>32</v>
      </c>
      <c r="G551" s="12" t="s">
        <v>143</v>
      </c>
      <c r="H551" s="13"/>
      <c r="I551" s="13"/>
      <c r="J551" s="12" t="s">
        <v>1327</v>
      </c>
      <c r="K551" s="12" t="s">
        <v>794</v>
      </c>
    </row>
    <row r="552" spans="1:11" ht="30" customHeight="1">
      <c r="A552" s="12" t="s">
        <v>198</v>
      </c>
      <c r="B552" s="12" t="s">
        <v>196</v>
      </c>
      <c r="C552" s="12" t="s">
        <v>142</v>
      </c>
      <c r="D552" s="12" t="s">
        <v>539</v>
      </c>
      <c r="E552" s="17">
        <v>0</v>
      </c>
      <c r="F552" s="12" t="s">
        <v>32</v>
      </c>
      <c r="G552" s="12" t="s">
        <v>143</v>
      </c>
      <c r="H552" s="13"/>
      <c r="I552" s="13"/>
      <c r="J552" s="12" t="s">
        <v>1327</v>
      </c>
      <c r="K552" s="12" t="s">
        <v>794</v>
      </c>
    </row>
    <row r="553" spans="1:11" ht="30" customHeight="1">
      <c r="A553" s="12" t="s">
        <v>198</v>
      </c>
      <c r="B553" s="12" t="s">
        <v>196</v>
      </c>
      <c r="C553" s="12" t="s">
        <v>142</v>
      </c>
      <c r="D553" s="12" t="s">
        <v>540</v>
      </c>
      <c r="E553" s="17">
        <v>2</v>
      </c>
      <c r="F553" s="12" t="s">
        <v>32</v>
      </c>
      <c r="G553" s="12" t="s">
        <v>143</v>
      </c>
      <c r="H553" s="13"/>
      <c r="I553" s="13"/>
      <c r="J553" s="12" t="s">
        <v>1327</v>
      </c>
      <c r="K553" s="12" t="s">
        <v>794</v>
      </c>
    </row>
    <row r="554" spans="1:11" ht="30" customHeight="1">
      <c r="A554" s="12" t="s">
        <v>198</v>
      </c>
      <c r="B554" s="12" t="s">
        <v>196</v>
      </c>
      <c r="C554" s="12" t="s">
        <v>142</v>
      </c>
      <c r="D554" s="12" t="s">
        <v>541</v>
      </c>
      <c r="E554" s="17">
        <v>2</v>
      </c>
      <c r="F554" s="12" t="s">
        <v>32</v>
      </c>
      <c r="G554" s="12" t="s">
        <v>143</v>
      </c>
      <c r="H554" s="13"/>
      <c r="I554" s="13"/>
      <c r="J554" s="12" t="s">
        <v>1327</v>
      </c>
      <c r="K554" s="12" t="s">
        <v>794</v>
      </c>
    </row>
    <row r="555" spans="1:11" ht="30" customHeight="1">
      <c r="A555" s="12" t="s">
        <v>198</v>
      </c>
      <c r="B555" s="12" t="s">
        <v>196</v>
      </c>
      <c r="C555" s="12" t="s">
        <v>142</v>
      </c>
      <c r="D555" s="12" t="s">
        <v>542</v>
      </c>
      <c r="E555" s="17">
        <v>2</v>
      </c>
      <c r="F555" s="12" t="s">
        <v>32</v>
      </c>
      <c r="G555" s="12" t="s">
        <v>143</v>
      </c>
      <c r="H555" s="13"/>
      <c r="I555" s="13"/>
      <c r="J555" s="12" t="s">
        <v>1327</v>
      </c>
      <c r="K555" s="12" t="s">
        <v>794</v>
      </c>
    </row>
    <row r="556" spans="1:11" ht="30" customHeight="1">
      <c r="A556" s="12" t="s">
        <v>198</v>
      </c>
      <c r="B556" s="12" t="s">
        <v>196</v>
      </c>
      <c r="C556" s="12" t="s">
        <v>142</v>
      </c>
      <c r="D556" s="12" t="s">
        <v>543</v>
      </c>
      <c r="E556" s="17">
        <v>0</v>
      </c>
      <c r="F556" s="12" t="s">
        <v>32</v>
      </c>
      <c r="G556" s="12" t="s">
        <v>143</v>
      </c>
      <c r="H556" s="13"/>
      <c r="I556" s="13"/>
      <c r="J556" s="12" t="s">
        <v>1327</v>
      </c>
      <c r="K556" s="12" t="s">
        <v>794</v>
      </c>
    </row>
    <row r="557" spans="1:11" ht="30" customHeight="1">
      <c r="A557" s="12" t="s">
        <v>187</v>
      </c>
      <c r="B557" s="12" t="s">
        <v>184</v>
      </c>
      <c r="C557" s="12" t="s">
        <v>142</v>
      </c>
      <c r="D557" s="12" t="s">
        <v>534</v>
      </c>
      <c r="E557" s="17">
        <v>3</v>
      </c>
      <c r="F557" s="12" t="s">
        <v>32</v>
      </c>
      <c r="G557" s="12" t="s">
        <v>143</v>
      </c>
      <c r="H557" s="13"/>
      <c r="I557" s="13"/>
      <c r="J557" s="12" t="s">
        <v>1327</v>
      </c>
      <c r="K557" s="12" t="s">
        <v>794</v>
      </c>
    </row>
    <row r="558" spans="1:11" ht="30" customHeight="1">
      <c r="A558" s="12" t="s">
        <v>187</v>
      </c>
      <c r="B558" s="12" t="s">
        <v>184</v>
      </c>
      <c r="C558" s="12" t="s">
        <v>142</v>
      </c>
      <c r="D558" s="12" t="s">
        <v>535</v>
      </c>
      <c r="E558" s="17">
        <v>0</v>
      </c>
      <c r="F558" s="12" t="s">
        <v>32</v>
      </c>
      <c r="G558" s="12" t="s">
        <v>143</v>
      </c>
      <c r="H558" s="13"/>
      <c r="I558" s="13"/>
      <c r="J558" s="12" t="s">
        <v>1327</v>
      </c>
      <c r="K558" s="12" t="s">
        <v>794</v>
      </c>
    </row>
    <row r="559" spans="1:11" ht="30" customHeight="1">
      <c r="A559" s="12" t="s">
        <v>187</v>
      </c>
      <c r="B559" s="12" t="s">
        <v>184</v>
      </c>
      <c r="C559" s="12" t="s">
        <v>142</v>
      </c>
      <c r="D559" s="12" t="s">
        <v>536</v>
      </c>
      <c r="E559" s="17">
        <v>0</v>
      </c>
      <c r="F559" s="12" t="s">
        <v>32</v>
      </c>
      <c r="G559" s="12" t="s">
        <v>143</v>
      </c>
      <c r="H559" s="13"/>
      <c r="I559" s="13"/>
      <c r="J559" s="12" t="s">
        <v>1327</v>
      </c>
      <c r="K559" s="12" t="s">
        <v>794</v>
      </c>
    </row>
    <row r="560" spans="1:11" ht="30" customHeight="1">
      <c r="A560" s="12" t="s">
        <v>187</v>
      </c>
      <c r="B560" s="12" t="s">
        <v>184</v>
      </c>
      <c r="C560" s="12" t="s">
        <v>142</v>
      </c>
      <c r="D560" s="12" t="s">
        <v>537</v>
      </c>
      <c r="E560" s="17">
        <v>0</v>
      </c>
      <c r="F560" s="12" t="s">
        <v>32</v>
      </c>
      <c r="G560" s="12" t="s">
        <v>143</v>
      </c>
      <c r="H560" s="13"/>
      <c r="I560" s="13"/>
      <c r="J560" s="12" t="s">
        <v>1327</v>
      </c>
      <c r="K560" s="12" t="s">
        <v>794</v>
      </c>
    </row>
    <row r="561" spans="1:11" ht="30" customHeight="1">
      <c r="A561" s="12" t="s">
        <v>187</v>
      </c>
      <c r="B561" s="12" t="s">
        <v>184</v>
      </c>
      <c r="C561" s="12" t="s">
        <v>142</v>
      </c>
      <c r="D561" s="12" t="s">
        <v>538</v>
      </c>
      <c r="E561" s="17">
        <v>0</v>
      </c>
      <c r="F561" s="12" t="s">
        <v>32</v>
      </c>
      <c r="G561" s="12" t="s">
        <v>143</v>
      </c>
      <c r="H561" s="13"/>
      <c r="I561" s="13"/>
      <c r="J561" s="12" t="s">
        <v>1327</v>
      </c>
      <c r="K561" s="12" t="s">
        <v>794</v>
      </c>
    </row>
    <row r="562" spans="1:11" ht="30" customHeight="1">
      <c r="A562" s="12" t="s">
        <v>187</v>
      </c>
      <c r="B562" s="12" t="s">
        <v>184</v>
      </c>
      <c r="C562" s="12" t="s">
        <v>142</v>
      </c>
      <c r="D562" s="12" t="s">
        <v>539</v>
      </c>
      <c r="E562" s="17">
        <v>0</v>
      </c>
      <c r="F562" s="12" t="s">
        <v>32</v>
      </c>
      <c r="G562" s="12" t="s">
        <v>143</v>
      </c>
      <c r="H562" s="13"/>
      <c r="I562" s="13"/>
      <c r="J562" s="12" t="s">
        <v>1327</v>
      </c>
      <c r="K562" s="12" t="s">
        <v>794</v>
      </c>
    </row>
    <row r="563" spans="1:11" ht="30" customHeight="1">
      <c r="A563" s="12" t="s">
        <v>187</v>
      </c>
      <c r="B563" s="12" t="s">
        <v>184</v>
      </c>
      <c r="C563" s="12" t="s">
        <v>142</v>
      </c>
      <c r="D563" s="12" t="s">
        <v>540</v>
      </c>
      <c r="E563" s="17">
        <v>2</v>
      </c>
      <c r="F563" s="12" t="s">
        <v>32</v>
      </c>
      <c r="G563" s="12" t="s">
        <v>143</v>
      </c>
      <c r="H563" s="13"/>
      <c r="I563" s="13"/>
      <c r="J563" s="12" t="s">
        <v>1327</v>
      </c>
      <c r="K563" s="12" t="s">
        <v>794</v>
      </c>
    </row>
    <row r="564" spans="1:11" ht="30" customHeight="1">
      <c r="A564" s="12" t="s">
        <v>187</v>
      </c>
      <c r="B564" s="12" t="s">
        <v>184</v>
      </c>
      <c r="C564" s="12" t="s">
        <v>142</v>
      </c>
      <c r="D564" s="12" t="s">
        <v>541</v>
      </c>
      <c r="E564" s="17">
        <v>1</v>
      </c>
      <c r="F564" s="12" t="s">
        <v>32</v>
      </c>
      <c r="G564" s="12" t="s">
        <v>143</v>
      </c>
      <c r="H564" s="13"/>
      <c r="I564" s="13"/>
      <c r="J564" s="12" t="s">
        <v>1327</v>
      </c>
      <c r="K564" s="12" t="s">
        <v>794</v>
      </c>
    </row>
    <row r="565" spans="1:11" ht="30" customHeight="1">
      <c r="A565" s="12" t="s">
        <v>187</v>
      </c>
      <c r="B565" s="12" t="s">
        <v>184</v>
      </c>
      <c r="C565" s="12" t="s">
        <v>142</v>
      </c>
      <c r="D565" s="12" t="s">
        <v>542</v>
      </c>
      <c r="E565" s="17">
        <v>2</v>
      </c>
      <c r="F565" s="12" t="s">
        <v>32</v>
      </c>
      <c r="G565" s="12" t="s">
        <v>143</v>
      </c>
      <c r="H565" s="13"/>
      <c r="I565" s="13"/>
      <c r="J565" s="12" t="s">
        <v>1327</v>
      </c>
      <c r="K565" s="12" t="s">
        <v>794</v>
      </c>
    </row>
    <row r="566" spans="1:11" ht="30" customHeight="1">
      <c r="A566" s="12" t="s">
        <v>187</v>
      </c>
      <c r="B566" s="12" t="s">
        <v>184</v>
      </c>
      <c r="C566" s="12" t="s">
        <v>142</v>
      </c>
      <c r="D566" s="12" t="s">
        <v>543</v>
      </c>
      <c r="E566" s="17">
        <v>0</v>
      </c>
      <c r="F566" s="12" t="s">
        <v>32</v>
      </c>
      <c r="G566" s="12" t="s">
        <v>143</v>
      </c>
      <c r="H566" s="13"/>
      <c r="I566" s="13"/>
      <c r="J566" s="12" t="s">
        <v>1327</v>
      </c>
      <c r="K566" s="12" t="s">
        <v>794</v>
      </c>
    </row>
    <row r="567" spans="1:11" ht="30" customHeight="1">
      <c r="A567" s="12" t="s">
        <v>145</v>
      </c>
      <c r="B567" s="12" t="s">
        <v>141</v>
      </c>
      <c r="C567" s="12" t="s">
        <v>142</v>
      </c>
      <c r="D567" s="12" t="s">
        <v>534</v>
      </c>
      <c r="E567" s="17">
        <v>3</v>
      </c>
      <c r="F567" s="12" t="s">
        <v>32</v>
      </c>
      <c r="G567" s="12" t="s">
        <v>143</v>
      </c>
      <c r="H567" s="13"/>
      <c r="I567" s="13"/>
      <c r="J567" s="12" t="s">
        <v>1327</v>
      </c>
      <c r="K567" s="12" t="s">
        <v>794</v>
      </c>
    </row>
    <row r="568" spans="1:11" ht="30" customHeight="1">
      <c r="A568" s="12" t="s">
        <v>145</v>
      </c>
      <c r="B568" s="12" t="s">
        <v>141</v>
      </c>
      <c r="C568" s="12" t="s">
        <v>142</v>
      </c>
      <c r="D568" s="12" t="s">
        <v>535</v>
      </c>
      <c r="E568" s="17">
        <v>0</v>
      </c>
      <c r="F568" s="12" t="s">
        <v>32</v>
      </c>
      <c r="G568" s="12" t="s">
        <v>143</v>
      </c>
      <c r="H568" s="13"/>
      <c r="I568" s="13"/>
      <c r="J568" s="12" t="s">
        <v>1327</v>
      </c>
      <c r="K568" s="12" t="s">
        <v>794</v>
      </c>
    </row>
    <row r="569" spans="1:11" ht="30" customHeight="1">
      <c r="A569" s="12" t="s">
        <v>145</v>
      </c>
      <c r="B569" s="12" t="s">
        <v>141</v>
      </c>
      <c r="C569" s="12" t="s">
        <v>142</v>
      </c>
      <c r="D569" s="12" t="s">
        <v>536</v>
      </c>
      <c r="E569" s="17">
        <v>0</v>
      </c>
      <c r="F569" s="12" t="s">
        <v>32</v>
      </c>
      <c r="G569" s="12" t="s">
        <v>143</v>
      </c>
      <c r="H569" s="13"/>
      <c r="I569" s="13"/>
      <c r="J569" s="12" t="s">
        <v>1327</v>
      </c>
      <c r="K569" s="12" t="s">
        <v>794</v>
      </c>
    </row>
    <row r="570" spans="1:11" ht="30" customHeight="1">
      <c r="A570" s="12" t="s">
        <v>145</v>
      </c>
      <c r="B570" s="12" t="s">
        <v>141</v>
      </c>
      <c r="C570" s="12" t="s">
        <v>142</v>
      </c>
      <c r="D570" s="12" t="s">
        <v>537</v>
      </c>
      <c r="E570" s="17">
        <v>0</v>
      </c>
      <c r="F570" s="12" t="s">
        <v>32</v>
      </c>
      <c r="G570" s="12" t="s">
        <v>143</v>
      </c>
      <c r="H570" s="13"/>
      <c r="I570" s="13"/>
      <c r="J570" s="12" t="s">
        <v>1327</v>
      </c>
      <c r="K570" s="12" t="s">
        <v>794</v>
      </c>
    </row>
    <row r="571" spans="1:11" ht="30" customHeight="1">
      <c r="A571" s="12" t="s">
        <v>145</v>
      </c>
      <c r="B571" s="12" t="s">
        <v>141</v>
      </c>
      <c r="C571" s="12" t="s">
        <v>142</v>
      </c>
      <c r="D571" s="12" t="s">
        <v>538</v>
      </c>
      <c r="E571" s="17">
        <v>0</v>
      </c>
      <c r="F571" s="12" t="s">
        <v>32</v>
      </c>
      <c r="G571" s="12" t="s">
        <v>143</v>
      </c>
      <c r="H571" s="13"/>
      <c r="I571" s="13"/>
      <c r="J571" s="12" t="s">
        <v>1327</v>
      </c>
      <c r="K571" s="12" t="s">
        <v>794</v>
      </c>
    </row>
    <row r="572" spans="1:11" ht="30" customHeight="1">
      <c r="A572" s="12" t="s">
        <v>145</v>
      </c>
      <c r="B572" s="12" t="s">
        <v>141</v>
      </c>
      <c r="C572" s="12" t="s">
        <v>142</v>
      </c>
      <c r="D572" s="12" t="s">
        <v>539</v>
      </c>
      <c r="E572" s="17">
        <v>0</v>
      </c>
      <c r="F572" s="12" t="s">
        <v>32</v>
      </c>
      <c r="G572" s="12" t="s">
        <v>143</v>
      </c>
      <c r="H572" s="13"/>
      <c r="I572" s="13"/>
      <c r="J572" s="12" t="s">
        <v>1327</v>
      </c>
      <c r="K572" s="12" t="s">
        <v>794</v>
      </c>
    </row>
    <row r="573" spans="1:11" ht="30" customHeight="1">
      <c r="A573" s="12" t="s">
        <v>145</v>
      </c>
      <c r="B573" s="12" t="s">
        <v>141</v>
      </c>
      <c r="C573" s="12" t="s">
        <v>142</v>
      </c>
      <c r="D573" s="12" t="s">
        <v>540</v>
      </c>
      <c r="E573" s="17">
        <v>2</v>
      </c>
      <c r="F573" s="12" t="s">
        <v>32</v>
      </c>
      <c r="G573" s="12" t="s">
        <v>143</v>
      </c>
      <c r="H573" s="13"/>
      <c r="I573" s="13"/>
      <c r="J573" s="12" t="s">
        <v>1327</v>
      </c>
      <c r="K573" s="12" t="s">
        <v>794</v>
      </c>
    </row>
    <row r="574" spans="1:11" ht="30" customHeight="1">
      <c r="A574" s="12" t="s">
        <v>145</v>
      </c>
      <c r="B574" s="12" t="s">
        <v>141</v>
      </c>
      <c r="C574" s="12" t="s">
        <v>142</v>
      </c>
      <c r="D574" s="12" t="s">
        <v>541</v>
      </c>
      <c r="E574" s="17">
        <v>1</v>
      </c>
      <c r="F574" s="12" t="s">
        <v>32</v>
      </c>
      <c r="G574" s="12" t="s">
        <v>143</v>
      </c>
      <c r="H574" s="13"/>
      <c r="I574" s="13"/>
      <c r="J574" s="12" t="s">
        <v>1327</v>
      </c>
      <c r="K574" s="12" t="s">
        <v>794</v>
      </c>
    </row>
    <row r="575" spans="1:11" ht="30" customHeight="1">
      <c r="A575" s="12" t="s">
        <v>145</v>
      </c>
      <c r="B575" s="12" t="s">
        <v>141</v>
      </c>
      <c r="C575" s="12" t="s">
        <v>142</v>
      </c>
      <c r="D575" s="12" t="s">
        <v>542</v>
      </c>
      <c r="E575" s="17">
        <v>2</v>
      </c>
      <c r="F575" s="12" t="s">
        <v>32</v>
      </c>
      <c r="G575" s="12" t="s">
        <v>143</v>
      </c>
      <c r="H575" s="13"/>
      <c r="I575" s="13"/>
      <c r="J575" s="12" t="s">
        <v>1327</v>
      </c>
      <c r="K575" s="12" t="s">
        <v>794</v>
      </c>
    </row>
    <row r="576" spans="1:11" ht="30" customHeight="1">
      <c r="A576" s="12" t="s">
        <v>145</v>
      </c>
      <c r="B576" s="12" t="s">
        <v>141</v>
      </c>
      <c r="C576" s="12" t="s">
        <v>142</v>
      </c>
      <c r="D576" s="12" t="s">
        <v>543</v>
      </c>
      <c r="E576" s="17">
        <v>0</v>
      </c>
      <c r="F576" s="12" t="s">
        <v>32</v>
      </c>
      <c r="G576" s="12" t="s">
        <v>143</v>
      </c>
      <c r="H576" s="13"/>
      <c r="I576" s="13"/>
      <c r="J576" s="12" t="s">
        <v>1327</v>
      </c>
      <c r="K576" s="12" t="s">
        <v>794</v>
      </c>
    </row>
    <row r="577" spans="1:11" ht="30" customHeight="1">
      <c r="A577" s="12" t="s">
        <v>168</v>
      </c>
      <c r="B577" s="12" t="s">
        <v>165</v>
      </c>
      <c r="C577" s="12" t="s">
        <v>142</v>
      </c>
      <c r="D577" s="12" t="s">
        <v>534</v>
      </c>
      <c r="E577" s="17">
        <v>3</v>
      </c>
      <c r="F577" s="12" t="s">
        <v>32</v>
      </c>
      <c r="G577" s="12" t="s">
        <v>143</v>
      </c>
      <c r="H577" s="13"/>
      <c r="I577" s="13"/>
      <c r="J577" s="12" t="s">
        <v>1327</v>
      </c>
      <c r="K577" s="12" t="s">
        <v>794</v>
      </c>
    </row>
    <row r="578" spans="1:11" ht="30" customHeight="1">
      <c r="A578" s="12" t="s">
        <v>168</v>
      </c>
      <c r="B578" s="12" t="s">
        <v>165</v>
      </c>
      <c r="C578" s="12" t="s">
        <v>142</v>
      </c>
      <c r="D578" s="12" t="s">
        <v>535</v>
      </c>
      <c r="E578" s="17">
        <v>0</v>
      </c>
      <c r="F578" s="12" t="s">
        <v>32</v>
      </c>
      <c r="G578" s="12" t="s">
        <v>143</v>
      </c>
      <c r="H578" s="13"/>
      <c r="I578" s="13"/>
      <c r="J578" s="12" t="s">
        <v>1327</v>
      </c>
      <c r="K578" s="12" t="s">
        <v>794</v>
      </c>
    </row>
    <row r="579" spans="1:11" ht="30" customHeight="1">
      <c r="A579" s="12" t="s">
        <v>168</v>
      </c>
      <c r="B579" s="12" t="s">
        <v>165</v>
      </c>
      <c r="C579" s="12" t="s">
        <v>142</v>
      </c>
      <c r="D579" s="12" t="s">
        <v>536</v>
      </c>
      <c r="E579" s="17">
        <v>0</v>
      </c>
      <c r="F579" s="12" t="s">
        <v>32</v>
      </c>
      <c r="G579" s="12" t="s">
        <v>143</v>
      </c>
      <c r="H579" s="13"/>
      <c r="I579" s="13"/>
      <c r="J579" s="12" t="s">
        <v>1327</v>
      </c>
      <c r="K579" s="12" t="s">
        <v>794</v>
      </c>
    </row>
    <row r="580" spans="1:11" ht="30" customHeight="1">
      <c r="A580" s="12" t="s">
        <v>168</v>
      </c>
      <c r="B580" s="12" t="s">
        <v>165</v>
      </c>
      <c r="C580" s="12" t="s">
        <v>142</v>
      </c>
      <c r="D580" s="12" t="s">
        <v>537</v>
      </c>
      <c r="E580" s="17">
        <v>0</v>
      </c>
      <c r="F580" s="12" t="s">
        <v>32</v>
      </c>
      <c r="G580" s="12" t="s">
        <v>143</v>
      </c>
      <c r="H580" s="13"/>
      <c r="I580" s="13"/>
      <c r="J580" s="12" t="s">
        <v>1327</v>
      </c>
      <c r="K580" s="12" t="s">
        <v>794</v>
      </c>
    </row>
    <row r="581" spans="1:11" ht="30" customHeight="1">
      <c r="A581" s="12" t="s">
        <v>168</v>
      </c>
      <c r="B581" s="12" t="s">
        <v>165</v>
      </c>
      <c r="C581" s="12" t="s">
        <v>142</v>
      </c>
      <c r="D581" s="12" t="s">
        <v>538</v>
      </c>
      <c r="E581" s="17">
        <v>0</v>
      </c>
      <c r="F581" s="12" t="s">
        <v>32</v>
      </c>
      <c r="G581" s="12" t="s">
        <v>143</v>
      </c>
      <c r="H581" s="13"/>
      <c r="I581" s="13"/>
      <c r="J581" s="12" t="s">
        <v>1327</v>
      </c>
      <c r="K581" s="12" t="s">
        <v>794</v>
      </c>
    </row>
    <row r="582" spans="1:11" ht="30" customHeight="1">
      <c r="A582" s="12" t="s">
        <v>168</v>
      </c>
      <c r="B582" s="12" t="s">
        <v>165</v>
      </c>
      <c r="C582" s="12" t="s">
        <v>142</v>
      </c>
      <c r="D582" s="12" t="s">
        <v>539</v>
      </c>
      <c r="E582" s="17">
        <v>0</v>
      </c>
      <c r="F582" s="12" t="s">
        <v>32</v>
      </c>
      <c r="G582" s="12" t="s">
        <v>143</v>
      </c>
      <c r="H582" s="13"/>
      <c r="I582" s="13"/>
      <c r="J582" s="12" t="s">
        <v>1327</v>
      </c>
      <c r="K582" s="12" t="s">
        <v>794</v>
      </c>
    </row>
    <row r="583" spans="1:11" ht="30" customHeight="1">
      <c r="A583" s="12" t="s">
        <v>168</v>
      </c>
      <c r="B583" s="12" t="s">
        <v>165</v>
      </c>
      <c r="C583" s="12" t="s">
        <v>142</v>
      </c>
      <c r="D583" s="12" t="s">
        <v>540</v>
      </c>
      <c r="E583" s="17">
        <v>1</v>
      </c>
      <c r="F583" s="12" t="s">
        <v>32</v>
      </c>
      <c r="G583" s="12" t="s">
        <v>143</v>
      </c>
      <c r="H583" s="13"/>
      <c r="I583" s="13"/>
      <c r="J583" s="12" t="s">
        <v>1327</v>
      </c>
      <c r="K583" s="12" t="s">
        <v>794</v>
      </c>
    </row>
    <row r="584" spans="1:11" ht="30" customHeight="1">
      <c r="A584" s="12" t="s">
        <v>168</v>
      </c>
      <c r="B584" s="12" t="s">
        <v>165</v>
      </c>
      <c r="C584" s="12" t="s">
        <v>142</v>
      </c>
      <c r="D584" s="12" t="s">
        <v>541</v>
      </c>
      <c r="E584" s="17">
        <v>1</v>
      </c>
      <c r="F584" s="12" t="s">
        <v>32</v>
      </c>
      <c r="G584" s="12" t="s">
        <v>143</v>
      </c>
      <c r="H584" s="13"/>
      <c r="I584" s="13"/>
      <c r="J584" s="12" t="s">
        <v>1327</v>
      </c>
      <c r="K584" s="12" t="s">
        <v>794</v>
      </c>
    </row>
    <row r="585" spans="1:11" ht="30" customHeight="1">
      <c r="A585" s="12" t="s">
        <v>168</v>
      </c>
      <c r="B585" s="12" t="s">
        <v>165</v>
      </c>
      <c r="C585" s="12" t="s">
        <v>142</v>
      </c>
      <c r="D585" s="12" t="s">
        <v>542</v>
      </c>
      <c r="E585" s="17">
        <v>2</v>
      </c>
      <c r="F585" s="12" t="s">
        <v>32</v>
      </c>
      <c r="G585" s="12" t="s">
        <v>143</v>
      </c>
      <c r="H585" s="13"/>
      <c r="I585" s="13"/>
      <c r="J585" s="12" t="s">
        <v>1327</v>
      </c>
      <c r="K585" s="12" t="s">
        <v>794</v>
      </c>
    </row>
    <row r="586" spans="1:11" ht="30" customHeight="1">
      <c r="A586" s="12" t="s">
        <v>168</v>
      </c>
      <c r="B586" s="12" t="s">
        <v>165</v>
      </c>
      <c r="C586" s="12" t="s">
        <v>142</v>
      </c>
      <c r="D586" s="12" t="s">
        <v>543</v>
      </c>
      <c r="E586" s="17">
        <v>0</v>
      </c>
      <c r="F586" s="12" t="s">
        <v>32</v>
      </c>
      <c r="G586" s="12" t="s">
        <v>143</v>
      </c>
      <c r="H586" s="13"/>
      <c r="I586" s="13"/>
      <c r="J586" s="12" t="s">
        <v>1327</v>
      </c>
      <c r="K586" s="12" t="s">
        <v>794</v>
      </c>
    </row>
    <row r="587" spans="1:11" ht="30" customHeight="1">
      <c r="A587" s="12" t="s">
        <v>510</v>
      </c>
      <c r="B587" s="12" t="s">
        <v>506</v>
      </c>
      <c r="C587" s="12" t="s">
        <v>484</v>
      </c>
      <c r="D587" s="12" t="s">
        <v>534</v>
      </c>
      <c r="E587" s="17">
        <v>3</v>
      </c>
      <c r="F587" s="13"/>
      <c r="G587" s="12" t="s">
        <v>1329</v>
      </c>
      <c r="H587" s="13"/>
      <c r="I587" s="12" t="s">
        <v>1330</v>
      </c>
      <c r="J587" s="12" t="s">
        <v>1327</v>
      </c>
      <c r="K587" s="12" t="s">
        <v>794</v>
      </c>
    </row>
    <row r="588" spans="1:11" ht="30" customHeight="1">
      <c r="A588" s="12" t="s">
        <v>510</v>
      </c>
      <c r="B588" s="12" t="s">
        <v>506</v>
      </c>
      <c r="C588" s="12" t="s">
        <v>484</v>
      </c>
      <c r="D588" s="12" t="s">
        <v>535</v>
      </c>
      <c r="E588" s="17">
        <v>3</v>
      </c>
      <c r="F588" s="13"/>
      <c r="G588" s="12" t="s">
        <v>1329</v>
      </c>
      <c r="H588" s="13"/>
      <c r="I588" s="12" t="s">
        <v>1330</v>
      </c>
      <c r="J588" s="12" t="s">
        <v>1327</v>
      </c>
      <c r="K588" s="12" t="s">
        <v>794</v>
      </c>
    </row>
    <row r="589" spans="1:11" ht="30" customHeight="1">
      <c r="A589" s="12" t="s">
        <v>510</v>
      </c>
      <c r="B589" s="12" t="s">
        <v>506</v>
      </c>
      <c r="C589" s="12" t="s">
        <v>484</v>
      </c>
      <c r="D589" s="12" t="s">
        <v>536</v>
      </c>
      <c r="E589" s="17">
        <v>3</v>
      </c>
      <c r="F589" s="13"/>
      <c r="G589" s="12" t="s">
        <v>1329</v>
      </c>
      <c r="H589" s="13"/>
      <c r="I589" s="12" t="s">
        <v>1330</v>
      </c>
      <c r="J589" s="12" t="s">
        <v>1327</v>
      </c>
      <c r="K589" s="12" t="s">
        <v>794</v>
      </c>
    </row>
    <row r="590" spans="1:11" ht="30" customHeight="1">
      <c r="A590" s="12" t="s">
        <v>510</v>
      </c>
      <c r="B590" s="12" t="s">
        <v>506</v>
      </c>
      <c r="C590" s="12" t="s">
        <v>484</v>
      </c>
      <c r="D590" s="12" t="s">
        <v>537</v>
      </c>
      <c r="E590" s="17">
        <v>3</v>
      </c>
      <c r="F590" s="13"/>
      <c r="G590" s="12" t="s">
        <v>1329</v>
      </c>
      <c r="H590" s="13"/>
      <c r="I590" s="12" t="s">
        <v>1330</v>
      </c>
      <c r="J590" s="12" t="s">
        <v>1327</v>
      </c>
      <c r="K590" s="12" t="s">
        <v>794</v>
      </c>
    </row>
    <row r="591" spans="1:11" ht="30" customHeight="1">
      <c r="A591" s="12" t="s">
        <v>510</v>
      </c>
      <c r="B591" s="12" t="s">
        <v>506</v>
      </c>
      <c r="C591" s="12" t="s">
        <v>484</v>
      </c>
      <c r="D591" s="12" t="s">
        <v>538</v>
      </c>
      <c r="E591" s="17">
        <v>3</v>
      </c>
      <c r="F591" s="13"/>
      <c r="G591" s="12" t="s">
        <v>1329</v>
      </c>
      <c r="H591" s="13"/>
      <c r="I591" s="12" t="s">
        <v>1330</v>
      </c>
      <c r="J591" s="12" t="s">
        <v>1327</v>
      </c>
      <c r="K591" s="12" t="s">
        <v>794</v>
      </c>
    </row>
    <row r="592" spans="1:11" ht="30" customHeight="1">
      <c r="A592" s="12" t="s">
        <v>510</v>
      </c>
      <c r="B592" s="12" t="s">
        <v>506</v>
      </c>
      <c r="C592" s="12" t="s">
        <v>484</v>
      </c>
      <c r="D592" s="12" t="s">
        <v>539</v>
      </c>
      <c r="E592" s="17">
        <v>3</v>
      </c>
      <c r="F592" s="13"/>
      <c r="G592" s="12" t="s">
        <v>1329</v>
      </c>
      <c r="H592" s="13"/>
      <c r="I592" s="12" t="s">
        <v>1330</v>
      </c>
      <c r="J592" s="12" t="s">
        <v>1327</v>
      </c>
      <c r="K592" s="12" t="s">
        <v>794</v>
      </c>
    </row>
    <row r="593" spans="1:11" ht="30" customHeight="1">
      <c r="A593" s="12" t="s">
        <v>510</v>
      </c>
      <c r="B593" s="12" t="s">
        <v>506</v>
      </c>
      <c r="C593" s="12" t="s">
        <v>484</v>
      </c>
      <c r="D593" s="12" t="s">
        <v>540</v>
      </c>
      <c r="E593" s="17">
        <v>2</v>
      </c>
      <c r="F593" s="13"/>
      <c r="G593" s="12" t="s">
        <v>1329</v>
      </c>
      <c r="H593" s="13"/>
      <c r="I593" s="12" t="s">
        <v>1330</v>
      </c>
      <c r="J593" s="12" t="s">
        <v>1327</v>
      </c>
      <c r="K593" s="12" t="s">
        <v>794</v>
      </c>
    </row>
    <row r="594" spans="1:11" ht="30" customHeight="1">
      <c r="A594" s="12" t="s">
        <v>510</v>
      </c>
      <c r="B594" s="12" t="s">
        <v>506</v>
      </c>
      <c r="C594" s="12" t="s">
        <v>484</v>
      </c>
      <c r="D594" s="12" t="s">
        <v>541</v>
      </c>
      <c r="E594" s="17">
        <v>3</v>
      </c>
      <c r="F594" s="13"/>
      <c r="G594" s="12" t="s">
        <v>1329</v>
      </c>
      <c r="H594" s="13"/>
      <c r="I594" s="12" t="s">
        <v>1330</v>
      </c>
      <c r="J594" s="12" t="s">
        <v>1327</v>
      </c>
      <c r="K594" s="12" t="s">
        <v>794</v>
      </c>
    </row>
    <row r="595" spans="1:11" ht="30" customHeight="1">
      <c r="A595" s="12" t="s">
        <v>510</v>
      </c>
      <c r="B595" s="12" t="s">
        <v>506</v>
      </c>
      <c r="C595" s="12" t="s">
        <v>484</v>
      </c>
      <c r="D595" s="12" t="s">
        <v>542</v>
      </c>
      <c r="E595" s="17">
        <v>3</v>
      </c>
      <c r="F595" s="13"/>
      <c r="G595" s="12" t="s">
        <v>1329</v>
      </c>
      <c r="H595" s="13"/>
      <c r="I595" s="12" t="s">
        <v>1330</v>
      </c>
      <c r="J595" s="12" t="s">
        <v>1327</v>
      </c>
      <c r="K595" s="12" t="s">
        <v>794</v>
      </c>
    </row>
    <row r="596" spans="1:11" ht="30" customHeight="1">
      <c r="A596" s="12" t="s">
        <v>510</v>
      </c>
      <c r="B596" s="12" t="s">
        <v>506</v>
      </c>
      <c r="C596" s="12" t="s">
        <v>484</v>
      </c>
      <c r="D596" s="12" t="s">
        <v>543</v>
      </c>
      <c r="E596" s="17">
        <v>3</v>
      </c>
      <c r="F596" s="13"/>
      <c r="G596" s="12" t="s">
        <v>1329</v>
      </c>
      <c r="H596" s="13"/>
      <c r="I596" s="12" t="s">
        <v>1330</v>
      </c>
      <c r="J596" s="12" t="s">
        <v>1327</v>
      </c>
      <c r="K596" s="12" t="s">
        <v>794</v>
      </c>
    </row>
    <row r="597" spans="1:11" ht="30" customHeight="1">
      <c r="A597" s="12" t="s">
        <v>504</v>
      </c>
      <c r="B597" s="12" t="s">
        <v>500</v>
      </c>
      <c r="C597" s="12" t="s">
        <v>484</v>
      </c>
      <c r="D597" s="12" t="s">
        <v>534</v>
      </c>
      <c r="E597" s="17">
        <v>3</v>
      </c>
      <c r="F597" s="12" t="s">
        <v>54</v>
      </c>
      <c r="G597" s="12" t="s">
        <v>1329</v>
      </c>
      <c r="H597" s="13"/>
      <c r="I597" s="12" t="s">
        <v>1331</v>
      </c>
      <c r="J597" s="12" t="s">
        <v>1327</v>
      </c>
      <c r="K597" s="12" t="s">
        <v>794</v>
      </c>
    </row>
    <row r="598" spans="1:11" ht="30" customHeight="1">
      <c r="A598" s="12" t="s">
        <v>504</v>
      </c>
      <c r="B598" s="12" t="s">
        <v>500</v>
      </c>
      <c r="C598" s="12" t="s">
        <v>484</v>
      </c>
      <c r="D598" s="12" t="s">
        <v>535</v>
      </c>
      <c r="E598" s="17">
        <v>3</v>
      </c>
      <c r="F598" s="12" t="s">
        <v>54</v>
      </c>
      <c r="G598" s="12" t="s">
        <v>1329</v>
      </c>
      <c r="H598" s="13"/>
      <c r="I598" s="12" t="s">
        <v>1331</v>
      </c>
      <c r="J598" s="12" t="s">
        <v>1327</v>
      </c>
      <c r="K598" s="12" t="s">
        <v>794</v>
      </c>
    </row>
    <row r="599" spans="1:11" ht="30" customHeight="1">
      <c r="A599" s="12" t="s">
        <v>504</v>
      </c>
      <c r="B599" s="12" t="s">
        <v>500</v>
      </c>
      <c r="C599" s="12" t="s">
        <v>484</v>
      </c>
      <c r="D599" s="12" t="s">
        <v>536</v>
      </c>
      <c r="E599" s="17">
        <v>3</v>
      </c>
      <c r="F599" s="12" t="s">
        <v>54</v>
      </c>
      <c r="G599" s="12" t="s">
        <v>1329</v>
      </c>
      <c r="H599" s="13"/>
      <c r="I599" s="12" t="s">
        <v>1331</v>
      </c>
      <c r="J599" s="12" t="s">
        <v>1327</v>
      </c>
      <c r="K599" s="12" t="s">
        <v>794</v>
      </c>
    </row>
    <row r="600" spans="1:11" ht="30" customHeight="1">
      <c r="A600" s="12" t="s">
        <v>504</v>
      </c>
      <c r="B600" s="12" t="s">
        <v>500</v>
      </c>
      <c r="C600" s="12" t="s">
        <v>484</v>
      </c>
      <c r="D600" s="12" t="s">
        <v>537</v>
      </c>
      <c r="E600" s="17">
        <v>3</v>
      </c>
      <c r="F600" s="12" t="s">
        <v>54</v>
      </c>
      <c r="G600" s="12" t="s">
        <v>1329</v>
      </c>
      <c r="H600" s="13"/>
      <c r="I600" s="12" t="s">
        <v>1331</v>
      </c>
      <c r="J600" s="12" t="s">
        <v>1327</v>
      </c>
      <c r="K600" s="12" t="s">
        <v>794</v>
      </c>
    </row>
    <row r="601" spans="1:11" ht="30" customHeight="1">
      <c r="A601" s="12" t="s">
        <v>504</v>
      </c>
      <c r="B601" s="12" t="s">
        <v>500</v>
      </c>
      <c r="C601" s="12" t="s">
        <v>484</v>
      </c>
      <c r="D601" s="12" t="s">
        <v>538</v>
      </c>
      <c r="E601" s="17">
        <v>3</v>
      </c>
      <c r="F601" s="12" t="s">
        <v>54</v>
      </c>
      <c r="G601" s="12" t="s">
        <v>1329</v>
      </c>
      <c r="H601" s="13"/>
      <c r="I601" s="12" t="s">
        <v>1331</v>
      </c>
      <c r="J601" s="12" t="s">
        <v>1327</v>
      </c>
      <c r="K601" s="12" t="s">
        <v>794</v>
      </c>
    </row>
    <row r="602" spans="1:11" ht="30" customHeight="1">
      <c r="A602" s="12" t="s">
        <v>504</v>
      </c>
      <c r="B602" s="12" t="s">
        <v>500</v>
      </c>
      <c r="C602" s="12" t="s">
        <v>484</v>
      </c>
      <c r="D602" s="12" t="s">
        <v>539</v>
      </c>
      <c r="E602" s="17">
        <v>3</v>
      </c>
      <c r="F602" s="12" t="s">
        <v>54</v>
      </c>
      <c r="G602" s="12" t="s">
        <v>1329</v>
      </c>
      <c r="H602" s="13"/>
      <c r="I602" s="12" t="s">
        <v>1331</v>
      </c>
      <c r="J602" s="12" t="s">
        <v>1327</v>
      </c>
      <c r="K602" s="12" t="s">
        <v>794</v>
      </c>
    </row>
    <row r="603" spans="1:11" ht="30" customHeight="1">
      <c r="A603" s="12" t="s">
        <v>504</v>
      </c>
      <c r="B603" s="12" t="s">
        <v>500</v>
      </c>
      <c r="C603" s="12" t="s">
        <v>484</v>
      </c>
      <c r="D603" s="12" t="s">
        <v>540</v>
      </c>
      <c r="E603" s="17">
        <v>0</v>
      </c>
      <c r="F603" s="12" t="s">
        <v>54</v>
      </c>
      <c r="G603" s="12" t="s">
        <v>1329</v>
      </c>
      <c r="H603" s="13"/>
      <c r="I603" s="12" t="s">
        <v>1331</v>
      </c>
      <c r="J603" s="12" t="s">
        <v>1327</v>
      </c>
      <c r="K603" s="12" t="s">
        <v>794</v>
      </c>
    </row>
    <row r="604" spans="1:11" ht="30" customHeight="1">
      <c r="A604" s="12" t="s">
        <v>504</v>
      </c>
      <c r="B604" s="12" t="s">
        <v>500</v>
      </c>
      <c r="C604" s="12" t="s">
        <v>484</v>
      </c>
      <c r="D604" s="12" t="s">
        <v>541</v>
      </c>
      <c r="E604" s="17">
        <v>3</v>
      </c>
      <c r="F604" s="12" t="s">
        <v>54</v>
      </c>
      <c r="G604" s="12" t="s">
        <v>1329</v>
      </c>
      <c r="H604" s="13"/>
      <c r="I604" s="12" t="s">
        <v>1331</v>
      </c>
      <c r="J604" s="12" t="s">
        <v>1327</v>
      </c>
      <c r="K604" s="12" t="s">
        <v>794</v>
      </c>
    </row>
    <row r="605" spans="1:11" ht="30" customHeight="1">
      <c r="A605" s="12" t="s">
        <v>504</v>
      </c>
      <c r="B605" s="12" t="s">
        <v>500</v>
      </c>
      <c r="C605" s="12" t="s">
        <v>484</v>
      </c>
      <c r="D605" s="12" t="s">
        <v>542</v>
      </c>
      <c r="E605" s="17">
        <v>3</v>
      </c>
      <c r="F605" s="12" t="s">
        <v>54</v>
      </c>
      <c r="G605" s="12" t="s">
        <v>1329</v>
      </c>
      <c r="H605" s="13"/>
      <c r="I605" s="12" t="s">
        <v>1331</v>
      </c>
      <c r="J605" s="12" t="s">
        <v>1327</v>
      </c>
      <c r="K605" s="12" t="s">
        <v>794</v>
      </c>
    </row>
    <row r="606" spans="1:11" ht="30" customHeight="1">
      <c r="A606" s="12" t="s">
        <v>504</v>
      </c>
      <c r="B606" s="12" t="s">
        <v>500</v>
      </c>
      <c r="C606" s="12" t="s">
        <v>484</v>
      </c>
      <c r="D606" s="12" t="s">
        <v>543</v>
      </c>
      <c r="E606" s="17">
        <v>3</v>
      </c>
      <c r="F606" s="12" t="s">
        <v>54</v>
      </c>
      <c r="G606" s="12" t="s">
        <v>1329</v>
      </c>
      <c r="H606" s="13"/>
      <c r="I606" s="12" t="s">
        <v>1331</v>
      </c>
      <c r="J606" s="12" t="s">
        <v>1327</v>
      </c>
      <c r="K606" s="12" t="s">
        <v>794</v>
      </c>
    </row>
    <row r="607" spans="1:11" ht="30" customHeight="1">
      <c r="A607" s="12" t="s">
        <v>498</v>
      </c>
      <c r="B607" s="12" t="s">
        <v>495</v>
      </c>
      <c r="C607" s="12" t="s">
        <v>484</v>
      </c>
      <c r="D607" s="12" t="s">
        <v>534</v>
      </c>
      <c r="E607" s="17">
        <v>3</v>
      </c>
      <c r="F607" s="13"/>
      <c r="G607" s="12" t="s">
        <v>1329</v>
      </c>
      <c r="H607" s="13"/>
      <c r="I607" s="12" t="s">
        <v>497</v>
      </c>
      <c r="J607" s="12" t="s">
        <v>1327</v>
      </c>
      <c r="K607" s="12" t="s">
        <v>794</v>
      </c>
    </row>
    <row r="608" spans="1:11" ht="30" customHeight="1">
      <c r="A608" s="12" t="s">
        <v>498</v>
      </c>
      <c r="B608" s="12" t="s">
        <v>495</v>
      </c>
      <c r="C608" s="12" t="s">
        <v>484</v>
      </c>
      <c r="D608" s="12" t="s">
        <v>535</v>
      </c>
      <c r="E608" s="17">
        <v>3</v>
      </c>
      <c r="F608" s="13"/>
      <c r="G608" s="12" t="s">
        <v>1329</v>
      </c>
      <c r="H608" s="13"/>
      <c r="I608" s="12" t="s">
        <v>497</v>
      </c>
      <c r="J608" s="12" t="s">
        <v>1327</v>
      </c>
      <c r="K608" s="12" t="s">
        <v>794</v>
      </c>
    </row>
    <row r="609" spans="1:11" ht="30" customHeight="1">
      <c r="A609" s="12" t="s">
        <v>498</v>
      </c>
      <c r="B609" s="12" t="s">
        <v>495</v>
      </c>
      <c r="C609" s="12" t="s">
        <v>484</v>
      </c>
      <c r="D609" s="12" t="s">
        <v>536</v>
      </c>
      <c r="E609" s="17">
        <v>3</v>
      </c>
      <c r="F609" s="13"/>
      <c r="G609" s="12" t="s">
        <v>1329</v>
      </c>
      <c r="H609" s="13"/>
      <c r="I609" s="12" t="s">
        <v>497</v>
      </c>
      <c r="J609" s="12" t="s">
        <v>1327</v>
      </c>
      <c r="K609" s="12" t="s">
        <v>794</v>
      </c>
    </row>
    <row r="610" spans="1:11" ht="30" customHeight="1">
      <c r="A610" s="12" t="s">
        <v>498</v>
      </c>
      <c r="B610" s="12" t="s">
        <v>495</v>
      </c>
      <c r="C610" s="12" t="s">
        <v>484</v>
      </c>
      <c r="D610" s="12" t="s">
        <v>537</v>
      </c>
      <c r="E610" s="17">
        <v>3</v>
      </c>
      <c r="F610" s="13"/>
      <c r="G610" s="12" t="s">
        <v>1329</v>
      </c>
      <c r="H610" s="13"/>
      <c r="I610" s="12" t="s">
        <v>497</v>
      </c>
      <c r="J610" s="12" t="s">
        <v>1327</v>
      </c>
      <c r="K610" s="12" t="s">
        <v>794</v>
      </c>
    </row>
    <row r="611" spans="1:11" ht="30" customHeight="1">
      <c r="A611" s="12" t="s">
        <v>498</v>
      </c>
      <c r="B611" s="12" t="s">
        <v>495</v>
      </c>
      <c r="C611" s="12" t="s">
        <v>484</v>
      </c>
      <c r="D611" s="12" t="s">
        <v>538</v>
      </c>
      <c r="E611" s="17">
        <v>3</v>
      </c>
      <c r="F611" s="13"/>
      <c r="G611" s="12" t="s">
        <v>1329</v>
      </c>
      <c r="H611" s="13"/>
      <c r="I611" s="12" t="s">
        <v>497</v>
      </c>
      <c r="J611" s="12" t="s">
        <v>1327</v>
      </c>
      <c r="K611" s="12" t="s">
        <v>794</v>
      </c>
    </row>
    <row r="612" spans="1:11" ht="30" customHeight="1">
      <c r="A612" s="12" t="s">
        <v>498</v>
      </c>
      <c r="B612" s="12" t="s">
        <v>495</v>
      </c>
      <c r="C612" s="12" t="s">
        <v>484</v>
      </c>
      <c r="D612" s="12" t="s">
        <v>539</v>
      </c>
      <c r="E612" s="17">
        <v>3</v>
      </c>
      <c r="F612" s="13"/>
      <c r="G612" s="12" t="s">
        <v>1329</v>
      </c>
      <c r="H612" s="13"/>
      <c r="I612" s="12" t="s">
        <v>497</v>
      </c>
      <c r="J612" s="12" t="s">
        <v>1327</v>
      </c>
      <c r="K612" s="12" t="s">
        <v>794</v>
      </c>
    </row>
    <row r="613" spans="1:11" ht="30" customHeight="1">
      <c r="A613" s="12" t="s">
        <v>498</v>
      </c>
      <c r="B613" s="12" t="s">
        <v>495</v>
      </c>
      <c r="C613" s="12" t="s">
        <v>484</v>
      </c>
      <c r="D613" s="12" t="s">
        <v>540</v>
      </c>
      <c r="E613" s="17">
        <v>3</v>
      </c>
      <c r="F613" s="13"/>
      <c r="G613" s="12" t="s">
        <v>1329</v>
      </c>
      <c r="H613" s="13"/>
      <c r="I613" s="12" t="s">
        <v>497</v>
      </c>
      <c r="J613" s="12" t="s">
        <v>1327</v>
      </c>
      <c r="K613" s="12" t="s">
        <v>794</v>
      </c>
    </row>
    <row r="614" spans="1:11" ht="30" customHeight="1">
      <c r="A614" s="12" t="s">
        <v>498</v>
      </c>
      <c r="B614" s="12" t="s">
        <v>495</v>
      </c>
      <c r="C614" s="12" t="s">
        <v>484</v>
      </c>
      <c r="D614" s="12" t="s">
        <v>541</v>
      </c>
      <c r="E614" s="17">
        <v>3</v>
      </c>
      <c r="F614" s="13"/>
      <c r="G614" s="12" t="s">
        <v>1329</v>
      </c>
      <c r="H614" s="13"/>
      <c r="I614" s="12" t="s">
        <v>497</v>
      </c>
      <c r="J614" s="12" t="s">
        <v>1327</v>
      </c>
      <c r="K614" s="12" t="s">
        <v>794</v>
      </c>
    </row>
    <row r="615" spans="1:11" ht="30" customHeight="1">
      <c r="A615" s="12" t="s">
        <v>498</v>
      </c>
      <c r="B615" s="12" t="s">
        <v>495</v>
      </c>
      <c r="C615" s="12" t="s">
        <v>484</v>
      </c>
      <c r="D615" s="12" t="s">
        <v>542</v>
      </c>
      <c r="E615" s="17">
        <v>3</v>
      </c>
      <c r="F615" s="13"/>
      <c r="G615" s="12" t="s">
        <v>1329</v>
      </c>
      <c r="H615" s="13"/>
      <c r="I615" s="12" t="s">
        <v>497</v>
      </c>
      <c r="J615" s="12" t="s">
        <v>1327</v>
      </c>
      <c r="K615" s="12" t="s">
        <v>794</v>
      </c>
    </row>
    <row r="616" spans="1:11" ht="30" customHeight="1">
      <c r="A616" s="12" t="s">
        <v>498</v>
      </c>
      <c r="B616" s="12" t="s">
        <v>495</v>
      </c>
      <c r="C616" s="12" t="s">
        <v>484</v>
      </c>
      <c r="D616" s="12" t="s">
        <v>543</v>
      </c>
      <c r="E616" s="17">
        <v>3</v>
      </c>
      <c r="F616" s="13"/>
      <c r="G616" s="12" t="s">
        <v>1329</v>
      </c>
      <c r="H616" s="13"/>
      <c r="I616" s="12" t="s">
        <v>497</v>
      </c>
      <c r="J616" s="12" t="s">
        <v>1327</v>
      </c>
      <c r="K616" s="12" t="s">
        <v>794</v>
      </c>
    </row>
    <row r="617" spans="1:11" ht="30" customHeight="1">
      <c r="A617" s="12" t="s">
        <v>488</v>
      </c>
      <c r="B617" s="12" t="s">
        <v>483</v>
      </c>
      <c r="C617" s="12" t="s">
        <v>484</v>
      </c>
      <c r="D617" s="12" t="s">
        <v>534</v>
      </c>
      <c r="E617" s="17">
        <v>3</v>
      </c>
      <c r="F617" s="13"/>
      <c r="G617" s="12" t="s">
        <v>1329</v>
      </c>
      <c r="H617" s="13"/>
      <c r="I617" s="13"/>
      <c r="J617" s="12" t="s">
        <v>1327</v>
      </c>
      <c r="K617" s="12" t="s">
        <v>794</v>
      </c>
    </row>
    <row r="618" spans="1:11" ht="30" customHeight="1">
      <c r="A618" s="12" t="s">
        <v>488</v>
      </c>
      <c r="B618" s="12" t="s">
        <v>483</v>
      </c>
      <c r="C618" s="12" t="s">
        <v>484</v>
      </c>
      <c r="D618" s="12" t="s">
        <v>535</v>
      </c>
      <c r="E618" s="17">
        <v>3</v>
      </c>
      <c r="F618" s="13"/>
      <c r="G618" s="12" t="s">
        <v>1329</v>
      </c>
      <c r="H618" s="13"/>
      <c r="I618" s="13"/>
      <c r="J618" s="12" t="s">
        <v>1327</v>
      </c>
      <c r="K618" s="12" t="s">
        <v>794</v>
      </c>
    </row>
    <row r="619" spans="1:11" ht="30" customHeight="1">
      <c r="A619" s="12" t="s">
        <v>488</v>
      </c>
      <c r="B619" s="12" t="s">
        <v>483</v>
      </c>
      <c r="C619" s="12" t="s">
        <v>484</v>
      </c>
      <c r="D619" s="12" t="s">
        <v>536</v>
      </c>
      <c r="E619" s="17">
        <v>3</v>
      </c>
      <c r="F619" s="13"/>
      <c r="G619" s="12" t="s">
        <v>1329</v>
      </c>
      <c r="H619" s="13"/>
      <c r="I619" s="13"/>
      <c r="J619" s="12" t="s">
        <v>1327</v>
      </c>
      <c r="K619" s="12" t="s">
        <v>794</v>
      </c>
    </row>
    <row r="620" spans="1:11" ht="30" customHeight="1">
      <c r="A620" s="12" t="s">
        <v>488</v>
      </c>
      <c r="B620" s="12" t="s">
        <v>483</v>
      </c>
      <c r="C620" s="12" t="s">
        <v>484</v>
      </c>
      <c r="D620" s="12" t="s">
        <v>537</v>
      </c>
      <c r="E620" s="17">
        <v>3</v>
      </c>
      <c r="F620" s="13"/>
      <c r="G620" s="12" t="s">
        <v>1329</v>
      </c>
      <c r="H620" s="13"/>
      <c r="I620" s="13"/>
      <c r="J620" s="12" t="s">
        <v>1327</v>
      </c>
      <c r="K620" s="12" t="s">
        <v>794</v>
      </c>
    </row>
    <row r="621" spans="1:11" ht="30" customHeight="1">
      <c r="A621" s="12" t="s">
        <v>488</v>
      </c>
      <c r="B621" s="12" t="s">
        <v>483</v>
      </c>
      <c r="C621" s="12" t="s">
        <v>484</v>
      </c>
      <c r="D621" s="12" t="s">
        <v>538</v>
      </c>
      <c r="E621" s="17">
        <v>3</v>
      </c>
      <c r="F621" s="13"/>
      <c r="G621" s="12" t="s">
        <v>1329</v>
      </c>
      <c r="H621" s="13"/>
      <c r="I621" s="13"/>
      <c r="J621" s="12" t="s">
        <v>1327</v>
      </c>
      <c r="K621" s="12" t="s">
        <v>794</v>
      </c>
    </row>
    <row r="622" spans="1:11" ht="30" customHeight="1">
      <c r="A622" s="12" t="s">
        <v>488</v>
      </c>
      <c r="B622" s="12" t="s">
        <v>483</v>
      </c>
      <c r="C622" s="12" t="s">
        <v>484</v>
      </c>
      <c r="D622" s="12" t="s">
        <v>539</v>
      </c>
      <c r="E622" s="17">
        <v>3</v>
      </c>
      <c r="F622" s="13"/>
      <c r="G622" s="12" t="s">
        <v>1329</v>
      </c>
      <c r="H622" s="13"/>
      <c r="I622" s="13"/>
      <c r="J622" s="12" t="s">
        <v>1327</v>
      </c>
      <c r="K622" s="12" t="s">
        <v>794</v>
      </c>
    </row>
    <row r="623" spans="1:11" ht="30" customHeight="1">
      <c r="A623" s="12" t="s">
        <v>488</v>
      </c>
      <c r="B623" s="12" t="s">
        <v>483</v>
      </c>
      <c r="C623" s="12" t="s">
        <v>484</v>
      </c>
      <c r="D623" s="12" t="s">
        <v>540</v>
      </c>
      <c r="E623" s="17">
        <v>3</v>
      </c>
      <c r="F623" s="13"/>
      <c r="G623" s="12" t="s">
        <v>1329</v>
      </c>
      <c r="H623" s="13"/>
      <c r="I623" s="13"/>
      <c r="J623" s="12" t="s">
        <v>1327</v>
      </c>
      <c r="K623" s="12" t="s">
        <v>794</v>
      </c>
    </row>
    <row r="624" spans="1:11" ht="30" customHeight="1">
      <c r="A624" s="12" t="s">
        <v>488</v>
      </c>
      <c r="B624" s="12" t="s">
        <v>483</v>
      </c>
      <c r="C624" s="12" t="s">
        <v>484</v>
      </c>
      <c r="D624" s="12" t="s">
        <v>541</v>
      </c>
      <c r="E624" s="17">
        <v>3</v>
      </c>
      <c r="F624" s="13"/>
      <c r="G624" s="12" t="s">
        <v>1329</v>
      </c>
      <c r="H624" s="13"/>
      <c r="I624" s="13"/>
      <c r="J624" s="12" t="s">
        <v>1327</v>
      </c>
      <c r="K624" s="12" t="s">
        <v>794</v>
      </c>
    </row>
    <row r="625" spans="1:11" ht="30" customHeight="1">
      <c r="A625" s="12" t="s">
        <v>488</v>
      </c>
      <c r="B625" s="12" t="s">
        <v>483</v>
      </c>
      <c r="C625" s="12" t="s">
        <v>484</v>
      </c>
      <c r="D625" s="12" t="s">
        <v>542</v>
      </c>
      <c r="E625" s="17">
        <v>3</v>
      </c>
      <c r="F625" s="13"/>
      <c r="G625" s="12" t="s">
        <v>1329</v>
      </c>
      <c r="H625" s="13"/>
      <c r="I625" s="13"/>
      <c r="J625" s="12" t="s">
        <v>1327</v>
      </c>
      <c r="K625" s="12" t="s">
        <v>794</v>
      </c>
    </row>
    <row r="626" spans="1:11" ht="30" customHeight="1">
      <c r="A626" s="12" t="s">
        <v>488</v>
      </c>
      <c r="B626" s="12" t="s">
        <v>483</v>
      </c>
      <c r="C626" s="12" t="s">
        <v>484</v>
      </c>
      <c r="D626" s="12" t="s">
        <v>543</v>
      </c>
      <c r="E626" s="17">
        <v>3</v>
      </c>
      <c r="F626" s="13"/>
      <c r="G626" s="12" t="s">
        <v>1329</v>
      </c>
      <c r="H626" s="13"/>
      <c r="I626" s="13"/>
      <c r="J626" s="12" t="s">
        <v>1327</v>
      </c>
      <c r="K626" s="12" t="s">
        <v>794</v>
      </c>
    </row>
    <row r="627" spans="1:11" ht="30" customHeight="1">
      <c r="A627" s="12" t="s">
        <v>525</v>
      </c>
      <c r="B627" s="12" t="s">
        <v>521</v>
      </c>
      <c r="C627" s="12" t="s">
        <v>484</v>
      </c>
      <c r="D627" s="12" t="s">
        <v>534</v>
      </c>
      <c r="E627" s="17">
        <v>3</v>
      </c>
      <c r="F627" s="13"/>
      <c r="G627" s="12" t="s">
        <v>1329</v>
      </c>
      <c r="H627" s="13"/>
      <c r="I627" s="12" t="s">
        <v>1332</v>
      </c>
      <c r="J627" s="12" t="s">
        <v>1327</v>
      </c>
      <c r="K627" s="12" t="s">
        <v>794</v>
      </c>
    </row>
    <row r="628" spans="1:11" ht="30" customHeight="1">
      <c r="A628" s="12" t="s">
        <v>525</v>
      </c>
      <c r="B628" s="12" t="s">
        <v>521</v>
      </c>
      <c r="C628" s="12" t="s">
        <v>484</v>
      </c>
      <c r="D628" s="12" t="s">
        <v>535</v>
      </c>
      <c r="E628" s="17">
        <v>0</v>
      </c>
      <c r="F628" s="13"/>
      <c r="G628" s="12" t="s">
        <v>1329</v>
      </c>
      <c r="H628" s="13"/>
      <c r="I628" s="12" t="s">
        <v>1332</v>
      </c>
      <c r="J628" s="12" t="s">
        <v>1327</v>
      </c>
      <c r="K628" s="12" t="s">
        <v>794</v>
      </c>
    </row>
    <row r="629" spans="1:11" ht="30" customHeight="1">
      <c r="A629" s="12" t="s">
        <v>525</v>
      </c>
      <c r="B629" s="12" t="s">
        <v>521</v>
      </c>
      <c r="C629" s="12" t="s">
        <v>484</v>
      </c>
      <c r="D629" s="12" t="s">
        <v>536</v>
      </c>
      <c r="E629" s="17">
        <v>3</v>
      </c>
      <c r="F629" s="13"/>
      <c r="G629" s="12" t="s">
        <v>1329</v>
      </c>
      <c r="H629" s="13"/>
      <c r="I629" s="12" t="s">
        <v>1332</v>
      </c>
      <c r="J629" s="12" t="s">
        <v>1327</v>
      </c>
      <c r="K629" s="12" t="s">
        <v>794</v>
      </c>
    </row>
    <row r="630" spans="1:11" ht="30" customHeight="1">
      <c r="A630" s="12" t="s">
        <v>525</v>
      </c>
      <c r="B630" s="12" t="s">
        <v>521</v>
      </c>
      <c r="C630" s="12" t="s">
        <v>484</v>
      </c>
      <c r="D630" s="12" t="s">
        <v>537</v>
      </c>
      <c r="E630" s="17">
        <v>3</v>
      </c>
      <c r="F630" s="13"/>
      <c r="G630" s="12" t="s">
        <v>1329</v>
      </c>
      <c r="H630" s="13"/>
      <c r="I630" s="12" t="s">
        <v>1332</v>
      </c>
      <c r="J630" s="12" t="s">
        <v>1327</v>
      </c>
      <c r="K630" s="12" t="s">
        <v>794</v>
      </c>
    </row>
    <row r="631" spans="1:11" ht="30" customHeight="1">
      <c r="A631" s="12" t="s">
        <v>525</v>
      </c>
      <c r="B631" s="12" t="s">
        <v>521</v>
      </c>
      <c r="C631" s="12" t="s">
        <v>484</v>
      </c>
      <c r="D631" s="12" t="s">
        <v>538</v>
      </c>
      <c r="E631" s="17">
        <v>3</v>
      </c>
      <c r="F631" s="13"/>
      <c r="G631" s="12" t="s">
        <v>1329</v>
      </c>
      <c r="H631" s="13"/>
      <c r="I631" s="12" t="s">
        <v>1332</v>
      </c>
      <c r="J631" s="12" t="s">
        <v>1327</v>
      </c>
      <c r="K631" s="12" t="s">
        <v>794</v>
      </c>
    </row>
    <row r="632" spans="1:11" ht="30" customHeight="1">
      <c r="A632" s="12" t="s">
        <v>525</v>
      </c>
      <c r="B632" s="12" t="s">
        <v>521</v>
      </c>
      <c r="C632" s="12" t="s">
        <v>484</v>
      </c>
      <c r="D632" s="12" t="s">
        <v>539</v>
      </c>
      <c r="E632" s="17">
        <v>3</v>
      </c>
      <c r="F632" s="13"/>
      <c r="G632" s="12" t="s">
        <v>1329</v>
      </c>
      <c r="H632" s="13"/>
      <c r="I632" s="12" t="s">
        <v>1332</v>
      </c>
      <c r="J632" s="12" t="s">
        <v>1327</v>
      </c>
      <c r="K632" s="12" t="s">
        <v>794</v>
      </c>
    </row>
    <row r="633" spans="1:11" ht="30" customHeight="1">
      <c r="A633" s="12" t="s">
        <v>525</v>
      </c>
      <c r="B633" s="12" t="s">
        <v>521</v>
      </c>
      <c r="C633" s="12" t="s">
        <v>484</v>
      </c>
      <c r="D633" s="12" t="s">
        <v>540</v>
      </c>
      <c r="E633" s="17">
        <v>3</v>
      </c>
      <c r="F633" s="13"/>
      <c r="G633" s="12" t="s">
        <v>1329</v>
      </c>
      <c r="H633" s="13"/>
      <c r="I633" s="12" t="s">
        <v>1332</v>
      </c>
      <c r="J633" s="12" t="s">
        <v>1327</v>
      </c>
      <c r="K633" s="12" t="s">
        <v>794</v>
      </c>
    </row>
    <row r="634" spans="1:11" ht="30" customHeight="1">
      <c r="A634" s="12" t="s">
        <v>525</v>
      </c>
      <c r="B634" s="12" t="s">
        <v>521</v>
      </c>
      <c r="C634" s="12" t="s">
        <v>484</v>
      </c>
      <c r="D634" s="12" t="s">
        <v>541</v>
      </c>
      <c r="E634" s="17">
        <v>3</v>
      </c>
      <c r="F634" s="13"/>
      <c r="G634" s="12" t="s">
        <v>1329</v>
      </c>
      <c r="H634" s="13"/>
      <c r="I634" s="12" t="s">
        <v>1332</v>
      </c>
      <c r="J634" s="12" t="s">
        <v>1327</v>
      </c>
      <c r="K634" s="12" t="s">
        <v>794</v>
      </c>
    </row>
    <row r="635" spans="1:11" ht="30" customHeight="1">
      <c r="A635" s="12" t="s">
        <v>525</v>
      </c>
      <c r="B635" s="12" t="s">
        <v>521</v>
      </c>
      <c r="C635" s="12" t="s">
        <v>484</v>
      </c>
      <c r="D635" s="12" t="s">
        <v>542</v>
      </c>
      <c r="E635" s="17">
        <v>3</v>
      </c>
      <c r="F635" s="13"/>
      <c r="G635" s="12" t="s">
        <v>1329</v>
      </c>
      <c r="H635" s="13"/>
      <c r="I635" s="12" t="s">
        <v>1332</v>
      </c>
      <c r="J635" s="12" t="s">
        <v>1327</v>
      </c>
      <c r="K635" s="12" t="s">
        <v>794</v>
      </c>
    </row>
    <row r="636" spans="1:11" ht="30" customHeight="1">
      <c r="A636" s="12" t="s">
        <v>525</v>
      </c>
      <c r="B636" s="12" t="s">
        <v>521</v>
      </c>
      <c r="C636" s="12" t="s">
        <v>484</v>
      </c>
      <c r="D636" s="12" t="s">
        <v>543</v>
      </c>
      <c r="E636" s="17">
        <v>3</v>
      </c>
      <c r="F636" s="13"/>
      <c r="G636" s="12" t="s">
        <v>1329</v>
      </c>
      <c r="H636" s="13"/>
      <c r="I636" s="12" t="s">
        <v>1332</v>
      </c>
      <c r="J636" s="12" t="s">
        <v>1327</v>
      </c>
      <c r="K636" s="12" t="s">
        <v>794</v>
      </c>
    </row>
    <row r="637" spans="1:11" ht="30" customHeight="1">
      <c r="A637" s="12" t="s">
        <v>516</v>
      </c>
      <c r="B637" s="12" t="s">
        <v>512</v>
      </c>
      <c r="C637" s="12" t="s">
        <v>484</v>
      </c>
      <c r="D637" s="12" t="s">
        <v>534</v>
      </c>
      <c r="E637" s="17">
        <v>3</v>
      </c>
      <c r="F637" s="13"/>
      <c r="G637" s="12" t="s">
        <v>1329</v>
      </c>
      <c r="H637" s="13"/>
      <c r="I637" s="13"/>
      <c r="J637" s="12" t="s">
        <v>1327</v>
      </c>
      <c r="K637" s="12" t="s">
        <v>794</v>
      </c>
    </row>
    <row r="638" spans="1:11" ht="30" customHeight="1">
      <c r="A638" s="12" t="s">
        <v>516</v>
      </c>
      <c r="B638" s="12" t="s">
        <v>512</v>
      </c>
      <c r="C638" s="12" t="s">
        <v>484</v>
      </c>
      <c r="D638" s="12" t="s">
        <v>535</v>
      </c>
      <c r="E638" s="17">
        <v>3</v>
      </c>
      <c r="F638" s="13"/>
      <c r="G638" s="12" t="s">
        <v>1329</v>
      </c>
      <c r="H638" s="13"/>
      <c r="I638" s="13"/>
      <c r="J638" s="12" t="s">
        <v>1327</v>
      </c>
      <c r="K638" s="12" t="s">
        <v>794</v>
      </c>
    </row>
    <row r="639" spans="1:11" ht="30" customHeight="1">
      <c r="A639" s="12" t="s">
        <v>516</v>
      </c>
      <c r="B639" s="12" t="s">
        <v>512</v>
      </c>
      <c r="C639" s="12" t="s">
        <v>484</v>
      </c>
      <c r="D639" s="12" t="s">
        <v>536</v>
      </c>
      <c r="E639" s="17">
        <v>3</v>
      </c>
      <c r="F639" s="13"/>
      <c r="G639" s="12" t="s">
        <v>1329</v>
      </c>
      <c r="H639" s="13"/>
      <c r="I639" s="13"/>
      <c r="J639" s="12" t="s">
        <v>1327</v>
      </c>
      <c r="K639" s="12" t="s">
        <v>794</v>
      </c>
    </row>
    <row r="640" spans="1:11" ht="30" customHeight="1">
      <c r="A640" s="12" t="s">
        <v>516</v>
      </c>
      <c r="B640" s="12" t="s">
        <v>512</v>
      </c>
      <c r="C640" s="12" t="s">
        <v>484</v>
      </c>
      <c r="D640" s="12" t="s">
        <v>537</v>
      </c>
      <c r="E640" s="17">
        <v>3</v>
      </c>
      <c r="F640" s="13"/>
      <c r="G640" s="12" t="s">
        <v>1329</v>
      </c>
      <c r="H640" s="13"/>
      <c r="I640" s="13"/>
      <c r="J640" s="12" t="s">
        <v>1327</v>
      </c>
      <c r="K640" s="12" t="s">
        <v>794</v>
      </c>
    </row>
    <row r="641" spans="1:11" ht="30" customHeight="1">
      <c r="A641" s="12" t="s">
        <v>516</v>
      </c>
      <c r="B641" s="12" t="s">
        <v>512</v>
      </c>
      <c r="C641" s="12" t="s">
        <v>484</v>
      </c>
      <c r="D641" s="12" t="s">
        <v>538</v>
      </c>
      <c r="E641" s="17">
        <v>3</v>
      </c>
      <c r="F641" s="13"/>
      <c r="G641" s="12" t="s">
        <v>1329</v>
      </c>
      <c r="H641" s="13"/>
      <c r="I641" s="13"/>
      <c r="J641" s="12" t="s">
        <v>1327</v>
      </c>
      <c r="K641" s="12" t="s">
        <v>794</v>
      </c>
    </row>
    <row r="642" spans="1:11" ht="30" customHeight="1">
      <c r="A642" s="12" t="s">
        <v>516</v>
      </c>
      <c r="B642" s="12" t="s">
        <v>512</v>
      </c>
      <c r="C642" s="12" t="s">
        <v>484</v>
      </c>
      <c r="D642" s="12" t="s">
        <v>539</v>
      </c>
      <c r="E642" s="17">
        <v>3</v>
      </c>
      <c r="F642" s="13"/>
      <c r="G642" s="12" t="s">
        <v>1329</v>
      </c>
      <c r="H642" s="13"/>
      <c r="I642" s="13"/>
      <c r="J642" s="12" t="s">
        <v>1327</v>
      </c>
      <c r="K642" s="12" t="s">
        <v>794</v>
      </c>
    </row>
    <row r="643" spans="1:11" ht="30" customHeight="1">
      <c r="A643" s="12" t="s">
        <v>516</v>
      </c>
      <c r="B643" s="12" t="s">
        <v>512</v>
      </c>
      <c r="C643" s="12" t="s">
        <v>484</v>
      </c>
      <c r="D643" s="12" t="s">
        <v>540</v>
      </c>
      <c r="E643" s="17">
        <v>1</v>
      </c>
      <c r="F643" s="13"/>
      <c r="G643" s="12" t="s">
        <v>1329</v>
      </c>
      <c r="H643" s="13"/>
      <c r="I643" s="13"/>
      <c r="J643" s="12" t="s">
        <v>1327</v>
      </c>
      <c r="K643" s="12" t="s">
        <v>794</v>
      </c>
    </row>
    <row r="644" spans="1:11" ht="30" customHeight="1">
      <c r="A644" s="12" t="s">
        <v>516</v>
      </c>
      <c r="B644" s="12" t="s">
        <v>512</v>
      </c>
      <c r="C644" s="12" t="s">
        <v>484</v>
      </c>
      <c r="D644" s="12" t="s">
        <v>541</v>
      </c>
      <c r="E644" s="17">
        <v>3</v>
      </c>
      <c r="F644" s="13"/>
      <c r="G644" s="12" t="s">
        <v>1329</v>
      </c>
      <c r="H644" s="13"/>
      <c r="I644" s="13"/>
      <c r="J644" s="12" t="s">
        <v>1327</v>
      </c>
      <c r="K644" s="12" t="s">
        <v>794</v>
      </c>
    </row>
    <row r="645" spans="1:11" ht="30" customHeight="1">
      <c r="A645" s="12" t="s">
        <v>516</v>
      </c>
      <c r="B645" s="12" t="s">
        <v>512</v>
      </c>
      <c r="C645" s="12" t="s">
        <v>484</v>
      </c>
      <c r="D645" s="12" t="s">
        <v>542</v>
      </c>
      <c r="E645" s="17">
        <v>3</v>
      </c>
      <c r="F645" s="13"/>
      <c r="G645" s="12" t="s">
        <v>1329</v>
      </c>
      <c r="H645" s="13"/>
      <c r="I645" s="13"/>
      <c r="J645" s="12" t="s">
        <v>1327</v>
      </c>
      <c r="K645" s="12" t="s">
        <v>794</v>
      </c>
    </row>
    <row r="646" spans="1:11" ht="30" customHeight="1">
      <c r="A646" s="12" t="s">
        <v>516</v>
      </c>
      <c r="B646" s="12" t="s">
        <v>512</v>
      </c>
      <c r="C646" s="12" t="s">
        <v>484</v>
      </c>
      <c r="D646" s="12" t="s">
        <v>543</v>
      </c>
      <c r="E646" s="17">
        <v>3</v>
      </c>
      <c r="F646" s="13"/>
      <c r="G646" s="12" t="s">
        <v>1329</v>
      </c>
      <c r="H646" s="13"/>
      <c r="I646" s="13"/>
      <c r="J646" s="12" t="s">
        <v>1327</v>
      </c>
      <c r="K646" s="12" t="s">
        <v>794</v>
      </c>
    </row>
    <row r="647" spans="1:11" ht="30" customHeight="1">
      <c r="A647" s="12" t="s">
        <v>493</v>
      </c>
      <c r="B647" s="12" t="s">
        <v>490</v>
      </c>
      <c r="C647" s="12" t="s">
        <v>484</v>
      </c>
      <c r="D647" s="12" t="s">
        <v>534</v>
      </c>
      <c r="E647" s="17">
        <v>3</v>
      </c>
      <c r="F647" s="13"/>
      <c r="G647" s="12" t="s">
        <v>1329</v>
      </c>
      <c r="H647" s="13"/>
      <c r="I647" s="12" t="s">
        <v>492</v>
      </c>
      <c r="J647" s="12" t="s">
        <v>1327</v>
      </c>
      <c r="K647" s="12" t="s">
        <v>794</v>
      </c>
    </row>
    <row r="648" spans="1:11" ht="30" customHeight="1">
      <c r="A648" s="12" t="s">
        <v>493</v>
      </c>
      <c r="B648" s="12" t="s">
        <v>490</v>
      </c>
      <c r="C648" s="12" t="s">
        <v>484</v>
      </c>
      <c r="D648" s="12" t="s">
        <v>535</v>
      </c>
      <c r="E648" s="17">
        <v>3</v>
      </c>
      <c r="F648" s="13"/>
      <c r="G648" s="12" t="s">
        <v>1329</v>
      </c>
      <c r="H648" s="13"/>
      <c r="I648" s="12" t="s">
        <v>492</v>
      </c>
      <c r="J648" s="12" t="s">
        <v>1327</v>
      </c>
      <c r="K648" s="12" t="s">
        <v>794</v>
      </c>
    </row>
    <row r="649" spans="1:11" ht="30" customHeight="1">
      <c r="A649" s="12" t="s">
        <v>493</v>
      </c>
      <c r="B649" s="12" t="s">
        <v>490</v>
      </c>
      <c r="C649" s="12" t="s">
        <v>484</v>
      </c>
      <c r="D649" s="12" t="s">
        <v>536</v>
      </c>
      <c r="E649" s="17">
        <v>3</v>
      </c>
      <c r="F649" s="13"/>
      <c r="G649" s="12" t="s">
        <v>1329</v>
      </c>
      <c r="H649" s="13"/>
      <c r="I649" s="12" t="s">
        <v>492</v>
      </c>
      <c r="J649" s="12" t="s">
        <v>1327</v>
      </c>
      <c r="K649" s="12" t="s">
        <v>794</v>
      </c>
    </row>
    <row r="650" spans="1:11" ht="30" customHeight="1">
      <c r="A650" s="12" t="s">
        <v>493</v>
      </c>
      <c r="B650" s="12" t="s">
        <v>490</v>
      </c>
      <c r="C650" s="12" t="s">
        <v>484</v>
      </c>
      <c r="D650" s="12" t="s">
        <v>537</v>
      </c>
      <c r="E650" s="17">
        <v>3</v>
      </c>
      <c r="F650" s="13"/>
      <c r="G650" s="12" t="s">
        <v>1329</v>
      </c>
      <c r="H650" s="13"/>
      <c r="I650" s="12" t="s">
        <v>492</v>
      </c>
      <c r="J650" s="12" t="s">
        <v>1327</v>
      </c>
      <c r="K650" s="12" t="s">
        <v>794</v>
      </c>
    </row>
    <row r="651" spans="1:11" ht="30" customHeight="1">
      <c r="A651" s="12" t="s">
        <v>493</v>
      </c>
      <c r="B651" s="12" t="s">
        <v>490</v>
      </c>
      <c r="C651" s="12" t="s">
        <v>484</v>
      </c>
      <c r="D651" s="12" t="s">
        <v>538</v>
      </c>
      <c r="E651" s="17">
        <v>3</v>
      </c>
      <c r="F651" s="13"/>
      <c r="G651" s="12" t="s">
        <v>1329</v>
      </c>
      <c r="H651" s="13"/>
      <c r="I651" s="12" t="s">
        <v>492</v>
      </c>
      <c r="J651" s="12" t="s">
        <v>1327</v>
      </c>
      <c r="K651" s="12" t="s">
        <v>794</v>
      </c>
    </row>
    <row r="652" spans="1:11" ht="30" customHeight="1">
      <c r="A652" s="12" t="s">
        <v>493</v>
      </c>
      <c r="B652" s="12" t="s">
        <v>490</v>
      </c>
      <c r="C652" s="12" t="s">
        <v>484</v>
      </c>
      <c r="D652" s="12" t="s">
        <v>539</v>
      </c>
      <c r="E652" s="17">
        <v>3</v>
      </c>
      <c r="F652" s="13"/>
      <c r="G652" s="12" t="s">
        <v>1329</v>
      </c>
      <c r="H652" s="13"/>
      <c r="I652" s="12" t="s">
        <v>492</v>
      </c>
      <c r="J652" s="12" t="s">
        <v>1327</v>
      </c>
      <c r="K652" s="12" t="s">
        <v>794</v>
      </c>
    </row>
    <row r="653" spans="1:11" ht="30" customHeight="1">
      <c r="A653" s="12" t="s">
        <v>493</v>
      </c>
      <c r="B653" s="12" t="s">
        <v>490</v>
      </c>
      <c r="C653" s="12" t="s">
        <v>484</v>
      </c>
      <c r="D653" s="12" t="s">
        <v>540</v>
      </c>
      <c r="E653" s="17">
        <v>3</v>
      </c>
      <c r="F653" s="13"/>
      <c r="G653" s="12" t="s">
        <v>1329</v>
      </c>
      <c r="H653" s="13"/>
      <c r="I653" s="12" t="s">
        <v>492</v>
      </c>
      <c r="J653" s="12" t="s">
        <v>1327</v>
      </c>
      <c r="K653" s="12" t="s">
        <v>794</v>
      </c>
    </row>
    <row r="654" spans="1:11" ht="30" customHeight="1">
      <c r="A654" s="12" t="s">
        <v>493</v>
      </c>
      <c r="B654" s="12" t="s">
        <v>490</v>
      </c>
      <c r="C654" s="12" t="s">
        <v>484</v>
      </c>
      <c r="D654" s="12" t="s">
        <v>541</v>
      </c>
      <c r="E654" s="17">
        <v>3</v>
      </c>
      <c r="F654" s="13"/>
      <c r="G654" s="12" t="s">
        <v>1329</v>
      </c>
      <c r="H654" s="13"/>
      <c r="I654" s="12" t="s">
        <v>492</v>
      </c>
      <c r="J654" s="12" t="s">
        <v>1327</v>
      </c>
      <c r="K654" s="12" t="s">
        <v>794</v>
      </c>
    </row>
    <row r="655" spans="1:11" ht="30" customHeight="1">
      <c r="A655" s="12" t="s">
        <v>493</v>
      </c>
      <c r="B655" s="12" t="s">
        <v>490</v>
      </c>
      <c r="C655" s="12" t="s">
        <v>484</v>
      </c>
      <c r="D655" s="12" t="s">
        <v>542</v>
      </c>
      <c r="E655" s="17">
        <v>3</v>
      </c>
      <c r="F655" s="13"/>
      <c r="G655" s="12" t="s">
        <v>1329</v>
      </c>
      <c r="H655" s="13"/>
      <c r="I655" s="12" t="s">
        <v>492</v>
      </c>
      <c r="J655" s="12" t="s">
        <v>1327</v>
      </c>
      <c r="K655" s="12" t="s">
        <v>794</v>
      </c>
    </row>
    <row r="656" spans="1:11" ht="30" customHeight="1">
      <c r="A656" s="12" t="s">
        <v>493</v>
      </c>
      <c r="B656" s="12" t="s">
        <v>490</v>
      </c>
      <c r="C656" s="12" t="s">
        <v>484</v>
      </c>
      <c r="D656" s="12" t="s">
        <v>543</v>
      </c>
      <c r="E656" s="17">
        <v>3</v>
      </c>
      <c r="F656" s="13"/>
      <c r="G656" s="12" t="s">
        <v>1329</v>
      </c>
      <c r="H656" s="13"/>
      <c r="I656" s="12" t="s">
        <v>492</v>
      </c>
      <c r="J656" s="12" t="s">
        <v>1327</v>
      </c>
      <c r="K656" s="12" t="s">
        <v>794</v>
      </c>
    </row>
    <row r="657" spans="1:11" ht="30" customHeight="1">
      <c r="A657" s="12" t="s">
        <v>175</v>
      </c>
      <c r="B657" s="12" t="s">
        <v>171</v>
      </c>
      <c r="C657" s="12" t="s">
        <v>142</v>
      </c>
      <c r="D657" s="12" t="s">
        <v>534</v>
      </c>
      <c r="E657" s="17">
        <v>3</v>
      </c>
      <c r="F657" s="13"/>
      <c r="G657" s="12" t="s">
        <v>1333</v>
      </c>
      <c r="H657" s="12" t="s">
        <v>1334</v>
      </c>
      <c r="I657" s="13"/>
      <c r="J657" s="12" t="s">
        <v>1335</v>
      </c>
      <c r="K657" s="12" t="s">
        <v>794</v>
      </c>
    </row>
    <row r="658" spans="1:11" ht="30" customHeight="1">
      <c r="A658" s="12" t="s">
        <v>175</v>
      </c>
      <c r="B658" s="12" t="s">
        <v>171</v>
      </c>
      <c r="C658" s="12" t="s">
        <v>142</v>
      </c>
      <c r="D658" s="12" t="s">
        <v>535</v>
      </c>
      <c r="E658" s="17">
        <v>3</v>
      </c>
      <c r="F658" s="13"/>
      <c r="G658" s="12" t="s">
        <v>1333</v>
      </c>
      <c r="H658" s="12" t="s">
        <v>1334</v>
      </c>
      <c r="I658" s="13"/>
      <c r="J658" s="12" t="s">
        <v>1335</v>
      </c>
      <c r="K658" s="12" t="s">
        <v>794</v>
      </c>
    </row>
    <row r="659" spans="1:11" ht="30" customHeight="1">
      <c r="A659" s="12" t="s">
        <v>175</v>
      </c>
      <c r="B659" s="12" t="s">
        <v>171</v>
      </c>
      <c r="C659" s="12" t="s">
        <v>142</v>
      </c>
      <c r="D659" s="12" t="s">
        <v>536</v>
      </c>
      <c r="E659" s="17">
        <v>3</v>
      </c>
      <c r="F659" s="13"/>
      <c r="G659" s="12" t="s">
        <v>1333</v>
      </c>
      <c r="H659" s="12" t="s">
        <v>1334</v>
      </c>
      <c r="I659" s="13"/>
      <c r="J659" s="12" t="s">
        <v>1335</v>
      </c>
      <c r="K659" s="12" t="s">
        <v>794</v>
      </c>
    </row>
    <row r="660" spans="1:11" ht="30" customHeight="1">
      <c r="A660" s="12" t="s">
        <v>175</v>
      </c>
      <c r="B660" s="12" t="s">
        <v>171</v>
      </c>
      <c r="C660" s="12" t="s">
        <v>142</v>
      </c>
      <c r="D660" s="12" t="s">
        <v>537</v>
      </c>
      <c r="E660" s="17">
        <v>3</v>
      </c>
      <c r="F660" s="13"/>
      <c r="G660" s="12" t="s">
        <v>1333</v>
      </c>
      <c r="H660" s="12" t="s">
        <v>1334</v>
      </c>
      <c r="I660" s="13"/>
      <c r="J660" s="12" t="s">
        <v>1335</v>
      </c>
      <c r="K660" s="12" t="s">
        <v>794</v>
      </c>
    </row>
    <row r="661" spans="1:11" ht="30" customHeight="1">
      <c r="A661" s="12" t="s">
        <v>175</v>
      </c>
      <c r="B661" s="12" t="s">
        <v>171</v>
      </c>
      <c r="C661" s="12" t="s">
        <v>142</v>
      </c>
      <c r="D661" s="12" t="s">
        <v>538</v>
      </c>
      <c r="E661" s="17">
        <v>3</v>
      </c>
      <c r="F661" s="13"/>
      <c r="G661" s="12" t="s">
        <v>1333</v>
      </c>
      <c r="H661" s="12" t="s">
        <v>1334</v>
      </c>
      <c r="I661" s="13"/>
      <c r="J661" s="12" t="s">
        <v>1335</v>
      </c>
      <c r="K661" s="12" t="s">
        <v>794</v>
      </c>
    </row>
    <row r="662" spans="1:11" ht="30" customHeight="1">
      <c r="A662" s="12" t="s">
        <v>175</v>
      </c>
      <c r="B662" s="12" t="s">
        <v>171</v>
      </c>
      <c r="C662" s="12" t="s">
        <v>142</v>
      </c>
      <c r="D662" s="12" t="s">
        <v>539</v>
      </c>
      <c r="E662" s="17">
        <v>3</v>
      </c>
      <c r="F662" s="13"/>
      <c r="G662" s="12" t="s">
        <v>1333</v>
      </c>
      <c r="H662" s="12" t="s">
        <v>1334</v>
      </c>
      <c r="I662" s="13"/>
      <c r="J662" s="12" t="s">
        <v>1335</v>
      </c>
      <c r="K662" s="12" t="s">
        <v>794</v>
      </c>
    </row>
    <row r="663" spans="1:11" ht="30" customHeight="1">
      <c r="A663" s="12" t="s">
        <v>175</v>
      </c>
      <c r="B663" s="12" t="s">
        <v>171</v>
      </c>
      <c r="C663" s="12" t="s">
        <v>142</v>
      </c>
      <c r="D663" s="12" t="s">
        <v>540</v>
      </c>
      <c r="E663" s="17">
        <v>3</v>
      </c>
      <c r="F663" s="13"/>
      <c r="G663" s="12" t="s">
        <v>1333</v>
      </c>
      <c r="H663" s="12" t="s">
        <v>1334</v>
      </c>
      <c r="I663" s="13"/>
      <c r="J663" s="12" t="s">
        <v>1335</v>
      </c>
      <c r="K663" s="12" t="s">
        <v>794</v>
      </c>
    </row>
    <row r="664" spans="1:11" ht="30" customHeight="1">
      <c r="A664" s="12" t="s">
        <v>175</v>
      </c>
      <c r="B664" s="12" t="s">
        <v>171</v>
      </c>
      <c r="C664" s="12" t="s">
        <v>142</v>
      </c>
      <c r="D664" s="12" t="s">
        <v>541</v>
      </c>
      <c r="E664" s="17">
        <v>3</v>
      </c>
      <c r="F664" s="13"/>
      <c r="G664" s="12" t="s">
        <v>1333</v>
      </c>
      <c r="H664" s="12" t="s">
        <v>1334</v>
      </c>
      <c r="I664" s="13"/>
      <c r="J664" s="12" t="s">
        <v>1335</v>
      </c>
      <c r="K664" s="12" t="s">
        <v>794</v>
      </c>
    </row>
    <row r="665" spans="1:11" ht="30" customHeight="1">
      <c r="A665" s="12" t="s">
        <v>175</v>
      </c>
      <c r="B665" s="12" t="s">
        <v>171</v>
      </c>
      <c r="C665" s="12" t="s">
        <v>142</v>
      </c>
      <c r="D665" s="12" t="s">
        <v>542</v>
      </c>
      <c r="E665" s="17">
        <v>3</v>
      </c>
      <c r="F665" s="13"/>
      <c r="G665" s="12" t="s">
        <v>1333</v>
      </c>
      <c r="H665" s="12" t="s">
        <v>1334</v>
      </c>
      <c r="I665" s="13"/>
      <c r="J665" s="12" t="s">
        <v>1335</v>
      </c>
      <c r="K665" s="12" t="s">
        <v>794</v>
      </c>
    </row>
    <row r="666" spans="1:11" ht="30" customHeight="1">
      <c r="A666" s="12" t="s">
        <v>175</v>
      </c>
      <c r="B666" s="12" t="s">
        <v>171</v>
      </c>
      <c r="C666" s="12" t="s">
        <v>142</v>
      </c>
      <c r="D666" s="12" t="s">
        <v>543</v>
      </c>
      <c r="E666" s="17">
        <v>3</v>
      </c>
      <c r="F666" s="13"/>
      <c r="G666" s="12" t="s">
        <v>1333</v>
      </c>
      <c r="H666" s="12" t="s">
        <v>1334</v>
      </c>
      <c r="I666" s="13"/>
      <c r="J666" s="12" t="s">
        <v>1335</v>
      </c>
      <c r="K666" s="12" t="s">
        <v>794</v>
      </c>
    </row>
    <row r="667" spans="1:11" ht="30" customHeight="1">
      <c r="A667" s="12" t="s">
        <v>204</v>
      </c>
      <c r="B667" s="12" t="s">
        <v>200</v>
      </c>
      <c r="C667" s="12" t="s">
        <v>142</v>
      </c>
      <c r="D667" s="12" t="s">
        <v>534</v>
      </c>
      <c r="E667" s="17">
        <v>3</v>
      </c>
      <c r="F667" s="13"/>
      <c r="G667" s="12" t="s">
        <v>1333</v>
      </c>
      <c r="H667" s="12" t="s">
        <v>1334</v>
      </c>
      <c r="I667" s="13"/>
      <c r="J667" s="12" t="s">
        <v>1335</v>
      </c>
      <c r="K667" s="12" t="s">
        <v>794</v>
      </c>
    </row>
    <row r="668" spans="1:11" ht="30" customHeight="1">
      <c r="A668" s="12" t="s">
        <v>204</v>
      </c>
      <c r="B668" s="12" t="s">
        <v>200</v>
      </c>
      <c r="C668" s="12" t="s">
        <v>142</v>
      </c>
      <c r="D668" s="12" t="s">
        <v>535</v>
      </c>
      <c r="E668" s="17">
        <v>3</v>
      </c>
      <c r="F668" s="13"/>
      <c r="G668" s="12" t="s">
        <v>1333</v>
      </c>
      <c r="H668" s="12" t="s">
        <v>1334</v>
      </c>
      <c r="I668" s="13"/>
      <c r="J668" s="12" t="s">
        <v>1335</v>
      </c>
      <c r="K668" s="12" t="s">
        <v>794</v>
      </c>
    </row>
    <row r="669" spans="1:11" ht="30" customHeight="1">
      <c r="A669" s="12" t="s">
        <v>204</v>
      </c>
      <c r="B669" s="12" t="s">
        <v>200</v>
      </c>
      <c r="C669" s="12" t="s">
        <v>142</v>
      </c>
      <c r="D669" s="12" t="s">
        <v>536</v>
      </c>
      <c r="E669" s="17">
        <v>3</v>
      </c>
      <c r="F669" s="13"/>
      <c r="G669" s="12" t="s">
        <v>1333</v>
      </c>
      <c r="H669" s="12" t="s">
        <v>1334</v>
      </c>
      <c r="I669" s="13"/>
      <c r="J669" s="12" t="s">
        <v>1335</v>
      </c>
      <c r="K669" s="12" t="s">
        <v>794</v>
      </c>
    </row>
    <row r="670" spans="1:11" ht="30" customHeight="1">
      <c r="A670" s="12" t="s">
        <v>204</v>
      </c>
      <c r="B670" s="12" t="s">
        <v>200</v>
      </c>
      <c r="C670" s="12" t="s">
        <v>142</v>
      </c>
      <c r="D670" s="12" t="s">
        <v>537</v>
      </c>
      <c r="E670" s="17">
        <v>3</v>
      </c>
      <c r="F670" s="13"/>
      <c r="G670" s="12" t="s">
        <v>1333</v>
      </c>
      <c r="H670" s="12" t="s">
        <v>1334</v>
      </c>
      <c r="I670" s="13"/>
      <c r="J670" s="12" t="s">
        <v>1335</v>
      </c>
      <c r="K670" s="12" t="s">
        <v>794</v>
      </c>
    </row>
    <row r="671" spans="1:11" ht="30" customHeight="1">
      <c r="A671" s="12" t="s">
        <v>204</v>
      </c>
      <c r="B671" s="12" t="s">
        <v>200</v>
      </c>
      <c r="C671" s="12" t="s">
        <v>142</v>
      </c>
      <c r="D671" s="12" t="s">
        <v>538</v>
      </c>
      <c r="E671" s="17">
        <v>3</v>
      </c>
      <c r="F671" s="13"/>
      <c r="G671" s="12" t="s">
        <v>1333</v>
      </c>
      <c r="H671" s="12" t="s">
        <v>1334</v>
      </c>
      <c r="I671" s="13"/>
      <c r="J671" s="12" t="s">
        <v>1335</v>
      </c>
      <c r="K671" s="12" t="s">
        <v>794</v>
      </c>
    </row>
    <row r="672" spans="1:11" ht="30" customHeight="1">
      <c r="A672" s="12" t="s">
        <v>204</v>
      </c>
      <c r="B672" s="12" t="s">
        <v>200</v>
      </c>
      <c r="C672" s="12" t="s">
        <v>142</v>
      </c>
      <c r="D672" s="12" t="s">
        <v>539</v>
      </c>
      <c r="E672" s="17">
        <v>3</v>
      </c>
      <c r="F672" s="13"/>
      <c r="G672" s="12" t="s">
        <v>1333</v>
      </c>
      <c r="H672" s="12" t="s">
        <v>1334</v>
      </c>
      <c r="I672" s="13"/>
      <c r="J672" s="12" t="s">
        <v>1335</v>
      </c>
      <c r="K672" s="12" t="s">
        <v>794</v>
      </c>
    </row>
    <row r="673" spans="1:11" ht="30" customHeight="1">
      <c r="A673" s="12" t="s">
        <v>204</v>
      </c>
      <c r="B673" s="12" t="s">
        <v>200</v>
      </c>
      <c r="C673" s="12" t="s">
        <v>142</v>
      </c>
      <c r="D673" s="12" t="s">
        <v>540</v>
      </c>
      <c r="E673" s="17">
        <v>3</v>
      </c>
      <c r="F673" s="13"/>
      <c r="G673" s="12" t="s">
        <v>1333</v>
      </c>
      <c r="H673" s="12" t="s">
        <v>1334</v>
      </c>
      <c r="I673" s="13"/>
      <c r="J673" s="12" t="s">
        <v>1335</v>
      </c>
      <c r="K673" s="12" t="s">
        <v>794</v>
      </c>
    </row>
    <row r="674" spans="1:11" ht="30" customHeight="1">
      <c r="A674" s="12" t="s">
        <v>204</v>
      </c>
      <c r="B674" s="12" t="s">
        <v>200</v>
      </c>
      <c r="C674" s="12" t="s">
        <v>142</v>
      </c>
      <c r="D674" s="12" t="s">
        <v>541</v>
      </c>
      <c r="E674" s="17">
        <v>3</v>
      </c>
      <c r="F674" s="13"/>
      <c r="G674" s="12" t="s">
        <v>1333</v>
      </c>
      <c r="H674" s="12" t="s">
        <v>1334</v>
      </c>
      <c r="I674" s="13"/>
      <c r="J674" s="12" t="s">
        <v>1335</v>
      </c>
      <c r="K674" s="12" t="s">
        <v>794</v>
      </c>
    </row>
    <row r="675" spans="1:11" ht="30" customHeight="1">
      <c r="A675" s="12" t="s">
        <v>204</v>
      </c>
      <c r="B675" s="12" t="s">
        <v>200</v>
      </c>
      <c r="C675" s="12" t="s">
        <v>142</v>
      </c>
      <c r="D675" s="12" t="s">
        <v>542</v>
      </c>
      <c r="E675" s="17">
        <v>3</v>
      </c>
      <c r="F675" s="13"/>
      <c r="G675" s="12" t="s">
        <v>1333</v>
      </c>
      <c r="H675" s="12" t="s">
        <v>1334</v>
      </c>
      <c r="I675" s="13"/>
      <c r="J675" s="12" t="s">
        <v>1335</v>
      </c>
      <c r="K675" s="12" t="s">
        <v>794</v>
      </c>
    </row>
    <row r="676" spans="1:11" ht="30" customHeight="1">
      <c r="A676" s="12" t="s">
        <v>204</v>
      </c>
      <c r="B676" s="12" t="s">
        <v>200</v>
      </c>
      <c r="C676" s="12" t="s">
        <v>142</v>
      </c>
      <c r="D676" s="12" t="s">
        <v>543</v>
      </c>
      <c r="E676" s="17">
        <v>3</v>
      </c>
      <c r="F676" s="13"/>
      <c r="G676" s="12" t="s">
        <v>1333</v>
      </c>
      <c r="H676" s="12" t="s">
        <v>1334</v>
      </c>
      <c r="I676" s="13"/>
      <c r="J676" s="12" t="s">
        <v>1335</v>
      </c>
      <c r="K676" s="12" t="s">
        <v>794</v>
      </c>
    </row>
    <row r="677" spans="1:11" ht="30" customHeight="1">
      <c r="A677" s="12" t="s">
        <v>193</v>
      </c>
      <c r="B677" s="12" t="s">
        <v>189</v>
      </c>
      <c r="C677" s="12" t="s">
        <v>142</v>
      </c>
      <c r="D677" s="12" t="s">
        <v>534</v>
      </c>
      <c r="E677" s="17">
        <v>3</v>
      </c>
      <c r="F677" s="13"/>
      <c r="G677" s="12" t="s">
        <v>1333</v>
      </c>
      <c r="H677" s="12" t="s">
        <v>1334</v>
      </c>
      <c r="I677" s="13"/>
      <c r="J677" s="12" t="s">
        <v>1335</v>
      </c>
      <c r="K677" s="12" t="s">
        <v>794</v>
      </c>
    </row>
    <row r="678" spans="1:11" ht="30" customHeight="1">
      <c r="A678" s="12" t="s">
        <v>193</v>
      </c>
      <c r="B678" s="12" t="s">
        <v>189</v>
      </c>
      <c r="C678" s="12" t="s">
        <v>142</v>
      </c>
      <c r="D678" s="12" t="s">
        <v>535</v>
      </c>
      <c r="E678" s="17">
        <v>3</v>
      </c>
      <c r="F678" s="13"/>
      <c r="G678" s="12" t="s">
        <v>1333</v>
      </c>
      <c r="H678" s="12" t="s">
        <v>1334</v>
      </c>
      <c r="I678" s="13"/>
      <c r="J678" s="12" t="s">
        <v>1335</v>
      </c>
      <c r="K678" s="12" t="s">
        <v>794</v>
      </c>
    </row>
    <row r="679" spans="1:11" ht="30" customHeight="1">
      <c r="A679" s="12" t="s">
        <v>193</v>
      </c>
      <c r="B679" s="12" t="s">
        <v>189</v>
      </c>
      <c r="C679" s="12" t="s">
        <v>142</v>
      </c>
      <c r="D679" s="12" t="s">
        <v>536</v>
      </c>
      <c r="E679" s="17">
        <v>3</v>
      </c>
      <c r="F679" s="13"/>
      <c r="G679" s="12" t="s">
        <v>1333</v>
      </c>
      <c r="H679" s="12" t="s">
        <v>1334</v>
      </c>
      <c r="I679" s="13"/>
      <c r="J679" s="12" t="s">
        <v>1335</v>
      </c>
      <c r="K679" s="12" t="s">
        <v>794</v>
      </c>
    </row>
    <row r="680" spans="1:11" ht="30" customHeight="1">
      <c r="A680" s="12" t="s">
        <v>193</v>
      </c>
      <c r="B680" s="12" t="s">
        <v>189</v>
      </c>
      <c r="C680" s="12" t="s">
        <v>142</v>
      </c>
      <c r="D680" s="12" t="s">
        <v>537</v>
      </c>
      <c r="E680" s="17">
        <v>3</v>
      </c>
      <c r="F680" s="13"/>
      <c r="G680" s="12" t="s">
        <v>1333</v>
      </c>
      <c r="H680" s="12" t="s">
        <v>1334</v>
      </c>
      <c r="I680" s="13"/>
      <c r="J680" s="12" t="s">
        <v>1335</v>
      </c>
      <c r="K680" s="12" t="s">
        <v>794</v>
      </c>
    </row>
    <row r="681" spans="1:11" ht="30" customHeight="1">
      <c r="A681" s="12" t="s">
        <v>193</v>
      </c>
      <c r="B681" s="12" t="s">
        <v>189</v>
      </c>
      <c r="C681" s="12" t="s">
        <v>142</v>
      </c>
      <c r="D681" s="12" t="s">
        <v>538</v>
      </c>
      <c r="E681" s="17">
        <v>3</v>
      </c>
      <c r="F681" s="13"/>
      <c r="G681" s="12" t="s">
        <v>1333</v>
      </c>
      <c r="H681" s="12" t="s">
        <v>1334</v>
      </c>
      <c r="I681" s="13"/>
      <c r="J681" s="12" t="s">
        <v>1335</v>
      </c>
      <c r="K681" s="12" t="s">
        <v>794</v>
      </c>
    </row>
    <row r="682" spans="1:11" ht="30" customHeight="1">
      <c r="A682" s="12" t="s">
        <v>193</v>
      </c>
      <c r="B682" s="12" t="s">
        <v>189</v>
      </c>
      <c r="C682" s="12" t="s">
        <v>142</v>
      </c>
      <c r="D682" s="12" t="s">
        <v>539</v>
      </c>
      <c r="E682" s="17">
        <v>3</v>
      </c>
      <c r="F682" s="13"/>
      <c r="G682" s="12" t="s">
        <v>1333</v>
      </c>
      <c r="H682" s="12" t="s">
        <v>1334</v>
      </c>
      <c r="I682" s="13"/>
      <c r="J682" s="12" t="s">
        <v>1335</v>
      </c>
      <c r="K682" s="12" t="s">
        <v>794</v>
      </c>
    </row>
    <row r="683" spans="1:11" ht="30" customHeight="1">
      <c r="A683" s="12" t="s">
        <v>193</v>
      </c>
      <c r="B683" s="12" t="s">
        <v>189</v>
      </c>
      <c r="C683" s="12" t="s">
        <v>142</v>
      </c>
      <c r="D683" s="12" t="s">
        <v>540</v>
      </c>
      <c r="E683" s="17">
        <v>3</v>
      </c>
      <c r="F683" s="13"/>
      <c r="G683" s="12" t="s">
        <v>1333</v>
      </c>
      <c r="H683" s="12" t="s">
        <v>1334</v>
      </c>
      <c r="I683" s="13"/>
      <c r="J683" s="12" t="s">
        <v>1335</v>
      </c>
      <c r="K683" s="12" t="s">
        <v>794</v>
      </c>
    </row>
    <row r="684" spans="1:11" ht="30" customHeight="1">
      <c r="A684" s="12" t="s">
        <v>193</v>
      </c>
      <c r="B684" s="12" t="s">
        <v>189</v>
      </c>
      <c r="C684" s="12" t="s">
        <v>142</v>
      </c>
      <c r="D684" s="12" t="s">
        <v>541</v>
      </c>
      <c r="E684" s="17">
        <v>3</v>
      </c>
      <c r="F684" s="13"/>
      <c r="G684" s="12" t="s">
        <v>1333</v>
      </c>
      <c r="H684" s="12" t="s">
        <v>1334</v>
      </c>
      <c r="I684" s="13"/>
      <c r="J684" s="12" t="s">
        <v>1335</v>
      </c>
      <c r="K684" s="12" t="s">
        <v>794</v>
      </c>
    </row>
    <row r="685" spans="1:11" ht="30" customHeight="1">
      <c r="A685" s="12" t="s">
        <v>193</v>
      </c>
      <c r="B685" s="12" t="s">
        <v>189</v>
      </c>
      <c r="C685" s="12" t="s">
        <v>142</v>
      </c>
      <c r="D685" s="12" t="s">
        <v>542</v>
      </c>
      <c r="E685" s="17">
        <v>3</v>
      </c>
      <c r="F685" s="13"/>
      <c r="G685" s="12" t="s">
        <v>1333</v>
      </c>
      <c r="H685" s="12" t="s">
        <v>1334</v>
      </c>
      <c r="I685" s="13"/>
      <c r="J685" s="12" t="s">
        <v>1335</v>
      </c>
      <c r="K685" s="12" t="s">
        <v>794</v>
      </c>
    </row>
    <row r="686" spans="1:11" ht="30" customHeight="1">
      <c r="A686" s="12" t="s">
        <v>193</v>
      </c>
      <c r="B686" s="12" t="s">
        <v>189</v>
      </c>
      <c r="C686" s="12" t="s">
        <v>142</v>
      </c>
      <c r="D686" s="12" t="s">
        <v>543</v>
      </c>
      <c r="E686" s="17">
        <v>3</v>
      </c>
      <c r="F686" s="13"/>
      <c r="G686" s="12" t="s">
        <v>1333</v>
      </c>
      <c r="H686" s="12" t="s">
        <v>1334</v>
      </c>
      <c r="I686" s="13"/>
      <c r="J686" s="12" t="s">
        <v>1335</v>
      </c>
      <c r="K686" s="12" t="s">
        <v>794</v>
      </c>
    </row>
    <row r="687" spans="1:11" ht="30" customHeight="1">
      <c r="A687" s="12" t="s">
        <v>155</v>
      </c>
      <c r="B687" s="12" t="s">
        <v>151</v>
      </c>
      <c r="C687" s="12" t="s">
        <v>142</v>
      </c>
      <c r="D687" s="12" t="s">
        <v>534</v>
      </c>
      <c r="E687" s="17">
        <v>3</v>
      </c>
      <c r="F687" s="13"/>
      <c r="G687" s="12" t="s">
        <v>1333</v>
      </c>
      <c r="H687" s="12" t="s">
        <v>1334</v>
      </c>
      <c r="I687" s="13"/>
      <c r="J687" s="12" t="s">
        <v>1335</v>
      </c>
      <c r="K687" s="12" t="s">
        <v>794</v>
      </c>
    </row>
    <row r="688" spans="1:11" ht="30" customHeight="1">
      <c r="A688" s="12" t="s">
        <v>155</v>
      </c>
      <c r="B688" s="12" t="s">
        <v>151</v>
      </c>
      <c r="C688" s="12" t="s">
        <v>142</v>
      </c>
      <c r="D688" s="12" t="s">
        <v>535</v>
      </c>
      <c r="E688" s="17">
        <v>0</v>
      </c>
      <c r="F688" s="13"/>
      <c r="G688" s="12" t="s">
        <v>1333</v>
      </c>
      <c r="H688" s="12" t="s">
        <v>1334</v>
      </c>
      <c r="I688" s="13"/>
      <c r="J688" s="12" t="s">
        <v>1335</v>
      </c>
      <c r="K688" s="12" t="s">
        <v>794</v>
      </c>
    </row>
    <row r="689" spans="1:11" ht="30" customHeight="1">
      <c r="A689" s="12" t="s">
        <v>155</v>
      </c>
      <c r="B689" s="12" t="s">
        <v>151</v>
      </c>
      <c r="C689" s="12" t="s">
        <v>142</v>
      </c>
      <c r="D689" s="12" t="s">
        <v>536</v>
      </c>
      <c r="E689" s="17">
        <v>0</v>
      </c>
      <c r="F689" s="13"/>
      <c r="G689" s="12" t="s">
        <v>1333</v>
      </c>
      <c r="H689" s="12" t="s">
        <v>1334</v>
      </c>
      <c r="I689" s="13"/>
      <c r="J689" s="12" t="s">
        <v>1335</v>
      </c>
      <c r="K689" s="12" t="s">
        <v>794</v>
      </c>
    </row>
    <row r="690" spans="1:11" ht="30" customHeight="1">
      <c r="A690" s="12" t="s">
        <v>155</v>
      </c>
      <c r="B690" s="12" t="s">
        <v>151</v>
      </c>
      <c r="C690" s="12" t="s">
        <v>142</v>
      </c>
      <c r="D690" s="12" t="s">
        <v>537</v>
      </c>
      <c r="E690" s="17">
        <v>2</v>
      </c>
      <c r="F690" s="13"/>
      <c r="G690" s="12" t="s">
        <v>1333</v>
      </c>
      <c r="H690" s="12" t="s">
        <v>1334</v>
      </c>
      <c r="I690" s="13"/>
      <c r="J690" s="12" t="s">
        <v>1335</v>
      </c>
      <c r="K690" s="12" t="s">
        <v>794</v>
      </c>
    </row>
    <row r="691" spans="1:11" ht="30" customHeight="1">
      <c r="A691" s="12" t="s">
        <v>155</v>
      </c>
      <c r="B691" s="12" t="s">
        <v>151</v>
      </c>
      <c r="C691" s="12" t="s">
        <v>142</v>
      </c>
      <c r="D691" s="12" t="s">
        <v>538</v>
      </c>
      <c r="E691" s="17">
        <v>2</v>
      </c>
      <c r="F691" s="13"/>
      <c r="G691" s="12" t="s">
        <v>1333</v>
      </c>
      <c r="H691" s="12" t="s">
        <v>1334</v>
      </c>
      <c r="I691" s="13"/>
      <c r="J691" s="12" t="s">
        <v>1335</v>
      </c>
      <c r="K691" s="12" t="s">
        <v>794</v>
      </c>
    </row>
    <row r="692" spans="1:11" ht="30" customHeight="1">
      <c r="A692" s="12" t="s">
        <v>155</v>
      </c>
      <c r="B692" s="12" t="s">
        <v>151</v>
      </c>
      <c r="C692" s="12" t="s">
        <v>142</v>
      </c>
      <c r="D692" s="12" t="s">
        <v>539</v>
      </c>
      <c r="E692" s="17">
        <v>1</v>
      </c>
      <c r="F692" s="13"/>
      <c r="G692" s="12" t="s">
        <v>1333</v>
      </c>
      <c r="H692" s="12" t="s">
        <v>1334</v>
      </c>
      <c r="I692" s="13"/>
      <c r="J692" s="12" t="s">
        <v>1335</v>
      </c>
      <c r="K692" s="12" t="s">
        <v>794</v>
      </c>
    </row>
    <row r="693" spans="1:11" ht="30" customHeight="1">
      <c r="A693" s="12" t="s">
        <v>155</v>
      </c>
      <c r="B693" s="12" t="s">
        <v>151</v>
      </c>
      <c r="C693" s="12" t="s">
        <v>142</v>
      </c>
      <c r="D693" s="12" t="s">
        <v>540</v>
      </c>
      <c r="E693" s="17">
        <v>3</v>
      </c>
      <c r="F693" s="13"/>
      <c r="G693" s="12" t="s">
        <v>1333</v>
      </c>
      <c r="H693" s="12" t="s">
        <v>1334</v>
      </c>
      <c r="I693" s="13"/>
      <c r="J693" s="12" t="s">
        <v>1335</v>
      </c>
      <c r="K693" s="12" t="s">
        <v>794</v>
      </c>
    </row>
    <row r="694" spans="1:11" ht="30" customHeight="1">
      <c r="A694" s="12" t="s">
        <v>155</v>
      </c>
      <c r="B694" s="12" t="s">
        <v>151</v>
      </c>
      <c r="C694" s="12" t="s">
        <v>142</v>
      </c>
      <c r="D694" s="12" t="s">
        <v>541</v>
      </c>
      <c r="E694" s="17">
        <v>3</v>
      </c>
      <c r="F694" s="13"/>
      <c r="G694" s="12" t="s">
        <v>1333</v>
      </c>
      <c r="H694" s="12" t="s">
        <v>1334</v>
      </c>
      <c r="I694" s="13"/>
      <c r="J694" s="12" t="s">
        <v>1335</v>
      </c>
      <c r="K694" s="12" t="s">
        <v>794</v>
      </c>
    </row>
    <row r="695" spans="1:11" ht="30" customHeight="1">
      <c r="A695" s="12" t="s">
        <v>155</v>
      </c>
      <c r="B695" s="12" t="s">
        <v>151</v>
      </c>
      <c r="C695" s="12" t="s">
        <v>142</v>
      </c>
      <c r="D695" s="12" t="s">
        <v>542</v>
      </c>
      <c r="E695" s="17">
        <v>3</v>
      </c>
      <c r="F695" s="13"/>
      <c r="G695" s="12" t="s">
        <v>1333</v>
      </c>
      <c r="H695" s="12" t="s">
        <v>1334</v>
      </c>
      <c r="I695" s="13"/>
      <c r="J695" s="12" t="s">
        <v>1335</v>
      </c>
      <c r="K695" s="12" t="s">
        <v>794</v>
      </c>
    </row>
    <row r="696" spans="1:11" ht="30" customHeight="1">
      <c r="A696" s="12" t="s">
        <v>155</v>
      </c>
      <c r="B696" s="12" t="s">
        <v>151</v>
      </c>
      <c r="C696" s="12" t="s">
        <v>142</v>
      </c>
      <c r="D696" s="12" t="s">
        <v>543</v>
      </c>
      <c r="E696" s="17">
        <v>0</v>
      </c>
      <c r="F696" s="13"/>
      <c r="G696" s="12" t="s">
        <v>1333</v>
      </c>
      <c r="H696" s="12" t="s">
        <v>1334</v>
      </c>
      <c r="I696" s="13"/>
      <c r="J696" s="12" t="s">
        <v>1335</v>
      </c>
      <c r="K696" s="12" t="s">
        <v>794</v>
      </c>
    </row>
    <row r="697" spans="1:11" ht="30" customHeight="1">
      <c r="A697" s="12" t="s">
        <v>181</v>
      </c>
      <c r="B697" s="12" t="s">
        <v>178</v>
      </c>
      <c r="C697" s="12" t="s">
        <v>142</v>
      </c>
      <c r="D697" s="12" t="s">
        <v>534</v>
      </c>
      <c r="E697" s="17">
        <v>3</v>
      </c>
      <c r="F697" s="13"/>
      <c r="G697" s="12" t="s">
        <v>1333</v>
      </c>
      <c r="H697" s="12" t="s">
        <v>1334</v>
      </c>
      <c r="I697" s="13"/>
      <c r="J697" s="12" t="s">
        <v>1335</v>
      </c>
      <c r="K697" s="12" t="s">
        <v>794</v>
      </c>
    </row>
    <row r="698" spans="1:11" ht="30" customHeight="1">
      <c r="A698" s="12" t="s">
        <v>181</v>
      </c>
      <c r="B698" s="12" t="s">
        <v>178</v>
      </c>
      <c r="C698" s="12" t="s">
        <v>142</v>
      </c>
      <c r="D698" s="12" t="s">
        <v>535</v>
      </c>
      <c r="E698" s="17">
        <v>0</v>
      </c>
      <c r="F698" s="13"/>
      <c r="G698" s="12" t="s">
        <v>1333</v>
      </c>
      <c r="H698" s="12" t="s">
        <v>1334</v>
      </c>
      <c r="I698" s="13"/>
      <c r="J698" s="12" t="s">
        <v>1335</v>
      </c>
      <c r="K698" s="12" t="s">
        <v>794</v>
      </c>
    </row>
    <row r="699" spans="1:11" ht="30" customHeight="1">
      <c r="A699" s="12" t="s">
        <v>181</v>
      </c>
      <c r="B699" s="12" t="s">
        <v>178</v>
      </c>
      <c r="C699" s="12" t="s">
        <v>142</v>
      </c>
      <c r="D699" s="12" t="s">
        <v>536</v>
      </c>
      <c r="E699" s="17">
        <v>0</v>
      </c>
      <c r="F699" s="13"/>
      <c r="G699" s="12" t="s">
        <v>1333</v>
      </c>
      <c r="H699" s="12" t="s">
        <v>1334</v>
      </c>
      <c r="I699" s="13"/>
      <c r="J699" s="12" t="s">
        <v>1335</v>
      </c>
      <c r="K699" s="12" t="s">
        <v>794</v>
      </c>
    </row>
    <row r="700" spans="1:11" ht="30" customHeight="1">
      <c r="A700" s="12" t="s">
        <v>181</v>
      </c>
      <c r="B700" s="12" t="s">
        <v>178</v>
      </c>
      <c r="C700" s="12" t="s">
        <v>142</v>
      </c>
      <c r="D700" s="12" t="s">
        <v>537</v>
      </c>
      <c r="E700" s="17">
        <v>0</v>
      </c>
      <c r="F700" s="13"/>
      <c r="G700" s="12" t="s">
        <v>1333</v>
      </c>
      <c r="H700" s="12" t="s">
        <v>1334</v>
      </c>
      <c r="I700" s="13"/>
      <c r="J700" s="12" t="s">
        <v>1335</v>
      </c>
      <c r="K700" s="12" t="s">
        <v>794</v>
      </c>
    </row>
    <row r="701" spans="1:11" ht="30" customHeight="1">
      <c r="A701" s="12" t="s">
        <v>181</v>
      </c>
      <c r="B701" s="12" t="s">
        <v>178</v>
      </c>
      <c r="C701" s="12" t="s">
        <v>142</v>
      </c>
      <c r="D701" s="12" t="s">
        <v>538</v>
      </c>
      <c r="E701" s="17">
        <v>0</v>
      </c>
      <c r="F701" s="13"/>
      <c r="G701" s="12" t="s">
        <v>1333</v>
      </c>
      <c r="H701" s="12" t="s">
        <v>1334</v>
      </c>
      <c r="I701" s="13"/>
      <c r="J701" s="12" t="s">
        <v>1335</v>
      </c>
      <c r="K701" s="12" t="s">
        <v>794</v>
      </c>
    </row>
    <row r="702" spans="1:11" ht="30" customHeight="1">
      <c r="A702" s="12" t="s">
        <v>181</v>
      </c>
      <c r="B702" s="12" t="s">
        <v>178</v>
      </c>
      <c r="C702" s="12" t="s">
        <v>142</v>
      </c>
      <c r="D702" s="12" t="s">
        <v>539</v>
      </c>
      <c r="E702" s="17">
        <v>0</v>
      </c>
      <c r="F702" s="13"/>
      <c r="G702" s="12" t="s">
        <v>1333</v>
      </c>
      <c r="H702" s="12" t="s">
        <v>1334</v>
      </c>
      <c r="I702" s="13"/>
      <c r="J702" s="12" t="s">
        <v>1335</v>
      </c>
      <c r="K702" s="12" t="s">
        <v>794</v>
      </c>
    </row>
    <row r="703" spans="1:11" ht="30" customHeight="1">
      <c r="A703" s="12" t="s">
        <v>181</v>
      </c>
      <c r="B703" s="12" t="s">
        <v>178</v>
      </c>
      <c r="C703" s="12" t="s">
        <v>142</v>
      </c>
      <c r="D703" s="12" t="s">
        <v>540</v>
      </c>
      <c r="E703" s="17">
        <v>3</v>
      </c>
      <c r="F703" s="13"/>
      <c r="G703" s="12" t="s">
        <v>1333</v>
      </c>
      <c r="H703" s="12" t="s">
        <v>1334</v>
      </c>
      <c r="I703" s="13"/>
      <c r="J703" s="12" t="s">
        <v>1335</v>
      </c>
      <c r="K703" s="12" t="s">
        <v>794</v>
      </c>
    </row>
    <row r="704" spans="1:11" ht="30" customHeight="1">
      <c r="A704" s="12" t="s">
        <v>181</v>
      </c>
      <c r="B704" s="12" t="s">
        <v>178</v>
      </c>
      <c r="C704" s="12" t="s">
        <v>142</v>
      </c>
      <c r="D704" s="12" t="s">
        <v>541</v>
      </c>
      <c r="E704" s="17">
        <v>2</v>
      </c>
      <c r="F704" s="13"/>
      <c r="G704" s="12" t="s">
        <v>1333</v>
      </c>
      <c r="H704" s="12" t="s">
        <v>1334</v>
      </c>
      <c r="I704" s="13"/>
      <c r="J704" s="12" t="s">
        <v>1335</v>
      </c>
      <c r="K704" s="12" t="s">
        <v>794</v>
      </c>
    </row>
    <row r="705" spans="1:11" ht="30" customHeight="1">
      <c r="A705" s="12" t="s">
        <v>181</v>
      </c>
      <c r="B705" s="12" t="s">
        <v>178</v>
      </c>
      <c r="C705" s="12" t="s">
        <v>142</v>
      </c>
      <c r="D705" s="12" t="s">
        <v>542</v>
      </c>
      <c r="E705" s="17">
        <v>2</v>
      </c>
      <c r="F705" s="13"/>
      <c r="G705" s="12" t="s">
        <v>1333</v>
      </c>
      <c r="H705" s="12" t="s">
        <v>1334</v>
      </c>
      <c r="I705" s="13"/>
      <c r="J705" s="12" t="s">
        <v>1335</v>
      </c>
      <c r="K705" s="12" t="s">
        <v>794</v>
      </c>
    </row>
    <row r="706" spans="1:11" ht="30" customHeight="1">
      <c r="A706" s="12" t="s">
        <v>181</v>
      </c>
      <c r="B706" s="12" t="s">
        <v>178</v>
      </c>
      <c r="C706" s="12" t="s">
        <v>142</v>
      </c>
      <c r="D706" s="12" t="s">
        <v>543</v>
      </c>
      <c r="E706" s="17">
        <v>0</v>
      </c>
      <c r="F706" s="13"/>
      <c r="G706" s="12" t="s">
        <v>1333</v>
      </c>
      <c r="H706" s="12" t="s">
        <v>1334</v>
      </c>
      <c r="I706" s="13"/>
      <c r="J706" s="12" t="s">
        <v>1335</v>
      </c>
      <c r="K706" s="12" t="s">
        <v>794</v>
      </c>
    </row>
    <row r="707" spans="1:11" ht="30" customHeight="1">
      <c r="A707" s="12" t="s">
        <v>162</v>
      </c>
      <c r="B707" s="12" t="s">
        <v>158</v>
      </c>
      <c r="C707" s="12" t="s">
        <v>142</v>
      </c>
      <c r="D707" s="12" t="s">
        <v>534</v>
      </c>
      <c r="E707" s="17">
        <v>3</v>
      </c>
      <c r="F707" s="13"/>
      <c r="G707" s="12" t="s">
        <v>1333</v>
      </c>
      <c r="H707" s="12" t="s">
        <v>1334</v>
      </c>
      <c r="I707" s="13"/>
      <c r="J707" s="12" t="s">
        <v>1335</v>
      </c>
      <c r="K707" s="12" t="s">
        <v>794</v>
      </c>
    </row>
    <row r="708" spans="1:11" ht="30" customHeight="1">
      <c r="A708" s="12" t="s">
        <v>162</v>
      </c>
      <c r="B708" s="12" t="s">
        <v>158</v>
      </c>
      <c r="C708" s="12" t="s">
        <v>142</v>
      </c>
      <c r="D708" s="12" t="s">
        <v>535</v>
      </c>
      <c r="E708" s="17">
        <v>0</v>
      </c>
      <c r="F708" s="13"/>
      <c r="G708" s="12" t="s">
        <v>1333</v>
      </c>
      <c r="H708" s="12" t="s">
        <v>1334</v>
      </c>
      <c r="I708" s="13"/>
      <c r="J708" s="12" t="s">
        <v>1335</v>
      </c>
      <c r="K708" s="12" t="s">
        <v>794</v>
      </c>
    </row>
    <row r="709" spans="1:11" ht="30" customHeight="1">
      <c r="A709" s="12" t="s">
        <v>162</v>
      </c>
      <c r="B709" s="12" t="s">
        <v>158</v>
      </c>
      <c r="C709" s="12" t="s">
        <v>142</v>
      </c>
      <c r="D709" s="12" t="s">
        <v>536</v>
      </c>
      <c r="E709" s="17">
        <v>0</v>
      </c>
      <c r="F709" s="13"/>
      <c r="G709" s="12" t="s">
        <v>1333</v>
      </c>
      <c r="H709" s="12" t="s">
        <v>1334</v>
      </c>
      <c r="I709" s="13"/>
      <c r="J709" s="12" t="s">
        <v>1335</v>
      </c>
      <c r="K709" s="12" t="s">
        <v>794</v>
      </c>
    </row>
    <row r="710" spans="1:11" ht="30" customHeight="1">
      <c r="A710" s="12" t="s">
        <v>162</v>
      </c>
      <c r="B710" s="12" t="s">
        <v>158</v>
      </c>
      <c r="C710" s="12" t="s">
        <v>142</v>
      </c>
      <c r="D710" s="12" t="s">
        <v>537</v>
      </c>
      <c r="E710" s="17">
        <v>0</v>
      </c>
      <c r="F710" s="13"/>
      <c r="G710" s="12" t="s">
        <v>1333</v>
      </c>
      <c r="H710" s="12" t="s">
        <v>1334</v>
      </c>
      <c r="I710" s="13"/>
      <c r="J710" s="12" t="s">
        <v>1335</v>
      </c>
      <c r="K710" s="12" t="s">
        <v>794</v>
      </c>
    </row>
    <row r="711" spans="1:11" ht="30" customHeight="1">
      <c r="A711" s="12" t="s">
        <v>162</v>
      </c>
      <c r="B711" s="12" t="s">
        <v>158</v>
      </c>
      <c r="C711" s="12" t="s">
        <v>142</v>
      </c>
      <c r="D711" s="12" t="s">
        <v>538</v>
      </c>
      <c r="E711" s="17">
        <v>0</v>
      </c>
      <c r="F711" s="13"/>
      <c r="G711" s="12" t="s">
        <v>1333</v>
      </c>
      <c r="H711" s="12" t="s">
        <v>1334</v>
      </c>
      <c r="I711" s="13"/>
      <c r="J711" s="12" t="s">
        <v>1335</v>
      </c>
      <c r="K711" s="12" t="s">
        <v>794</v>
      </c>
    </row>
    <row r="712" spans="1:11" ht="30" customHeight="1">
      <c r="A712" s="12" t="s">
        <v>162</v>
      </c>
      <c r="B712" s="12" t="s">
        <v>158</v>
      </c>
      <c r="C712" s="12" t="s">
        <v>142</v>
      </c>
      <c r="D712" s="12" t="s">
        <v>539</v>
      </c>
      <c r="E712" s="17">
        <v>0</v>
      </c>
      <c r="F712" s="13"/>
      <c r="G712" s="12" t="s">
        <v>1333</v>
      </c>
      <c r="H712" s="12" t="s">
        <v>1334</v>
      </c>
      <c r="I712" s="13"/>
      <c r="J712" s="12" t="s">
        <v>1335</v>
      </c>
      <c r="K712" s="12" t="s">
        <v>794</v>
      </c>
    </row>
    <row r="713" spans="1:11" ht="30" customHeight="1">
      <c r="A713" s="12" t="s">
        <v>162</v>
      </c>
      <c r="B713" s="12" t="s">
        <v>158</v>
      </c>
      <c r="C713" s="12" t="s">
        <v>142</v>
      </c>
      <c r="D713" s="12" t="s">
        <v>540</v>
      </c>
      <c r="E713" s="17">
        <v>2</v>
      </c>
      <c r="F713" s="13"/>
      <c r="G713" s="12" t="s">
        <v>1333</v>
      </c>
      <c r="H713" s="12" t="s">
        <v>1334</v>
      </c>
      <c r="I713" s="13"/>
      <c r="J713" s="12" t="s">
        <v>1335</v>
      </c>
      <c r="K713" s="12" t="s">
        <v>794</v>
      </c>
    </row>
    <row r="714" spans="1:11" ht="30" customHeight="1">
      <c r="A714" s="12" t="s">
        <v>162</v>
      </c>
      <c r="B714" s="12" t="s">
        <v>158</v>
      </c>
      <c r="C714" s="12" t="s">
        <v>142</v>
      </c>
      <c r="D714" s="12" t="s">
        <v>541</v>
      </c>
      <c r="E714" s="17">
        <v>2</v>
      </c>
      <c r="F714" s="13"/>
      <c r="G714" s="12" t="s">
        <v>1333</v>
      </c>
      <c r="H714" s="12" t="s">
        <v>1334</v>
      </c>
      <c r="I714" s="13"/>
      <c r="J714" s="12" t="s">
        <v>1335</v>
      </c>
      <c r="K714" s="12" t="s">
        <v>794</v>
      </c>
    </row>
    <row r="715" spans="1:11" ht="30" customHeight="1">
      <c r="A715" s="12" t="s">
        <v>162</v>
      </c>
      <c r="B715" s="12" t="s">
        <v>158</v>
      </c>
      <c r="C715" s="12" t="s">
        <v>142</v>
      </c>
      <c r="D715" s="12" t="s">
        <v>542</v>
      </c>
      <c r="E715" s="17">
        <v>2</v>
      </c>
      <c r="F715" s="13"/>
      <c r="G715" s="12" t="s">
        <v>1333</v>
      </c>
      <c r="H715" s="12" t="s">
        <v>1334</v>
      </c>
      <c r="I715" s="13"/>
      <c r="J715" s="12" t="s">
        <v>1335</v>
      </c>
      <c r="K715" s="12" t="s">
        <v>794</v>
      </c>
    </row>
    <row r="716" spans="1:11" ht="30" customHeight="1">
      <c r="A716" s="12" t="s">
        <v>162</v>
      </c>
      <c r="B716" s="12" t="s">
        <v>158</v>
      </c>
      <c r="C716" s="12" t="s">
        <v>142</v>
      </c>
      <c r="D716" s="12" t="s">
        <v>543</v>
      </c>
      <c r="E716" s="17">
        <v>0</v>
      </c>
      <c r="F716" s="13"/>
      <c r="G716" s="12" t="s">
        <v>1333</v>
      </c>
      <c r="H716" s="12" t="s">
        <v>1334</v>
      </c>
      <c r="I716" s="13"/>
      <c r="J716" s="12" t="s">
        <v>1335</v>
      </c>
      <c r="K716" s="12" t="s">
        <v>794</v>
      </c>
    </row>
    <row r="717" spans="1:11" ht="30" customHeight="1">
      <c r="A717" s="12" t="s">
        <v>198</v>
      </c>
      <c r="B717" s="12" t="s">
        <v>196</v>
      </c>
      <c r="C717" s="12" t="s">
        <v>142</v>
      </c>
      <c r="D717" s="12" t="s">
        <v>534</v>
      </c>
      <c r="E717" s="17">
        <v>3</v>
      </c>
      <c r="F717" s="13"/>
      <c r="G717" s="12" t="s">
        <v>1333</v>
      </c>
      <c r="H717" s="12" t="s">
        <v>1334</v>
      </c>
      <c r="I717" s="13"/>
      <c r="J717" s="12" t="s">
        <v>1335</v>
      </c>
      <c r="K717" s="12" t="s">
        <v>794</v>
      </c>
    </row>
    <row r="718" spans="1:11" ht="30" customHeight="1">
      <c r="A718" s="12" t="s">
        <v>198</v>
      </c>
      <c r="B718" s="12" t="s">
        <v>196</v>
      </c>
      <c r="C718" s="12" t="s">
        <v>142</v>
      </c>
      <c r="D718" s="12" t="s">
        <v>535</v>
      </c>
      <c r="E718" s="17">
        <v>0</v>
      </c>
      <c r="F718" s="13"/>
      <c r="G718" s="12" t="s">
        <v>1333</v>
      </c>
      <c r="H718" s="12" t="s">
        <v>1334</v>
      </c>
      <c r="I718" s="13"/>
      <c r="J718" s="12" t="s">
        <v>1335</v>
      </c>
      <c r="K718" s="12" t="s">
        <v>794</v>
      </c>
    </row>
    <row r="719" spans="1:11" ht="30" customHeight="1">
      <c r="A719" s="12" t="s">
        <v>198</v>
      </c>
      <c r="B719" s="12" t="s">
        <v>196</v>
      </c>
      <c r="C719" s="12" t="s">
        <v>142</v>
      </c>
      <c r="D719" s="12" t="s">
        <v>536</v>
      </c>
      <c r="E719" s="17">
        <v>0</v>
      </c>
      <c r="F719" s="13"/>
      <c r="G719" s="12" t="s">
        <v>1333</v>
      </c>
      <c r="H719" s="12" t="s">
        <v>1334</v>
      </c>
      <c r="I719" s="13"/>
      <c r="J719" s="12" t="s">
        <v>1335</v>
      </c>
      <c r="K719" s="12" t="s">
        <v>794</v>
      </c>
    </row>
    <row r="720" spans="1:11" ht="30" customHeight="1">
      <c r="A720" s="12" t="s">
        <v>198</v>
      </c>
      <c r="B720" s="12" t="s">
        <v>196</v>
      </c>
      <c r="C720" s="12" t="s">
        <v>142</v>
      </c>
      <c r="D720" s="12" t="s">
        <v>537</v>
      </c>
      <c r="E720" s="17">
        <v>0</v>
      </c>
      <c r="F720" s="13"/>
      <c r="G720" s="12" t="s">
        <v>1333</v>
      </c>
      <c r="H720" s="12" t="s">
        <v>1334</v>
      </c>
      <c r="I720" s="13"/>
      <c r="J720" s="12" t="s">
        <v>1335</v>
      </c>
      <c r="K720" s="12" t="s">
        <v>794</v>
      </c>
    </row>
    <row r="721" spans="1:11" ht="30" customHeight="1">
      <c r="A721" s="12" t="s">
        <v>198</v>
      </c>
      <c r="B721" s="12" t="s">
        <v>196</v>
      </c>
      <c r="C721" s="12" t="s">
        <v>142</v>
      </c>
      <c r="D721" s="12" t="s">
        <v>538</v>
      </c>
      <c r="E721" s="17">
        <v>0</v>
      </c>
      <c r="F721" s="13"/>
      <c r="G721" s="12" t="s">
        <v>1333</v>
      </c>
      <c r="H721" s="12" t="s">
        <v>1334</v>
      </c>
      <c r="I721" s="13"/>
      <c r="J721" s="12" t="s">
        <v>1335</v>
      </c>
      <c r="K721" s="12" t="s">
        <v>794</v>
      </c>
    </row>
    <row r="722" spans="1:11" ht="30" customHeight="1">
      <c r="A722" s="12" t="s">
        <v>198</v>
      </c>
      <c r="B722" s="12" t="s">
        <v>196</v>
      </c>
      <c r="C722" s="12" t="s">
        <v>142</v>
      </c>
      <c r="D722" s="12" t="s">
        <v>539</v>
      </c>
      <c r="E722" s="17">
        <v>0</v>
      </c>
      <c r="F722" s="13"/>
      <c r="G722" s="12" t="s">
        <v>1333</v>
      </c>
      <c r="H722" s="12" t="s">
        <v>1334</v>
      </c>
      <c r="I722" s="13"/>
      <c r="J722" s="12" t="s">
        <v>1335</v>
      </c>
      <c r="K722" s="12" t="s">
        <v>794</v>
      </c>
    </row>
    <row r="723" spans="1:11" ht="30" customHeight="1">
      <c r="A723" s="12" t="s">
        <v>198</v>
      </c>
      <c r="B723" s="12" t="s">
        <v>196</v>
      </c>
      <c r="C723" s="12" t="s">
        <v>142</v>
      </c>
      <c r="D723" s="12" t="s">
        <v>540</v>
      </c>
      <c r="E723" s="17">
        <v>2</v>
      </c>
      <c r="F723" s="13"/>
      <c r="G723" s="12" t="s">
        <v>1333</v>
      </c>
      <c r="H723" s="12" t="s">
        <v>1334</v>
      </c>
      <c r="I723" s="13"/>
      <c r="J723" s="12" t="s">
        <v>1335</v>
      </c>
      <c r="K723" s="12" t="s">
        <v>794</v>
      </c>
    </row>
    <row r="724" spans="1:11" ht="30" customHeight="1">
      <c r="A724" s="12" t="s">
        <v>198</v>
      </c>
      <c r="B724" s="12" t="s">
        <v>196</v>
      </c>
      <c r="C724" s="12" t="s">
        <v>142</v>
      </c>
      <c r="D724" s="12" t="s">
        <v>541</v>
      </c>
      <c r="E724" s="17">
        <v>2</v>
      </c>
      <c r="F724" s="13"/>
      <c r="G724" s="12" t="s">
        <v>1333</v>
      </c>
      <c r="H724" s="12" t="s">
        <v>1334</v>
      </c>
      <c r="I724" s="13"/>
      <c r="J724" s="12" t="s">
        <v>1335</v>
      </c>
      <c r="K724" s="12" t="s">
        <v>794</v>
      </c>
    </row>
    <row r="725" spans="1:11" ht="30" customHeight="1">
      <c r="A725" s="12" t="s">
        <v>198</v>
      </c>
      <c r="B725" s="12" t="s">
        <v>196</v>
      </c>
      <c r="C725" s="12" t="s">
        <v>142</v>
      </c>
      <c r="D725" s="12" t="s">
        <v>542</v>
      </c>
      <c r="E725" s="17">
        <v>2</v>
      </c>
      <c r="F725" s="13"/>
      <c r="G725" s="12" t="s">
        <v>1333</v>
      </c>
      <c r="H725" s="12" t="s">
        <v>1334</v>
      </c>
      <c r="I725" s="13"/>
      <c r="J725" s="12" t="s">
        <v>1335</v>
      </c>
      <c r="K725" s="12" t="s">
        <v>794</v>
      </c>
    </row>
    <row r="726" spans="1:11" ht="30" customHeight="1">
      <c r="A726" s="12" t="s">
        <v>198</v>
      </c>
      <c r="B726" s="12" t="s">
        <v>196</v>
      </c>
      <c r="C726" s="12" t="s">
        <v>142</v>
      </c>
      <c r="D726" s="12" t="s">
        <v>543</v>
      </c>
      <c r="E726" s="17">
        <v>0</v>
      </c>
      <c r="F726" s="13"/>
      <c r="G726" s="12" t="s">
        <v>1333</v>
      </c>
      <c r="H726" s="12" t="s">
        <v>1334</v>
      </c>
      <c r="I726" s="13"/>
      <c r="J726" s="12" t="s">
        <v>1335</v>
      </c>
      <c r="K726" s="12" t="s">
        <v>794</v>
      </c>
    </row>
    <row r="727" spans="1:11" ht="30" customHeight="1">
      <c r="A727" s="12" t="s">
        <v>187</v>
      </c>
      <c r="B727" s="12" t="s">
        <v>184</v>
      </c>
      <c r="C727" s="12" t="s">
        <v>142</v>
      </c>
      <c r="D727" s="12" t="s">
        <v>534</v>
      </c>
      <c r="E727" s="17">
        <v>3</v>
      </c>
      <c r="F727" s="13"/>
      <c r="G727" s="12" t="s">
        <v>1333</v>
      </c>
      <c r="H727" s="12" t="s">
        <v>1334</v>
      </c>
      <c r="I727" s="13"/>
      <c r="J727" s="12" t="s">
        <v>1335</v>
      </c>
      <c r="K727" s="12" t="s">
        <v>794</v>
      </c>
    </row>
    <row r="728" spans="1:11" ht="30" customHeight="1">
      <c r="A728" s="12" t="s">
        <v>187</v>
      </c>
      <c r="B728" s="12" t="s">
        <v>184</v>
      </c>
      <c r="C728" s="12" t="s">
        <v>142</v>
      </c>
      <c r="D728" s="12" t="s">
        <v>535</v>
      </c>
      <c r="E728" s="17">
        <v>0</v>
      </c>
      <c r="F728" s="13"/>
      <c r="G728" s="12" t="s">
        <v>1333</v>
      </c>
      <c r="H728" s="12" t="s">
        <v>1334</v>
      </c>
      <c r="I728" s="13"/>
      <c r="J728" s="12" t="s">
        <v>1335</v>
      </c>
      <c r="K728" s="12" t="s">
        <v>794</v>
      </c>
    </row>
    <row r="729" spans="1:11" ht="30" customHeight="1">
      <c r="A729" s="12" t="s">
        <v>187</v>
      </c>
      <c r="B729" s="12" t="s">
        <v>184</v>
      </c>
      <c r="C729" s="12" t="s">
        <v>142</v>
      </c>
      <c r="D729" s="12" t="s">
        <v>536</v>
      </c>
      <c r="E729" s="17">
        <v>0</v>
      </c>
      <c r="F729" s="13"/>
      <c r="G729" s="12" t="s">
        <v>1333</v>
      </c>
      <c r="H729" s="12" t="s">
        <v>1334</v>
      </c>
      <c r="I729" s="13"/>
      <c r="J729" s="12" t="s">
        <v>1335</v>
      </c>
      <c r="K729" s="12" t="s">
        <v>794</v>
      </c>
    </row>
    <row r="730" spans="1:11" ht="30" customHeight="1">
      <c r="A730" s="12" t="s">
        <v>187</v>
      </c>
      <c r="B730" s="12" t="s">
        <v>184</v>
      </c>
      <c r="C730" s="12" t="s">
        <v>142</v>
      </c>
      <c r="D730" s="12" t="s">
        <v>537</v>
      </c>
      <c r="E730" s="17">
        <v>0</v>
      </c>
      <c r="F730" s="13"/>
      <c r="G730" s="12" t="s">
        <v>1333</v>
      </c>
      <c r="H730" s="12" t="s">
        <v>1334</v>
      </c>
      <c r="I730" s="13"/>
      <c r="J730" s="12" t="s">
        <v>1335</v>
      </c>
      <c r="K730" s="12" t="s">
        <v>794</v>
      </c>
    </row>
    <row r="731" spans="1:11" ht="30" customHeight="1">
      <c r="A731" s="12" t="s">
        <v>187</v>
      </c>
      <c r="B731" s="12" t="s">
        <v>184</v>
      </c>
      <c r="C731" s="12" t="s">
        <v>142</v>
      </c>
      <c r="D731" s="12" t="s">
        <v>538</v>
      </c>
      <c r="E731" s="17">
        <v>0</v>
      </c>
      <c r="F731" s="13"/>
      <c r="G731" s="12" t="s">
        <v>1333</v>
      </c>
      <c r="H731" s="12" t="s">
        <v>1334</v>
      </c>
      <c r="I731" s="13"/>
      <c r="J731" s="12" t="s">
        <v>1335</v>
      </c>
      <c r="K731" s="12" t="s">
        <v>794</v>
      </c>
    </row>
    <row r="732" spans="1:11" ht="30" customHeight="1">
      <c r="A732" s="12" t="s">
        <v>187</v>
      </c>
      <c r="B732" s="12" t="s">
        <v>184</v>
      </c>
      <c r="C732" s="12" t="s">
        <v>142</v>
      </c>
      <c r="D732" s="12" t="s">
        <v>539</v>
      </c>
      <c r="E732" s="17">
        <v>0</v>
      </c>
      <c r="F732" s="13"/>
      <c r="G732" s="12" t="s">
        <v>1333</v>
      </c>
      <c r="H732" s="12" t="s">
        <v>1334</v>
      </c>
      <c r="I732" s="13"/>
      <c r="J732" s="12" t="s">
        <v>1335</v>
      </c>
      <c r="K732" s="12" t="s">
        <v>794</v>
      </c>
    </row>
    <row r="733" spans="1:11" ht="30" customHeight="1">
      <c r="A733" s="12" t="s">
        <v>187</v>
      </c>
      <c r="B733" s="12" t="s">
        <v>184</v>
      </c>
      <c r="C733" s="12" t="s">
        <v>142</v>
      </c>
      <c r="D733" s="12" t="s">
        <v>540</v>
      </c>
      <c r="E733" s="17">
        <v>2</v>
      </c>
      <c r="F733" s="13"/>
      <c r="G733" s="12" t="s">
        <v>1333</v>
      </c>
      <c r="H733" s="12" t="s">
        <v>1334</v>
      </c>
      <c r="I733" s="13"/>
      <c r="J733" s="12" t="s">
        <v>1335</v>
      </c>
      <c r="K733" s="12" t="s">
        <v>794</v>
      </c>
    </row>
    <row r="734" spans="1:11" ht="30" customHeight="1">
      <c r="A734" s="12" t="s">
        <v>187</v>
      </c>
      <c r="B734" s="12" t="s">
        <v>184</v>
      </c>
      <c r="C734" s="12" t="s">
        <v>142</v>
      </c>
      <c r="D734" s="12" t="s">
        <v>541</v>
      </c>
      <c r="E734" s="17">
        <v>1</v>
      </c>
      <c r="F734" s="13"/>
      <c r="G734" s="12" t="s">
        <v>1333</v>
      </c>
      <c r="H734" s="12" t="s">
        <v>1334</v>
      </c>
      <c r="I734" s="13"/>
      <c r="J734" s="12" t="s">
        <v>1335</v>
      </c>
      <c r="K734" s="12" t="s">
        <v>794</v>
      </c>
    </row>
    <row r="735" spans="1:11" ht="30" customHeight="1">
      <c r="A735" s="12" t="s">
        <v>187</v>
      </c>
      <c r="B735" s="12" t="s">
        <v>184</v>
      </c>
      <c r="C735" s="12" t="s">
        <v>142</v>
      </c>
      <c r="D735" s="12" t="s">
        <v>542</v>
      </c>
      <c r="E735" s="17">
        <v>2</v>
      </c>
      <c r="F735" s="13"/>
      <c r="G735" s="12" t="s">
        <v>1333</v>
      </c>
      <c r="H735" s="12" t="s">
        <v>1334</v>
      </c>
      <c r="I735" s="13"/>
      <c r="J735" s="12" t="s">
        <v>1335</v>
      </c>
      <c r="K735" s="12" t="s">
        <v>794</v>
      </c>
    </row>
    <row r="736" spans="1:11" ht="30" customHeight="1">
      <c r="A736" s="12" t="s">
        <v>187</v>
      </c>
      <c r="B736" s="12" t="s">
        <v>184</v>
      </c>
      <c r="C736" s="12" t="s">
        <v>142</v>
      </c>
      <c r="D736" s="12" t="s">
        <v>543</v>
      </c>
      <c r="E736" s="17">
        <v>0</v>
      </c>
      <c r="F736" s="13"/>
      <c r="G736" s="12" t="s">
        <v>1333</v>
      </c>
      <c r="H736" s="12" t="s">
        <v>1334</v>
      </c>
      <c r="I736" s="13"/>
      <c r="J736" s="12" t="s">
        <v>1335</v>
      </c>
      <c r="K736" s="12" t="s">
        <v>794</v>
      </c>
    </row>
    <row r="737" spans="1:11" ht="30" customHeight="1">
      <c r="A737" s="12" t="s">
        <v>145</v>
      </c>
      <c r="B737" s="12" t="s">
        <v>141</v>
      </c>
      <c r="C737" s="12" t="s">
        <v>142</v>
      </c>
      <c r="D737" s="12" t="s">
        <v>534</v>
      </c>
      <c r="E737" s="17">
        <v>3</v>
      </c>
      <c r="F737" s="13"/>
      <c r="G737" s="12" t="s">
        <v>1333</v>
      </c>
      <c r="H737" s="12" t="s">
        <v>1334</v>
      </c>
      <c r="I737" s="13"/>
      <c r="J737" s="12" t="s">
        <v>1335</v>
      </c>
      <c r="K737" s="12" t="s">
        <v>794</v>
      </c>
    </row>
    <row r="738" spans="1:11" ht="30" customHeight="1">
      <c r="A738" s="12" t="s">
        <v>145</v>
      </c>
      <c r="B738" s="12" t="s">
        <v>141</v>
      </c>
      <c r="C738" s="12" t="s">
        <v>142</v>
      </c>
      <c r="D738" s="12" t="s">
        <v>535</v>
      </c>
      <c r="E738" s="17">
        <v>0</v>
      </c>
      <c r="F738" s="13"/>
      <c r="G738" s="12" t="s">
        <v>1333</v>
      </c>
      <c r="H738" s="12" t="s">
        <v>1334</v>
      </c>
      <c r="I738" s="13"/>
      <c r="J738" s="12" t="s">
        <v>1335</v>
      </c>
      <c r="K738" s="12" t="s">
        <v>794</v>
      </c>
    </row>
    <row r="739" spans="1:11" ht="30" customHeight="1">
      <c r="A739" s="12" t="s">
        <v>145</v>
      </c>
      <c r="B739" s="12" t="s">
        <v>141</v>
      </c>
      <c r="C739" s="12" t="s">
        <v>142</v>
      </c>
      <c r="D739" s="12" t="s">
        <v>536</v>
      </c>
      <c r="E739" s="17">
        <v>0</v>
      </c>
      <c r="F739" s="13"/>
      <c r="G739" s="12" t="s">
        <v>1333</v>
      </c>
      <c r="H739" s="12" t="s">
        <v>1334</v>
      </c>
      <c r="I739" s="13"/>
      <c r="J739" s="12" t="s">
        <v>1335</v>
      </c>
      <c r="K739" s="12" t="s">
        <v>794</v>
      </c>
    </row>
    <row r="740" spans="1:11" ht="30" customHeight="1">
      <c r="A740" s="12" t="s">
        <v>145</v>
      </c>
      <c r="B740" s="12" t="s">
        <v>141</v>
      </c>
      <c r="C740" s="12" t="s">
        <v>142</v>
      </c>
      <c r="D740" s="12" t="s">
        <v>537</v>
      </c>
      <c r="E740" s="17">
        <v>0</v>
      </c>
      <c r="F740" s="13"/>
      <c r="G740" s="12" t="s">
        <v>1333</v>
      </c>
      <c r="H740" s="12" t="s">
        <v>1334</v>
      </c>
      <c r="I740" s="13"/>
      <c r="J740" s="12" t="s">
        <v>1335</v>
      </c>
      <c r="K740" s="12" t="s">
        <v>794</v>
      </c>
    </row>
    <row r="741" spans="1:11" ht="30" customHeight="1">
      <c r="A741" s="12" t="s">
        <v>145</v>
      </c>
      <c r="B741" s="12" t="s">
        <v>141</v>
      </c>
      <c r="C741" s="12" t="s">
        <v>142</v>
      </c>
      <c r="D741" s="12" t="s">
        <v>538</v>
      </c>
      <c r="E741" s="17">
        <v>0</v>
      </c>
      <c r="F741" s="13"/>
      <c r="G741" s="12" t="s">
        <v>1333</v>
      </c>
      <c r="H741" s="12" t="s">
        <v>1334</v>
      </c>
      <c r="I741" s="13"/>
      <c r="J741" s="12" t="s">
        <v>1335</v>
      </c>
      <c r="K741" s="12" t="s">
        <v>794</v>
      </c>
    </row>
    <row r="742" spans="1:11" ht="30" customHeight="1">
      <c r="A742" s="12" t="s">
        <v>145</v>
      </c>
      <c r="B742" s="12" t="s">
        <v>141</v>
      </c>
      <c r="C742" s="12" t="s">
        <v>142</v>
      </c>
      <c r="D742" s="12" t="s">
        <v>539</v>
      </c>
      <c r="E742" s="17">
        <v>0</v>
      </c>
      <c r="F742" s="13"/>
      <c r="G742" s="12" t="s">
        <v>1333</v>
      </c>
      <c r="H742" s="12" t="s">
        <v>1334</v>
      </c>
      <c r="I742" s="13"/>
      <c r="J742" s="12" t="s">
        <v>1335</v>
      </c>
      <c r="K742" s="12" t="s">
        <v>794</v>
      </c>
    </row>
    <row r="743" spans="1:11" ht="30" customHeight="1">
      <c r="A743" s="12" t="s">
        <v>145</v>
      </c>
      <c r="B743" s="12" t="s">
        <v>141</v>
      </c>
      <c r="C743" s="12" t="s">
        <v>142</v>
      </c>
      <c r="D743" s="12" t="s">
        <v>540</v>
      </c>
      <c r="E743" s="17">
        <v>2</v>
      </c>
      <c r="F743" s="13"/>
      <c r="G743" s="12" t="s">
        <v>1333</v>
      </c>
      <c r="H743" s="12" t="s">
        <v>1334</v>
      </c>
      <c r="I743" s="13"/>
      <c r="J743" s="12" t="s">
        <v>1335</v>
      </c>
      <c r="K743" s="12" t="s">
        <v>794</v>
      </c>
    </row>
    <row r="744" spans="1:11" ht="30" customHeight="1">
      <c r="A744" s="12" t="s">
        <v>145</v>
      </c>
      <c r="B744" s="12" t="s">
        <v>141</v>
      </c>
      <c r="C744" s="12" t="s">
        <v>142</v>
      </c>
      <c r="D744" s="12" t="s">
        <v>541</v>
      </c>
      <c r="E744" s="17">
        <v>1</v>
      </c>
      <c r="F744" s="13"/>
      <c r="G744" s="12" t="s">
        <v>1333</v>
      </c>
      <c r="H744" s="12" t="s">
        <v>1334</v>
      </c>
      <c r="I744" s="13"/>
      <c r="J744" s="12" t="s">
        <v>1335</v>
      </c>
      <c r="K744" s="12" t="s">
        <v>794</v>
      </c>
    </row>
    <row r="745" spans="1:11" ht="30" customHeight="1">
      <c r="A745" s="12" t="s">
        <v>145</v>
      </c>
      <c r="B745" s="12" t="s">
        <v>141</v>
      </c>
      <c r="C745" s="12" t="s">
        <v>142</v>
      </c>
      <c r="D745" s="12" t="s">
        <v>542</v>
      </c>
      <c r="E745" s="17">
        <v>2</v>
      </c>
      <c r="F745" s="13"/>
      <c r="G745" s="12" t="s">
        <v>1333</v>
      </c>
      <c r="H745" s="12" t="s">
        <v>1334</v>
      </c>
      <c r="I745" s="13"/>
      <c r="J745" s="12" t="s">
        <v>1335</v>
      </c>
      <c r="K745" s="12" t="s">
        <v>794</v>
      </c>
    </row>
    <row r="746" spans="1:11" ht="30" customHeight="1">
      <c r="A746" s="12" t="s">
        <v>145</v>
      </c>
      <c r="B746" s="12" t="s">
        <v>141</v>
      </c>
      <c r="C746" s="12" t="s">
        <v>142</v>
      </c>
      <c r="D746" s="12" t="s">
        <v>543</v>
      </c>
      <c r="E746" s="17">
        <v>0</v>
      </c>
      <c r="F746" s="13"/>
      <c r="G746" s="12" t="s">
        <v>1333</v>
      </c>
      <c r="H746" s="12" t="s">
        <v>1334</v>
      </c>
      <c r="I746" s="13"/>
      <c r="J746" s="12" t="s">
        <v>1335</v>
      </c>
      <c r="K746" s="12" t="s">
        <v>794</v>
      </c>
    </row>
    <row r="747" spans="1:11" ht="30" customHeight="1">
      <c r="A747" s="12" t="s">
        <v>168</v>
      </c>
      <c r="B747" s="12" t="s">
        <v>165</v>
      </c>
      <c r="C747" s="12" t="s">
        <v>142</v>
      </c>
      <c r="D747" s="12" t="s">
        <v>534</v>
      </c>
      <c r="E747" s="17">
        <v>3</v>
      </c>
      <c r="F747" s="13"/>
      <c r="G747" s="12" t="s">
        <v>1333</v>
      </c>
      <c r="H747" s="12" t="s">
        <v>1334</v>
      </c>
      <c r="I747" s="13"/>
      <c r="J747" s="12" t="s">
        <v>1335</v>
      </c>
      <c r="K747" s="12" t="s">
        <v>794</v>
      </c>
    </row>
    <row r="748" spans="1:11" ht="30" customHeight="1">
      <c r="A748" s="12" t="s">
        <v>168</v>
      </c>
      <c r="B748" s="12" t="s">
        <v>165</v>
      </c>
      <c r="C748" s="12" t="s">
        <v>142</v>
      </c>
      <c r="D748" s="12" t="s">
        <v>535</v>
      </c>
      <c r="E748" s="17">
        <v>0</v>
      </c>
      <c r="F748" s="13"/>
      <c r="G748" s="12" t="s">
        <v>1333</v>
      </c>
      <c r="H748" s="12" t="s">
        <v>1334</v>
      </c>
      <c r="I748" s="13"/>
      <c r="J748" s="12" t="s">
        <v>1335</v>
      </c>
      <c r="K748" s="12" t="s">
        <v>794</v>
      </c>
    </row>
    <row r="749" spans="1:11" ht="30" customHeight="1">
      <c r="A749" s="12" t="s">
        <v>168</v>
      </c>
      <c r="B749" s="12" t="s">
        <v>165</v>
      </c>
      <c r="C749" s="12" t="s">
        <v>142</v>
      </c>
      <c r="D749" s="12" t="s">
        <v>536</v>
      </c>
      <c r="E749" s="17">
        <v>0</v>
      </c>
      <c r="F749" s="13"/>
      <c r="G749" s="12" t="s">
        <v>1333</v>
      </c>
      <c r="H749" s="12" t="s">
        <v>1334</v>
      </c>
      <c r="I749" s="13"/>
      <c r="J749" s="12" t="s">
        <v>1335</v>
      </c>
      <c r="K749" s="12" t="s">
        <v>794</v>
      </c>
    </row>
    <row r="750" spans="1:11" ht="30" customHeight="1">
      <c r="A750" s="12" t="s">
        <v>168</v>
      </c>
      <c r="B750" s="12" t="s">
        <v>165</v>
      </c>
      <c r="C750" s="12" t="s">
        <v>142</v>
      </c>
      <c r="D750" s="12" t="s">
        <v>537</v>
      </c>
      <c r="E750" s="17">
        <v>0</v>
      </c>
      <c r="F750" s="13"/>
      <c r="G750" s="12" t="s">
        <v>1333</v>
      </c>
      <c r="H750" s="12" t="s">
        <v>1334</v>
      </c>
      <c r="I750" s="13"/>
      <c r="J750" s="12" t="s">
        <v>1335</v>
      </c>
      <c r="K750" s="12" t="s">
        <v>794</v>
      </c>
    </row>
    <row r="751" spans="1:11" ht="30" customHeight="1">
      <c r="A751" s="12" t="s">
        <v>168</v>
      </c>
      <c r="B751" s="12" t="s">
        <v>165</v>
      </c>
      <c r="C751" s="12" t="s">
        <v>142</v>
      </c>
      <c r="D751" s="12" t="s">
        <v>538</v>
      </c>
      <c r="E751" s="17">
        <v>0</v>
      </c>
      <c r="F751" s="13"/>
      <c r="G751" s="12" t="s">
        <v>1333</v>
      </c>
      <c r="H751" s="12" t="s">
        <v>1334</v>
      </c>
      <c r="I751" s="13"/>
      <c r="J751" s="12" t="s">
        <v>1335</v>
      </c>
      <c r="K751" s="12" t="s">
        <v>794</v>
      </c>
    </row>
    <row r="752" spans="1:11" ht="30" customHeight="1">
      <c r="A752" s="12" t="s">
        <v>168</v>
      </c>
      <c r="B752" s="12" t="s">
        <v>165</v>
      </c>
      <c r="C752" s="12" t="s">
        <v>142</v>
      </c>
      <c r="D752" s="12" t="s">
        <v>539</v>
      </c>
      <c r="E752" s="17">
        <v>0</v>
      </c>
      <c r="F752" s="13"/>
      <c r="G752" s="12" t="s">
        <v>1333</v>
      </c>
      <c r="H752" s="12" t="s">
        <v>1334</v>
      </c>
      <c r="I752" s="13"/>
      <c r="J752" s="12" t="s">
        <v>1335</v>
      </c>
      <c r="K752" s="12" t="s">
        <v>794</v>
      </c>
    </row>
    <row r="753" spans="1:11" ht="30" customHeight="1">
      <c r="A753" s="12" t="s">
        <v>168</v>
      </c>
      <c r="B753" s="12" t="s">
        <v>165</v>
      </c>
      <c r="C753" s="12" t="s">
        <v>142</v>
      </c>
      <c r="D753" s="12" t="s">
        <v>540</v>
      </c>
      <c r="E753" s="17">
        <v>1</v>
      </c>
      <c r="F753" s="13"/>
      <c r="G753" s="12" t="s">
        <v>1333</v>
      </c>
      <c r="H753" s="12" t="s">
        <v>1334</v>
      </c>
      <c r="I753" s="13"/>
      <c r="J753" s="12" t="s">
        <v>1335</v>
      </c>
      <c r="K753" s="12" t="s">
        <v>794</v>
      </c>
    </row>
    <row r="754" spans="1:11" ht="30" customHeight="1">
      <c r="A754" s="12" t="s">
        <v>168</v>
      </c>
      <c r="B754" s="12" t="s">
        <v>165</v>
      </c>
      <c r="C754" s="12" t="s">
        <v>142</v>
      </c>
      <c r="D754" s="12" t="s">
        <v>541</v>
      </c>
      <c r="E754" s="17">
        <v>1</v>
      </c>
      <c r="F754" s="13"/>
      <c r="G754" s="12" t="s">
        <v>1333</v>
      </c>
      <c r="H754" s="12" t="s">
        <v>1334</v>
      </c>
      <c r="I754" s="13"/>
      <c r="J754" s="12" t="s">
        <v>1335</v>
      </c>
      <c r="K754" s="12" t="s">
        <v>794</v>
      </c>
    </row>
    <row r="755" spans="1:11" ht="30" customHeight="1">
      <c r="A755" s="12" t="s">
        <v>168</v>
      </c>
      <c r="B755" s="12" t="s">
        <v>165</v>
      </c>
      <c r="C755" s="12" t="s">
        <v>142</v>
      </c>
      <c r="D755" s="12" t="s">
        <v>542</v>
      </c>
      <c r="E755" s="17">
        <v>2</v>
      </c>
      <c r="F755" s="13"/>
      <c r="G755" s="12" t="s">
        <v>1333</v>
      </c>
      <c r="H755" s="12" t="s">
        <v>1334</v>
      </c>
      <c r="I755" s="13"/>
      <c r="J755" s="12" t="s">
        <v>1335</v>
      </c>
      <c r="K755" s="12" t="s">
        <v>794</v>
      </c>
    </row>
    <row r="756" spans="1:11" ht="30" customHeight="1">
      <c r="A756" s="12" t="s">
        <v>168</v>
      </c>
      <c r="B756" s="12" t="s">
        <v>165</v>
      </c>
      <c r="C756" s="12" t="s">
        <v>142</v>
      </c>
      <c r="D756" s="12" t="s">
        <v>543</v>
      </c>
      <c r="E756" s="17">
        <v>0</v>
      </c>
      <c r="F756" s="13"/>
      <c r="G756" s="12" t="s">
        <v>1333</v>
      </c>
      <c r="H756" s="12" t="s">
        <v>1334</v>
      </c>
      <c r="I756" s="13"/>
      <c r="J756" s="12" t="s">
        <v>1335</v>
      </c>
      <c r="K756" s="12" t="s">
        <v>794</v>
      </c>
    </row>
    <row r="757" spans="1:11" ht="30" customHeight="1">
      <c r="A757" s="12" t="s">
        <v>510</v>
      </c>
      <c r="B757" s="12" t="s">
        <v>506</v>
      </c>
      <c r="C757" s="12" t="s">
        <v>484</v>
      </c>
      <c r="D757" s="12" t="s">
        <v>534</v>
      </c>
      <c r="E757" s="17">
        <v>3</v>
      </c>
      <c r="F757" s="13"/>
      <c r="G757" s="12" t="s">
        <v>1336</v>
      </c>
      <c r="H757" s="12" t="s">
        <v>1337</v>
      </c>
      <c r="I757" s="13"/>
      <c r="J757" s="12" t="s">
        <v>1335</v>
      </c>
      <c r="K757" s="12" t="s">
        <v>794</v>
      </c>
    </row>
    <row r="758" spans="1:11" ht="30" customHeight="1">
      <c r="A758" s="12" t="s">
        <v>510</v>
      </c>
      <c r="B758" s="12" t="s">
        <v>506</v>
      </c>
      <c r="C758" s="12" t="s">
        <v>484</v>
      </c>
      <c r="D758" s="12" t="s">
        <v>535</v>
      </c>
      <c r="E758" s="17">
        <v>3</v>
      </c>
      <c r="F758" s="13"/>
      <c r="G758" s="12" t="s">
        <v>1336</v>
      </c>
      <c r="H758" s="12" t="s">
        <v>1337</v>
      </c>
      <c r="I758" s="13"/>
      <c r="J758" s="12" t="s">
        <v>1335</v>
      </c>
      <c r="K758" s="12" t="s">
        <v>794</v>
      </c>
    </row>
    <row r="759" spans="1:11" ht="30" customHeight="1">
      <c r="A759" s="12" t="s">
        <v>510</v>
      </c>
      <c r="B759" s="12" t="s">
        <v>506</v>
      </c>
      <c r="C759" s="12" t="s">
        <v>484</v>
      </c>
      <c r="D759" s="12" t="s">
        <v>536</v>
      </c>
      <c r="E759" s="17">
        <v>3</v>
      </c>
      <c r="F759" s="13"/>
      <c r="G759" s="12" t="s">
        <v>1336</v>
      </c>
      <c r="H759" s="12" t="s">
        <v>1337</v>
      </c>
      <c r="I759" s="13"/>
      <c r="J759" s="12" t="s">
        <v>1335</v>
      </c>
      <c r="K759" s="12" t="s">
        <v>794</v>
      </c>
    </row>
    <row r="760" spans="1:11" ht="30" customHeight="1">
      <c r="A760" s="12" t="s">
        <v>510</v>
      </c>
      <c r="B760" s="12" t="s">
        <v>506</v>
      </c>
      <c r="C760" s="12" t="s">
        <v>484</v>
      </c>
      <c r="D760" s="12" t="s">
        <v>537</v>
      </c>
      <c r="E760" s="17">
        <v>3</v>
      </c>
      <c r="F760" s="13"/>
      <c r="G760" s="12" t="s">
        <v>1336</v>
      </c>
      <c r="H760" s="12" t="s">
        <v>1337</v>
      </c>
      <c r="I760" s="13"/>
      <c r="J760" s="12" t="s">
        <v>1335</v>
      </c>
      <c r="K760" s="12" t="s">
        <v>794</v>
      </c>
    </row>
    <row r="761" spans="1:11" ht="30" customHeight="1">
      <c r="A761" s="12" t="s">
        <v>510</v>
      </c>
      <c r="B761" s="12" t="s">
        <v>506</v>
      </c>
      <c r="C761" s="12" t="s">
        <v>484</v>
      </c>
      <c r="D761" s="12" t="s">
        <v>538</v>
      </c>
      <c r="E761" s="17">
        <v>3</v>
      </c>
      <c r="F761" s="13"/>
      <c r="G761" s="12" t="s">
        <v>1336</v>
      </c>
      <c r="H761" s="12" t="s">
        <v>1337</v>
      </c>
      <c r="I761" s="13"/>
      <c r="J761" s="12" t="s">
        <v>1335</v>
      </c>
      <c r="K761" s="12" t="s">
        <v>794</v>
      </c>
    </row>
    <row r="762" spans="1:11" ht="30" customHeight="1">
      <c r="A762" s="12" t="s">
        <v>510</v>
      </c>
      <c r="B762" s="12" t="s">
        <v>506</v>
      </c>
      <c r="C762" s="12" t="s">
        <v>484</v>
      </c>
      <c r="D762" s="12" t="s">
        <v>539</v>
      </c>
      <c r="E762" s="17">
        <v>3</v>
      </c>
      <c r="F762" s="13"/>
      <c r="G762" s="12" t="s">
        <v>1336</v>
      </c>
      <c r="H762" s="12" t="s">
        <v>1337</v>
      </c>
      <c r="I762" s="13"/>
      <c r="J762" s="12" t="s">
        <v>1335</v>
      </c>
      <c r="K762" s="12" t="s">
        <v>794</v>
      </c>
    </row>
    <row r="763" spans="1:11" ht="30" customHeight="1">
      <c r="A763" s="12" t="s">
        <v>510</v>
      </c>
      <c r="B763" s="12" t="s">
        <v>506</v>
      </c>
      <c r="C763" s="12" t="s">
        <v>484</v>
      </c>
      <c r="D763" s="12" t="s">
        <v>540</v>
      </c>
      <c r="E763" s="17">
        <v>2</v>
      </c>
      <c r="F763" s="13"/>
      <c r="G763" s="12" t="s">
        <v>1336</v>
      </c>
      <c r="H763" s="12" t="s">
        <v>1337</v>
      </c>
      <c r="I763" s="13"/>
      <c r="J763" s="12" t="s">
        <v>1335</v>
      </c>
      <c r="K763" s="12" t="s">
        <v>794</v>
      </c>
    </row>
    <row r="764" spans="1:11" ht="30" customHeight="1">
      <c r="A764" s="12" t="s">
        <v>510</v>
      </c>
      <c r="B764" s="12" t="s">
        <v>506</v>
      </c>
      <c r="C764" s="12" t="s">
        <v>484</v>
      </c>
      <c r="D764" s="12" t="s">
        <v>541</v>
      </c>
      <c r="E764" s="17">
        <v>3</v>
      </c>
      <c r="F764" s="13"/>
      <c r="G764" s="12" t="s">
        <v>1336</v>
      </c>
      <c r="H764" s="12" t="s">
        <v>1337</v>
      </c>
      <c r="I764" s="13"/>
      <c r="J764" s="12" t="s">
        <v>1335</v>
      </c>
      <c r="K764" s="12" t="s">
        <v>794</v>
      </c>
    </row>
    <row r="765" spans="1:11" ht="30" customHeight="1">
      <c r="A765" s="12" t="s">
        <v>510</v>
      </c>
      <c r="B765" s="12" t="s">
        <v>506</v>
      </c>
      <c r="C765" s="12" t="s">
        <v>484</v>
      </c>
      <c r="D765" s="12" t="s">
        <v>542</v>
      </c>
      <c r="E765" s="17">
        <v>3</v>
      </c>
      <c r="F765" s="13"/>
      <c r="G765" s="12" t="s">
        <v>1336</v>
      </c>
      <c r="H765" s="12" t="s">
        <v>1337</v>
      </c>
      <c r="I765" s="13"/>
      <c r="J765" s="12" t="s">
        <v>1335</v>
      </c>
      <c r="K765" s="12" t="s">
        <v>794</v>
      </c>
    </row>
    <row r="766" spans="1:11" ht="30" customHeight="1">
      <c r="A766" s="12" t="s">
        <v>510</v>
      </c>
      <c r="B766" s="12" t="s">
        <v>506</v>
      </c>
      <c r="C766" s="12" t="s">
        <v>484</v>
      </c>
      <c r="D766" s="12" t="s">
        <v>543</v>
      </c>
      <c r="E766" s="17">
        <v>3</v>
      </c>
      <c r="F766" s="13"/>
      <c r="G766" s="12" t="s">
        <v>1336</v>
      </c>
      <c r="H766" s="12" t="s">
        <v>1337</v>
      </c>
      <c r="I766" s="13"/>
      <c r="J766" s="12" t="s">
        <v>1335</v>
      </c>
      <c r="K766" s="12" t="s">
        <v>794</v>
      </c>
    </row>
    <row r="767" spans="1:11" ht="30" customHeight="1">
      <c r="A767" s="12" t="s">
        <v>504</v>
      </c>
      <c r="B767" s="12" t="s">
        <v>500</v>
      </c>
      <c r="C767" s="12" t="s">
        <v>484</v>
      </c>
      <c r="D767" s="12" t="s">
        <v>534</v>
      </c>
      <c r="E767" s="17">
        <v>3</v>
      </c>
      <c r="F767" s="13"/>
      <c r="G767" s="12" t="s">
        <v>1336</v>
      </c>
      <c r="H767" s="12" t="s">
        <v>1337</v>
      </c>
      <c r="I767" s="13"/>
      <c r="J767" s="12" t="s">
        <v>1335</v>
      </c>
      <c r="K767" s="12" t="s">
        <v>794</v>
      </c>
    </row>
    <row r="768" spans="1:11" ht="30" customHeight="1">
      <c r="A768" s="12" t="s">
        <v>504</v>
      </c>
      <c r="B768" s="12" t="s">
        <v>500</v>
      </c>
      <c r="C768" s="12" t="s">
        <v>484</v>
      </c>
      <c r="D768" s="12" t="s">
        <v>535</v>
      </c>
      <c r="E768" s="17">
        <v>3</v>
      </c>
      <c r="F768" s="13"/>
      <c r="G768" s="12" t="s">
        <v>1336</v>
      </c>
      <c r="H768" s="12" t="s">
        <v>1337</v>
      </c>
      <c r="I768" s="13"/>
      <c r="J768" s="12" t="s">
        <v>1335</v>
      </c>
      <c r="K768" s="12" t="s">
        <v>794</v>
      </c>
    </row>
    <row r="769" spans="1:11" ht="30" customHeight="1">
      <c r="A769" s="12" t="s">
        <v>504</v>
      </c>
      <c r="B769" s="12" t="s">
        <v>500</v>
      </c>
      <c r="C769" s="12" t="s">
        <v>484</v>
      </c>
      <c r="D769" s="12" t="s">
        <v>536</v>
      </c>
      <c r="E769" s="17">
        <v>3</v>
      </c>
      <c r="F769" s="13"/>
      <c r="G769" s="12" t="s">
        <v>1336</v>
      </c>
      <c r="H769" s="12" t="s">
        <v>1337</v>
      </c>
      <c r="I769" s="13"/>
      <c r="J769" s="12" t="s">
        <v>1335</v>
      </c>
      <c r="K769" s="12" t="s">
        <v>794</v>
      </c>
    </row>
    <row r="770" spans="1:11" ht="30" customHeight="1">
      <c r="A770" s="12" t="s">
        <v>504</v>
      </c>
      <c r="B770" s="12" t="s">
        <v>500</v>
      </c>
      <c r="C770" s="12" t="s">
        <v>484</v>
      </c>
      <c r="D770" s="12" t="s">
        <v>537</v>
      </c>
      <c r="E770" s="17">
        <v>3</v>
      </c>
      <c r="F770" s="13"/>
      <c r="G770" s="12" t="s">
        <v>1336</v>
      </c>
      <c r="H770" s="12" t="s">
        <v>1337</v>
      </c>
      <c r="I770" s="13"/>
      <c r="J770" s="12" t="s">
        <v>1335</v>
      </c>
      <c r="K770" s="12" t="s">
        <v>794</v>
      </c>
    </row>
    <row r="771" spans="1:11" ht="30" customHeight="1">
      <c r="A771" s="12" t="s">
        <v>504</v>
      </c>
      <c r="B771" s="12" t="s">
        <v>500</v>
      </c>
      <c r="C771" s="12" t="s">
        <v>484</v>
      </c>
      <c r="D771" s="12" t="s">
        <v>538</v>
      </c>
      <c r="E771" s="17">
        <v>3</v>
      </c>
      <c r="F771" s="13"/>
      <c r="G771" s="12" t="s">
        <v>1336</v>
      </c>
      <c r="H771" s="12" t="s">
        <v>1337</v>
      </c>
      <c r="I771" s="13"/>
      <c r="J771" s="12" t="s">
        <v>1335</v>
      </c>
      <c r="K771" s="12" t="s">
        <v>794</v>
      </c>
    </row>
    <row r="772" spans="1:11" ht="30" customHeight="1">
      <c r="A772" s="12" t="s">
        <v>504</v>
      </c>
      <c r="B772" s="12" t="s">
        <v>500</v>
      </c>
      <c r="C772" s="12" t="s">
        <v>484</v>
      </c>
      <c r="D772" s="12" t="s">
        <v>539</v>
      </c>
      <c r="E772" s="17">
        <v>3</v>
      </c>
      <c r="F772" s="13"/>
      <c r="G772" s="12" t="s">
        <v>1336</v>
      </c>
      <c r="H772" s="12" t="s">
        <v>1337</v>
      </c>
      <c r="I772" s="13"/>
      <c r="J772" s="12" t="s">
        <v>1335</v>
      </c>
      <c r="K772" s="12" t="s">
        <v>794</v>
      </c>
    </row>
    <row r="773" spans="1:11" ht="30" customHeight="1">
      <c r="A773" s="12" t="s">
        <v>504</v>
      </c>
      <c r="B773" s="12" t="s">
        <v>500</v>
      </c>
      <c r="C773" s="12" t="s">
        <v>484</v>
      </c>
      <c r="D773" s="12" t="s">
        <v>540</v>
      </c>
      <c r="E773" s="17">
        <v>0</v>
      </c>
      <c r="F773" s="13"/>
      <c r="G773" s="12" t="s">
        <v>1336</v>
      </c>
      <c r="H773" s="12" t="s">
        <v>1337</v>
      </c>
      <c r="I773" s="13"/>
      <c r="J773" s="12" t="s">
        <v>1335</v>
      </c>
      <c r="K773" s="12" t="s">
        <v>794</v>
      </c>
    </row>
    <row r="774" spans="1:11" ht="30" customHeight="1">
      <c r="A774" s="12" t="s">
        <v>504</v>
      </c>
      <c r="B774" s="12" t="s">
        <v>500</v>
      </c>
      <c r="C774" s="12" t="s">
        <v>484</v>
      </c>
      <c r="D774" s="12" t="s">
        <v>541</v>
      </c>
      <c r="E774" s="17">
        <v>3</v>
      </c>
      <c r="F774" s="13"/>
      <c r="G774" s="12" t="s">
        <v>1336</v>
      </c>
      <c r="H774" s="12" t="s">
        <v>1337</v>
      </c>
      <c r="I774" s="13"/>
      <c r="J774" s="12" t="s">
        <v>1335</v>
      </c>
      <c r="K774" s="12" t="s">
        <v>794</v>
      </c>
    </row>
    <row r="775" spans="1:11" ht="30" customHeight="1">
      <c r="A775" s="12" t="s">
        <v>504</v>
      </c>
      <c r="B775" s="12" t="s">
        <v>500</v>
      </c>
      <c r="C775" s="12" t="s">
        <v>484</v>
      </c>
      <c r="D775" s="12" t="s">
        <v>542</v>
      </c>
      <c r="E775" s="17">
        <v>3</v>
      </c>
      <c r="F775" s="13"/>
      <c r="G775" s="12" t="s">
        <v>1336</v>
      </c>
      <c r="H775" s="12" t="s">
        <v>1337</v>
      </c>
      <c r="I775" s="13"/>
      <c r="J775" s="12" t="s">
        <v>1335</v>
      </c>
      <c r="K775" s="12" t="s">
        <v>794</v>
      </c>
    </row>
    <row r="776" spans="1:11" ht="30" customHeight="1">
      <c r="A776" s="12" t="s">
        <v>504</v>
      </c>
      <c r="B776" s="12" t="s">
        <v>500</v>
      </c>
      <c r="C776" s="12" t="s">
        <v>484</v>
      </c>
      <c r="D776" s="12" t="s">
        <v>543</v>
      </c>
      <c r="E776" s="17">
        <v>3</v>
      </c>
      <c r="F776" s="13"/>
      <c r="G776" s="12" t="s">
        <v>1336</v>
      </c>
      <c r="H776" s="12" t="s">
        <v>1337</v>
      </c>
      <c r="I776" s="13"/>
      <c r="J776" s="12" t="s">
        <v>1335</v>
      </c>
      <c r="K776" s="12" t="s">
        <v>794</v>
      </c>
    </row>
    <row r="777" spans="1:11" ht="30" customHeight="1">
      <c r="A777" s="12" t="s">
        <v>498</v>
      </c>
      <c r="B777" s="12" t="s">
        <v>495</v>
      </c>
      <c r="C777" s="12" t="s">
        <v>484</v>
      </c>
      <c r="D777" s="12" t="s">
        <v>534</v>
      </c>
      <c r="E777" s="17">
        <v>3</v>
      </c>
      <c r="F777" s="13"/>
      <c r="G777" s="12" t="s">
        <v>1336</v>
      </c>
      <c r="H777" s="12" t="s">
        <v>1337</v>
      </c>
      <c r="I777" s="13"/>
      <c r="J777" s="12" t="s">
        <v>1335</v>
      </c>
      <c r="K777" s="12" t="s">
        <v>794</v>
      </c>
    </row>
    <row r="778" spans="1:11" ht="30" customHeight="1">
      <c r="A778" s="12" t="s">
        <v>498</v>
      </c>
      <c r="B778" s="12" t="s">
        <v>495</v>
      </c>
      <c r="C778" s="12" t="s">
        <v>484</v>
      </c>
      <c r="D778" s="12" t="s">
        <v>535</v>
      </c>
      <c r="E778" s="17">
        <v>3</v>
      </c>
      <c r="F778" s="13"/>
      <c r="G778" s="12" t="s">
        <v>1336</v>
      </c>
      <c r="H778" s="12" t="s">
        <v>1337</v>
      </c>
      <c r="I778" s="13"/>
      <c r="J778" s="12" t="s">
        <v>1335</v>
      </c>
      <c r="K778" s="12" t="s">
        <v>794</v>
      </c>
    </row>
    <row r="779" spans="1:11" ht="30" customHeight="1">
      <c r="A779" s="12" t="s">
        <v>498</v>
      </c>
      <c r="B779" s="12" t="s">
        <v>495</v>
      </c>
      <c r="C779" s="12" t="s">
        <v>484</v>
      </c>
      <c r="D779" s="12" t="s">
        <v>536</v>
      </c>
      <c r="E779" s="17">
        <v>3</v>
      </c>
      <c r="F779" s="13"/>
      <c r="G779" s="12" t="s">
        <v>1336</v>
      </c>
      <c r="H779" s="12" t="s">
        <v>1337</v>
      </c>
      <c r="I779" s="13"/>
      <c r="J779" s="12" t="s">
        <v>1335</v>
      </c>
      <c r="K779" s="12" t="s">
        <v>794</v>
      </c>
    </row>
    <row r="780" spans="1:11" ht="30" customHeight="1">
      <c r="A780" s="12" t="s">
        <v>498</v>
      </c>
      <c r="B780" s="12" t="s">
        <v>495</v>
      </c>
      <c r="C780" s="12" t="s">
        <v>484</v>
      </c>
      <c r="D780" s="12" t="s">
        <v>537</v>
      </c>
      <c r="E780" s="17">
        <v>3</v>
      </c>
      <c r="F780" s="13"/>
      <c r="G780" s="12" t="s">
        <v>1336</v>
      </c>
      <c r="H780" s="12" t="s">
        <v>1337</v>
      </c>
      <c r="I780" s="13"/>
      <c r="J780" s="12" t="s">
        <v>1335</v>
      </c>
      <c r="K780" s="12" t="s">
        <v>794</v>
      </c>
    </row>
    <row r="781" spans="1:11" ht="30" customHeight="1">
      <c r="A781" s="12" t="s">
        <v>498</v>
      </c>
      <c r="B781" s="12" t="s">
        <v>495</v>
      </c>
      <c r="C781" s="12" t="s">
        <v>484</v>
      </c>
      <c r="D781" s="12" t="s">
        <v>538</v>
      </c>
      <c r="E781" s="17">
        <v>3</v>
      </c>
      <c r="F781" s="13"/>
      <c r="G781" s="12" t="s">
        <v>1336</v>
      </c>
      <c r="H781" s="12" t="s">
        <v>1337</v>
      </c>
      <c r="I781" s="13"/>
      <c r="J781" s="12" t="s">
        <v>1335</v>
      </c>
      <c r="K781" s="12" t="s">
        <v>794</v>
      </c>
    </row>
    <row r="782" spans="1:11" ht="30" customHeight="1">
      <c r="A782" s="12" t="s">
        <v>498</v>
      </c>
      <c r="B782" s="12" t="s">
        <v>495</v>
      </c>
      <c r="C782" s="12" t="s">
        <v>484</v>
      </c>
      <c r="D782" s="12" t="s">
        <v>539</v>
      </c>
      <c r="E782" s="17">
        <v>3</v>
      </c>
      <c r="F782" s="13"/>
      <c r="G782" s="12" t="s">
        <v>1336</v>
      </c>
      <c r="H782" s="12" t="s">
        <v>1337</v>
      </c>
      <c r="I782" s="13"/>
      <c r="J782" s="12" t="s">
        <v>1335</v>
      </c>
      <c r="K782" s="12" t="s">
        <v>794</v>
      </c>
    </row>
    <row r="783" spans="1:11" ht="30" customHeight="1">
      <c r="A783" s="12" t="s">
        <v>498</v>
      </c>
      <c r="B783" s="12" t="s">
        <v>495</v>
      </c>
      <c r="C783" s="12" t="s">
        <v>484</v>
      </c>
      <c r="D783" s="12" t="s">
        <v>540</v>
      </c>
      <c r="E783" s="17">
        <v>3</v>
      </c>
      <c r="F783" s="13"/>
      <c r="G783" s="12" t="s">
        <v>1336</v>
      </c>
      <c r="H783" s="12" t="s">
        <v>1337</v>
      </c>
      <c r="I783" s="13"/>
      <c r="J783" s="12" t="s">
        <v>1335</v>
      </c>
      <c r="K783" s="12" t="s">
        <v>794</v>
      </c>
    </row>
    <row r="784" spans="1:11" ht="30" customHeight="1">
      <c r="A784" s="12" t="s">
        <v>498</v>
      </c>
      <c r="B784" s="12" t="s">
        <v>495</v>
      </c>
      <c r="C784" s="12" t="s">
        <v>484</v>
      </c>
      <c r="D784" s="12" t="s">
        <v>541</v>
      </c>
      <c r="E784" s="17">
        <v>3</v>
      </c>
      <c r="F784" s="13"/>
      <c r="G784" s="12" t="s">
        <v>1336</v>
      </c>
      <c r="H784" s="12" t="s">
        <v>1337</v>
      </c>
      <c r="I784" s="13"/>
      <c r="J784" s="12" t="s">
        <v>1335</v>
      </c>
      <c r="K784" s="12" t="s">
        <v>794</v>
      </c>
    </row>
    <row r="785" spans="1:11" ht="30" customHeight="1">
      <c r="A785" s="12" t="s">
        <v>498</v>
      </c>
      <c r="B785" s="12" t="s">
        <v>495</v>
      </c>
      <c r="C785" s="12" t="s">
        <v>484</v>
      </c>
      <c r="D785" s="12" t="s">
        <v>542</v>
      </c>
      <c r="E785" s="17">
        <v>3</v>
      </c>
      <c r="F785" s="13"/>
      <c r="G785" s="12" t="s">
        <v>1336</v>
      </c>
      <c r="H785" s="12" t="s">
        <v>1337</v>
      </c>
      <c r="I785" s="13"/>
      <c r="J785" s="12" t="s">
        <v>1335</v>
      </c>
      <c r="K785" s="12" t="s">
        <v>794</v>
      </c>
    </row>
    <row r="786" spans="1:11" ht="30" customHeight="1">
      <c r="A786" s="12" t="s">
        <v>498</v>
      </c>
      <c r="B786" s="12" t="s">
        <v>495</v>
      </c>
      <c r="C786" s="12" t="s">
        <v>484</v>
      </c>
      <c r="D786" s="12" t="s">
        <v>543</v>
      </c>
      <c r="E786" s="17">
        <v>3</v>
      </c>
      <c r="F786" s="13"/>
      <c r="G786" s="12" t="s">
        <v>1336</v>
      </c>
      <c r="H786" s="12" t="s">
        <v>1337</v>
      </c>
      <c r="I786" s="13"/>
      <c r="J786" s="12" t="s">
        <v>1335</v>
      </c>
      <c r="K786" s="12" t="s">
        <v>794</v>
      </c>
    </row>
    <row r="787" spans="1:11" ht="30" customHeight="1">
      <c r="A787" s="12" t="s">
        <v>488</v>
      </c>
      <c r="B787" s="12" t="s">
        <v>483</v>
      </c>
      <c r="C787" s="12" t="s">
        <v>484</v>
      </c>
      <c r="D787" s="12" t="s">
        <v>534</v>
      </c>
      <c r="E787" s="17">
        <v>3</v>
      </c>
      <c r="F787" s="13"/>
      <c r="G787" s="12" t="s">
        <v>1336</v>
      </c>
      <c r="H787" s="12" t="s">
        <v>1337</v>
      </c>
      <c r="I787" s="13"/>
      <c r="J787" s="12" t="s">
        <v>1335</v>
      </c>
      <c r="K787" s="12" t="s">
        <v>794</v>
      </c>
    </row>
    <row r="788" spans="1:11" ht="30" customHeight="1">
      <c r="A788" s="12" t="s">
        <v>488</v>
      </c>
      <c r="B788" s="12" t="s">
        <v>483</v>
      </c>
      <c r="C788" s="12" t="s">
        <v>484</v>
      </c>
      <c r="D788" s="12" t="s">
        <v>535</v>
      </c>
      <c r="E788" s="17">
        <v>3</v>
      </c>
      <c r="F788" s="13"/>
      <c r="G788" s="12" t="s">
        <v>1336</v>
      </c>
      <c r="H788" s="12" t="s">
        <v>1337</v>
      </c>
      <c r="I788" s="13"/>
      <c r="J788" s="12" t="s">
        <v>1335</v>
      </c>
      <c r="K788" s="12" t="s">
        <v>794</v>
      </c>
    </row>
    <row r="789" spans="1:11" ht="30" customHeight="1">
      <c r="A789" s="12" t="s">
        <v>488</v>
      </c>
      <c r="B789" s="12" t="s">
        <v>483</v>
      </c>
      <c r="C789" s="12" t="s">
        <v>484</v>
      </c>
      <c r="D789" s="12" t="s">
        <v>536</v>
      </c>
      <c r="E789" s="17">
        <v>3</v>
      </c>
      <c r="F789" s="13"/>
      <c r="G789" s="12" t="s">
        <v>1336</v>
      </c>
      <c r="H789" s="12" t="s">
        <v>1337</v>
      </c>
      <c r="I789" s="13"/>
      <c r="J789" s="12" t="s">
        <v>1335</v>
      </c>
      <c r="K789" s="12" t="s">
        <v>794</v>
      </c>
    </row>
    <row r="790" spans="1:11" ht="30" customHeight="1">
      <c r="A790" s="12" t="s">
        <v>488</v>
      </c>
      <c r="B790" s="12" t="s">
        <v>483</v>
      </c>
      <c r="C790" s="12" t="s">
        <v>484</v>
      </c>
      <c r="D790" s="12" t="s">
        <v>537</v>
      </c>
      <c r="E790" s="17">
        <v>3</v>
      </c>
      <c r="F790" s="13"/>
      <c r="G790" s="12" t="s">
        <v>1336</v>
      </c>
      <c r="H790" s="12" t="s">
        <v>1337</v>
      </c>
      <c r="I790" s="13"/>
      <c r="J790" s="12" t="s">
        <v>1335</v>
      </c>
      <c r="K790" s="12" t="s">
        <v>794</v>
      </c>
    </row>
    <row r="791" spans="1:11" ht="30" customHeight="1">
      <c r="A791" s="12" t="s">
        <v>488</v>
      </c>
      <c r="B791" s="12" t="s">
        <v>483</v>
      </c>
      <c r="C791" s="12" t="s">
        <v>484</v>
      </c>
      <c r="D791" s="12" t="s">
        <v>538</v>
      </c>
      <c r="E791" s="17">
        <v>3</v>
      </c>
      <c r="F791" s="13"/>
      <c r="G791" s="12" t="s">
        <v>1336</v>
      </c>
      <c r="H791" s="12" t="s">
        <v>1337</v>
      </c>
      <c r="I791" s="13"/>
      <c r="J791" s="12" t="s">
        <v>1335</v>
      </c>
      <c r="K791" s="12" t="s">
        <v>794</v>
      </c>
    </row>
    <row r="792" spans="1:11" ht="30" customHeight="1">
      <c r="A792" s="12" t="s">
        <v>488</v>
      </c>
      <c r="B792" s="12" t="s">
        <v>483</v>
      </c>
      <c r="C792" s="12" t="s">
        <v>484</v>
      </c>
      <c r="D792" s="12" t="s">
        <v>539</v>
      </c>
      <c r="E792" s="17">
        <v>3</v>
      </c>
      <c r="F792" s="13"/>
      <c r="G792" s="12" t="s">
        <v>1336</v>
      </c>
      <c r="H792" s="12" t="s">
        <v>1337</v>
      </c>
      <c r="I792" s="13"/>
      <c r="J792" s="12" t="s">
        <v>1335</v>
      </c>
      <c r="K792" s="12" t="s">
        <v>794</v>
      </c>
    </row>
    <row r="793" spans="1:11" ht="30" customHeight="1">
      <c r="A793" s="12" t="s">
        <v>488</v>
      </c>
      <c r="B793" s="12" t="s">
        <v>483</v>
      </c>
      <c r="C793" s="12" t="s">
        <v>484</v>
      </c>
      <c r="D793" s="12" t="s">
        <v>540</v>
      </c>
      <c r="E793" s="17">
        <v>3</v>
      </c>
      <c r="F793" s="13"/>
      <c r="G793" s="12" t="s">
        <v>1336</v>
      </c>
      <c r="H793" s="12" t="s">
        <v>1337</v>
      </c>
      <c r="I793" s="13"/>
      <c r="J793" s="12" t="s">
        <v>1335</v>
      </c>
      <c r="K793" s="12" t="s">
        <v>794</v>
      </c>
    </row>
    <row r="794" spans="1:11" ht="30" customHeight="1">
      <c r="A794" s="12" t="s">
        <v>488</v>
      </c>
      <c r="B794" s="12" t="s">
        <v>483</v>
      </c>
      <c r="C794" s="12" t="s">
        <v>484</v>
      </c>
      <c r="D794" s="12" t="s">
        <v>541</v>
      </c>
      <c r="E794" s="17">
        <v>3</v>
      </c>
      <c r="F794" s="13"/>
      <c r="G794" s="12" t="s">
        <v>1336</v>
      </c>
      <c r="H794" s="12" t="s">
        <v>1337</v>
      </c>
      <c r="I794" s="13"/>
      <c r="J794" s="12" t="s">
        <v>1335</v>
      </c>
      <c r="K794" s="12" t="s">
        <v>794</v>
      </c>
    </row>
    <row r="795" spans="1:11" ht="30" customHeight="1">
      <c r="A795" s="12" t="s">
        <v>488</v>
      </c>
      <c r="B795" s="12" t="s">
        <v>483</v>
      </c>
      <c r="C795" s="12" t="s">
        <v>484</v>
      </c>
      <c r="D795" s="12" t="s">
        <v>542</v>
      </c>
      <c r="E795" s="17">
        <v>3</v>
      </c>
      <c r="F795" s="13"/>
      <c r="G795" s="12" t="s">
        <v>1336</v>
      </c>
      <c r="H795" s="12" t="s">
        <v>1337</v>
      </c>
      <c r="I795" s="13"/>
      <c r="J795" s="12" t="s">
        <v>1335</v>
      </c>
      <c r="K795" s="12" t="s">
        <v>794</v>
      </c>
    </row>
    <row r="796" spans="1:11" ht="30" customHeight="1">
      <c r="A796" s="12" t="s">
        <v>488</v>
      </c>
      <c r="B796" s="12" t="s">
        <v>483</v>
      </c>
      <c r="C796" s="12" t="s">
        <v>484</v>
      </c>
      <c r="D796" s="12" t="s">
        <v>543</v>
      </c>
      <c r="E796" s="17">
        <v>3</v>
      </c>
      <c r="F796" s="13"/>
      <c r="G796" s="12" t="s">
        <v>1336</v>
      </c>
      <c r="H796" s="12" t="s">
        <v>1337</v>
      </c>
      <c r="I796" s="13"/>
      <c r="J796" s="12" t="s">
        <v>1335</v>
      </c>
      <c r="K796" s="12" t="s">
        <v>794</v>
      </c>
    </row>
    <row r="797" spans="1:11" ht="30" customHeight="1">
      <c r="A797" s="12" t="s">
        <v>525</v>
      </c>
      <c r="B797" s="12" t="s">
        <v>521</v>
      </c>
      <c r="C797" s="12" t="s">
        <v>484</v>
      </c>
      <c r="D797" s="12" t="s">
        <v>534</v>
      </c>
      <c r="E797" s="17">
        <v>3</v>
      </c>
      <c r="F797" s="13"/>
      <c r="G797" s="12" t="s">
        <v>1336</v>
      </c>
      <c r="H797" s="12" t="s">
        <v>1337</v>
      </c>
      <c r="I797" s="13"/>
      <c r="J797" s="12" t="s">
        <v>1335</v>
      </c>
      <c r="K797" s="12" t="s">
        <v>794</v>
      </c>
    </row>
    <row r="798" spans="1:11" ht="30" customHeight="1">
      <c r="A798" s="12" t="s">
        <v>525</v>
      </c>
      <c r="B798" s="12" t="s">
        <v>521</v>
      </c>
      <c r="C798" s="12" t="s">
        <v>484</v>
      </c>
      <c r="D798" s="12" t="s">
        <v>535</v>
      </c>
      <c r="E798" s="17">
        <v>0</v>
      </c>
      <c r="F798" s="13"/>
      <c r="G798" s="12" t="s">
        <v>1336</v>
      </c>
      <c r="H798" s="12" t="s">
        <v>1337</v>
      </c>
      <c r="I798" s="13"/>
      <c r="J798" s="12" t="s">
        <v>1335</v>
      </c>
      <c r="K798" s="12" t="s">
        <v>794</v>
      </c>
    </row>
    <row r="799" spans="1:11" ht="30" customHeight="1">
      <c r="A799" s="12" t="s">
        <v>525</v>
      </c>
      <c r="B799" s="12" t="s">
        <v>521</v>
      </c>
      <c r="C799" s="12" t="s">
        <v>484</v>
      </c>
      <c r="D799" s="12" t="s">
        <v>536</v>
      </c>
      <c r="E799" s="17">
        <v>3</v>
      </c>
      <c r="F799" s="13"/>
      <c r="G799" s="12" t="s">
        <v>1336</v>
      </c>
      <c r="H799" s="12" t="s">
        <v>1337</v>
      </c>
      <c r="I799" s="13"/>
      <c r="J799" s="12" t="s">
        <v>1335</v>
      </c>
      <c r="K799" s="12" t="s">
        <v>794</v>
      </c>
    </row>
    <row r="800" spans="1:11" ht="30" customHeight="1">
      <c r="A800" s="12" t="s">
        <v>525</v>
      </c>
      <c r="B800" s="12" t="s">
        <v>521</v>
      </c>
      <c r="C800" s="12" t="s">
        <v>484</v>
      </c>
      <c r="D800" s="12" t="s">
        <v>537</v>
      </c>
      <c r="E800" s="17">
        <v>3</v>
      </c>
      <c r="F800" s="13"/>
      <c r="G800" s="12" t="s">
        <v>1336</v>
      </c>
      <c r="H800" s="12" t="s">
        <v>1337</v>
      </c>
      <c r="I800" s="13"/>
      <c r="J800" s="12" t="s">
        <v>1335</v>
      </c>
      <c r="K800" s="12" t="s">
        <v>794</v>
      </c>
    </row>
    <row r="801" spans="1:11" ht="30" customHeight="1">
      <c r="A801" s="12" t="s">
        <v>525</v>
      </c>
      <c r="B801" s="12" t="s">
        <v>521</v>
      </c>
      <c r="C801" s="12" t="s">
        <v>484</v>
      </c>
      <c r="D801" s="12" t="s">
        <v>538</v>
      </c>
      <c r="E801" s="17">
        <v>3</v>
      </c>
      <c r="F801" s="13"/>
      <c r="G801" s="12" t="s">
        <v>1336</v>
      </c>
      <c r="H801" s="12" t="s">
        <v>1337</v>
      </c>
      <c r="I801" s="13"/>
      <c r="J801" s="12" t="s">
        <v>1335</v>
      </c>
      <c r="K801" s="12" t="s">
        <v>794</v>
      </c>
    </row>
    <row r="802" spans="1:11" ht="30" customHeight="1">
      <c r="A802" s="12" t="s">
        <v>525</v>
      </c>
      <c r="B802" s="12" t="s">
        <v>521</v>
      </c>
      <c r="C802" s="12" t="s">
        <v>484</v>
      </c>
      <c r="D802" s="12" t="s">
        <v>539</v>
      </c>
      <c r="E802" s="17">
        <v>3</v>
      </c>
      <c r="F802" s="13"/>
      <c r="G802" s="12" t="s">
        <v>1336</v>
      </c>
      <c r="H802" s="12" t="s">
        <v>1337</v>
      </c>
      <c r="I802" s="13"/>
      <c r="J802" s="12" t="s">
        <v>1335</v>
      </c>
      <c r="K802" s="12" t="s">
        <v>794</v>
      </c>
    </row>
    <row r="803" spans="1:11" ht="30" customHeight="1">
      <c r="A803" s="12" t="s">
        <v>525</v>
      </c>
      <c r="B803" s="12" t="s">
        <v>521</v>
      </c>
      <c r="C803" s="12" t="s">
        <v>484</v>
      </c>
      <c r="D803" s="12" t="s">
        <v>540</v>
      </c>
      <c r="E803" s="17">
        <v>3</v>
      </c>
      <c r="F803" s="13"/>
      <c r="G803" s="12" t="s">
        <v>1336</v>
      </c>
      <c r="H803" s="12" t="s">
        <v>1337</v>
      </c>
      <c r="I803" s="13"/>
      <c r="J803" s="12" t="s">
        <v>1335</v>
      </c>
      <c r="K803" s="12" t="s">
        <v>794</v>
      </c>
    </row>
    <row r="804" spans="1:11" ht="30" customHeight="1">
      <c r="A804" s="12" t="s">
        <v>525</v>
      </c>
      <c r="B804" s="12" t="s">
        <v>521</v>
      </c>
      <c r="C804" s="12" t="s">
        <v>484</v>
      </c>
      <c r="D804" s="12" t="s">
        <v>541</v>
      </c>
      <c r="E804" s="17">
        <v>3</v>
      </c>
      <c r="F804" s="13"/>
      <c r="G804" s="12" t="s">
        <v>1336</v>
      </c>
      <c r="H804" s="12" t="s">
        <v>1337</v>
      </c>
      <c r="I804" s="13"/>
      <c r="J804" s="12" t="s">
        <v>1335</v>
      </c>
      <c r="K804" s="12" t="s">
        <v>794</v>
      </c>
    </row>
    <row r="805" spans="1:11" ht="30" customHeight="1">
      <c r="A805" s="12" t="s">
        <v>525</v>
      </c>
      <c r="B805" s="12" t="s">
        <v>521</v>
      </c>
      <c r="C805" s="12" t="s">
        <v>484</v>
      </c>
      <c r="D805" s="12" t="s">
        <v>542</v>
      </c>
      <c r="E805" s="17">
        <v>3</v>
      </c>
      <c r="F805" s="13"/>
      <c r="G805" s="12" t="s">
        <v>1336</v>
      </c>
      <c r="H805" s="12" t="s">
        <v>1337</v>
      </c>
      <c r="I805" s="13"/>
      <c r="J805" s="12" t="s">
        <v>1335</v>
      </c>
      <c r="K805" s="12" t="s">
        <v>794</v>
      </c>
    </row>
    <row r="806" spans="1:11" ht="30" customHeight="1">
      <c r="A806" s="12" t="s">
        <v>525</v>
      </c>
      <c r="B806" s="12" t="s">
        <v>521</v>
      </c>
      <c r="C806" s="12" t="s">
        <v>484</v>
      </c>
      <c r="D806" s="12" t="s">
        <v>543</v>
      </c>
      <c r="E806" s="17">
        <v>3</v>
      </c>
      <c r="F806" s="13"/>
      <c r="G806" s="12" t="s">
        <v>1336</v>
      </c>
      <c r="H806" s="12" t="s">
        <v>1337</v>
      </c>
      <c r="I806" s="13"/>
      <c r="J806" s="12" t="s">
        <v>1335</v>
      </c>
      <c r="K806" s="12" t="s">
        <v>794</v>
      </c>
    </row>
    <row r="807" spans="1:11" ht="30" customHeight="1">
      <c r="A807" s="12" t="s">
        <v>516</v>
      </c>
      <c r="B807" s="12" t="s">
        <v>512</v>
      </c>
      <c r="C807" s="12" t="s">
        <v>484</v>
      </c>
      <c r="D807" s="12" t="s">
        <v>534</v>
      </c>
      <c r="E807" s="17">
        <v>3</v>
      </c>
      <c r="F807" s="13"/>
      <c r="G807" s="12" t="s">
        <v>1336</v>
      </c>
      <c r="H807" s="12" t="s">
        <v>1337</v>
      </c>
      <c r="I807" s="13"/>
      <c r="J807" s="12" t="s">
        <v>1335</v>
      </c>
      <c r="K807" s="12" t="s">
        <v>794</v>
      </c>
    </row>
    <row r="808" spans="1:11" ht="30" customHeight="1">
      <c r="A808" s="12" t="s">
        <v>516</v>
      </c>
      <c r="B808" s="12" t="s">
        <v>512</v>
      </c>
      <c r="C808" s="12" t="s">
        <v>484</v>
      </c>
      <c r="D808" s="12" t="s">
        <v>535</v>
      </c>
      <c r="E808" s="17">
        <v>3</v>
      </c>
      <c r="F808" s="13"/>
      <c r="G808" s="12" t="s">
        <v>1336</v>
      </c>
      <c r="H808" s="12" t="s">
        <v>1337</v>
      </c>
      <c r="I808" s="13"/>
      <c r="J808" s="12" t="s">
        <v>1335</v>
      </c>
      <c r="K808" s="12" t="s">
        <v>794</v>
      </c>
    </row>
    <row r="809" spans="1:11" ht="30" customHeight="1">
      <c r="A809" s="12" t="s">
        <v>516</v>
      </c>
      <c r="B809" s="12" t="s">
        <v>512</v>
      </c>
      <c r="C809" s="12" t="s">
        <v>484</v>
      </c>
      <c r="D809" s="12" t="s">
        <v>536</v>
      </c>
      <c r="E809" s="17">
        <v>3</v>
      </c>
      <c r="F809" s="13"/>
      <c r="G809" s="12" t="s">
        <v>1336</v>
      </c>
      <c r="H809" s="12" t="s">
        <v>1337</v>
      </c>
      <c r="I809" s="13"/>
      <c r="J809" s="12" t="s">
        <v>1335</v>
      </c>
      <c r="K809" s="12" t="s">
        <v>794</v>
      </c>
    </row>
    <row r="810" spans="1:11" ht="30" customHeight="1">
      <c r="A810" s="12" t="s">
        <v>516</v>
      </c>
      <c r="B810" s="12" t="s">
        <v>512</v>
      </c>
      <c r="C810" s="12" t="s">
        <v>484</v>
      </c>
      <c r="D810" s="12" t="s">
        <v>537</v>
      </c>
      <c r="E810" s="17">
        <v>3</v>
      </c>
      <c r="F810" s="13"/>
      <c r="G810" s="12" t="s">
        <v>1336</v>
      </c>
      <c r="H810" s="12" t="s">
        <v>1337</v>
      </c>
      <c r="I810" s="13"/>
      <c r="J810" s="12" t="s">
        <v>1335</v>
      </c>
      <c r="K810" s="12" t="s">
        <v>794</v>
      </c>
    </row>
    <row r="811" spans="1:11" ht="30" customHeight="1">
      <c r="A811" s="12" t="s">
        <v>516</v>
      </c>
      <c r="B811" s="12" t="s">
        <v>512</v>
      </c>
      <c r="C811" s="12" t="s">
        <v>484</v>
      </c>
      <c r="D811" s="12" t="s">
        <v>538</v>
      </c>
      <c r="E811" s="17">
        <v>3</v>
      </c>
      <c r="F811" s="13"/>
      <c r="G811" s="12" t="s">
        <v>1336</v>
      </c>
      <c r="H811" s="12" t="s">
        <v>1337</v>
      </c>
      <c r="I811" s="13"/>
      <c r="J811" s="12" t="s">
        <v>1335</v>
      </c>
      <c r="K811" s="12" t="s">
        <v>794</v>
      </c>
    </row>
    <row r="812" spans="1:11" ht="30" customHeight="1">
      <c r="A812" s="12" t="s">
        <v>516</v>
      </c>
      <c r="B812" s="12" t="s">
        <v>512</v>
      </c>
      <c r="C812" s="12" t="s">
        <v>484</v>
      </c>
      <c r="D812" s="12" t="s">
        <v>539</v>
      </c>
      <c r="E812" s="17">
        <v>3</v>
      </c>
      <c r="F812" s="13"/>
      <c r="G812" s="12" t="s">
        <v>1336</v>
      </c>
      <c r="H812" s="12" t="s">
        <v>1337</v>
      </c>
      <c r="I812" s="13"/>
      <c r="J812" s="12" t="s">
        <v>1335</v>
      </c>
      <c r="K812" s="12" t="s">
        <v>794</v>
      </c>
    </row>
    <row r="813" spans="1:11" ht="30" customHeight="1">
      <c r="A813" s="12" t="s">
        <v>516</v>
      </c>
      <c r="B813" s="12" t="s">
        <v>512</v>
      </c>
      <c r="C813" s="12" t="s">
        <v>484</v>
      </c>
      <c r="D813" s="12" t="s">
        <v>540</v>
      </c>
      <c r="E813" s="17">
        <v>1</v>
      </c>
      <c r="F813" s="13"/>
      <c r="G813" s="12" t="s">
        <v>1336</v>
      </c>
      <c r="H813" s="12" t="s">
        <v>1337</v>
      </c>
      <c r="I813" s="13"/>
      <c r="J813" s="12" t="s">
        <v>1335</v>
      </c>
      <c r="K813" s="12" t="s">
        <v>794</v>
      </c>
    </row>
    <row r="814" spans="1:11" ht="30" customHeight="1">
      <c r="A814" s="12" t="s">
        <v>516</v>
      </c>
      <c r="B814" s="12" t="s">
        <v>512</v>
      </c>
      <c r="C814" s="12" t="s">
        <v>484</v>
      </c>
      <c r="D814" s="12" t="s">
        <v>541</v>
      </c>
      <c r="E814" s="17">
        <v>3</v>
      </c>
      <c r="F814" s="13"/>
      <c r="G814" s="12" t="s">
        <v>1336</v>
      </c>
      <c r="H814" s="12" t="s">
        <v>1337</v>
      </c>
      <c r="I814" s="13"/>
      <c r="J814" s="12" t="s">
        <v>1335</v>
      </c>
      <c r="K814" s="12" t="s">
        <v>794</v>
      </c>
    </row>
    <row r="815" spans="1:11" ht="30" customHeight="1">
      <c r="A815" s="12" t="s">
        <v>516</v>
      </c>
      <c r="B815" s="12" t="s">
        <v>512</v>
      </c>
      <c r="C815" s="12" t="s">
        <v>484</v>
      </c>
      <c r="D815" s="12" t="s">
        <v>542</v>
      </c>
      <c r="E815" s="17">
        <v>3</v>
      </c>
      <c r="F815" s="13"/>
      <c r="G815" s="12" t="s">
        <v>1336</v>
      </c>
      <c r="H815" s="12" t="s">
        <v>1337</v>
      </c>
      <c r="I815" s="13"/>
      <c r="J815" s="12" t="s">
        <v>1335</v>
      </c>
      <c r="K815" s="12" t="s">
        <v>794</v>
      </c>
    </row>
    <row r="816" spans="1:11" ht="30" customHeight="1">
      <c r="A816" s="12" t="s">
        <v>516</v>
      </c>
      <c r="B816" s="12" t="s">
        <v>512</v>
      </c>
      <c r="C816" s="12" t="s">
        <v>484</v>
      </c>
      <c r="D816" s="12" t="s">
        <v>543</v>
      </c>
      <c r="E816" s="17">
        <v>3</v>
      </c>
      <c r="F816" s="13"/>
      <c r="G816" s="12" t="s">
        <v>1336</v>
      </c>
      <c r="H816" s="12" t="s">
        <v>1337</v>
      </c>
      <c r="I816" s="13"/>
      <c r="J816" s="12" t="s">
        <v>1335</v>
      </c>
      <c r="K816" s="12" t="s">
        <v>794</v>
      </c>
    </row>
    <row r="817" spans="1:11" ht="30" customHeight="1">
      <c r="A817" s="12" t="s">
        <v>493</v>
      </c>
      <c r="B817" s="12" t="s">
        <v>490</v>
      </c>
      <c r="C817" s="12" t="s">
        <v>484</v>
      </c>
      <c r="D817" s="12" t="s">
        <v>534</v>
      </c>
      <c r="E817" s="17">
        <v>3</v>
      </c>
      <c r="F817" s="13"/>
      <c r="G817" s="12" t="s">
        <v>1336</v>
      </c>
      <c r="H817" s="12" t="s">
        <v>1337</v>
      </c>
      <c r="I817" s="13"/>
      <c r="J817" s="12" t="s">
        <v>1335</v>
      </c>
      <c r="K817" s="12" t="s">
        <v>794</v>
      </c>
    </row>
    <row r="818" spans="1:11" ht="30" customHeight="1">
      <c r="A818" s="12" t="s">
        <v>493</v>
      </c>
      <c r="B818" s="12" t="s">
        <v>490</v>
      </c>
      <c r="C818" s="12" t="s">
        <v>484</v>
      </c>
      <c r="D818" s="12" t="s">
        <v>535</v>
      </c>
      <c r="E818" s="17">
        <v>3</v>
      </c>
      <c r="F818" s="13"/>
      <c r="G818" s="12" t="s">
        <v>1336</v>
      </c>
      <c r="H818" s="12" t="s">
        <v>1337</v>
      </c>
      <c r="I818" s="13"/>
      <c r="J818" s="12" t="s">
        <v>1335</v>
      </c>
      <c r="K818" s="12" t="s">
        <v>794</v>
      </c>
    </row>
    <row r="819" spans="1:11" ht="30" customHeight="1">
      <c r="A819" s="12" t="s">
        <v>493</v>
      </c>
      <c r="B819" s="12" t="s">
        <v>490</v>
      </c>
      <c r="C819" s="12" t="s">
        <v>484</v>
      </c>
      <c r="D819" s="12" t="s">
        <v>536</v>
      </c>
      <c r="E819" s="17">
        <v>3</v>
      </c>
      <c r="F819" s="13"/>
      <c r="G819" s="12" t="s">
        <v>1336</v>
      </c>
      <c r="H819" s="12" t="s">
        <v>1337</v>
      </c>
      <c r="I819" s="13"/>
      <c r="J819" s="12" t="s">
        <v>1335</v>
      </c>
      <c r="K819" s="12" t="s">
        <v>794</v>
      </c>
    </row>
    <row r="820" spans="1:11" ht="30" customHeight="1">
      <c r="A820" s="12" t="s">
        <v>493</v>
      </c>
      <c r="B820" s="12" t="s">
        <v>490</v>
      </c>
      <c r="C820" s="12" t="s">
        <v>484</v>
      </c>
      <c r="D820" s="12" t="s">
        <v>537</v>
      </c>
      <c r="E820" s="17">
        <v>3</v>
      </c>
      <c r="F820" s="13"/>
      <c r="G820" s="12" t="s">
        <v>1336</v>
      </c>
      <c r="H820" s="12" t="s">
        <v>1337</v>
      </c>
      <c r="I820" s="13"/>
      <c r="J820" s="12" t="s">
        <v>1335</v>
      </c>
      <c r="K820" s="12" t="s">
        <v>794</v>
      </c>
    </row>
    <row r="821" spans="1:11" ht="30" customHeight="1">
      <c r="A821" s="12" t="s">
        <v>493</v>
      </c>
      <c r="B821" s="12" t="s">
        <v>490</v>
      </c>
      <c r="C821" s="12" t="s">
        <v>484</v>
      </c>
      <c r="D821" s="12" t="s">
        <v>538</v>
      </c>
      <c r="E821" s="17">
        <v>3</v>
      </c>
      <c r="F821" s="13"/>
      <c r="G821" s="12" t="s">
        <v>1336</v>
      </c>
      <c r="H821" s="12" t="s">
        <v>1337</v>
      </c>
      <c r="I821" s="13"/>
      <c r="J821" s="12" t="s">
        <v>1335</v>
      </c>
      <c r="K821" s="12" t="s">
        <v>794</v>
      </c>
    </row>
    <row r="822" spans="1:11" ht="30" customHeight="1">
      <c r="A822" s="12" t="s">
        <v>493</v>
      </c>
      <c r="B822" s="12" t="s">
        <v>490</v>
      </c>
      <c r="C822" s="12" t="s">
        <v>484</v>
      </c>
      <c r="D822" s="12" t="s">
        <v>539</v>
      </c>
      <c r="E822" s="17">
        <v>3</v>
      </c>
      <c r="F822" s="13"/>
      <c r="G822" s="12" t="s">
        <v>1336</v>
      </c>
      <c r="H822" s="12" t="s">
        <v>1337</v>
      </c>
      <c r="I822" s="13"/>
      <c r="J822" s="12" t="s">
        <v>1335</v>
      </c>
      <c r="K822" s="12" t="s">
        <v>794</v>
      </c>
    </row>
    <row r="823" spans="1:11" ht="30" customHeight="1">
      <c r="A823" s="12" t="s">
        <v>493</v>
      </c>
      <c r="B823" s="12" t="s">
        <v>490</v>
      </c>
      <c r="C823" s="12" t="s">
        <v>484</v>
      </c>
      <c r="D823" s="12" t="s">
        <v>540</v>
      </c>
      <c r="E823" s="17">
        <v>3</v>
      </c>
      <c r="F823" s="13"/>
      <c r="G823" s="12" t="s">
        <v>1336</v>
      </c>
      <c r="H823" s="12" t="s">
        <v>1337</v>
      </c>
      <c r="I823" s="13"/>
      <c r="J823" s="12" t="s">
        <v>1335</v>
      </c>
      <c r="K823" s="12" t="s">
        <v>794</v>
      </c>
    </row>
    <row r="824" spans="1:11" ht="30" customHeight="1">
      <c r="A824" s="12" t="s">
        <v>493</v>
      </c>
      <c r="B824" s="12" t="s">
        <v>490</v>
      </c>
      <c r="C824" s="12" t="s">
        <v>484</v>
      </c>
      <c r="D824" s="12" t="s">
        <v>541</v>
      </c>
      <c r="E824" s="17">
        <v>3</v>
      </c>
      <c r="F824" s="13"/>
      <c r="G824" s="12" t="s">
        <v>1336</v>
      </c>
      <c r="H824" s="12" t="s">
        <v>1337</v>
      </c>
      <c r="I824" s="13"/>
      <c r="J824" s="12" t="s">
        <v>1335</v>
      </c>
      <c r="K824" s="12" t="s">
        <v>794</v>
      </c>
    </row>
    <row r="825" spans="1:11" ht="30" customHeight="1">
      <c r="A825" s="12" t="s">
        <v>493</v>
      </c>
      <c r="B825" s="12" t="s">
        <v>490</v>
      </c>
      <c r="C825" s="12" t="s">
        <v>484</v>
      </c>
      <c r="D825" s="12" t="s">
        <v>542</v>
      </c>
      <c r="E825" s="17">
        <v>3</v>
      </c>
      <c r="F825" s="13"/>
      <c r="G825" s="12" t="s">
        <v>1336</v>
      </c>
      <c r="H825" s="12" t="s">
        <v>1337</v>
      </c>
      <c r="I825" s="13"/>
      <c r="J825" s="12" t="s">
        <v>1335</v>
      </c>
      <c r="K825" s="12" t="s">
        <v>794</v>
      </c>
    </row>
    <row r="826" spans="1:11" ht="30" customHeight="1">
      <c r="A826" s="12" t="s">
        <v>493</v>
      </c>
      <c r="B826" s="12" t="s">
        <v>490</v>
      </c>
      <c r="C826" s="12" t="s">
        <v>484</v>
      </c>
      <c r="D826" s="12" t="s">
        <v>543</v>
      </c>
      <c r="E826" s="17">
        <v>3</v>
      </c>
      <c r="F826" s="13"/>
      <c r="G826" s="12" t="s">
        <v>1336</v>
      </c>
      <c r="H826" s="12" t="s">
        <v>1337</v>
      </c>
      <c r="I826" s="13"/>
      <c r="J826" s="12" t="s">
        <v>1335</v>
      </c>
      <c r="K826" s="12" t="s">
        <v>794</v>
      </c>
    </row>
    <row r="827" spans="1:11" ht="30" customHeight="1">
      <c r="A827" s="12" t="s">
        <v>284</v>
      </c>
      <c r="B827" s="12" t="s">
        <v>280</v>
      </c>
      <c r="C827" s="12" t="s">
        <v>484</v>
      </c>
      <c r="D827" s="12" t="s">
        <v>534</v>
      </c>
      <c r="E827" s="17">
        <v>3</v>
      </c>
      <c r="F827" s="13"/>
      <c r="G827" s="12" t="s">
        <v>1336</v>
      </c>
      <c r="H827" s="12" t="s">
        <v>1337</v>
      </c>
      <c r="I827" s="13"/>
      <c r="J827" s="12" t="s">
        <v>1335</v>
      </c>
      <c r="K827" s="12" t="s">
        <v>794</v>
      </c>
    </row>
    <row r="828" spans="1:11" ht="30" customHeight="1">
      <c r="A828" s="12" t="s">
        <v>284</v>
      </c>
      <c r="B828" s="12" t="s">
        <v>280</v>
      </c>
      <c r="C828" s="12" t="s">
        <v>484</v>
      </c>
      <c r="D828" s="12" t="s">
        <v>535</v>
      </c>
      <c r="E828" s="17">
        <v>0</v>
      </c>
      <c r="F828" s="13"/>
      <c r="G828" s="12" t="s">
        <v>1336</v>
      </c>
      <c r="H828" s="12" t="s">
        <v>1337</v>
      </c>
      <c r="I828" s="13"/>
      <c r="J828" s="12" t="s">
        <v>1335</v>
      </c>
      <c r="K828" s="12" t="s">
        <v>794</v>
      </c>
    </row>
    <row r="829" spans="1:11" ht="30" customHeight="1">
      <c r="A829" s="12" t="s">
        <v>284</v>
      </c>
      <c r="B829" s="12" t="s">
        <v>280</v>
      </c>
      <c r="C829" s="12" t="s">
        <v>484</v>
      </c>
      <c r="D829" s="12" t="s">
        <v>536</v>
      </c>
      <c r="E829" s="17">
        <v>3</v>
      </c>
      <c r="F829" s="13"/>
      <c r="G829" s="12" t="s">
        <v>1336</v>
      </c>
      <c r="H829" s="12" t="s">
        <v>1337</v>
      </c>
      <c r="I829" s="13"/>
      <c r="J829" s="12" t="s">
        <v>1335</v>
      </c>
      <c r="K829" s="12" t="s">
        <v>794</v>
      </c>
    </row>
    <row r="830" spans="1:11" ht="30" customHeight="1">
      <c r="A830" s="12" t="s">
        <v>284</v>
      </c>
      <c r="B830" s="12" t="s">
        <v>280</v>
      </c>
      <c r="C830" s="12" t="s">
        <v>484</v>
      </c>
      <c r="D830" s="12" t="s">
        <v>537</v>
      </c>
      <c r="E830" s="17">
        <v>3</v>
      </c>
      <c r="F830" s="13"/>
      <c r="G830" s="12" t="s">
        <v>1336</v>
      </c>
      <c r="H830" s="12" t="s">
        <v>1337</v>
      </c>
      <c r="I830" s="13"/>
      <c r="J830" s="12" t="s">
        <v>1335</v>
      </c>
      <c r="K830" s="12" t="s">
        <v>794</v>
      </c>
    </row>
    <row r="831" spans="1:11" ht="30" customHeight="1">
      <c r="A831" s="12" t="s">
        <v>284</v>
      </c>
      <c r="B831" s="12" t="s">
        <v>280</v>
      </c>
      <c r="C831" s="12" t="s">
        <v>484</v>
      </c>
      <c r="D831" s="12" t="s">
        <v>538</v>
      </c>
      <c r="E831" s="17">
        <v>3</v>
      </c>
      <c r="F831" s="13"/>
      <c r="G831" s="12" t="s">
        <v>1336</v>
      </c>
      <c r="H831" s="12" t="s">
        <v>1337</v>
      </c>
      <c r="I831" s="13"/>
      <c r="J831" s="12" t="s">
        <v>1335</v>
      </c>
      <c r="K831" s="12" t="s">
        <v>794</v>
      </c>
    </row>
    <row r="832" spans="1:11" ht="30" customHeight="1">
      <c r="A832" s="12" t="s">
        <v>284</v>
      </c>
      <c r="B832" s="12" t="s">
        <v>280</v>
      </c>
      <c r="C832" s="12" t="s">
        <v>484</v>
      </c>
      <c r="D832" s="12" t="s">
        <v>539</v>
      </c>
      <c r="E832" s="17">
        <v>0</v>
      </c>
      <c r="F832" s="13"/>
      <c r="G832" s="12" t="s">
        <v>1336</v>
      </c>
      <c r="H832" s="12" t="s">
        <v>1337</v>
      </c>
      <c r="I832" s="13"/>
      <c r="J832" s="12" t="s">
        <v>1335</v>
      </c>
      <c r="K832" s="12" t="s">
        <v>794</v>
      </c>
    </row>
    <row r="833" spans="1:11" ht="30" customHeight="1">
      <c r="A833" s="12" t="s">
        <v>284</v>
      </c>
      <c r="B833" s="12" t="s">
        <v>280</v>
      </c>
      <c r="C833" s="12" t="s">
        <v>484</v>
      </c>
      <c r="D833" s="12" t="s">
        <v>540</v>
      </c>
      <c r="E833" s="17">
        <v>0</v>
      </c>
      <c r="F833" s="13"/>
      <c r="G833" s="12" t="s">
        <v>1336</v>
      </c>
      <c r="H833" s="12" t="s">
        <v>1337</v>
      </c>
      <c r="I833" s="13"/>
      <c r="J833" s="12" t="s">
        <v>1335</v>
      </c>
      <c r="K833" s="12" t="s">
        <v>794</v>
      </c>
    </row>
    <row r="834" spans="1:11" ht="30" customHeight="1">
      <c r="A834" s="12" t="s">
        <v>284</v>
      </c>
      <c r="B834" s="12" t="s">
        <v>280</v>
      </c>
      <c r="C834" s="12" t="s">
        <v>484</v>
      </c>
      <c r="D834" s="12" t="s">
        <v>541</v>
      </c>
      <c r="E834" s="17">
        <v>3</v>
      </c>
      <c r="F834" s="13"/>
      <c r="G834" s="12" t="s">
        <v>1336</v>
      </c>
      <c r="H834" s="12" t="s">
        <v>1337</v>
      </c>
      <c r="I834" s="13"/>
      <c r="J834" s="12" t="s">
        <v>1335</v>
      </c>
      <c r="K834" s="12" t="s">
        <v>794</v>
      </c>
    </row>
    <row r="835" spans="1:11" ht="30" customHeight="1">
      <c r="A835" s="12" t="s">
        <v>284</v>
      </c>
      <c r="B835" s="12" t="s">
        <v>280</v>
      </c>
      <c r="C835" s="12" t="s">
        <v>484</v>
      </c>
      <c r="D835" s="12" t="s">
        <v>542</v>
      </c>
      <c r="E835" s="17">
        <v>1</v>
      </c>
      <c r="F835" s="13"/>
      <c r="G835" s="12" t="s">
        <v>1336</v>
      </c>
      <c r="H835" s="12" t="s">
        <v>1337</v>
      </c>
      <c r="I835" s="13"/>
      <c r="J835" s="12" t="s">
        <v>1335</v>
      </c>
      <c r="K835" s="12" t="s">
        <v>794</v>
      </c>
    </row>
    <row r="836" spans="1:11" ht="30" customHeight="1">
      <c r="A836" s="12" t="s">
        <v>284</v>
      </c>
      <c r="B836" s="12" t="s">
        <v>280</v>
      </c>
      <c r="C836" s="12" t="s">
        <v>484</v>
      </c>
      <c r="D836" s="12" t="s">
        <v>543</v>
      </c>
      <c r="E836" s="17">
        <v>3</v>
      </c>
      <c r="F836" s="13"/>
      <c r="G836" s="12" t="s">
        <v>1336</v>
      </c>
      <c r="H836" s="12" t="s">
        <v>1337</v>
      </c>
      <c r="I836" s="13"/>
      <c r="J836" s="12" t="s">
        <v>1335</v>
      </c>
      <c r="K836" s="12" t="s">
        <v>794</v>
      </c>
    </row>
    <row r="837" spans="1:11" ht="30" customHeight="1">
      <c r="A837" s="12" t="s">
        <v>95</v>
      </c>
      <c r="B837" s="12" t="s">
        <v>92</v>
      </c>
      <c r="C837" s="12" t="s">
        <v>29</v>
      </c>
      <c r="D837" s="12" t="s">
        <v>1338</v>
      </c>
      <c r="E837" s="17">
        <v>1</v>
      </c>
      <c r="F837" s="13"/>
      <c r="G837" s="12" t="s">
        <v>1339</v>
      </c>
      <c r="H837" s="12" t="s">
        <v>1340</v>
      </c>
      <c r="I837" s="13"/>
      <c r="J837" s="12" t="s">
        <v>1341</v>
      </c>
      <c r="K837" s="12" t="s">
        <v>1342</v>
      </c>
    </row>
    <row r="838" spans="1:11" ht="30" customHeight="1">
      <c r="A838" s="12" t="s">
        <v>95</v>
      </c>
      <c r="B838" s="12" t="s">
        <v>92</v>
      </c>
      <c r="C838" s="12" t="s">
        <v>29</v>
      </c>
      <c r="D838" s="12" t="s">
        <v>549</v>
      </c>
      <c r="E838" s="12" t="s">
        <v>32</v>
      </c>
      <c r="F838" s="13"/>
      <c r="G838" s="12" t="s">
        <v>1339</v>
      </c>
      <c r="H838" s="12" t="s">
        <v>1343</v>
      </c>
      <c r="I838" s="13"/>
      <c r="J838" s="12" t="s">
        <v>1344</v>
      </c>
      <c r="K838" s="12" t="s">
        <v>1345</v>
      </c>
    </row>
    <row r="839" spans="1:11" ht="30" customHeight="1">
      <c r="A839" s="12" t="s">
        <v>64</v>
      </c>
      <c r="B839" s="12" t="s">
        <v>60</v>
      </c>
      <c r="C839" s="12" t="s">
        <v>29</v>
      </c>
      <c r="D839" s="12" t="s">
        <v>1338</v>
      </c>
      <c r="E839" s="17">
        <v>1</v>
      </c>
      <c r="F839" s="13"/>
      <c r="G839" s="12" t="s">
        <v>1339</v>
      </c>
      <c r="H839" s="12" t="s">
        <v>1340</v>
      </c>
      <c r="I839" s="13"/>
      <c r="J839" s="12" t="s">
        <v>1346</v>
      </c>
      <c r="K839" s="12" t="s">
        <v>1342</v>
      </c>
    </row>
    <row r="840" spans="1:11" ht="30" customHeight="1">
      <c r="A840" s="12" t="s">
        <v>90</v>
      </c>
      <c r="B840" s="12" t="s">
        <v>87</v>
      </c>
      <c r="C840" s="12" t="s">
        <v>29</v>
      </c>
      <c r="D840" s="12" t="s">
        <v>1338</v>
      </c>
      <c r="E840" s="17">
        <v>1</v>
      </c>
      <c r="F840" s="13"/>
      <c r="G840" s="12" t="s">
        <v>1339</v>
      </c>
      <c r="H840" s="12" t="s">
        <v>1340</v>
      </c>
      <c r="I840" s="13"/>
      <c r="J840" s="12" t="s">
        <v>1347</v>
      </c>
      <c r="K840" s="12" t="s">
        <v>1342</v>
      </c>
    </row>
    <row r="841" spans="1:11" ht="30" customHeight="1">
      <c r="A841" s="12" t="s">
        <v>90</v>
      </c>
      <c r="B841" s="12" t="s">
        <v>87</v>
      </c>
      <c r="C841" s="12" t="s">
        <v>29</v>
      </c>
      <c r="D841" s="12" t="s">
        <v>549</v>
      </c>
      <c r="E841" s="12" t="s">
        <v>32</v>
      </c>
      <c r="F841" s="13"/>
      <c r="G841" s="12" t="s">
        <v>1339</v>
      </c>
      <c r="H841" s="12" t="s">
        <v>1343</v>
      </c>
      <c r="I841" s="13"/>
      <c r="J841" s="12" t="s">
        <v>1344</v>
      </c>
      <c r="K841" s="12" t="s">
        <v>1345</v>
      </c>
    </row>
    <row r="842" spans="1:11" ht="30" customHeight="1">
      <c r="A842" s="12" t="s">
        <v>58</v>
      </c>
      <c r="B842" s="12" t="s">
        <v>53</v>
      </c>
      <c r="C842" s="12" t="s">
        <v>29</v>
      </c>
      <c r="D842" s="12" t="s">
        <v>1338</v>
      </c>
      <c r="E842" s="17">
        <v>0</v>
      </c>
      <c r="F842" s="13"/>
      <c r="G842" s="12" t="s">
        <v>1339</v>
      </c>
      <c r="H842" s="12" t="s">
        <v>1340</v>
      </c>
      <c r="I842" s="13"/>
      <c r="J842" s="12" t="s">
        <v>1348</v>
      </c>
      <c r="K842" s="12" t="s">
        <v>1342</v>
      </c>
    </row>
    <row r="843" spans="1:11" ht="30" customHeight="1">
      <c r="A843" s="12" t="s">
        <v>51</v>
      </c>
      <c r="B843" s="12" t="s">
        <v>46</v>
      </c>
      <c r="C843" s="12" t="s">
        <v>29</v>
      </c>
      <c r="D843" s="12" t="s">
        <v>1338</v>
      </c>
      <c r="E843" s="17">
        <v>1</v>
      </c>
      <c r="F843" s="13"/>
      <c r="G843" s="12" t="s">
        <v>1339</v>
      </c>
      <c r="H843" s="12" t="s">
        <v>1340</v>
      </c>
      <c r="I843" s="13"/>
      <c r="J843" s="12" t="s">
        <v>1349</v>
      </c>
      <c r="K843" s="12" t="s">
        <v>1342</v>
      </c>
    </row>
    <row r="844" spans="1:11" ht="30" customHeight="1">
      <c r="A844" s="12" t="s">
        <v>51</v>
      </c>
      <c r="B844" s="12" t="s">
        <v>46</v>
      </c>
      <c r="C844" s="12" t="s">
        <v>29</v>
      </c>
      <c r="D844" s="12" t="s">
        <v>549</v>
      </c>
      <c r="E844" s="12" t="s">
        <v>32</v>
      </c>
      <c r="F844" s="13"/>
      <c r="G844" s="12" t="s">
        <v>1339</v>
      </c>
      <c r="H844" s="12" t="s">
        <v>1343</v>
      </c>
      <c r="I844" s="13"/>
      <c r="J844" s="12" t="s">
        <v>1344</v>
      </c>
      <c r="K844" s="12" t="s">
        <v>1345</v>
      </c>
    </row>
    <row r="845" spans="1:11" ht="30" customHeight="1">
      <c r="A845" s="12" t="s">
        <v>77</v>
      </c>
      <c r="B845" s="12" t="s">
        <v>72</v>
      </c>
      <c r="C845" s="12" t="s">
        <v>29</v>
      </c>
      <c r="D845" s="12" t="s">
        <v>1338</v>
      </c>
      <c r="E845" s="17">
        <v>0</v>
      </c>
      <c r="F845" s="13"/>
      <c r="G845" s="12" t="s">
        <v>1339</v>
      </c>
      <c r="H845" s="12" t="s">
        <v>1340</v>
      </c>
      <c r="I845" s="13"/>
      <c r="J845" s="12" t="s">
        <v>1350</v>
      </c>
      <c r="K845" s="12" t="s">
        <v>1342</v>
      </c>
    </row>
    <row r="846" spans="1:11" ht="30" customHeight="1">
      <c r="A846" s="12" t="s">
        <v>85</v>
      </c>
      <c r="B846" s="12" t="s">
        <v>81</v>
      </c>
      <c r="C846" s="12" t="s">
        <v>29</v>
      </c>
      <c r="D846" s="12" t="s">
        <v>1338</v>
      </c>
      <c r="E846" s="17">
        <v>1</v>
      </c>
      <c r="F846" s="13"/>
      <c r="G846" s="12" t="s">
        <v>1339</v>
      </c>
      <c r="H846" s="12" t="s">
        <v>1340</v>
      </c>
      <c r="I846" s="13"/>
      <c r="J846" s="12" t="s">
        <v>1351</v>
      </c>
      <c r="K846" s="12" t="s">
        <v>1342</v>
      </c>
    </row>
    <row r="847" spans="1:11" ht="30" customHeight="1">
      <c r="A847" s="12" t="s">
        <v>39</v>
      </c>
      <c r="B847" s="12" t="s">
        <v>28</v>
      </c>
      <c r="C847" s="12" t="s">
        <v>29</v>
      </c>
      <c r="D847" s="12" t="s">
        <v>1338</v>
      </c>
      <c r="E847" s="17">
        <v>0</v>
      </c>
      <c r="F847" s="13"/>
      <c r="G847" s="12" t="s">
        <v>1339</v>
      </c>
      <c r="H847" s="12" t="s">
        <v>1340</v>
      </c>
      <c r="I847" s="13"/>
      <c r="J847" s="12" t="s">
        <v>1352</v>
      </c>
      <c r="K847" s="12" t="s">
        <v>1342</v>
      </c>
    </row>
    <row r="848" spans="1:11" ht="30" customHeight="1">
      <c r="A848" s="12" t="s">
        <v>39</v>
      </c>
      <c r="B848" s="12" t="s">
        <v>28</v>
      </c>
      <c r="C848" s="12" t="s">
        <v>29</v>
      </c>
      <c r="D848" s="12" t="s">
        <v>549</v>
      </c>
      <c r="E848" s="12" t="s">
        <v>32</v>
      </c>
      <c r="F848" s="13"/>
      <c r="G848" s="12" t="s">
        <v>1339</v>
      </c>
      <c r="H848" s="12" t="s">
        <v>1343</v>
      </c>
      <c r="I848" s="13"/>
      <c r="J848" s="12" t="s">
        <v>1344</v>
      </c>
      <c r="K848" s="12" t="s">
        <v>1345</v>
      </c>
    </row>
    <row r="849" spans="1:11" ht="30" customHeight="1">
      <c r="A849" s="12" t="s">
        <v>70</v>
      </c>
      <c r="B849" s="12" t="s">
        <v>66</v>
      </c>
      <c r="C849" s="12" t="s">
        <v>29</v>
      </c>
      <c r="D849" s="12" t="s">
        <v>1338</v>
      </c>
      <c r="E849" s="17">
        <v>0</v>
      </c>
      <c r="F849" s="13"/>
      <c r="G849" s="12" t="s">
        <v>1339</v>
      </c>
      <c r="H849" s="12" t="s">
        <v>1340</v>
      </c>
      <c r="I849" s="13"/>
      <c r="J849" s="12" t="s">
        <v>1353</v>
      </c>
      <c r="K849" s="12" t="s">
        <v>1342</v>
      </c>
    </row>
    <row r="850" spans="1:11" ht="30" customHeight="1">
      <c r="A850" s="12" t="s">
        <v>95</v>
      </c>
      <c r="B850" s="12" t="s">
        <v>92</v>
      </c>
      <c r="C850" s="12" t="s">
        <v>29</v>
      </c>
      <c r="D850" s="12" t="s">
        <v>555</v>
      </c>
      <c r="E850" s="17">
        <v>1</v>
      </c>
      <c r="F850" s="13"/>
      <c r="G850" s="12" t="s">
        <v>1339</v>
      </c>
      <c r="H850" s="12" t="s">
        <v>1354</v>
      </c>
      <c r="I850" s="13"/>
      <c r="J850" s="12" t="s">
        <v>1355</v>
      </c>
      <c r="K850" s="12" t="s">
        <v>1356</v>
      </c>
    </row>
    <row r="851" spans="1:11" ht="30" customHeight="1">
      <c r="A851" s="12" t="s">
        <v>64</v>
      </c>
      <c r="B851" s="12" t="s">
        <v>60</v>
      </c>
      <c r="C851" s="12" t="s">
        <v>29</v>
      </c>
      <c r="D851" s="12" t="s">
        <v>555</v>
      </c>
      <c r="E851" s="17">
        <v>1</v>
      </c>
      <c r="F851" s="13"/>
      <c r="G851" s="12" t="s">
        <v>1339</v>
      </c>
      <c r="H851" s="12" t="s">
        <v>1354</v>
      </c>
      <c r="I851" s="13"/>
      <c r="J851" s="12" t="s">
        <v>1355</v>
      </c>
      <c r="K851" s="12" t="s">
        <v>1356</v>
      </c>
    </row>
    <row r="852" spans="1:11" ht="30" customHeight="1">
      <c r="A852" s="12" t="s">
        <v>95</v>
      </c>
      <c r="B852" s="12" t="s">
        <v>92</v>
      </c>
      <c r="C852" s="12" t="s">
        <v>29</v>
      </c>
      <c r="D852" s="12" t="s">
        <v>1357</v>
      </c>
      <c r="E852" s="17">
        <v>0.07743589202645541</v>
      </c>
      <c r="F852" s="13"/>
      <c r="G852" s="12" t="s">
        <v>1358</v>
      </c>
      <c r="H852" s="12" t="s">
        <v>1359</v>
      </c>
      <c r="I852" s="13"/>
      <c r="J852" s="12" t="s">
        <v>1360</v>
      </c>
      <c r="K852" s="12" t="s">
        <v>1361</v>
      </c>
    </row>
    <row r="853" spans="1:11" ht="30" customHeight="1">
      <c r="A853" s="12" t="s">
        <v>64</v>
      </c>
      <c r="B853" s="12" t="s">
        <v>60</v>
      </c>
      <c r="C853" s="12" t="s">
        <v>29</v>
      </c>
      <c r="D853" s="12" t="s">
        <v>1357</v>
      </c>
      <c r="E853" s="17">
        <v>0.08518308489954633</v>
      </c>
      <c r="F853" s="13"/>
      <c r="G853" s="12" t="s">
        <v>1358</v>
      </c>
      <c r="H853" s="12" t="s">
        <v>1362</v>
      </c>
      <c r="I853" s="13"/>
      <c r="J853" s="12" t="s">
        <v>1360</v>
      </c>
      <c r="K853" s="12" t="s">
        <v>1361</v>
      </c>
    </row>
    <row r="854" spans="1:11" ht="30" customHeight="1">
      <c r="A854" s="12" t="s">
        <v>90</v>
      </c>
      <c r="B854" s="12" t="s">
        <v>87</v>
      </c>
      <c r="C854" s="12" t="s">
        <v>29</v>
      </c>
      <c r="D854" s="12" t="s">
        <v>1357</v>
      </c>
      <c r="E854" s="17">
        <v>0.07562137867547518</v>
      </c>
      <c r="F854" s="13"/>
      <c r="G854" s="12" t="s">
        <v>1358</v>
      </c>
      <c r="H854" s="12" t="s">
        <v>1363</v>
      </c>
      <c r="I854" s="13"/>
      <c r="J854" s="12" t="s">
        <v>1360</v>
      </c>
      <c r="K854" s="12" t="s">
        <v>1361</v>
      </c>
    </row>
    <row r="855" spans="1:11" ht="30" customHeight="1">
      <c r="A855" s="12" t="s">
        <v>58</v>
      </c>
      <c r="B855" s="12" t="s">
        <v>53</v>
      </c>
      <c r="C855" s="12" t="s">
        <v>29</v>
      </c>
      <c r="D855" s="12" t="s">
        <v>1357</v>
      </c>
      <c r="E855" s="17">
        <v>0.07128110398783005</v>
      </c>
      <c r="F855" s="13"/>
      <c r="G855" s="12" t="s">
        <v>1358</v>
      </c>
      <c r="H855" s="12" t="s">
        <v>1364</v>
      </c>
      <c r="I855" s="13"/>
      <c r="J855" s="12" t="s">
        <v>1360</v>
      </c>
      <c r="K855" s="12" t="s">
        <v>1361</v>
      </c>
    </row>
    <row r="856" spans="1:11" ht="30" customHeight="1">
      <c r="A856" s="12" t="s">
        <v>51</v>
      </c>
      <c r="B856" s="12" t="s">
        <v>46</v>
      </c>
      <c r="C856" s="12" t="s">
        <v>29</v>
      </c>
      <c r="D856" s="12" t="s">
        <v>1357</v>
      </c>
      <c r="E856" s="17">
        <v>0.09559512652296158</v>
      </c>
      <c r="F856" s="13"/>
      <c r="G856" s="12" t="s">
        <v>1358</v>
      </c>
      <c r="H856" s="12" t="s">
        <v>1365</v>
      </c>
      <c r="I856" s="13"/>
      <c r="J856" s="12" t="s">
        <v>1360</v>
      </c>
      <c r="K856" s="12" t="s">
        <v>1361</v>
      </c>
    </row>
    <row r="857" spans="1:11" ht="30" customHeight="1">
      <c r="A857" s="12" t="s">
        <v>77</v>
      </c>
      <c r="B857" s="12" t="s">
        <v>72</v>
      </c>
      <c r="C857" s="12" t="s">
        <v>29</v>
      </c>
      <c r="D857" s="12" t="s">
        <v>1357</v>
      </c>
      <c r="E857" s="17">
        <v>0.1103401590793704</v>
      </c>
      <c r="F857" s="13"/>
      <c r="G857" s="12" t="s">
        <v>1358</v>
      </c>
      <c r="H857" s="12" t="s">
        <v>1366</v>
      </c>
      <c r="I857" s="13"/>
      <c r="J857" s="12" t="s">
        <v>1360</v>
      </c>
      <c r="K857" s="12" t="s">
        <v>1361</v>
      </c>
    </row>
    <row r="858" spans="1:11" ht="30" customHeight="1">
      <c r="A858" s="12" t="s">
        <v>85</v>
      </c>
      <c r="B858" s="12" t="s">
        <v>81</v>
      </c>
      <c r="C858" s="12" t="s">
        <v>29</v>
      </c>
      <c r="D858" s="12" t="s">
        <v>1357</v>
      </c>
      <c r="E858" s="17">
        <v>0.1825095057034221</v>
      </c>
      <c r="F858" s="13"/>
      <c r="G858" s="12" t="s">
        <v>1358</v>
      </c>
      <c r="H858" s="12" t="s">
        <v>1367</v>
      </c>
      <c r="I858" s="13"/>
      <c r="J858" s="12" t="s">
        <v>1360</v>
      </c>
      <c r="K858" s="12" t="s">
        <v>1361</v>
      </c>
    </row>
    <row r="859" spans="1:11" ht="30" customHeight="1">
      <c r="A859" s="12" t="s">
        <v>39</v>
      </c>
      <c r="B859" s="12" t="s">
        <v>28</v>
      </c>
      <c r="C859" s="12" t="s">
        <v>29</v>
      </c>
      <c r="D859" s="12" t="s">
        <v>1357</v>
      </c>
      <c r="E859" s="17">
        <v>0.1792556634304207</v>
      </c>
      <c r="F859" s="13"/>
      <c r="G859" s="12" t="s">
        <v>1358</v>
      </c>
      <c r="H859" s="12" t="s">
        <v>1368</v>
      </c>
      <c r="I859" s="13"/>
      <c r="J859" s="12" t="s">
        <v>1360</v>
      </c>
      <c r="K859" s="12" t="s">
        <v>1361</v>
      </c>
    </row>
    <row r="860" spans="1:11" ht="30" customHeight="1">
      <c r="A860" s="12" t="s">
        <v>70</v>
      </c>
      <c r="B860" s="12" t="s">
        <v>66</v>
      </c>
      <c r="C860" s="12" t="s">
        <v>29</v>
      </c>
      <c r="D860" s="12" t="s">
        <v>1357</v>
      </c>
      <c r="E860" s="17">
        <v>0.04337899543378995</v>
      </c>
      <c r="F860" s="13"/>
      <c r="G860" s="12" t="s">
        <v>1358</v>
      </c>
      <c r="H860" s="12" t="s">
        <v>1369</v>
      </c>
      <c r="I860" s="13"/>
      <c r="J860" s="12" t="s">
        <v>1360</v>
      </c>
      <c r="K860" s="12" t="s">
        <v>1361</v>
      </c>
    </row>
    <row r="861" spans="1:11" ht="30" customHeight="1">
      <c r="A861" s="12" t="s">
        <v>139</v>
      </c>
      <c r="B861" s="12" t="s">
        <v>135</v>
      </c>
      <c r="C861" s="12" t="s">
        <v>98</v>
      </c>
      <c r="D861" s="12" t="s">
        <v>554</v>
      </c>
      <c r="E861" s="17">
        <v>0.0025</v>
      </c>
      <c r="F861" s="13"/>
      <c r="G861" s="12" t="s">
        <v>1370</v>
      </c>
      <c r="H861" s="12" t="s">
        <v>1371</v>
      </c>
      <c r="I861" s="13"/>
      <c r="J861" s="12" t="s">
        <v>1372</v>
      </c>
      <c r="K861" s="12" t="s">
        <v>1373</v>
      </c>
    </row>
    <row r="862" spans="1:11" ht="30" customHeight="1">
      <c r="A862" s="12" t="s">
        <v>109</v>
      </c>
      <c r="B862" s="12" t="s">
        <v>105</v>
      </c>
      <c r="C862" s="12" t="s">
        <v>98</v>
      </c>
      <c r="D862" s="12" t="s">
        <v>554</v>
      </c>
      <c r="E862" s="17">
        <v>0</v>
      </c>
      <c r="F862" s="13"/>
      <c r="G862" s="12" t="s">
        <v>1370</v>
      </c>
      <c r="H862" s="12" t="s">
        <v>1371</v>
      </c>
      <c r="I862" s="13"/>
      <c r="J862" s="12" t="s">
        <v>1372</v>
      </c>
      <c r="K862" s="12" t="s">
        <v>1373</v>
      </c>
    </row>
    <row r="863" spans="1:11" ht="30" customHeight="1">
      <c r="A863" s="12" t="s">
        <v>102</v>
      </c>
      <c r="B863" s="12" t="s">
        <v>97</v>
      </c>
      <c r="C863" s="12" t="s">
        <v>98</v>
      </c>
      <c r="D863" s="12" t="s">
        <v>554</v>
      </c>
      <c r="E863" s="17">
        <v>0</v>
      </c>
      <c r="F863" s="13"/>
      <c r="G863" s="12" t="s">
        <v>1370</v>
      </c>
      <c r="H863" s="12" t="s">
        <v>1371</v>
      </c>
      <c r="I863" s="13"/>
      <c r="J863" s="12" t="s">
        <v>1372</v>
      </c>
      <c r="K863" s="12" t="s">
        <v>1373</v>
      </c>
    </row>
    <row r="864" spans="1:11" ht="30" customHeight="1">
      <c r="A864" s="12" t="s">
        <v>133</v>
      </c>
      <c r="B864" s="12" t="s">
        <v>129</v>
      </c>
      <c r="C864" s="12" t="s">
        <v>98</v>
      </c>
      <c r="D864" s="12" t="s">
        <v>554</v>
      </c>
      <c r="E864" s="17">
        <v>0</v>
      </c>
      <c r="F864" s="13"/>
      <c r="G864" s="12" t="s">
        <v>1370</v>
      </c>
      <c r="H864" s="12" t="s">
        <v>1371</v>
      </c>
      <c r="I864" s="13"/>
      <c r="J864" s="12" t="s">
        <v>1372</v>
      </c>
      <c r="K864" s="12" t="s">
        <v>1373</v>
      </c>
    </row>
    <row r="865" spans="1:11" ht="30" customHeight="1">
      <c r="A865" s="12" t="s">
        <v>127</v>
      </c>
      <c r="B865" s="12" t="s">
        <v>123</v>
      </c>
      <c r="C865" s="12" t="s">
        <v>98</v>
      </c>
      <c r="D865" s="12" t="s">
        <v>554</v>
      </c>
      <c r="E865" s="17">
        <v>0</v>
      </c>
      <c r="F865" s="13"/>
      <c r="G865" s="12" t="s">
        <v>1370</v>
      </c>
      <c r="H865" s="12" t="s">
        <v>1371</v>
      </c>
      <c r="I865" s="13"/>
      <c r="J865" s="12" t="s">
        <v>1372</v>
      </c>
      <c r="K865" s="12" t="s">
        <v>1373</v>
      </c>
    </row>
    <row r="866" spans="1:11" ht="30" customHeight="1">
      <c r="A866" s="12" t="s">
        <v>115</v>
      </c>
      <c r="B866" s="12" t="s">
        <v>111</v>
      </c>
      <c r="C866" s="12" t="s">
        <v>98</v>
      </c>
      <c r="D866" s="12" t="s">
        <v>553</v>
      </c>
      <c r="E866" s="17">
        <v>1</v>
      </c>
      <c r="F866" s="13"/>
      <c r="G866" s="12" t="s">
        <v>1370</v>
      </c>
      <c r="H866" s="12" t="s">
        <v>1374</v>
      </c>
      <c r="I866" s="13"/>
      <c r="J866" s="12" t="s">
        <v>1375</v>
      </c>
      <c r="K866" s="12" t="s">
        <v>1376</v>
      </c>
    </row>
    <row r="867" spans="1:11" ht="30" customHeight="1">
      <c r="A867" s="12" t="s">
        <v>133</v>
      </c>
      <c r="B867" s="12" t="s">
        <v>129</v>
      </c>
      <c r="C867" s="12" t="s">
        <v>98</v>
      </c>
      <c r="D867" s="12" t="s">
        <v>553</v>
      </c>
      <c r="E867" s="17">
        <v>1</v>
      </c>
      <c r="F867" s="13"/>
      <c r="G867" s="12" t="s">
        <v>1370</v>
      </c>
      <c r="H867" s="12" t="s">
        <v>1374</v>
      </c>
      <c r="I867" s="13"/>
      <c r="J867" s="12" t="s">
        <v>1375</v>
      </c>
      <c r="K867" s="12" t="s">
        <v>1376</v>
      </c>
    </row>
    <row r="868" spans="1:11" ht="30" customHeight="1">
      <c r="A868" s="12" t="s">
        <v>102</v>
      </c>
      <c r="B868" s="12" t="s">
        <v>97</v>
      </c>
      <c r="C868" s="12" t="s">
        <v>98</v>
      </c>
      <c r="D868" s="12" t="s">
        <v>553</v>
      </c>
      <c r="E868" s="17">
        <v>1</v>
      </c>
      <c r="F868" s="13"/>
      <c r="G868" s="12" t="s">
        <v>1370</v>
      </c>
      <c r="H868" s="12" t="s">
        <v>1374</v>
      </c>
      <c r="I868" s="13"/>
      <c r="J868" s="12" t="s">
        <v>1375</v>
      </c>
      <c r="K868" s="12" t="s">
        <v>1376</v>
      </c>
    </row>
    <row r="869" spans="1:11" ht="30" customHeight="1">
      <c r="A869" s="12" t="s">
        <v>121</v>
      </c>
      <c r="B869" s="12" t="s">
        <v>117</v>
      </c>
      <c r="C869" s="12" t="s">
        <v>98</v>
      </c>
      <c r="D869" s="12" t="s">
        <v>553</v>
      </c>
      <c r="E869" s="17">
        <v>1</v>
      </c>
      <c r="F869" s="13"/>
      <c r="G869" s="12" t="s">
        <v>1370</v>
      </c>
      <c r="H869" s="12" t="s">
        <v>1374</v>
      </c>
      <c r="I869" s="13"/>
      <c r="J869" s="12" t="s">
        <v>1375</v>
      </c>
      <c r="K869" s="12" t="s">
        <v>1376</v>
      </c>
    </row>
    <row r="870" spans="1:11" ht="30" customHeight="1">
      <c r="A870" s="12" t="s">
        <v>139</v>
      </c>
      <c r="B870" s="12" t="s">
        <v>135</v>
      </c>
      <c r="C870" s="12" t="s">
        <v>98</v>
      </c>
      <c r="D870" s="12" t="s">
        <v>553</v>
      </c>
      <c r="E870" s="17">
        <v>1</v>
      </c>
      <c r="F870" s="13"/>
      <c r="G870" s="12" t="s">
        <v>1370</v>
      </c>
      <c r="H870" s="12" t="s">
        <v>1374</v>
      </c>
      <c r="I870" s="13"/>
      <c r="J870" s="12" t="s">
        <v>1375</v>
      </c>
      <c r="K870" s="12" t="s">
        <v>1376</v>
      </c>
    </row>
    <row r="871" spans="1:11" ht="30" customHeight="1">
      <c r="A871" s="12" t="s">
        <v>109</v>
      </c>
      <c r="B871" s="12" t="s">
        <v>105</v>
      </c>
      <c r="C871" s="12" t="s">
        <v>98</v>
      </c>
      <c r="D871" s="12" t="s">
        <v>553</v>
      </c>
      <c r="E871" s="17">
        <v>1</v>
      </c>
      <c r="F871" s="13"/>
      <c r="G871" s="12" t="s">
        <v>1370</v>
      </c>
      <c r="H871" s="12" t="s">
        <v>1374</v>
      </c>
      <c r="I871" s="13"/>
      <c r="J871" s="12" t="s">
        <v>1375</v>
      </c>
      <c r="K871" s="12" t="s">
        <v>1376</v>
      </c>
    </row>
    <row r="872" spans="1:11" ht="30" customHeight="1">
      <c r="A872" s="12" t="s">
        <v>127</v>
      </c>
      <c r="B872" s="12" t="s">
        <v>123</v>
      </c>
      <c r="C872" s="12" t="s">
        <v>98</v>
      </c>
      <c r="D872" s="12" t="s">
        <v>553</v>
      </c>
      <c r="E872" s="17">
        <v>1</v>
      </c>
      <c r="F872" s="13"/>
      <c r="G872" s="12" t="s">
        <v>1370</v>
      </c>
      <c r="H872" s="12" t="s">
        <v>1374</v>
      </c>
      <c r="I872" s="13"/>
      <c r="J872" s="12" t="s">
        <v>1375</v>
      </c>
      <c r="K872" s="12" t="s">
        <v>1376</v>
      </c>
    </row>
    <row r="873" spans="1:11" ht="30" customHeight="1">
      <c r="A873" s="12" t="s">
        <v>115</v>
      </c>
      <c r="B873" s="12" t="s">
        <v>111</v>
      </c>
      <c r="C873" s="12" t="s">
        <v>98</v>
      </c>
      <c r="D873" s="12" t="s">
        <v>1377</v>
      </c>
      <c r="E873" s="17">
        <v>12</v>
      </c>
      <c r="F873" s="13"/>
      <c r="G873" s="12" t="s">
        <v>1370</v>
      </c>
      <c r="H873" s="12" t="s">
        <v>1378</v>
      </c>
      <c r="I873" s="13"/>
      <c r="J873" s="12" t="s">
        <v>1379</v>
      </c>
      <c r="K873" s="12" t="s">
        <v>1380</v>
      </c>
    </row>
    <row r="874" spans="1:11" ht="30" customHeight="1">
      <c r="A874" s="12" t="s">
        <v>139</v>
      </c>
      <c r="B874" s="12" t="s">
        <v>135</v>
      </c>
      <c r="C874" s="12" t="s">
        <v>98</v>
      </c>
      <c r="D874" s="12" t="s">
        <v>1377</v>
      </c>
      <c r="E874" s="17">
        <v>49</v>
      </c>
      <c r="F874" s="13"/>
      <c r="G874" s="12" t="s">
        <v>1370</v>
      </c>
      <c r="H874" s="12" t="s">
        <v>1378</v>
      </c>
      <c r="I874" s="13"/>
      <c r="J874" s="12" t="s">
        <v>1381</v>
      </c>
      <c r="K874" s="12" t="s">
        <v>1380</v>
      </c>
    </row>
    <row r="875" spans="1:11" ht="30" customHeight="1">
      <c r="A875" s="12" t="s">
        <v>133</v>
      </c>
      <c r="B875" s="12" t="s">
        <v>129</v>
      </c>
      <c r="C875" s="12" t="s">
        <v>98</v>
      </c>
      <c r="D875" s="12" t="s">
        <v>1377</v>
      </c>
      <c r="E875" s="17">
        <v>7</v>
      </c>
      <c r="F875" s="13"/>
      <c r="G875" s="12" t="s">
        <v>1382</v>
      </c>
      <c r="H875" s="12" t="s">
        <v>1383</v>
      </c>
      <c r="I875" s="13"/>
      <c r="J875" s="12" t="s">
        <v>1384</v>
      </c>
      <c r="K875" s="12" t="s">
        <v>1380</v>
      </c>
    </row>
    <row r="876" spans="1:11" ht="30" customHeight="1">
      <c r="A876" s="12" t="s">
        <v>109</v>
      </c>
      <c r="B876" s="12" t="s">
        <v>105</v>
      </c>
      <c r="C876" s="12" t="s">
        <v>98</v>
      </c>
      <c r="D876" s="12" t="s">
        <v>556</v>
      </c>
      <c r="E876" s="17">
        <v>1</v>
      </c>
      <c r="F876" s="13"/>
      <c r="G876" s="12" t="s">
        <v>1370</v>
      </c>
      <c r="H876" s="12" t="s">
        <v>1378</v>
      </c>
      <c r="I876" s="13"/>
      <c r="J876" s="12" t="s">
        <v>1385</v>
      </c>
      <c r="K876" s="12" t="s">
        <v>1386</v>
      </c>
    </row>
    <row r="877" spans="1:11" ht="30" customHeight="1">
      <c r="A877" s="12" t="s">
        <v>102</v>
      </c>
      <c r="B877" s="12" t="s">
        <v>97</v>
      </c>
      <c r="C877" s="12" t="s">
        <v>98</v>
      </c>
      <c r="D877" s="12" t="s">
        <v>556</v>
      </c>
      <c r="E877" s="17">
        <v>1</v>
      </c>
      <c r="F877" s="13"/>
      <c r="G877" s="12" t="s">
        <v>1370</v>
      </c>
      <c r="H877" s="12" t="s">
        <v>1378</v>
      </c>
      <c r="I877" s="13"/>
      <c r="J877" s="12" t="s">
        <v>1385</v>
      </c>
      <c r="K877" s="12" t="s">
        <v>1386</v>
      </c>
    </row>
    <row r="878" spans="1:11" ht="30" customHeight="1">
      <c r="A878" s="12" t="s">
        <v>115</v>
      </c>
      <c r="B878" s="12" t="s">
        <v>111</v>
      </c>
      <c r="C878" s="12" t="s">
        <v>98</v>
      </c>
      <c r="D878" s="12" t="s">
        <v>1387</v>
      </c>
      <c r="E878" s="12" t="s">
        <v>1388</v>
      </c>
      <c r="F878" s="13"/>
      <c r="G878" s="12" t="s">
        <v>1370</v>
      </c>
      <c r="H878" s="12" t="s">
        <v>1389</v>
      </c>
      <c r="I878" s="13"/>
      <c r="J878" s="12" t="s">
        <v>1390</v>
      </c>
      <c r="K878" s="12" t="s">
        <v>1391</v>
      </c>
    </row>
    <row r="879" spans="1:11" ht="30" customHeight="1">
      <c r="A879" s="12" t="s">
        <v>121</v>
      </c>
      <c r="B879" s="12" t="s">
        <v>117</v>
      </c>
      <c r="C879" s="12" t="s">
        <v>98</v>
      </c>
      <c r="D879" s="12" t="s">
        <v>1387</v>
      </c>
      <c r="E879" s="12" t="s">
        <v>1392</v>
      </c>
      <c r="F879" s="13"/>
      <c r="G879" s="12" t="s">
        <v>1370</v>
      </c>
      <c r="H879" s="12" t="s">
        <v>1389</v>
      </c>
      <c r="I879" s="13"/>
      <c r="J879" s="12" t="s">
        <v>1393</v>
      </c>
      <c r="K879" s="12" t="s">
        <v>1391</v>
      </c>
    </row>
    <row r="880" spans="1:11" ht="30" customHeight="1">
      <c r="A880" s="12" t="s">
        <v>379</v>
      </c>
      <c r="B880" s="12" t="s">
        <v>373</v>
      </c>
      <c r="C880" s="12" t="s">
        <v>374</v>
      </c>
      <c r="D880" s="12" t="s">
        <v>1394</v>
      </c>
      <c r="E880" s="17">
        <v>44.97</v>
      </c>
      <c r="F880" s="13"/>
      <c r="G880" s="12" t="s">
        <v>1395</v>
      </c>
      <c r="H880" s="12" t="s">
        <v>1396</v>
      </c>
      <c r="I880" s="13"/>
      <c r="J880" s="12" t="s">
        <v>1397</v>
      </c>
      <c r="K880" s="12" t="s">
        <v>1398</v>
      </c>
    </row>
    <row r="881" spans="1:11" ht="30" customHeight="1">
      <c r="A881" s="12" t="s">
        <v>386</v>
      </c>
      <c r="B881" s="12" t="s">
        <v>382</v>
      </c>
      <c r="C881" s="12" t="s">
        <v>374</v>
      </c>
      <c r="D881" s="12" t="s">
        <v>1394</v>
      </c>
      <c r="E881" s="17">
        <v>96.40000000000001</v>
      </c>
      <c r="F881" s="13"/>
      <c r="G881" s="12" t="s">
        <v>1395</v>
      </c>
      <c r="H881" s="12" t="s">
        <v>1399</v>
      </c>
      <c r="I881" s="13"/>
      <c r="J881" s="12" t="s">
        <v>1400</v>
      </c>
      <c r="K881" s="12" t="s">
        <v>1398</v>
      </c>
    </row>
    <row r="882" spans="1:11" ht="30" customHeight="1">
      <c r="A882" s="12" t="s">
        <v>427</v>
      </c>
      <c r="B882" s="12" t="s">
        <v>424</v>
      </c>
      <c r="C882" s="12" t="s">
        <v>374</v>
      </c>
      <c r="D882" s="12" t="s">
        <v>1394</v>
      </c>
      <c r="E882" s="17">
        <v>980.02</v>
      </c>
      <c r="F882" s="13"/>
      <c r="G882" s="12" t="s">
        <v>1395</v>
      </c>
      <c r="H882" s="12" t="s">
        <v>1401</v>
      </c>
      <c r="I882" s="13"/>
      <c r="J882" s="12" t="s">
        <v>1402</v>
      </c>
      <c r="K882" s="12" t="s">
        <v>1398</v>
      </c>
    </row>
    <row r="883" spans="1:11" ht="30" customHeight="1">
      <c r="A883" s="12" t="s">
        <v>402</v>
      </c>
      <c r="B883" s="12" t="s">
        <v>399</v>
      </c>
      <c r="C883" s="12" t="s">
        <v>374</v>
      </c>
      <c r="D883" s="12" t="s">
        <v>1394</v>
      </c>
      <c r="E883" s="17">
        <v>170.59</v>
      </c>
      <c r="F883" s="13"/>
      <c r="G883" s="12" t="s">
        <v>1395</v>
      </c>
      <c r="H883" s="12" t="s">
        <v>1403</v>
      </c>
      <c r="I883" s="13"/>
      <c r="J883" s="12" t="s">
        <v>1404</v>
      </c>
      <c r="K883" s="12" t="s">
        <v>1398</v>
      </c>
    </row>
    <row r="884" spans="1:11" ht="30" customHeight="1">
      <c r="A884" s="12" t="s">
        <v>407</v>
      </c>
      <c r="B884" s="12" t="s">
        <v>404</v>
      </c>
      <c r="C884" s="12" t="s">
        <v>374</v>
      </c>
      <c r="D884" s="12" t="s">
        <v>1394</v>
      </c>
      <c r="E884" s="17">
        <v>114039.77</v>
      </c>
      <c r="F884" s="13"/>
      <c r="G884" s="12" t="s">
        <v>1395</v>
      </c>
      <c r="H884" s="12" t="s">
        <v>1405</v>
      </c>
      <c r="I884" s="13"/>
      <c r="J884" s="12" t="s">
        <v>1406</v>
      </c>
      <c r="K884" s="12" t="s">
        <v>1398</v>
      </c>
    </row>
    <row r="885" spans="1:11" ht="30" customHeight="1">
      <c r="A885" s="12" t="s">
        <v>392</v>
      </c>
      <c r="B885" s="12" t="s">
        <v>388</v>
      </c>
      <c r="C885" s="12" t="s">
        <v>374</v>
      </c>
      <c r="D885" s="12" t="s">
        <v>1394</v>
      </c>
      <c r="E885" s="17">
        <v>4598.71</v>
      </c>
      <c r="F885" s="13"/>
      <c r="G885" s="12" t="s">
        <v>1395</v>
      </c>
      <c r="H885" s="12" t="s">
        <v>1407</v>
      </c>
      <c r="I885" s="13"/>
      <c r="J885" s="12" t="s">
        <v>1408</v>
      </c>
      <c r="K885" s="12" t="s">
        <v>1398</v>
      </c>
    </row>
    <row r="886" spans="1:11" ht="30" customHeight="1">
      <c r="A886" s="12" t="s">
        <v>412</v>
      </c>
      <c r="B886" s="12" t="s">
        <v>409</v>
      </c>
      <c r="C886" s="12" t="s">
        <v>374</v>
      </c>
      <c r="D886" s="12" t="s">
        <v>1394</v>
      </c>
      <c r="E886" s="17">
        <v>7679.9</v>
      </c>
      <c r="F886" s="13"/>
      <c r="G886" s="12" t="s">
        <v>1395</v>
      </c>
      <c r="H886" s="12" t="s">
        <v>1409</v>
      </c>
      <c r="I886" s="13"/>
      <c r="J886" s="12" t="s">
        <v>1410</v>
      </c>
      <c r="K886" s="12" t="s">
        <v>1398</v>
      </c>
    </row>
    <row r="887" spans="1:11" ht="30" customHeight="1">
      <c r="A887" s="12" t="s">
        <v>397</v>
      </c>
      <c r="B887" s="12" t="s">
        <v>394</v>
      </c>
      <c r="C887" s="12" t="s">
        <v>374</v>
      </c>
      <c r="D887" s="12" t="s">
        <v>1394</v>
      </c>
      <c r="E887" s="17">
        <v>10656.46</v>
      </c>
      <c r="F887" s="13"/>
      <c r="G887" s="12" t="s">
        <v>1395</v>
      </c>
      <c r="H887" s="12" t="s">
        <v>1411</v>
      </c>
      <c r="I887" s="13"/>
      <c r="J887" s="12" t="s">
        <v>1412</v>
      </c>
      <c r="K887" s="12" t="s">
        <v>1398</v>
      </c>
    </row>
    <row r="888" spans="1:11" ht="30" customHeight="1">
      <c r="A888" s="12" t="s">
        <v>417</v>
      </c>
      <c r="B888" s="12" t="s">
        <v>414</v>
      </c>
      <c r="C888" s="12" t="s">
        <v>374</v>
      </c>
      <c r="D888" s="12" t="s">
        <v>1394</v>
      </c>
      <c r="E888" s="17">
        <v>872.77</v>
      </c>
      <c r="F888" s="13"/>
      <c r="G888" s="12" t="s">
        <v>1395</v>
      </c>
      <c r="H888" s="12" t="s">
        <v>1413</v>
      </c>
      <c r="I888" s="13"/>
      <c r="J888" s="12" t="s">
        <v>1414</v>
      </c>
      <c r="K888" s="12" t="s">
        <v>1398</v>
      </c>
    </row>
    <row r="889" spans="1:11" ht="30" customHeight="1">
      <c r="A889" s="12" t="s">
        <v>379</v>
      </c>
      <c r="B889" s="12" t="s">
        <v>373</v>
      </c>
      <c r="C889" s="12" t="s">
        <v>374</v>
      </c>
      <c r="D889" s="12" t="s">
        <v>555</v>
      </c>
      <c r="E889" s="17">
        <v>0</v>
      </c>
      <c r="F889" s="13"/>
      <c r="G889" s="12" t="s">
        <v>1395</v>
      </c>
      <c r="H889" s="12" t="s">
        <v>1415</v>
      </c>
      <c r="I889" s="13"/>
      <c r="J889" s="12" t="s">
        <v>1416</v>
      </c>
      <c r="K889" s="12" t="s">
        <v>1417</v>
      </c>
    </row>
    <row r="890" spans="1:11" ht="30" customHeight="1">
      <c r="A890" s="12" t="s">
        <v>392</v>
      </c>
      <c r="B890" s="12" t="s">
        <v>388</v>
      </c>
      <c r="C890" s="12" t="s">
        <v>374</v>
      </c>
      <c r="D890" s="12" t="s">
        <v>555</v>
      </c>
      <c r="E890" s="17">
        <v>0</v>
      </c>
      <c r="F890" s="13"/>
      <c r="G890" s="12" t="s">
        <v>1395</v>
      </c>
      <c r="H890" s="12" t="s">
        <v>1418</v>
      </c>
      <c r="I890" s="13"/>
      <c r="J890" s="12" t="s">
        <v>1416</v>
      </c>
      <c r="K890" s="12" t="s">
        <v>1417</v>
      </c>
    </row>
    <row r="891" spans="1:11" ht="30" customHeight="1">
      <c r="A891" s="12" t="s">
        <v>412</v>
      </c>
      <c r="B891" s="12" t="s">
        <v>409</v>
      </c>
      <c r="C891" s="12" t="s">
        <v>374</v>
      </c>
      <c r="D891" s="12" t="s">
        <v>555</v>
      </c>
      <c r="E891" s="17">
        <v>0</v>
      </c>
      <c r="F891" s="13"/>
      <c r="G891" s="12" t="s">
        <v>1395</v>
      </c>
      <c r="H891" s="12" t="s">
        <v>1419</v>
      </c>
      <c r="I891" s="13"/>
      <c r="J891" s="12" t="s">
        <v>1416</v>
      </c>
      <c r="K891" s="12" t="s">
        <v>1417</v>
      </c>
    </row>
    <row r="892" spans="1:11" ht="30" customHeight="1">
      <c r="A892" s="12" t="s">
        <v>397</v>
      </c>
      <c r="B892" s="12" t="s">
        <v>394</v>
      </c>
      <c r="C892" s="12" t="s">
        <v>374</v>
      </c>
      <c r="D892" s="12" t="s">
        <v>555</v>
      </c>
      <c r="E892" s="17">
        <v>0</v>
      </c>
      <c r="F892" s="13"/>
      <c r="G892" s="12" t="s">
        <v>1395</v>
      </c>
      <c r="H892" s="12" t="s">
        <v>1420</v>
      </c>
      <c r="I892" s="13"/>
      <c r="J892" s="12" t="s">
        <v>1416</v>
      </c>
      <c r="K892" s="12" t="s">
        <v>1417</v>
      </c>
    </row>
    <row r="893" spans="1:11" ht="30" customHeight="1">
      <c r="A893" s="12" t="s">
        <v>417</v>
      </c>
      <c r="B893" s="12" t="s">
        <v>414</v>
      </c>
      <c r="C893" s="12" t="s">
        <v>374</v>
      </c>
      <c r="D893" s="12" t="s">
        <v>555</v>
      </c>
      <c r="E893" s="17">
        <v>0</v>
      </c>
      <c r="F893" s="13"/>
      <c r="G893" s="12" t="s">
        <v>1395</v>
      </c>
      <c r="H893" s="12" t="s">
        <v>1421</v>
      </c>
      <c r="I893" s="13"/>
      <c r="J893" s="12" t="s">
        <v>1416</v>
      </c>
      <c r="K893" s="12" t="s">
        <v>1417</v>
      </c>
    </row>
    <row r="894" spans="1:11" ht="30" customHeight="1">
      <c r="A894" s="12" t="s">
        <v>422</v>
      </c>
      <c r="B894" s="12" t="s">
        <v>419</v>
      </c>
      <c r="C894" s="12" t="s">
        <v>374</v>
      </c>
      <c r="D894" s="12" t="s">
        <v>556</v>
      </c>
      <c r="E894" s="17">
        <v>0</v>
      </c>
      <c r="F894" s="13"/>
      <c r="G894" s="12" t="s">
        <v>1422</v>
      </c>
      <c r="H894" s="12" t="s">
        <v>1423</v>
      </c>
      <c r="I894" s="13"/>
      <c r="J894" s="12" t="s">
        <v>1143</v>
      </c>
      <c r="K894" s="12" t="s">
        <v>1424</v>
      </c>
    </row>
    <row r="895" spans="1:11" ht="30" customHeight="1">
      <c r="A895" s="12" t="s">
        <v>422</v>
      </c>
      <c r="B895" s="12" t="s">
        <v>419</v>
      </c>
      <c r="C895" s="12" t="s">
        <v>374</v>
      </c>
      <c r="D895" s="12" t="s">
        <v>554</v>
      </c>
      <c r="E895" s="17">
        <v>0.0459</v>
      </c>
      <c r="F895" s="13"/>
      <c r="G895" s="12" t="s">
        <v>1422</v>
      </c>
      <c r="H895" s="12" t="s">
        <v>1425</v>
      </c>
      <c r="I895" s="13"/>
      <c r="J895" s="12" t="s">
        <v>1143</v>
      </c>
      <c r="K895" s="12" t="s">
        <v>1426</v>
      </c>
    </row>
    <row r="896" spans="1:11" ht="30" customHeight="1">
      <c r="A896" s="12" t="s">
        <v>422</v>
      </c>
      <c r="B896" s="12" t="s">
        <v>419</v>
      </c>
      <c r="C896" s="12" t="s">
        <v>374</v>
      </c>
      <c r="D896" s="12" t="s">
        <v>532</v>
      </c>
      <c r="E896" s="12" t="s">
        <v>1427</v>
      </c>
      <c r="F896" s="13"/>
      <c r="G896" s="12" t="s">
        <v>1422</v>
      </c>
      <c r="H896" s="12" t="s">
        <v>1428</v>
      </c>
      <c r="I896" s="13"/>
      <c r="J896" s="12" t="s">
        <v>1429</v>
      </c>
      <c r="K896" s="12" t="s">
        <v>1430</v>
      </c>
    </row>
    <row r="897" spans="1:11" ht="30" customHeight="1">
      <c r="A897" s="12" t="s">
        <v>402</v>
      </c>
      <c r="B897" s="12" t="s">
        <v>399</v>
      </c>
      <c r="C897" s="12" t="s">
        <v>374</v>
      </c>
      <c r="D897" s="12" t="s">
        <v>556</v>
      </c>
      <c r="E897" s="17">
        <v>0</v>
      </c>
      <c r="F897" s="13"/>
      <c r="G897" s="12" t="s">
        <v>1422</v>
      </c>
      <c r="H897" s="12" t="s">
        <v>1431</v>
      </c>
      <c r="I897" s="13"/>
      <c r="J897" s="12" t="s">
        <v>1162</v>
      </c>
      <c r="K897" s="12" t="s">
        <v>1424</v>
      </c>
    </row>
    <row r="898" spans="1:11" ht="30" customHeight="1">
      <c r="A898" s="12" t="s">
        <v>417</v>
      </c>
      <c r="B898" s="12" t="s">
        <v>414</v>
      </c>
      <c r="C898" s="12" t="s">
        <v>374</v>
      </c>
      <c r="D898" s="12" t="s">
        <v>556</v>
      </c>
      <c r="E898" s="17">
        <v>0</v>
      </c>
      <c r="F898" s="13"/>
      <c r="G898" s="12" t="s">
        <v>1422</v>
      </c>
      <c r="H898" s="12" t="s">
        <v>1432</v>
      </c>
      <c r="I898" s="13"/>
      <c r="J898" s="12" t="s">
        <v>1181</v>
      </c>
      <c r="K898" s="12" t="s">
        <v>1433</v>
      </c>
    </row>
    <row r="899" spans="1:11" ht="30" customHeight="1">
      <c r="A899" s="12" t="s">
        <v>392</v>
      </c>
      <c r="B899" s="12" t="s">
        <v>388</v>
      </c>
      <c r="C899" s="12" t="s">
        <v>374</v>
      </c>
      <c r="D899" s="12" t="s">
        <v>569</v>
      </c>
      <c r="E899" s="12" t="s">
        <v>1434</v>
      </c>
      <c r="F899" s="13"/>
      <c r="G899" s="12" t="s">
        <v>1422</v>
      </c>
      <c r="H899" s="12" t="s">
        <v>1435</v>
      </c>
      <c r="I899" s="13"/>
      <c r="J899" s="12" t="s">
        <v>1200</v>
      </c>
      <c r="K899" s="12" t="s">
        <v>1436</v>
      </c>
    </row>
    <row r="900" spans="1:11" ht="30" customHeight="1">
      <c r="A900" s="12" t="s">
        <v>407</v>
      </c>
      <c r="B900" s="12" t="s">
        <v>404</v>
      </c>
      <c r="C900" s="12" t="s">
        <v>374</v>
      </c>
      <c r="D900" s="12" t="s">
        <v>569</v>
      </c>
      <c r="E900" s="12" t="s">
        <v>1437</v>
      </c>
      <c r="F900" s="13"/>
      <c r="G900" s="12" t="s">
        <v>1422</v>
      </c>
      <c r="H900" s="12" t="s">
        <v>1438</v>
      </c>
      <c r="I900" s="13"/>
      <c r="J900" s="12" t="s">
        <v>1221</v>
      </c>
      <c r="K900" s="12" t="s">
        <v>1436</v>
      </c>
    </row>
    <row r="901" spans="1:11" ht="30" customHeight="1">
      <c r="A901" s="12" t="s">
        <v>412</v>
      </c>
      <c r="B901" s="12" t="s">
        <v>409</v>
      </c>
      <c r="C901" s="12" t="s">
        <v>374</v>
      </c>
      <c r="D901" s="12" t="s">
        <v>569</v>
      </c>
      <c r="E901" s="12" t="s">
        <v>1439</v>
      </c>
      <c r="F901" s="13"/>
      <c r="G901" s="12" t="s">
        <v>1422</v>
      </c>
      <c r="H901" s="12" t="s">
        <v>1440</v>
      </c>
      <c r="I901" s="13"/>
      <c r="J901" s="12" t="s">
        <v>1241</v>
      </c>
      <c r="K901" s="12" t="s">
        <v>1436</v>
      </c>
    </row>
    <row r="902" spans="1:11" ht="30" customHeight="1">
      <c r="A902" s="12" t="s">
        <v>397</v>
      </c>
      <c r="B902" s="12" t="s">
        <v>394</v>
      </c>
      <c r="C902" s="12" t="s">
        <v>374</v>
      </c>
      <c r="D902" s="12" t="s">
        <v>569</v>
      </c>
      <c r="E902" s="12" t="s">
        <v>1441</v>
      </c>
      <c r="F902" s="13"/>
      <c r="G902" s="12" t="s">
        <v>1422</v>
      </c>
      <c r="H902" s="12" t="s">
        <v>1442</v>
      </c>
      <c r="I902" s="13"/>
      <c r="J902" s="12" t="s">
        <v>1261</v>
      </c>
      <c r="K902" s="12" t="s">
        <v>1436</v>
      </c>
    </row>
    <row r="903" spans="1:11" ht="30" customHeight="1">
      <c r="A903" s="12" t="s">
        <v>427</v>
      </c>
      <c r="B903" s="12" t="s">
        <v>424</v>
      </c>
      <c r="C903" s="12" t="s">
        <v>374</v>
      </c>
      <c r="D903" s="12" t="s">
        <v>569</v>
      </c>
      <c r="E903" s="12" t="s">
        <v>1443</v>
      </c>
      <c r="F903" s="13"/>
      <c r="G903" s="12" t="s">
        <v>1422</v>
      </c>
      <c r="H903" s="12" t="s">
        <v>1444</v>
      </c>
      <c r="I903" s="13"/>
      <c r="J903" s="12" t="s">
        <v>1280</v>
      </c>
      <c r="K903" s="12" t="s">
        <v>1436</v>
      </c>
    </row>
    <row r="904" spans="1:11" ht="30" customHeight="1">
      <c r="A904" s="12" t="s">
        <v>240</v>
      </c>
      <c r="B904" s="12" t="s">
        <v>235</v>
      </c>
      <c r="C904" s="12" t="s">
        <v>207</v>
      </c>
      <c r="D904" s="12" t="s">
        <v>565</v>
      </c>
      <c r="E904" s="12" t="s">
        <v>47</v>
      </c>
      <c r="F904" s="13"/>
      <c r="G904" s="12" t="s">
        <v>1445</v>
      </c>
      <c r="H904" s="12" t="s">
        <v>1446</v>
      </c>
      <c r="I904" s="13"/>
      <c r="J904" s="12" t="s">
        <v>1447</v>
      </c>
      <c r="K904" s="12" t="s">
        <v>1448</v>
      </c>
    </row>
    <row r="905" spans="1:11" ht="30" customHeight="1">
      <c r="A905" s="12" t="s">
        <v>240</v>
      </c>
      <c r="B905" s="12" t="s">
        <v>235</v>
      </c>
      <c r="C905" s="12" t="s">
        <v>207</v>
      </c>
      <c r="D905" s="12" t="s">
        <v>1387</v>
      </c>
      <c r="E905" s="12" t="s">
        <v>1449</v>
      </c>
      <c r="F905" s="13"/>
      <c r="G905" s="12" t="s">
        <v>1445</v>
      </c>
      <c r="H905" s="12" t="s">
        <v>1446</v>
      </c>
      <c r="I905" s="13"/>
      <c r="J905" s="12" t="s">
        <v>1447</v>
      </c>
      <c r="K905" s="12" t="s">
        <v>1450</v>
      </c>
    </row>
    <row r="906" spans="1:11" ht="30" customHeight="1">
      <c r="A906" s="12" t="s">
        <v>240</v>
      </c>
      <c r="B906" s="12" t="s">
        <v>235</v>
      </c>
      <c r="C906" s="12" t="s">
        <v>207</v>
      </c>
      <c r="D906" s="12" t="s">
        <v>1338</v>
      </c>
      <c r="E906" s="17">
        <v>1</v>
      </c>
      <c r="F906" s="13"/>
      <c r="G906" s="12" t="s">
        <v>1445</v>
      </c>
      <c r="H906" s="12" t="s">
        <v>1446</v>
      </c>
      <c r="I906" s="13"/>
      <c r="J906" s="12" t="s">
        <v>1447</v>
      </c>
      <c r="K906" s="12" t="s">
        <v>1451</v>
      </c>
    </row>
    <row r="907" spans="1:11" ht="30" customHeight="1">
      <c r="A907" s="12" t="s">
        <v>227</v>
      </c>
      <c r="B907" s="12" t="s">
        <v>223</v>
      </c>
      <c r="C907" s="12" t="s">
        <v>207</v>
      </c>
      <c r="D907" s="12" t="s">
        <v>532</v>
      </c>
      <c r="E907" s="12" t="s">
        <v>1452</v>
      </c>
      <c r="F907" s="13"/>
      <c r="G907" s="12" t="s">
        <v>1445</v>
      </c>
      <c r="H907" s="12" t="s">
        <v>1446</v>
      </c>
      <c r="I907" s="13"/>
      <c r="J907" s="12" t="s">
        <v>1453</v>
      </c>
      <c r="K907" s="12" t="s">
        <v>1454</v>
      </c>
    </row>
    <row r="908" spans="1:11" ht="30" customHeight="1">
      <c r="A908" s="12" t="s">
        <v>227</v>
      </c>
      <c r="B908" s="12" t="s">
        <v>223</v>
      </c>
      <c r="C908" s="12" t="s">
        <v>207</v>
      </c>
      <c r="D908" s="12" t="s">
        <v>530</v>
      </c>
      <c r="E908" s="17">
        <v>1</v>
      </c>
      <c r="F908" s="13"/>
      <c r="G908" s="12" t="s">
        <v>1445</v>
      </c>
      <c r="H908" s="12" t="s">
        <v>1446</v>
      </c>
      <c r="I908" s="13"/>
      <c r="J908" s="12" t="s">
        <v>1453</v>
      </c>
      <c r="K908" s="12" t="s">
        <v>1455</v>
      </c>
    </row>
    <row r="909" spans="1:11" ht="30" customHeight="1">
      <c r="A909" s="12" t="s">
        <v>227</v>
      </c>
      <c r="B909" s="12" t="s">
        <v>223</v>
      </c>
      <c r="C909" s="12" t="s">
        <v>207</v>
      </c>
      <c r="D909" s="12" t="s">
        <v>565</v>
      </c>
      <c r="E909" s="12" t="s">
        <v>47</v>
      </c>
      <c r="F909" s="13"/>
      <c r="G909" s="12" t="s">
        <v>1445</v>
      </c>
      <c r="H909" s="12" t="s">
        <v>1446</v>
      </c>
      <c r="I909" s="13"/>
      <c r="J909" s="12" t="s">
        <v>1453</v>
      </c>
      <c r="K909" s="12" t="s">
        <v>1448</v>
      </c>
    </row>
    <row r="910" spans="1:11" ht="30" customHeight="1">
      <c r="A910" s="12" t="s">
        <v>227</v>
      </c>
      <c r="B910" s="12" t="s">
        <v>223</v>
      </c>
      <c r="C910" s="12" t="s">
        <v>207</v>
      </c>
      <c r="D910" s="12" t="s">
        <v>1387</v>
      </c>
      <c r="E910" s="12" t="s">
        <v>1456</v>
      </c>
      <c r="F910" s="13"/>
      <c r="G910" s="12" t="s">
        <v>1445</v>
      </c>
      <c r="H910" s="12" t="s">
        <v>1446</v>
      </c>
      <c r="I910" s="13"/>
      <c r="J910" s="12" t="s">
        <v>1453</v>
      </c>
      <c r="K910" s="12" t="s">
        <v>1450</v>
      </c>
    </row>
    <row r="911" spans="1:11" ht="30" customHeight="1">
      <c r="A911" s="12" t="s">
        <v>227</v>
      </c>
      <c r="B911" s="12" t="s">
        <v>223</v>
      </c>
      <c r="C911" s="12" t="s">
        <v>207</v>
      </c>
      <c r="D911" s="12" t="s">
        <v>1338</v>
      </c>
      <c r="E911" s="17">
        <v>1</v>
      </c>
      <c r="F911" s="13"/>
      <c r="G911" s="12" t="s">
        <v>1445</v>
      </c>
      <c r="H911" s="12" t="s">
        <v>1446</v>
      </c>
      <c r="I911" s="13"/>
      <c r="J911" s="12" t="s">
        <v>1453</v>
      </c>
      <c r="K911" s="12" t="s">
        <v>1451</v>
      </c>
    </row>
    <row r="912" spans="1:11" ht="30" customHeight="1">
      <c r="A912" s="12" t="s">
        <v>278</v>
      </c>
      <c r="B912" s="12" t="s">
        <v>274</v>
      </c>
      <c r="C912" s="12" t="s">
        <v>207</v>
      </c>
      <c r="D912" s="12" t="s">
        <v>532</v>
      </c>
      <c r="E912" s="12" t="s">
        <v>1427</v>
      </c>
      <c r="F912" s="13"/>
      <c r="G912" s="12" t="s">
        <v>1445</v>
      </c>
      <c r="H912" s="12" t="s">
        <v>1446</v>
      </c>
      <c r="I912" s="13"/>
      <c r="J912" s="12" t="s">
        <v>1457</v>
      </c>
      <c r="K912" s="12" t="s">
        <v>1454</v>
      </c>
    </row>
    <row r="913" spans="1:11" ht="30" customHeight="1">
      <c r="A913" s="12" t="s">
        <v>278</v>
      </c>
      <c r="B913" s="12" t="s">
        <v>274</v>
      </c>
      <c r="C913" s="12" t="s">
        <v>207</v>
      </c>
      <c r="D913" s="12" t="s">
        <v>565</v>
      </c>
      <c r="E913" s="12" t="s">
        <v>47</v>
      </c>
      <c r="F913" s="13"/>
      <c r="G913" s="12" t="s">
        <v>1445</v>
      </c>
      <c r="H913" s="12" t="s">
        <v>1446</v>
      </c>
      <c r="I913" s="13"/>
      <c r="J913" s="12" t="s">
        <v>1457</v>
      </c>
      <c r="K913" s="12" t="s">
        <v>1448</v>
      </c>
    </row>
    <row r="914" spans="1:11" ht="30" customHeight="1">
      <c r="A914" s="12" t="s">
        <v>278</v>
      </c>
      <c r="B914" s="12" t="s">
        <v>274</v>
      </c>
      <c r="C914" s="12" t="s">
        <v>207</v>
      </c>
      <c r="D914" s="12" t="s">
        <v>1387</v>
      </c>
      <c r="E914" s="12" t="s">
        <v>1449</v>
      </c>
      <c r="F914" s="13"/>
      <c r="G914" s="12" t="s">
        <v>1445</v>
      </c>
      <c r="H914" s="12" t="s">
        <v>1446</v>
      </c>
      <c r="I914" s="13"/>
      <c r="J914" s="12" t="s">
        <v>1457</v>
      </c>
      <c r="K914" s="12" t="s">
        <v>1450</v>
      </c>
    </row>
    <row r="915" spans="1:11" ht="30" customHeight="1">
      <c r="A915" s="12" t="s">
        <v>278</v>
      </c>
      <c r="B915" s="12" t="s">
        <v>274</v>
      </c>
      <c r="C915" s="12" t="s">
        <v>207</v>
      </c>
      <c r="D915" s="12" t="s">
        <v>1338</v>
      </c>
      <c r="E915" s="17">
        <v>1</v>
      </c>
      <c r="F915" s="13"/>
      <c r="G915" s="12" t="s">
        <v>1445</v>
      </c>
      <c r="H915" s="12" t="s">
        <v>1446</v>
      </c>
      <c r="I915" s="13"/>
      <c r="J915" s="12" t="s">
        <v>1457</v>
      </c>
      <c r="K915" s="12" t="s">
        <v>1451</v>
      </c>
    </row>
    <row r="916" spans="1:11" ht="30" customHeight="1">
      <c r="A916" s="12" t="s">
        <v>212</v>
      </c>
      <c r="B916" s="12" t="s">
        <v>206</v>
      </c>
      <c r="C916" s="12" t="s">
        <v>207</v>
      </c>
      <c r="D916" s="12" t="s">
        <v>532</v>
      </c>
      <c r="E916" s="12" t="s">
        <v>1452</v>
      </c>
      <c r="F916" s="13"/>
      <c r="G916" s="12" t="s">
        <v>1445</v>
      </c>
      <c r="H916" s="12" t="s">
        <v>1446</v>
      </c>
      <c r="I916" s="13"/>
      <c r="J916" s="12" t="s">
        <v>1458</v>
      </c>
      <c r="K916" s="12" t="s">
        <v>1454</v>
      </c>
    </row>
    <row r="917" spans="1:11" ht="30" customHeight="1">
      <c r="A917" s="12" t="s">
        <v>212</v>
      </c>
      <c r="B917" s="12" t="s">
        <v>206</v>
      </c>
      <c r="C917" s="12" t="s">
        <v>207</v>
      </c>
      <c r="D917" s="12" t="s">
        <v>565</v>
      </c>
      <c r="E917" s="12" t="s">
        <v>47</v>
      </c>
      <c r="F917" s="13"/>
      <c r="G917" s="12" t="s">
        <v>1445</v>
      </c>
      <c r="H917" s="12" t="s">
        <v>1446</v>
      </c>
      <c r="I917" s="13"/>
      <c r="J917" s="12" t="s">
        <v>1458</v>
      </c>
      <c r="K917" s="12" t="s">
        <v>1448</v>
      </c>
    </row>
    <row r="918" spans="1:11" ht="30" customHeight="1">
      <c r="A918" s="12" t="s">
        <v>212</v>
      </c>
      <c r="B918" s="12" t="s">
        <v>206</v>
      </c>
      <c r="C918" s="12" t="s">
        <v>207</v>
      </c>
      <c r="D918" s="12" t="s">
        <v>1387</v>
      </c>
      <c r="E918" s="12" t="s">
        <v>1449</v>
      </c>
      <c r="F918" s="13"/>
      <c r="G918" s="12" t="s">
        <v>1445</v>
      </c>
      <c r="H918" s="12" t="s">
        <v>1446</v>
      </c>
      <c r="I918" s="13"/>
      <c r="J918" s="12" t="s">
        <v>1458</v>
      </c>
      <c r="K918" s="12" t="s">
        <v>1450</v>
      </c>
    </row>
    <row r="919" spans="1:11" ht="30" customHeight="1">
      <c r="A919" s="12" t="s">
        <v>212</v>
      </c>
      <c r="B919" s="12" t="s">
        <v>206</v>
      </c>
      <c r="C919" s="12" t="s">
        <v>207</v>
      </c>
      <c r="D919" s="12" t="s">
        <v>1338</v>
      </c>
      <c r="E919" s="17">
        <v>1</v>
      </c>
      <c r="F919" s="13"/>
      <c r="G919" s="12" t="s">
        <v>1445</v>
      </c>
      <c r="H919" s="12" t="s">
        <v>1446</v>
      </c>
      <c r="I919" s="13"/>
      <c r="J919" s="12" t="s">
        <v>1458</v>
      </c>
      <c r="K919" s="12" t="s">
        <v>1451</v>
      </c>
    </row>
    <row r="920" spans="1:11" ht="30" customHeight="1">
      <c r="A920" s="12" t="s">
        <v>272</v>
      </c>
      <c r="B920" s="12" t="s">
        <v>269</v>
      </c>
      <c r="C920" s="12" t="s">
        <v>207</v>
      </c>
      <c r="D920" s="12" t="s">
        <v>532</v>
      </c>
      <c r="E920" s="12" t="s">
        <v>1452</v>
      </c>
      <c r="F920" s="13"/>
      <c r="G920" s="12" t="s">
        <v>1445</v>
      </c>
      <c r="H920" s="12" t="s">
        <v>1446</v>
      </c>
      <c r="I920" s="13"/>
      <c r="J920" s="12" t="s">
        <v>1459</v>
      </c>
      <c r="K920" s="12" t="s">
        <v>1454</v>
      </c>
    </row>
    <row r="921" spans="1:11" ht="30" customHeight="1">
      <c r="A921" s="12" t="s">
        <v>272</v>
      </c>
      <c r="B921" s="12" t="s">
        <v>269</v>
      </c>
      <c r="C921" s="12" t="s">
        <v>207</v>
      </c>
      <c r="D921" s="12" t="s">
        <v>565</v>
      </c>
      <c r="E921" s="12" t="s">
        <v>35</v>
      </c>
      <c r="F921" s="13"/>
      <c r="G921" s="12" t="s">
        <v>1445</v>
      </c>
      <c r="H921" s="12" t="s">
        <v>1446</v>
      </c>
      <c r="I921" s="13"/>
      <c r="J921" s="12" t="s">
        <v>1459</v>
      </c>
      <c r="K921" s="12" t="s">
        <v>1448</v>
      </c>
    </row>
    <row r="922" spans="1:11" ht="30" customHeight="1">
      <c r="A922" s="12" t="s">
        <v>272</v>
      </c>
      <c r="B922" s="12" t="s">
        <v>269</v>
      </c>
      <c r="C922" s="12" t="s">
        <v>207</v>
      </c>
      <c r="D922" s="12" t="s">
        <v>1387</v>
      </c>
      <c r="E922" s="12" t="s">
        <v>1449</v>
      </c>
      <c r="F922" s="13"/>
      <c r="G922" s="12" t="s">
        <v>1445</v>
      </c>
      <c r="H922" s="12" t="s">
        <v>1446</v>
      </c>
      <c r="I922" s="13"/>
      <c r="J922" s="12" t="s">
        <v>1459</v>
      </c>
      <c r="K922" s="12" t="s">
        <v>1450</v>
      </c>
    </row>
    <row r="923" spans="1:11" ht="30" customHeight="1">
      <c r="A923" s="12" t="s">
        <v>272</v>
      </c>
      <c r="B923" s="12" t="s">
        <v>269</v>
      </c>
      <c r="C923" s="12" t="s">
        <v>207</v>
      </c>
      <c r="D923" s="12" t="s">
        <v>1338</v>
      </c>
      <c r="E923" s="17">
        <v>1</v>
      </c>
      <c r="F923" s="13"/>
      <c r="G923" s="12" t="s">
        <v>1445</v>
      </c>
      <c r="H923" s="12" t="s">
        <v>1446</v>
      </c>
      <c r="I923" s="13"/>
      <c r="J923" s="12" t="s">
        <v>1459</v>
      </c>
      <c r="K923" s="12" t="s">
        <v>1451</v>
      </c>
    </row>
    <row r="924" spans="1:11" ht="30" customHeight="1">
      <c r="A924" s="12" t="s">
        <v>294</v>
      </c>
      <c r="B924" s="12" t="s">
        <v>291</v>
      </c>
      <c r="C924" s="12" t="s">
        <v>207</v>
      </c>
      <c r="D924" s="12" t="s">
        <v>532</v>
      </c>
      <c r="E924" s="12" t="s">
        <v>1452</v>
      </c>
      <c r="F924" s="13"/>
      <c r="G924" s="12" t="s">
        <v>1445</v>
      </c>
      <c r="H924" s="12" t="s">
        <v>1446</v>
      </c>
      <c r="I924" s="13"/>
      <c r="J924" s="12" t="s">
        <v>1460</v>
      </c>
      <c r="K924" s="12" t="s">
        <v>1454</v>
      </c>
    </row>
    <row r="925" spans="1:11" ht="30" customHeight="1">
      <c r="A925" s="12" t="s">
        <v>294</v>
      </c>
      <c r="B925" s="12" t="s">
        <v>291</v>
      </c>
      <c r="C925" s="12" t="s">
        <v>207</v>
      </c>
      <c r="D925" s="12" t="s">
        <v>565</v>
      </c>
      <c r="E925" s="12" t="s">
        <v>35</v>
      </c>
      <c r="F925" s="13"/>
      <c r="G925" s="12" t="s">
        <v>1445</v>
      </c>
      <c r="H925" s="12" t="s">
        <v>1446</v>
      </c>
      <c r="I925" s="13"/>
      <c r="J925" s="12" t="s">
        <v>1460</v>
      </c>
      <c r="K925" s="12" t="s">
        <v>1448</v>
      </c>
    </row>
    <row r="926" spans="1:11" ht="30" customHeight="1">
      <c r="A926" s="12" t="s">
        <v>294</v>
      </c>
      <c r="B926" s="12" t="s">
        <v>291</v>
      </c>
      <c r="C926" s="12" t="s">
        <v>207</v>
      </c>
      <c r="D926" s="12" t="s">
        <v>1387</v>
      </c>
      <c r="E926" s="12" t="s">
        <v>1449</v>
      </c>
      <c r="F926" s="13"/>
      <c r="G926" s="12" t="s">
        <v>1445</v>
      </c>
      <c r="H926" s="12" t="s">
        <v>1446</v>
      </c>
      <c r="I926" s="13"/>
      <c r="J926" s="12" t="s">
        <v>1460</v>
      </c>
      <c r="K926" s="12" t="s">
        <v>1450</v>
      </c>
    </row>
    <row r="927" spans="1:11" ht="30" customHeight="1">
      <c r="A927" s="12" t="s">
        <v>294</v>
      </c>
      <c r="B927" s="12" t="s">
        <v>291</v>
      </c>
      <c r="C927" s="12" t="s">
        <v>207</v>
      </c>
      <c r="D927" s="12" t="s">
        <v>1338</v>
      </c>
      <c r="E927" s="17">
        <v>1</v>
      </c>
      <c r="F927" s="13"/>
      <c r="G927" s="12" t="s">
        <v>1445</v>
      </c>
      <c r="H927" s="12" t="s">
        <v>1446</v>
      </c>
      <c r="I927" s="13"/>
      <c r="J927" s="12" t="s">
        <v>1460</v>
      </c>
      <c r="K927" s="12" t="s">
        <v>1451</v>
      </c>
    </row>
    <row r="928" spans="1:11" ht="30" customHeight="1">
      <c r="A928" s="12" t="s">
        <v>284</v>
      </c>
      <c r="B928" s="12" t="s">
        <v>280</v>
      </c>
      <c r="C928" s="12" t="s">
        <v>207</v>
      </c>
      <c r="D928" s="12" t="s">
        <v>532</v>
      </c>
      <c r="E928" s="12" t="s">
        <v>1452</v>
      </c>
      <c r="F928" s="13"/>
      <c r="G928" s="12" t="s">
        <v>1445</v>
      </c>
      <c r="H928" s="12" t="s">
        <v>1446</v>
      </c>
      <c r="I928" s="13"/>
      <c r="J928" s="12" t="s">
        <v>1461</v>
      </c>
      <c r="K928" s="12" t="s">
        <v>1454</v>
      </c>
    </row>
    <row r="929" spans="1:11" ht="30" customHeight="1">
      <c r="A929" s="12" t="s">
        <v>284</v>
      </c>
      <c r="B929" s="12" t="s">
        <v>280</v>
      </c>
      <c r="C929" s="12" t="s">
        <v>207</v>
      </c>
      <c r="D929" s="12" t="s">
        <v>565</v>
      </c>
      <c r="E929" s="12" t="s">
        <v>47</v>
      </c>
      <c r="F929" s="13"/>
      <c r="G929" s="12" t="s">
        <v>1445</v>
      </c>
      <c r="H929" s="12" t="s">
        <v>1446</v>
      </c>
      <c r="I929" s="13"/>
      <c r="J929" s="12" t="s">
        <v>1461</v>
      </c>
      <c r="K929" s="12" t="s">
        <v>1448</v>
      </c>
    </row>
    <row r="930" spans="1:11" ht="30" customHeight="1">
      <c r="A930" s="12" t="s">
        <v>284</v>
      </c>
      <c r="B930" s="12" t="s">
        <v>280</v>
      </c>
      <c r="C930" s="12" t="s">
        <v>207</v>
      </c>
      <c r="D930" s="12" t="s">
        <v>1387</v>
      </c>
      <c r="E930" s="12" t="s">
        <v>1462</v>
      </c>
      <c r="F930" s="13"/>
      <c r="G930" s="12" t="s">
        <v>1445</v>
      </c>
      <c r="H930" s="12" t="s">
        <v>1446</v>
      </c>
      <c r="I930" s="13"/>
      <c r="J930" s="12" t="s">
        <v>1461</v>
      </c>
      <c r="K930" s="12" t="s">
        <v>1450</v>
      </c>
    </row>
    <row r="931" spans="1:11" ht="30" customHeight="1">
      <c r="A931" s="12" t="s">
        <v>284</v>
      </c>
      <c r="B931" s="12" t="s">
        <v>280</v>
      </c>
      <c r="C931" s="12" t="s">
        <v>207</v>
      </c>
      <c r="D931" s="12" t="s">
        <v>1338</v>
      </c>
      <c r="E931" s="17">
        <v>0</v>
      </c>
      <c r="F931" s="13"/>
      <c r="G931" s="12" t="s">
        <v>1445</v>
      </c>
      <c r="H931" s="12" t="s">
        <v>1446</v>
      </c>
      <c r="I931" s="13"/>
      <c r="J931" s="12" t="s">
        <v>1461</v>
      </c>
      <c r="K931" s="12" t="s">
        <v>1451</v>
      </c>
    </row>
    <row r="932" spans="1:11" ht="30" customHeight="1">
      <c r="A932" s="12" t="s">
        <v>267</v>
      </c>
      <c r="B932" s="12" t="s">
        <v>264</v>
      </c>
      <c r="C932" s="12" t="s">
        <v>207</v>
      </c>
      <c r="D932" s="12" t="s">
        <v>532</v>
      </c>
      <c r="E932" s="12" t="s">
        <v>1427</v>
      </c>
      <c r="F932" s="13"/>
      <c r="G932" s="12" t="s">
        <v>1445</v>
      </c>
      <c r="H932" s="12" t="s">
        <v>1446</v>
      </c>
      <c r="I932" s="13"/>
      <c r="J932" s="12" t="s">
        <v>1463</v>
      </c>
      <c r="K932" s="12" t="s">
        <v>1454</v>
      </c>
    </row>
    <row r="933" spans="1:11" ht="30" customHeight="1">
      <c r="A933" s="12" t="s">
        <v>267</v>
      </c>
      <c r="B933" s="12" t="s">
        <v>264</v>
      </c>
      <c r="C933" s="12" t="s">
        <v>207</v>
      </c>
      <c r="D933" s="12" t="s">
        <v>565</v>
      </c>
      <c r="E933" s="12" t="s">
        <v>35</v>
      </c>
      <c r="F933" s="13"/>
      <c r="G933" s="12" t="s">
        <v>1445</v>
      </c>
      <c r="H933" s="12" t="s">
        <v>1446</v>
      </c>
      <c r="I933" s="13"/>
      <c r="J933" s="12" t="s">
        <v>1463</v>
      </c>
      <c r="K933" s="12" t="s">
        <v>1448</v>
      </c>
    </row>
    <row r="934" spans="1:11" ht="30" customHeight="1">
      <c r="A934" s="12" t="s">
        <v>267</v>
      </c>
      <c r="B934" s="12" t="s">
        <v>264</v>
      </c>
      <c r="C934" s="12" t="s">
        <v>207</v>
      </c>
      <c r="D934" s="12" t="s">
        <v>1387</v>
      </c>
      <c r="E934" s="12" t="s">
        <v>1449</v>
      </c>
      <c r="F934" s="13"/>
      <c r="G934" s="12" t="s">
        <v>1445</v>
      </c>
      <c r="H934" s="12" t="s">
        <v>1446</v>
      </c>
      <c r="I934" s="13"/>
      <c r="J934" s="12" t="s">
        <v>1463</v>
      </c>
      <c r="K934" s="12" t="s">
        <v>1450</v>
      </c>
    </row>
    <row r="935" spans="1:11" ht="30" customHeight="1">
      <c r="A935" s="12" t="s">
        <v>267</v>
      </c>
      <c r="B935" s="12" t="s">
        <v>264</v>
      </c>
      <c r="C935" s="12" t="s">
        <v>207</v>
      </c>
      <c r="D935" s="12" t="s">
        <v>1338</v>
      </c>
      <c r="E935" s="17">
        <v>1</v>
      </c>
      <c r="F935" s="13"/>
      <c r="G935" s="12" t="s">
        <v>1445</v>
      </c>
      <c r="H935" s="12" t="s">
        <v>1446</v>
      </c>
      <c r="I935" s="13"/>
      <c r="J935" s="12" t="s">
        <v>1463</v>
      </c>
      <c r="K935" s="12" t="s">
        <v>1451</v>
      </c>
    </row>
    <row r="936" spans="1:11" ht="30" customHeight="1">
      <c r="A936" s="12" t="s">
        <v>248</v>
      </c>
      <c r="B936" s="12" t="s">
        <v>244</v>
      </c>
      <c r="C936" s="12" t="s">
        <v>207</v>
      </c>
      <c r="D936" s="12" t="s">
        <v>532</v>
      </c>
      <c r="E936" s="12" t="s">
        <v>1452</v>
      </c>
      <c r="F936" s="13"/>
      <c r="G936" s="12" t="s">
        <v>1445</v>
      </c>
      <c r="H936" s="12" t="s">
        <v>1446</v>
      </c>
      <c r="I936" s="13"/>
      <c r="J936" s="12" t="s">
        <v>1464</v>
      </c>
      <c r="K936" s="12" t="s">
        <v>1454</v>
      </c>
    </row>
    <row r="937" spans="1:11" ht="30" customHeight="1">
      <c r="A937" s="12" t="s">
        <v>248</v>
      </c>
      <c r="B937" s="12" t="s">
        <v>244</v>
      </c>
      <c r="C937" s="12" t="s">
        <v>207</v>
      </c>
      <c r="D937" s="12" t="s">
        <v>565</v>
      </c>
      <c r="E937" s="12" t="s">
        <v>35</v>
      </c>
      <c r="F937" s="13"/>
      <c r="G937" s="12" t="s">
        <v>1445</v>
      </c>
      <c r="H937" s="12" t="s">
        <v>1446</v>
      </c>
      <c r="I937" s="13"/>
      <c r="J937" s="12" t="s">
        <v>1464</v>
      </c>
      <c r="K937" s="12" t="s">
        <v>1448</v>
      </c>
    </row>
    <row r="938" spans="1:11" ht="30" customHeight="1">
      <c r="A938" s="12" t="s">
        <v>248</v>
      </c>
      <c r="B938" s="12" t="s">
        <v>244</v>
      </c>
      <c r="C938" s="12" t="s">
        <v>207</v>
      </c>
      <c r="D938" s="12" t="s">
        <v>1387</v>
      </c>
      <c r="E938" s="12" t="s">
        <v>1449</v>
      </c>
      <c r="F938" s="13"/>
      <c r="G938" s="12" t="s">
        <v>1445</v>
      </c>
      <c r="H938" s="12" t="s">
        <v>1446</v>
      </c>
      <c r="I938" s="13"/>
      <c r="J938" s="12" t="s">
        <v>1464</v>
      </c>
      <c r="K938" s="12" t="s">
        <v>1450</v>
      </c>
    </row>
    <row r="939" spans="1:11" ht="30" customHeight="1">
      <c r="A939" s="12" t="s">
        <v>248</v>
      </c>
      <c r="B939" s="12" t="s">
        <v>244</v>
      </c>
      <c r="C939" s="12" t="s">
        <v>207</v>
      </c>
      <c r="D939" s="12" t="s">
        <v>1338</v>
      </c>
      <c r="E939" s="17">
        <v>0</v>
      </c>
      <c r="F939" s="13"/>
      <c r="G939" s="12" t="s">
        <v>1445</v>
      </c>
      <c r="H939" s="12" t="s">
        <v>1446</v>
      </c>
      <c r="I939" s="13"/>
      <c r="J939" s="12" t="s">
        <v>1464</v>
      </c>
      <c r="K939" s="12" t="s">
        <v>1451</v>
      </c>
    </row>
    <row r="940" spans="1:11" ht="30" customHeight="1">
      <c r="A940" s="12" t="s">
        <v>262</v>
      </c>
      <c r="B940" s="12" t="s">
        <v>259</v>
      </c>
      <c r="C940" s="12" t="s">
        <v>207</v>
      </c>
      <c r="D940" s="12" t="s">
        <v>532</v>
      </c>
      <c r="E940" s="12" t="s">
        <v>1452</v>
      </c>
      <c r="F940" s="13"/>
      <c r="G940" s="12" t="s">
        <v>1445</v>
      </c>
      <c r="H940" s="12" t="s">
        <v>1446</v>
      </c>
      <c r="I940" s="13"/>
      <c r="J940" s="12" t="s">
        <v>1465</v>
      </c>
      <c r="K940" s="12" t="s">
        <v>1454</v>
      </c>
    </row>
    <row r="941" spans="1:11" ht="30" customHeight="1">
      <c r="A941" s="12" t="s">
        <v>262</v>
      </c>
      <c r="B941" s="12" t="s">
        <v>259</v>
      </c>
      <c r="C941" s="12" t="s">
        <v>207</v>
      </c>
      <c r="D941" s="12" t="s">
        <v>530</v>
      </c>
      <c r="E941" s="17">
        <v>1</v>
      </c>
      <c r="F941" s="13"/>
      <c r="G941" s="12" t="s">
        <v>1445</v>
      </c>
      <c r="H941" s="12" t="s">
        <v>1446</v>
      </c>
      <c r="I941" s="13"/>
      <c r="J941" s="12" t="s">
        <v>1465</v>
      </c>
      <c r="K941" s="12" t="s">
        <v>1455</v>
      </c>
    </row>
    <row r="942" spans="1:11" ht="30" customHeight="1">
      <c r="A942" s="12" t="s">
        <v>262</v>
      </c>
      <c r="B942" s="12" t="s">
        <v>259</v>
      </c>
      <c r="C942" s="12" t="s">
        <v>207</v>
      </c>
      <c r="D942" s="12" t="s">
        <v>565</v>
      </c>
      <c r="E942" s="12" t="s">
        <v>35</v>
      </c>
      <c r="F942" s="13"/>
      <c r="G942" s="12" t="s">
        <v>1445</v>
      </c>
      <c r="H942" s="12" t="s">
        <v>1446</v>
      </c>
      <c r="I942" s="13"/>
      <c r="J942" s="12" t="s">
        <v>1465</v>
      </c>
      <c r="K942" s="12" t="s">
        <v>1448</v>
      </c>
    </row>
    <row r="943" spans="1:11" ht="30" customHeight="1">
      <c r="A943" s="12" t="s">
        <v>262</v>
      </c>
      <c r="B943" s="12" t="s">
        <v>259</v>
      </c>
      <c r="C943" s="12" t="s">
        <v>207</v>
      </c>
      <c r="D943" s="12" t="s">
        <v>1387</v>
      </c>
      <c r="E943" s="12" t="s">
        <v>1449</v>
      </c>
      <c r="F943" s="13"/>
      <c r="G943" s="12" t="s">
        <v>1445</v>
      </c>
      <c r="H943" s="12" t="s">
        <v>1446</v>
      </c>
      <c r="I943" s="13"/>
      <c r="J943" s="12" t="s">
        <v>1465</v>
      </c>
      <c r="K943" s="12" t="s">
        <v>1450</v>
      </c>
    </row>
    <row r="944" spans="1:11" ht="30" customHeight="1">
      <c r="A944" s="12" t="s">
        <v>262</v>
      </c>
      <c r="B944" s="12" t="s">
        <v>259</v>
      </c>
      <c r="C944" s="12" t="s">
        <v>207</v>
      </c>
      <c r="D944" s="12" t="s">
        <v>1338</v>
      </c>
      <c r="E944" s="17">
        <v>1</v>
      </c>
      <c r="F944" s="13"/>
      <c r="G944" s="12" t="s">
        <v>1445</v>
      </c>
      <c r="H944" s="12" t="s">
        <v>1446</v>
      </c>
      <c r="I944" s="13"/>
      <c r="J944" s="12" t="s">
        <v>1465</v>
      </c>
      <c r="K944" s="12" t="s">
        <v>1451</v>
      </c>
    </row>
    <row r="945" spans="1:11" ht="30" customHeight="1">
      <c r="A945" s="12" t="s">
        <v>255</v>
      </c>
      <c r="B945" s="12" t="s">
        <v>251</v>
      </c>
      <c r="C945" s="12" t="s">
        <v>207</v>
      </c>
      <c r="D945" s="12" t="s">
        <v>532</v>
      </c>
      <c r="E945" s="12" t="s">
        <v>1452</v>
      </c>
      <c r="F945" s="13"/>
      <c r="G945" s="12" t="s">
        <v>1445</v>
      </c>
      <c r="H945" s="12" t="s">
        <v>1446</v>
      </c>
      <c r="I945" s="13"/>
      <c r="J945" s="12" t="s">
        <v>1466</v>
      </c>
      <c r="K945" s="12" t="s">
        <v>1454</v>
      </c>
    </row>
    <row r="946" spans="1:11" ht="30" customHeight="1">
      <c r="A946" s="12" t="s">
        <v>255</v>
      </c>
      <c r="B946" s="12" t="s">
        <v>251</v>
      </c>
      <c r="C946" s="12" t="s">
        <v>207</v>
      </c>
      <c r="D946" s="12" t="s">
        <v>530</v>
      </c>
      <c r="E946" s="17">
        <v>1</v>
      </c>
      <c r="F946" s="13"/>
      <c r="G946" s="12" t="s">
        <v>1445</v>
      </c>
      <c r="H946" s="12" t="s">
        <v>1446</v>
      </c>
      <c r="I946" s="13"/>
      <c r="J946" s="12" t="s">
        <v>1466</v>
      </c>
      <c r="K946" s="12" t="s">
        <v>1455</v>
      </c>
    </row>
    <row r="947" spans="1:11" ht="30" customHeight="1">
      <c r="A947" s="12" t="s">
        <v>255</v>
      </c>
      <c r="B947" s="12" t="s">
        <v>251</v>
      </c>
      <c r="C947" s="12" t="s">
        <v>207</v>
      </c>
      <c r="D947" s="12" t="s">
        <v>565</v>
      </c>
      <c r="E947" s="12" t="s">
        <v>35</v>
      </c>
      <c r="F947" s="13"/>
      <c r="G947" s="12" t="s">
        <v>1445</v>
      </c>
      <c r="H947" s="12" t="s">
        <v>1446</v>
      </c>
      <c r="I947" s="13"/>
      <c r="J947" s="12" t="s">
        <v>1466</v>
      </c>
      <c r="K947" s="12" t="s">
        <v>1448</v>
      </c>
    </row>
    <row r="948" spans="1:11" ht="30" customHeight="1">
      <c r="A948" s="12" t="s">
        <v>255</v>
      </c>
      <c r="B948" s="12" t="s">
        <v>251</v>
      </c>
      <c r="C948" s="12" t="s">
        <v>207</v>
      </c>
      <c r="D948" s="12" t="s">
        <v>1387</v>
      </c>
      <c r="E948" s="12" t="s">
        <v>1449</v>
      </c>
      <c r="F948" s="13"/>
      <c r="G948" s="12" t="s">
        <v>1445</v>
      </c>
      <c r="H948" s="12" t="s">
        <v>1446</v>
      </c>
      <c r="I948" s="13"/>
      <c r="J948" s="12" t="s">
        <v>1466</v>
      </c>
      <c r="K948" s="12" t="s">
        <v>1450</v>
      </c>
    </row>
    <row r="949" spans="1:11" ht="30" customHeight="1">
      <c r="A949" s="12" t="s">
        <v>255</v>
      </c>
      <c r="B949" s="12" t="s">
        <v>251</v>
      </c>
      <c r="C949" s="12" t="s">
        <v>207</v>
      </c>
      <c r="D949" s="12" t="s">
        <v>1338</v>
      </c>
      <c r="E949" s="17">
        <v>1</v>
      </c>
      <c r="F949" s="13"/>
      <c r="G949" s="12" t="s">
        <v>1445</v>
      </c>
      <c r="H949" s="12" t="s">
        <v>1446</v>
      </c>
      <c r="I949" s="13"/>
      <c r="J949" s="12" t="s">
        <v>1466</v>
      </c>
      <c r="K949" s="12" t="s">
        <v>1451</v>
      </c>
    </row>
    <row r="950" spans="1:11" ht="30" customHeight="1">
      <c r="A950" s="12" t="s">
        <v>300</v>
      </c>
      <c r="B950" s="12" t="s">
        <v>296</v>
      </c>
      <c r="C950" s="12" t="s">
        <v>207</v>
      </c>
      <c r="D950" s="12" t="s">
        <v>532</v>
      </c>
      <c r="E950" s="12" t="s">
        <v>1452</v>
      </c>
      <c r="F950" s="13"/>
      <c r="G950" s="12" t="s">
        <v>1445</v>
      </c>
      <c r="H950" s="12" t="s">
        <v>1446</v>
      </c>
      <c r="I950" s="13"/>
      <c r="J950" s="12" t="s">
        <v>1467</v>
      </c>
      <c r="K950" s="12" t="s">
        <v>1454</v>
      </c>
    </row>
    <row r="951" spans="1:11" ht="30" customHeight="1">
      <c r="A951" s="12" t="s">
        <v>300</v>
      </c>
      <c r="B951" s="12" t="s">
        <v>296</v>
      </c>
      <c r="C951" s="12" t="s">
        <v>207</v>
      </c>
      <c r="D951" s="12" t="s">
        <v>530</v>
      </c>
      <c r="E951" s="17">
        <v>1</v>
      </c>
      <c r="F951" s="13"/>
      <c r="G951" s="12" t="s">
        <v>1445</v>
      </c>
      <c r="H951" s="12" t="s">
        <v>1446</v>
      </c>
      <c r="I951" s="13"/>
      <c r="J951" s="12" t="s">
        <v>1467</v>
      </c>
      <c r="K951" s="12" t="s">
        <v>1455</v>
      </c>
    </row>
    <row r="952" spans="1:11" ht="30" customHeight="1">
      <c r="A952" s="12" t="s">
        <v>300</v>
      </c>
      <c r="B952" s="12" t="s">
        <v>296</v>
      </c>
      <c r="C952" s="12" t="s">
        <v>207</v>
      </c>
      <c r="D952" s="12" t="s">
        <v>565</v>
      </c>
      <c r="E952" s="12" t="s">
        <v>47</v>
      </c>
      <c r="F952" s="13"/>
      <c r="G952" s="12" t="s">
        <v>1445</v>
      </c>
      <c r="H952" s="12" t="s">
        <v>1446</v>
      </c>
      <c r="I952" s="13"/>
      <c r="J952" s="12" t="s">
        <v>1467</v>
      </c>
      <c r="K952" s="12" t="s">
        <v>1448</v>
      </c>
    </row>
    <row r="953" spans="1:11" ht="30" customHeight="1">
      <c r="A953" s="12" t="s">
        <v>300</v>
      </c>
      <c r="B953" s="12" t="s">
        <v>296</v>
      </c>
      <c r="C953" s="12" t="s">
        <v>207</v>
      </c>
      <c r="D953" s="12" t="s">
        <v>1387</v>
      </c>
      <c r="E953" s="12" t="s">
        <v>1462</v>
      </c>
      <c r="F953" s="13"/>
      <c r="G953" s="12" t="s">
        <v>1445</v>
      </c>
      <c r="H953" s="12" t="s">
        <v>1446</v>
      </c>
      <c r="I953" s="13"/>
      <c r="J953" s="12" t="s">
        <v>1467</v>
      </c>
      <c r="K953" s="12" t="s">
        <v>1450</v>
      </c>
    </row>
    <row r="954" spans="1:11" ht="30" customHeight="1">
      <c r="A954" s="12" t="s">
        <v>300</v>
      </c>
      <c r="B954" s="12" t="s">
        <v>296</v>
      </c>
      <c r="C954" s="12" t="s">
        <v>207</v>
      </c>
      <c r="D954" s="12" t="s">
        <v>1338</v>
      </c>
      <c r="E954" s="17">
        <v>0</v>
      </c>
      <c r="F954" s="13"/>
      <c r="G954" s="12" t="s">
        <v>1445</v>
      </c>
      <c r="H954" s="12" t="s">
        <v>1446</v>
      </c>
      <c r="I954" s="13"/>
      <c r="J954" s="12" t="s">
        <v>1467</v>
      </c>
      <c r="K954" s="12" t="s">
        <v>1451</v>
      </c>
    </row>
    <row r="955" spans="1:11" ht="30" customHeight="1">
      <c r="A955" s="12" t="s">
        <v>284</v>
      </c>
      <c r="B955" s="12" t="s">
        <v>280</v>
      </c>
      <c r="C955" s="12" t="s">
        <v>207</v>
      </c>
      <c r="D955" s="12" t="s">
        <v>1468</v>
      </c>
      <c r="E955" s="12" t="s">
        <v>1469</v>
      </c>
      <c r="F955" s="13"/>
      <c r="G955" s="12" t="s">
        <v>1470</v>
      </c>
      <c r="H955" s="12" t="s">
        <v>1471</v>
      </c>
      <c r="I955" s="13"/>
      <c r="J955" s="12" t="s">
        <v>1472</v>
      </c>
      <c r="K955" s="12" t="s">
        <v>1473</v>
      </c>
    </row>
    <row r="956" spans="1:11" ht="30" customHeight="1">
      <c r="A956" s="12" t="s">
        <v>284</v>
      </c>
      <c r="B956" s="12" t="s">
        <v>280</v>
      </c>
      <c r="C956" s="12" t="s">
        <v>207</v>
      </c>
      <c r="D956" s="12" t="s">
        <v>1474</v>
      </c>
      <c r="E956" s="12" t="s">
        <v>1475</v>
      </c>
      <c r="F956" s="13"/>
      <c r="G956" s="12" t="s">
        <v>1470</v>
      </c>
      <c r="H956" s="12" t="s">
        <v>1476</v>
      </c>
      <c r="I956" s="13"/>
      <c r="J956" s="12" t="s">
        <v>1477</v>
      </c>
      <c r="K956" s="12" t="s">
        <v>1478</v>
      </c>
    </row>
    <row r="957" spans="1:11" ht="30" customHeight="1">
      <c r="A957" s="12" t="s">
        <v>240</v>
      </c>
      <c r="B957" s="12" t="s">
        <v>235</v>
      </c>
      <c r="C957" s="12" t="s">
        <v>207</v>
      </c>
      <c r="D957" s="12" t="s">
        <v>1468</v>
      </c>
      <c r="E957" s="12" t="s">
        <v>1479</v>
      </c>
      <c r="F957" s="13"/>
      <c r="G957" s="12" t="s">
        <v>1470</v>
      </c>
      <c r="H957" s="12" t="s">
        <v>1471</v>
      </c>
      <c r="I957" s="13"/>
      <c r="J957" s="12" t="s">
        <v>1480</v>
      </c>
      <c r="K957" s="12" t="s">
        <v>1473</v>
      </c>
    </row>
    <row r="958" spans="1:11" ht="30" customHeight="1">
      <c r="A958" s="12" t="s">
        <v>240</v>
      </c>
      <c r="B958" s="12" t="s">
        <v>235</v>
      </c>
      <c r="C958" s="12" t="s">
        <v>207</v>
      </c>
      <c r="D958" s="12" t="s">
        <v>1474</v>
      </c>
      <c r="E958" s="12" t="s">
        <v>1481</v>
      </c>
      <c r="F958" s="13"/>
      <c r="G958" s="12" t="s">
        <v>1470</v>
      </c>
      <c r="H958" s="12" t="s">
        <v>1476</v>
      </c>
      <c r="I958" s="13"/>
      <c r="J958" s="12" t="s">
        <v>1482</v>
      </c>
      <c r="K958" s="12" t="s">
        <v>1478</v>
      </c>
    </row>
    <row r="959" spans="1:11" ht="30" customHeight="1">
      <c r="A959" s="12" t="s">
        <v>227</v>
      </c>
      <c r="B959" s="12" t="s">
        <v>223</v>
      </c>
      <c r="C959" s="12" t="s">
        <v>207</v>
      </c>
      <c r="D959" s="12" t="s">
        <v>1468</v>
      </c>
      <c r="E959" s="12" t="s">
        <v>1483</v>
      </c>
      <c r="F959" s="13"/>
      <c r="G959" s="12" t="s">
        <v>1470</v>
      </c>
      <c r="H959" s="12" t="s">
        <v>1471</v>
      </c>
      <c r="I959" s="13"/>
      <c r="J959" s="12" t="s">
        <v>1484</v>
      </c>
      <c r="K959" s="12" t="s">
        <v>1473</v>
      </c>
    </row>
    <row r="960" spans="1:11" ht="30" customHeight="1">
      <c r="A960" s="12" t="s">
        <v>227</v>
      </c>
      <c r="B960" s="12" t="s">
        <v>223</v>
      </c>
      <c r="C960" s="12" t="s">
        <v>207</v>
      </c>
      <c r="D960" s="12" t="s">
        <v>1474</v>
      </c>
      <c r="E960" s="12" t="s">
        <v>1481</v>
      </c>
      <c r="F960" s="13"/>
      <c r="G960" s="12" t="s">
        <v>1470</v>
      </c>
      <c r="H960" s="12" t="s">
        <v>1476</v>
      </c>
      <c r="I960" s="13"/>
      <c r="J960" s="12" t="s">
        <v>1485</v>
      </c>
      <c r="K960" s="12" t="s">
        <v>1478</v>
      </c>
    </row>
    <row r="961" spans="1:11" ht="30" customHeight="1">
      <c r="A961" s="12" t="s">
        <v>278</v>
      </c>
      <c r="B961" s="12" t="s">
        <v>274</v>
      </c>
      <c r="C961" s="12" t="s">
        <v>207</v>
      </c>
      <c r="D961" s="12" t="s">
        <v>1468</v>
      </c>
      <c r="E961" s="12" t="s">
        <v>1483</v>
      </c>
      <c r="F961" s="13"/>
      <c r="G961" s="12" t="s">
        <v>1470</v>
      </c>
      <c r="H961" s="12" t="s">
        <v>1471</v>
      </c>
      <c r="I961" s="13"/>
      <c r="J961" s="12" t="s">
        <v>1486</v>
      </c>
      <c r="K961" s="12" t="s">
        <v>1473</v>
      </c>
    </row>
    <row r="962" spans="1:11" ht="30" customHeight="1">
      <c r="A962" s="12" t="s">
        <v>278</v>
      </c>
      <c r="B962" s="12" t="s">
        <v>274</v>
      </c>
      <c r="C962" s="12" t="s">
        <v>207</v>
      </c>
      <c r="D962" s="12" t="s">
        <v>1474</v>
      </c>
      <c r="E962" s="12" t="s">
        <v>1481</v>
      </c>
      <c r="F962" s="13"/>
      <c r="G962" s="12" t="s">
        <v>1470</v>
      </c>
      <c r="H962" s="12" t="s">
        <v>1476</v>
      </c>
      <c r="I962" s="13"/>
      <c r="J962" s="12" t="s">
        <v>1487</v>
      </c>
      <c r="K962" s="12" t="s">
        <v>1478</v>
      </c>
    </row>
    <row r="963" spans="1:11" ht="30" customHeight="1">
      <c r="A963" s="12" t="s">
        <v>212</v>
      </c>
      <c r="B963" s="12" t="s">
        <v>206</v>
      </c>
      <c r="C963" s="12" t="s">
        <v>207</v>
      </c>
      <c r="D963" s="12" t="s">
        <v>1468</v>
      </c>
      <c r="E963" s="12" t="s">
        <v>1483</v>
      </c>
      <c r="F963" s="13"/>
      <c r="G963" s="12" t="s">
        <v>1470</v>
      </c>
      <c r="H963" s="12" t="s">
        <v>1471</v>
      </c>
      <c r="I963" s="13"/>
      <c r="J963" s="12" t="s">
        <v>1488</v>
      </c>
      <c r="K963" s="12" t="s">
        <v>1473</v>
      </c>
    </row>
    <row r="964" spans="1:11" ht="30" customHeight="1">
      <c r="A964" s="12" t="s">
        <v>212</v>
      </c>
      <c r="B964" s="12" t="s">
        <v>206</v>
      </c>
      <c r="C964" s="12" t="s">
        <v>207</v>
      </c>
      <c r="D964" s="12" t="s">
        <v>1474</v>
      </c>
      <c r="E964" s="12" t="s">
        <v>1481</v>
      </c>
      <c r="F964" s="13"/>
      <c r="G964" s="12" t="s">
        <v>1470</v>
      </c>
      <c r="H964" s="12" t="s">
        <v>1476</v>
      </c>
      <c r="I964" s="13"/>
      <c r="J964" s="12" t="s">
        <v>1489</v>
      </c>
      <c r="K964" s="12" t="s">
        <v>1478</v>
      </c>
    </row>
    <row r="965" spans="1:11" ht="30" customHeight="1">
      <c r="A965" s="12" t="s">
        <v>300</v>
      </c>
      <c r="B965" s="12" t="s">
        <v>296</v>
      </c>
      <c r="C965" s="12" t="s">
        <v>207</v>
      </c>
      <c r="D965" s="12" t="s">
        <v>1468</v>
      </c>
      <c r="E965" s="12" t="s">
        <v>1490</v>
      </c>
      <c r="F965" s="13"/>
      <c r="G965" s="12" t="s">
        <v>1470</v>
      </c>
      <c r="H965" s="12" t="s">
        <v>1471</v>
      </c>
      <c r="I965" s="13"/>
      <c r="J965" s="12" t="s">
        <v>1491</v>
      </c>
      <c r="K965" s="12" t="s">
        <v>1473</v>
      </c>
    </row>
    <row r="966" spans="1:11" ht="30" customHeight="1">
      <c r="A966" s="12" t="s">
        <v>300</v>
      </c>
      <c r="B966" s="12" t="s">
        <v>296</v>
      </c>
      <c r="C966" s="12" t="s">
        <v>207</v>
      </c>
      <c r="D966" s="12" t="s">
        <v>1474</v>
      </c>
      <c r="E966" s="12" t="s">
        <v>1481</v>
      </c>
      <c r="F966" s="13"/>
      <c r="G966" s="12" t="s">
        <v>1470</v>
      </c>
      <c r="H966" s="12" t="s">
        <v>1476</v>
      </c>
      <c r="I966" s="13"/>
      <c r="J966" s="12" t="s">
        <v>1492</v>
      </c>
      <c r="K966" s="12" t="s">
        <v>1478</v>
      </c>
    </row>
    <row r="967" spans="1:11" ht="30" customHeight="1">
      <c r="A967" s="12" t="s">
        <v>272</v>
      </c>
      <c r="B967" s="12" t="s">
        <v>269</v>
      </c>
      <c r="C967" s="12" t="s">
        <v>207</v>
      </c>
      <c r="D967" s="12" t="s">
        <v>1468</v>
      </c>
      <c r="E967" s="12" t="s">
        <v>1493</v>
      </c>
      <c r="F967" s="13"/>
      <c r="G967" s="12" t="s">
        <v>1470</v>
      </c>
      <c r="H967" s="12" t="s">
        <v>1471</v>
      </c>
      <c r="I967" s="13"/>
      <c r="J967" s="12" t="s">
        <v>1494</v>
      </c>
      <c r="K967" s="12" t="s">
        <v>1473</v>
      </c>
    </row>
    <row r="968" spans="1:11" ht="30" customHeight="1">
      <c r="A968" s="12" t="s">
        <v>272</v>
      </c>
      <c r="B968" s="12" t="s">
        <v>269</v>
      </c>
      <c r="C968" s="12" t="s">
        <v>207</v>
      </c>
      <c r="D968" s="12" t="s">
        <v>1474</v>
      </c>
      <c r="E968" s="12" t="s">
        <v>1481</v>
      </c>
      <c r="F968" s="13"/>
      <c r="G968" s="12" t="s">
        <v>1470</v>
      </c>
      <c r="H968" s="12" t="s">
        <v>1476</v>
      </c>
      <c r="I968" s="13"/>
      <c r="J968" s="12" t="s">
        <v>1495</v>
      </c>
      <c r="K968" s="12" t="s">
        <v>1478</v>
      </c>
    </row>
    <row r="969" spans="1:11" ht="30" customHeight="1">
      <c r="A969" s="12" t="s">
        <v>294</v>
      </c>
      <c r="B969" s="12" t="s">
        <v>291</v>
      </c>
      <c r="C969" s="12" t="s">
        <v>207</v>
      </c>
      <c r="D969" s="12" t="s">
        <v>1468</v>
      </c>
      <c r="E969" s="12" t="s">
        <v>1493</v>
      </c>
      <c r="F969" s="13"/>
      <c r="G969" s="12" t="s">
        <v>1470</v>
      </c>
      <c r="H969" s="12" t="s">
        <v>1471</v>
      </c>
      <c r="I969" s="13"/>
      <c r="J969" s="12" t="s">
        <v>1496</v>
      </c>
      <c r="K969" s="12" t="s">
        <v>1473</v>
      </c>
    </row>
    <row r="970" spans="1:11" ht="30" customHeight="1">
      <c r="A970" s="12" t="s">
        <v>294</v>
      </c>
      <c r="B970" s="12" t="s">
        <v>291</v>
      </c>
      <c r="C970" s="12" t="s">
        <v>207</v>
      </c>
      <c r="D970" s="12" t="s">
        <v>1474</v>
      </c>
      <c r="E970" s="12" t="s">
        <v>1481</v>
      </c>
      <c r="F970" s="13"/>
      <c r="G970" s="12" t="s">
        <v>1470</v>
      </c>
      <c r="H970" s="12" t="s">
        <v>1476</v>
      </c>
      <c r="I970" s="13"/>
      <c r="J970" s="12" t="s">
        <v>1497</v>
      </c>
      <c r="K970" s="12" t="s">
        <v>1478</v>
      </c>
    </row>
    <row r="971" spans="1:11" ht="30" customHeight="1">
      <c r="A971" s="12" t="s">
        <v>267</v>
      </c>
      <c r="B971" s="12" t="s">
        <v>264</v>
      </c>
      <c r="C971" s="12" t="s">
        <v>207</v>
      </c>
      <c r="D971" s="12" t="s">
        <v>1468</v>
      </c>
      <c r="E971" s="12" t="s">
        <v>1493</v>
      </c>
      <c r="F971" s="13"/>
      <c r="G971" s="12" t="s">
        <v>1470</v>
      </c>
      <c r="H971" s="12" t="s">
        <v>1471</v>
      </c>
      <c r="I971" s="13"/>
      <c r="J971" s="12" t="s">
        <v>1498</v>
      </c>
      <c r="K971" s="12" t="s">
        <v>1473</v>
      </c>
    </row>
    <row r="972" spans="1:11" ht="30" customHeight="1">
      <c r="A972" s="12" t="s">
        <v>267</v>
      </c>
      <c r="B972" s="12" t="s">
        <v>264</v>
      </c>
      <c r="C972" s="12" t="s">
        <v>207</v>
      </c>
      <c r="D972" s="12" t="s">
        <v>1474</v>
      </c>
      <c r="E972" s="12" t="s">
        <v>1481</v>
      </c>
      <c r="F972" s="13"/>
      <c r="G972" s="12" t="s">
        <v>1470</v>
      </c>
      <c r="H972" s="12" t="s">
        <v>1476</v>
      </c>
      <c r="I972" s="13"/>
      <c r="J972" s="12" t="s">
        <v>1499</v>
      </c>
      <c r="K972" s="12" t="s">
        <v>1478</v>
      </c>
    </row>
    <row r="973" spans="1:11" ht="30" customHeight="1">
      <c r="A973" s="12" t="s">
        <v>248</v>
      </c>
      <c r="B973" s="12" t="s">
        <v>244</v>
      </c>
      <c r="C973" s="12" t="s">
        <v>207</v>
      </c>
      <c r="D973" s="12" t="s">
        <v>1468</v>
      </c>
      <c r="E973" s="12" t="s">
        <v>1493</v>
      </c>
      <c r="F973" s="13"/>
      <c r="G973" s="12" t="s">
        <v>1470</v>
      </c>
      <c r="H973" s="12" t="s">
        <v>1471</v>
      </c>
      <c r="I973" s="13"/>
      <c r="J973" s="12" t="s">
        <v>1500</v>
      </c>
      <c r="K973" s="12" t="s">
        <v>1473</v>
      </c>
    </row>
    <row r="974" spans="1:11" ht="30" customHeight="1">
      <c r="A974" s="12" t="s">
        <v>248</v>
      </c>
      <c r="B974" s="12" t="s">
        <v>244</v>
      </c>
      <c r="C974" s="12" t="s">
        <v>207</v>
      </c>
      <c r="D974" s="12" t="s">
        <v>1474</v>
      </c>
      <c r="E974" s="12" t="s">
        <v>1481</v>
      </c>
      <c r="F974" s="13"/>
      <c r="G974" s="12" t="s">
        <v>1470</v>
      </c>
      <c r="H974" s="12" t="s">
        <v>1476</v>
      </c>
      <c r="I974" s="13"/>
      <c r="J974" s="12" t="s">
        <v>1501</v>
      </c>
      <c r="K974" s="12" t="s">
        <v>1478</v>
      </c>
    </row>
    <row r="975" spans="1:11" ht="30" customHeight="1">
      <c r="A975" s="12" t="s">
        <v>262</v>
      </c>
      <c r="B975" s="12" t="s">
        <v>259</v>
      </c>
      <c r="C975" s="12" t="s">
        <v>207</v>
      </c>
      <c r="D975" s="12" t="s">
        <v>1468</v>
      </c>
      <c r="E975" s="12" t="s">
        <v>1493</v>
      </c>
      <c r="F975" s="13"/>
      <c r="G975" s="12" t="s">
        <v>1470</v>
      </c>
      <c r="H975" s="12" t="s">
        <v>1471</v>
      </c>
      <c r="I975" s="13"/>
      <c r="J975" s="12" t="s">
        <v>1502</v>
      </c>
      <c r="K975" s="12" t="s">
        <v>1473</v>
      </c>
    </row>
    <row r="976" spans="1:11" ht="30" customHeight="1">
      <c r="A976" s="12" t="s">
        <v>262</v>
      </c>
      <c r="B976" s="12" t="s">
        <v>259</v>
      </c>
      <c r="C976" s="12" t="s">
        <v>207</v>
      </c>
      <c r="D976" s="12" t="s">
        <v>1474</v>
      </c>
      <c r="E976" s="12" t="s">
        <v>1481</v>
      </c>
      <c r="F976" s="13"/>
      <c r="G976" s="12" t="s">
        <v>1470</v>
      </c>
      <c r="H976" s="12" t="s">
        <v>1476</v>
      </c>
      <c r="I976" s="13"/>
      <c r="J976" s="12" t="s">
        <v>1503</v>
      </c>
      <c r="K976" s="12" t="s">
        <v>1478</v>
      </c>
    </row>
    <row r="977" spans="1:11" ht="30" customHeight="1">
      <c r="A977" s="12" t="s">
        <v>255</v>
      </c>
      <c r="B977" s="12" t="s">
        <v>251</v>
      </c>
      <c r="C977" s="12" t="s">
        <v>207</v>
      </c>
      <c r="D977" s="12" t="s">
        <v>1468</v>
      </c>
      <c r="E977" s="12" t="s">
        <v>1493</v>
      </c>
      <c r="F977" s="13"/>
      <c r="G977" s="12" t="s">
        <v>1470</v>
      </c>
      <c r="H977" s="12" t="s">
        <v>1471</v>
      </c>
      <c r="I977" s="13"/>
      <c r="J977" s="12" t="s">
        <v>1504</v>
      </c>
      <c r="K977" s="12" t="s">
        <v>1473</v>
      </c>
    </row>
    <row r="978" spans="1:11" ht="30" customHeight="1">
      <c r="A978" s="12" t="s">
        <v>255</v>
      </c>
      <c r="B978" s="12" t="s">
        <v>251</v>
      </c>
      <c r="C978" s="12" t="s">
        <v>207</v>
      </c>
      <c r="D978" s="12" t="s">
        <v>1474</v>
      </c>
      <c r="E978" s="12" t="s">
        <v>1481</v>
      </c>
      <c r="F978" s="13"/>
      <c r="G978" s="12" t="s">
        <v>1470</v>
      </c>
      <c r="H978" s="12" t="s">
        <v>1476</v>
      </c>
      <c r="I978" s="13"/>
      <c r="J978" s="12" t="s">
        <v>1505</v>
      </c>
      <c r="K978" s="12" t="s">
        <v>1478</v>
      </c>
    </row>
    <row r="979" spans="1:11" ht="30" customHeight="1">
      <c r="A979" s="12" t="s">
        <v>212</v>
      </c>
      <c r="B979" s="12" t="s">
        <v>206</v>
      </c>
      <c r="C979" s="12" t="s">
        <v>207</v>
      </c>
      <c r="D979" s="12" t="s">
        <v>1506</v>
      </c>
      <c r="E979" s="17">
        <v>10</v>
      </c>
      <c r="F979" s="13"/>
      <c r="G979" s="12" t="s">
        <v>1445</v>
      </c>
      <c r="H979" s="12" t="s">
        <v>1507</v>
      </c>
      <c r="I979" s="13"/>
      <c r="J979" s="12" t="s">
        <v>1508</v>
      </c>
      <c r="K979" s="12" t="s">
        <v>1509</v>
      </c>
    </row>
    <row r="980" spans="1:11" ht="30" customHeight="1">
      <c r="A980" s="12" t="s">
        <v>212</v>
      </c>
      <c r="B980" s="12" t="s">
        <v>206</v>
      </c>
      <c r="C980" s="12" t="s">
        <v>207</v>
      </c>
      <c r="D980" s="12" t="s">
        <v>1510</v>
      </c>
      <c r="E980" s="12" t="s">
        <v>1511</v>
      </c>
      <c r="F980" s="13"/>
      <c r="G980" s="12" t="s">
        <v>1445</v>
      </c>
      <c r="H980" s="12" t="s">
        <v>1507</v>
      </c>
      <c r="I980" s="13"/>
      <c r="J980" s="12" t="s">
        <v>1512</v>
      </c>
      <c r="K980" s="12" t="s">
        <v>1513</v>
      </c>
    </row>
    <row r="981" spans="1:11" ht="30" customHeight="1">
      <c r="A981" s="12" t="s">
        <v>272</v>
      </c>
      <c r="B981" s="12" t="s">
        <v>269</v>
      </c>
      <c r="C981" s="12" t="s">
        <v>207</v>
      </c>
      <c r="D981" s="12" t="s">
        <v>1506</v>
      </c>
      <c r="E981" s="17">
        <v>10</v>
      </c>
      <c r="F981" s="13"/>
      <c r="G981" s="12" t="s">
        <v>1445</v>
      </c>
      <c r="H981" s="12" t="s">
        <v>1507</v>
      </c>
      <c r="I981" s="13"/>
      <c r="J981" s="12" t="s">
        <v>1514</v>
      </c>
      <c r="K981" s="12" t="s">
        <v>1509</v>
      </c>
    </row>
    <row r="982" spans="1:11" ht="30" customHeight="1">
      <c r="A982" s="12" t="s">
        <v>272</v>
      </c>
      <c r="B982" s="12" t="s">
        <v>269</v>
      </c>
      <c r="C982" s="12" t="s">
        <v>207</v>
      </c>
      <c r="D982" s="12" t="s">
        <v>1510</v>
      </c>
      <c r="E982" s="12" t="s">
        <v>1515</v>
      </c>
      <c r="F982" s="13"/>
      <c r="G982" s="12" t="s">
        <v>1445</v>
      </c>
      <c r="H982" s="12" t="s">
        <v>1507</v>
      </c>
      <c r="I982" s="13"/>
      <c r="J982" s="12" t="s">
        <v>1516</v>
      </c>
      <c r="K982" s="12" t="s">
        <v>1513</v>
      </c>
    </row>
    <row r="983" spans="1:11" ht="30" customHeight="1">
      <c r="A983" s="12" t="s">
        <v>294</v>
      </c>
      <c r="B983" s="12" t="s">
        <v>291</v>
      </c>
      <c r="C983" s="12" t="s">
        <v>207</v>
      </c>
      <c r="D983" s="12" t="s">
        <v>1506</v>
      </c>
      <c r="E983" s="17">
        <v>10</v>
      </c>
      <c r="F983" s="13"/>
      <c r="G983" s="12" t="s">
        <v>1445</v>
      </c>
      <c r="H983" s="12" t="s">
        <v>1507</v>
      </c>
      <c r="I983" s="13"/>
      <c r="J983" s="12" t="s">
        <v>1517</v>
      </c>
      <c r="K983" s="12" t="s">
        <v>1509</v>
      </c>
    </row>
    <row r="984" spans="1:11" ht="30" customHeight="1">
      <c r="A984" s="12" t="s">
        <v>294</v>
      </c>
      <c r="B984" s="12" t="s">
        <v>291</v>
      </c>
      <c r="C984" s="12" t="s">
        <v>207</v>
      </c>
      <c r="D984" s="12" t="s">
        <v>1510</v>
      </c>
      <c r="E984" s="12" t="s">
        <v>1515</v>
      </c>
      <c r="F984" s="13"/>
      <c r="G984" s="12" t="s">
        <v>1445</v>
      </c>
      <c r="H984" s="12" t="s">
        <v>1507</v>
      </c>
      <c r="I984" s="13"/>
      <c r="J984" s="12" t="s">
        <v>1518</v>
      </c>
      <c r="K984" s="12" t="s">
        <v>1513</v>
      </c>
    </row>
    <row r="985" spans="1:11" ht="30" customHeight="1">
      <c r="A985" s="12" t="s">
        <v>248</v>
      </c>
      <c r="B985" s="12" t="s">
        <v>244</v>
      </c>
      <c r="C985" s="12" t="s">
        <v>207</v>
      </c>
      <c r="D985" s="12" t="s">
        <v>1506</v>
      </c>
      <c r="E985" s="17">
        <v>10</v>
      </c>
      <c r="F985" s="13"/>
      <c r="G985" s="12" t="s">
        <v>1445</v>
      </c>
      <c r="H985" s="12" t="s">
        <v>1507</v>
      </c>
      <c r="I985" s="13"/>
      <c r="J985" s="12" t="s">
        <v>1519</v>
      </c>
      <c r="K985" s="12" t="s">
        <v>1509</v>
      </c>
    </row>
    <row r="986" spans="1:11" ht="30" customHeight="1">
      <c r="A986" s="12" t="s">
        <v>248</v>
      </c>
      <c r="B986" s="12" t="s">
        <v>244</v>
      </c>
      <c r="C986" s="12" t="s">
        <v>207</v>
      </c>
      <c r="D986" s="12" t="s">
        <v>1510</v>
      </c>
      <c r="E986" s="12" t="s">
        <v>1515</v>
      </c>
      <c r="F986" s="13"/>
      <c r="G986" s="12" t="s">
        <v>1445</v>
      </c>
      <c r="H986" s="12" t="s">
        <v>1507</v>
      </c>
      <c r="I986" s="13"/>
      <c r="J986" s="12" t="s">
        <v>1520</v>
      </c>
      <c r="K986" s="12" t="s">
        <v>1513</v>
      </c>
    </row>
    <row r="987" spans="1:11" ht="30" customHeight="1">
      <c r="A987" s="12" t="s">
        <v>227</v>
      </c>
      <c r="B987" s="12" t="s">
        <v>223</v>
      </c>
      <c r="C987" s="12" t="s">
        <v>207</v>
      </c>
      <c r="D987" s="12" t="s">
        <v>1506</v>
      </c>
      <c r="E987" s="17">
        <v>2</v>
      </c>
      <c r="F987" s="13"/>
      <c r="G987" s="12" t="s">
        <v>1445</v>
      </c>
      <c r="H987" s="12" t="s">
        <v>1507</v>
      </c>
      <c r="I987" s="13"/>
      <c r="J987" s="12" t="s">
        <v>1521</v>
      </c>
      <c r="K987" s="12" t="s">
        <v>1509</v>
      </c>
    </row>
    <row r="988" spans="1:11" ht="30" customHeight="1">
      <c r="A988" s="12" t="s">
        <v>227</v>
      </c>
      <c r="B988" s="12" t="s">
        <v>223</v>
      </c>
      <c r="C988" s="12" t="s">
        <v>207</v>
      </c>
      <c r="D988" s="12" t="s">
        <v>1510</v>
      </c>
      <c r="E988" s="12" t="s">
        <v>1522</v>
      </c>
      <c r="F988" s="13"/>
      <c r="G988" s="12" t="s">
        <v>1445</v>
      </c>
      <c r="H988" s="12" t="s">
        <v>1507</v>
      </c>
      <c r="I988" s="13"/>
      <c r="J988" s="12" t="s">
        <v>1523</v>
      </c>
      <c r="K988" s="12" t="s">
        <v>1513</v>
      </c>
    </row>
    <row r="989" spans="1:11" ht="30" customHeight="1">
      <c r="A989" s="12" t="s">
        <v>284</v>
      </c>
      <c r="B989" s="12" t="s">
        <v>280</v>
      </c>
      <c r="C989" s="12" t="s">
        <v>207</v>
      </c>
      <c r="D989" s="12" t="s">
        <v>1506</v>
      </c>
      <c r="E989" s="17">
        <v>2</v>
      </c>
      <c r="F989" s="13"/>
      <c r="G989" s="12" t="s">
        <v>1445</v>
      </c>
      <c r="H989" s="12" t="s">
        <v>1507</v>
      </c>
      <c r="I989" s="13"/>
      <c r="J989" s="12" t="s">
        <v>1524</v>
      </c>
      <c r="K989" s="12" t="s">
        <v>1509</v>
      </c>
    </row>
    <row r="990" spans="1:11" ht="30" customHeight="1">
      <c r="A990" s="12" t="s">
        <v>284</v>
      </c>
      <c r="B990" s="12" t="s">
        <v>280</v>
      </c>
      <c r="C990" s="12" t="s">
        <v>207</v>
      </c>
      <c r="D990" s="12" t="s">
        <v>1510</v>
      </c>
      <c r="E990" s="12" t="s">
        <v>1525</v>
      </c>
      <c r="F990" s="13"/>
      <c r="G990" s="12" t="s">
        <v>1445</v>
      </c>
      <c r="H990" s="12" t="s">
        <v>1507</v>
      </c>
      <c r="I990" s="13"/>
      <c r="J990" s="12" t="s">
        <v>1526</v>
      </c>
      <c r="K990" s="12" t="s">
        <v>1513</v>
      </c>
    </row>
    <row r="991" spans="1:11" ht="30" customHeight="1">
      <c r="A991" s="12" t="s">
        <v>255</v>
      </c>
      <c r="B991" s="12" t="s">
        <v>251</v>
      </c>
      <c r="C991" s="12" t="s">
        <v>207</v>
      </c>
      <c r="D991" s="12" t="s">
        <v>1506</v>
      </c>
      <c r="E991" s="17">
        <v>3</v>
      </c>
      <c r="F991" s="13"/>
      <c r="G991" s="12" t="s">
        <v>1445</v>
      </c>
      <c r="H991" s="12" t="s">
        <v>1507</v>
      </c>
      <c r="I991" s="13"/>
      <c r="J991" s="12" t="s">
        <v>1527</v>
      </c>
      <c r="K991" s="12" t="s">
        <v>1509</v>
      </c>
    </row>
    <row r="992" spans="1:11" ht="30" customHeight="1">
      <c r="A992" s="12" t="s">
        <v>300</v>
      </c>
      <c r="B992" s="12" t="s">
        <v>296</v>
      </c>
      <c r="C992" s="12" t="s">
        <v>207</v>
      </c>
      <c r="D992" s="12" t="s">
        <v>1506</v>
      </c>
      <c r="E992" s="17">
        <v>1</v>
      </c>
      <c r="F992" s="13"/>
      <c r="G992" s="12" t="s">
        <v>1445</v>
      </c>
      <c r="H992" s="12" t="s">
        <v>1507</v>
      </c>
      <c r="I992" s="13"/>
      <c r="J992" s="12" t="s">
        <v>1528</v>
      </c>
      <c r="K992" s="12" t="s">
        <v>1509</v>
      </c>
    </row>
    <row r="993" spans="1:11" ht="30" customHeight="1">
      <c r="A993" s="12" t="s">
        <v>300</v>
      </c>
      <c r="B993" s="12" t="s">
        <v>296</v>
      </c>
      <c r="C993" s="12" t="s">
        <v>207</v>
      </c>
      <c r="D993" s="12" t="s">
        <v>1510</v>
      </c>
      <c r="E993" s="12" t="s">
        <v>1529</v>
      </c>
      <c r="F993" s="13"/>
      <c r="G993" s="12" t="s">
        <v>1445</v>
      </c>
      <c r="H993" s="12" t="s">
        <v>1507</v>
      </c>
      <c r="I993" s="13"/>
      <c r="J993" s="12" t="s">
        <v>1530</v>
      </c>
      <c r="K993" s="12" t="s">
        <v>1513</v>
      </c>
    </row>
    <row r="994" spans="1:11" ht="30" customHeight="1">
      <c r="A994" s="12" t="s">
        <v>278</v>
      </c>
      <c r="B994" s="12" t="s">
        <v>274</v>
      </c>
      <c r="C994" s="12" t="s">
        <v>207</v>
      </c>
      <c r="D994" s="12" t="s">
        <v>1506</v>
      </c>
      <c r="E994" s="17">
        <v>0</v>
      </c>
      <c r="F994" s="13"/>
      <c r="G994" s="12" t="s">
        <v>1445</v>
      </c>
      <c r="H994" s="12" t="s">
        <v>1507</v>
      </c>
      <c r="I994" s="13"/>
      <c r="J994" s="12" t="s">
        <v>1531</v>
      </c>
      <c r="K994" s="12" t="s">
        <v>1509</v>
      </c>
    </row>
    <row r="995" spans="1:11" ht="30" customHeight="1">
      <c r="A995" s="12" t="s">
        <v>267</v>
      </c>
      <c r="B995" s="12" t="s">
        <v>264</v>
      </c>
      <c r="C995" s="12" t="s">
        <v>207</v>
      </c>
      <c r="D995" s="12" t="s">
        <v>1506</v>
      </c>
      <c r="E995" s="17">
        <v>0</v>
      </c>
      <c r="F995" s="13"/>
      <c r="G995" s="12" t="s">
        <v>1445</v>
      </c>
      <c r="H995" s="12" t="s">
        <v>1507</v>
      </c>
      <c r="I995" s="13"/>
      <c r="J995" s="12" t="s">
        <v>1532</v>
      </c>
      <c r="K995" s="12" t="s">
        <v>1509</v>
      </c>
    </row>
    <row r="996" spans="1:11" ht="30" customHeight="1">
      <c r="A996" s="12" t="s">
        <v>262</v>
      </c>
      <c r="B996" s="12" t="s">
        <v>259</v>
      </c>
      <c r="C996" s="12" t="s">
        <v>207</v>
      </c>
      <c r="D996" s="12" t="s">
        <v>1506</v>
      </c>
      <c r="E996" s="17">
        <v>0</v>
      </c>
      <c r="F996" s="13"/>
      <c r="G996" s="12" t="s">
        <v>1445</v>
      </c>
      <c r="H996" s="12" t="s">
        <v>1507</v>
      </c>
      <c r="I996" s="13"/>
      <c r="J996" s="12" t="s">
        <v>1533</v>
      </c>
      <c r="K996" s="12" t="s">
        <v>1509</v>
      </c>
    </row>
    <row r="997" spans="1:11" ht="30" customHeight="1">
      <c r="A997" s="12" t="s">
        <v>240</v>
      </c>
      <c r="B997" s="12" t="s">
        <v>235</v>
      </c>
      <c r="C997" s="12" t="s">
        <v>207</v>
      </c>
      <c r="D997" s="12" t="s">
        <v>1506</v>
      </c>
      <c r="E997" s="17">
        <v>0</v>
      </c>
      <c r="F997" s="13"/>
      <c r="G997" s="12" t="s">
        <v>1445</v>
      </c>
      <c r="H997" s="12" t="s">
        <v>1507</v>
      </c>
      <c r="I997" s="13"/>
      <c r="J997" s="12" t="s">
        <v>1534</v>
      </c>
      <c r="K997" s="12" t="s">
        <v>1509</v>
      </c>
    </row>
    <row r="998" spans="1:11" ht="30" customHeight="1">
      <c r="A998" s="12" t="s">
        <v>240</v>
      </c>
      <c r="B998" s="12" t="s">
        <v>235</v>
      </c>
      <c r="C998" s="12" t="s">
        <v>207</v>
      </c>
      <c r="D998" s="12" t="s">
        <v>1510</v>
      </c>
      <c r="E998" s="12" t="s">
        <v>1535</v>
      </c>
      <c r="F998" s="13"/>
      <c r="G998" s="12" t="s">
        <v>1445</v>
      </c>
      <c r="H998" s="12" t="s">
        <v>1507</v>
      </c>
      <c r="I998" s="13"/>
      <c r="J998" s="12" t="s">
        <v>1536</v>
      </c>
      <c r="K998" s="12" t="s">
        <v>1513</v>
      </c>
    </row>
    <row r="999" spans="1:11" ht="30" customHeight="1">
      <c r="A999" s="12" t="s">
        <v>227</v>
      </c>
      <c r="B999" s="12" t="s">
        <v>223</v>
      </c>
      <c r="C999" s="12" t="s">
        <v>207</v>
      </c>
      <c r="D999" s="12" t="s">
        <v>557</v>
      </c>
      <c r="E999" s="17">
        <v>13538</v>
      </c>
      <c r="F999" s="13"/>
      <c r="G999" s="12" t="s">
        <v>1445</v>
      </c>
      <c r="H999" s="12" t="s">
        <v>1537</v>
      </c>
      <c r="I999" s="13"/>
      <c r="J999" s="12" t="s">
        <v>1538</v>
      </c>
      <c r="K999" s="12" t="s">
        <v>1539</v>
      </c>
    </row>
    <row r="1000" spans="1:11" ht="30" customHeight="1">
      <c r="A1000" s="12" t="s">
        <v>227</v>
      </c>
      <c r="B1000" s="12" t="s">
        <v>223</v>
      </c>
      <c r="C1000" s="12" t="s">
        <v>207</v>
      </c>
      <c r="D1000" s="12" t="s">
        <v>567</v>
      </c>
      <c r="E1000" s="12" t="s">
        <v>54</v>
      </c>
      <c r="F1000" s="13"/>
      <c r="G1000" s="12" t="s">
        <v>1445</v>
      </c>
      <c r="H1000" s="12" t="s">
        <v>1537</v>
      </c>
      <c r="I1000" s="13"/>
      <c r="J1000" s="12" t="s">
        <v>1538</v>
      </c>
      <c r="K1000" s="12" t="s">
        <v>1539</v>
      </c>
    </row>
    <row r="1001" spans="1:11" ht="30" customHeight="1">
      <c r="A1001" s="12" t="s">
        <v>227</v>
      </c>
      <c r="B1001" s="12" t="s">
        <v>223</v>
      </c>
      <c r="C1001" s="12" t="s">
        <v>207</v>
      </c>
      <c r="D1001" s="12" t="s">
        <v>1540</v>
      </c>
      <c r="E1001" s="17">
        <v>856</v>
      </c>
      <c r="F1001" s="13"/>
      <c r="G1001" s="12" t="s">
        <v>1445</v>
      </c>
      <c r="H1001" s="12" t="s">
        <v>1537</v>
      </c>
      <c r="I1001" s="13"/>
      <c r="J1001" s="12" t="s">
        <v>1538</v>
      </c>
      <c r="K1001" s="12" t="s">
        <v>1541</v>
      </c>
    </row>
    <row r="1002" spans="1:11" ht="30" customHeight="1">
      <c r="A1002" s="12" t="s">
        <v>227</v>
      </c>
      <c r="B1002" s="12" t="s">
        <v>223</v>
      </c>
      <c r="C1002" s="12" t="s">
        <v>207</v>
      </c>
      <c r="D1002" s="12" t="s">
        <v>1542</v>
      </c>
      <c r="E1002" s="17">
        <v>1767</v>
      </c>
      <c r="F1002" s="13"/>
      <c r="G1002" s="12" t="s">
        <v>1445</v>
      </c>
      <c r="H1002" s="12" t="s">
        <v>1537</v>
      </c>
      <c r="I1002" s="13"/>
      <c r="J1002" s="12" t="s">
        <v>1538</v>
      </c>
      <c r="K1002" s="12" t="s">
        <v>1541</v>
      </c>
    </row>
    <row r="1003" spans="1:11" ht="30" customHeight="1">
      <c r="A1003" s="12" t="s">
        <v>227</v>
      </c>
      <c r="B1003" s="12" t="s">
        <v>223</v>
      </c>
      <c r="C1003" s="12" t="s">
        <v>207</v>
      </c>
      <c r="D1003" s="12" t="s">
        <v>1543</v>
      </c>
      <c r="E1003" s="12" t="s">
        <v>1544</v>
      </c>
      <c r="F1003" s="13"/>
      <c r="G1003" s="12" t="s">
        <v>1445</v>
      </c>
      <c r="H1003" s="12" t="s">
        <v>1537</v>
      </c>
      <c r="I1003" s="13"/>
      <c r="J1003" s="12" t="s">
        <v>1538</v>
      </c>
      <c r="K1003" s="12" t="s">
        <v>1545</v>
      </c>
    </row>
    <row r="1004" spans="1:11" ht="30" customHeight="1">
      <c r="A1004" s="12" t="s">
        <v>278</v>
      </c>
      <c r="B1004" s="12" t="s">
        <v>274</v>
      </c>
      <c r="C1004" s="12" t="s">
        <v>207</v>
      </c>
      <c r="D1004" s="12" t="s">
        <v>557</v>
      </c>
      <c r="E1004" s="17">
        <v>21567.9</v>
      </c>
      <c r="F1004" s="13"/>
      <c r="G1004" s="12" t="s">
        <v>1445</v>
      </c>
      <c r="H1004" s="12" t="s">
        <v>1546</v>
      </c>
      <c r="I1004" s="13"/>
      <c r="J1004" s="12" t="s">
        <v>1547</v>
      </c>
      <c r="K1004" s="12" t="s">
        <v>1548</v>
      </c>
    </row>
    <row r="1005" spans="1:11" ht="30" customHeight="1">
      <c r="A1005" s="12" t="s">
        <v>278</v>
      </c>
      <c r="B1005" s="12" t="s">
        <v>274</v>
      </c>
      <c r="C1005" s="12" t="s">
        <v>207</v>
      </c>
      <c r="D1005" s="12" t="s">
        <v>559</v>
      </c>
      <c r="E1005" s="17">
        <v>169.7</v>
      </c>
      <c r="F1005" s="13"/>
      <c r="G1005" s="12" t="s">
        <v>1445</v>
      </c>
      <c r="H1005" s="12" t="s">
        <v>1546</v>
      </c>
      <c r="I1005" s="13"/>
      <c r="J1005" s="12" t="s">
        <v>1547</v>
      </c>
      <c r="K1005" s="12" t="s">
        <v>1548</v>
      </c>
    </row>
    <row r="1006" spans="1:11" ht="30" customHeight="1">
      <c r="A1006" s="12" t="s">
        <v>278</v>
      </c>
      <c r="B1006" s="12" t="s">
        <v>274</v>
      </c>
      <c r="C1006" s="12" t="s">
        <v>207</v>
      </c>
      <c r="D1006" s="12" t="s">
        <v>567</v>
      </c>
      <c r="E1006" s="12" t="s">
        <v>54</v>
      </c>
      <c r="F1006" s="13"/>
      <c r="G1006" s="12" t="s">
        <v>1445</v>
      </c>
      <c r="H1006" s="12" t="s">
        <v>1546</v>
      </c>
      <c r="I1006" s="13"/>
      <c r="J1006" s="12" t="s">
        <v>1547</v>
      </c>
      <c r="K1006" s="12" t="s">
        <v>1548</v>
      </c>
    </row>
    <row r="1007" spans="1:11" ht="30" customHeight="1">
      <c r="A1007" s="12" t="s">
        <v>278</v>
      </c>
      <c r="B1007" s="12" t="s">
        <v>274</v>
      </c>
      <c r="C1007" s="12" t="s">
        <v>207</v>
      </c>
      <c r="D1007" s="12" t="s">
        <v>1549</v>
      </c>
      <c r="E1007" s="17">
        <v>211.5</v>
      </c>
      <c r="F1007" s="13"/>
      <c r="G1007" s="12" t="s">
        <v>1445</v>
      </c>
      <c r="H1007" s="12" t="s">
        <v>1546</v>
      </c>
      <c r="I1007" s="13"/>
      <c r="J1007" s="12" t="s">
        <v>1547</v>
      </c>
      <c r="K1007" s="12" t="s">
        <v>1550</v>
      </c>
    </row>
    <row r="1008" spans="1:11" ht="30" customHeight="1">
      <c r="A1008" s="12" t="s">
        <v>278</v>
      </c>
      <c r="B1008" s="12" t="s">
        <v>274</v>
      </c>
      <c r="C1008" s="12" t="s">
        <v>207</v>
      </c>
      <c r="D1008" s="12" t="s">
        <v>1543</v>
      </c>
      <c r="E1008" s="12" t="s">
        <v>1551</v>
      </c>
      <c r="F1008" s="13"/>
      <c r="G1008" s="12" t="s">
        <v>1445</v>
      </c>
      <c r="H1008" s="12" t="s">
        <v>1546</v>
      </c>
      <c r="I1008" s="13"/>
      <c r="J1008" s="12" t="s">
        <v>1547</v>
      </c>
      <c r="K1008" s="12" t="s">
        <v>1552</v>
      </c>
    </row>
    <row r="1009" spans="1:11" ht="30" customHeight="1">
      <c r="A1009" s="12" t="s">
        <v>248</v>
      </c>
      <c r="B1009" s="12" t="s">
        <v>244</v>
      </c>
      <c r="C1009" s="12" t="s">
        <v>207</v>
      </c>
      <c r="D1009" s="12" t="s">
        <v>557</v>
      </c>
      <c r="E1009" s="17">
        <v>1001.6</v>
      </c>
      <c r="F1009" s="13"/>
      <c r="G1009" s="12" t="s">
        <v>1445</v>
      </c>
      <c r="H1009" s="12" t="s">
        <v>1546</v>
      </c>
      <c r="I1009" s="13"/>
      <c r="J1009" s="12" t="s">
        <v>1553</v>
      </c>
      <c r="K1009" s="12" t="s">
        <v>1554</v>
      </c>
    </row>
    <row r="1010" spans="1:11" ht="30" customHeight="1">
      <c r="A1010" s="12" t="s">
        <v>248</v>
      </c>
      <c r="B1010" s="12" t="s">
        <v>244</v>
      </c>
      <c r="C1010" s="12" t="s">
        <v>207</v>
      </c>
      <c r="D1010" s="12" t="s">
        <v>559</v>
      </c>
      <c r="E1010" s="17">
        <v>68.8</v>
      </c>
      <c r="F1010" s="13"/>
      <c r="G1010" s="12" t="s">
        <v>1445</v>
      </c>
      <c r="H1010" s="12" t="s">
        <v>1546</v>
      </c>
      <c r="I1010" s="13"/>
      <c r="J1010" s="12" t="s">
        <v>1553</v>
      </c>
      <c r="K1010" s="12" t="s">
        <v>1554</v>
      </c>
    </row>
    <row r="1011" spans="1:11" ht="30" customHeight="1">
      <c r="A1011" s="12" t="s">
        <v>248</v>
      </c>
      <c r="B1011" s="12" t="s">
        <v>244</v>
      </c>
      <c r="C1011" s="12" t="s">
        <v>207</v>
      </c>
      <c r="D1011" s="12" t="s">
        <v>567</v>
      </c>
      <c r="E1011" s="12" t="s">
        <v>54</v>
      </c>
      <c r="F1011" s="13"/>
      <c r="G1011" s="12" t="s">
        <v>1445</v>
      </c>
      <c r="H1011" s="12" t="s">
        <v>1546</v>
      </c>
      <c r="I1011" s="13"/>
      <c r="J1011" s="12" t="s">
        <v>1553</v>
      </c>
      <c r="K1011" s="12" t="s">
        <v>1554</v>
      </c>
    </row>
    <row r="1012" spans="1:11" ht="30" customHeight="1">
      <c r="A1012" s="12" t="s">
        <v>248</v>
      </c>
      <c r="B1012" s="12" t="s">
        <v>244</v>
      </c>
      <c r="C1012" s="12" t="s">
        <v>207</v>
      </c>
      <c r="D1012" s="12" t="s">
        <v>1543</v>
      </c>
      <c r="E1012" s="12" t="s">
        <v>1555</v>
      </c>
      <c r="F1012" s="13"/>
      <c r="G1012" s="12" t="s">
        <v>1445</v>
      </c>
      <c r="H1012" s="12" t="s">
        <v>1546</v>
      </c>
      <c r="I1012" s="13"/>
      <c r="J1012" s="12" t="s">
        <v>1553</v>
      </c>
      <c r="K1012" s="12" t="s">
        <v>1556</v>
      </c>
    </row>
    <row r="1013" spans="1:11" ht="30" customHeight="1">
      <c r="A1013" s="12" t="s">
        <v>262</v>
      </c>
      <c r="B1013" s="12" t="s">
        <v>259</v>
      </c>
      <c r="C1013" s="12" t="s">
        <v>207</v>
      </c>
      <c r="D1013" s="12" t="s">
        <v>557</v>
      </c>
      <c r="E1013" s="17">
        <v>1867</v>
      </c>
      <c r="F1013" s="13"/>
      <c r="G1013" s="12" t="s">
        <v>1445</v>
      </c>
      <c r="H1013" s="12" t="s">
        <v>1546</v>
      </c>
      <c r="I1013" s="13"/>
      <c r="J1013" s="12" t="s">
        <v>1557</v>
      </c>
      <c r="K1013" s="12" t="s">
        <v>1554</v>
      </c>
    </row>
    <row r="1014" spans="1:11" ht="30" customHeight="1">
      <c r="A1014" s="12" t="s">
        <v>262</v>
      </c>
      <c r="B1014" s="12" t="s">
        <v>259</v>
      </c>
      <c r="C1014" s="12" t="s">
        <v>207</v>
      </c>
      <c r="D1014" s="12" t="s">
        <v>559</v>
      </c>
      <c r="E1014" s="17">
        <v>150.2</v>
      </c>
      <c r="F1014" s="13"/>
      <c r="G1014" s="12" t="s">
        <v>1445</v>
      </c>
      <c r="H1014" s="12" t="s">
        <v>1546</v>
      </c>
      <c r="I1014" s="13"/>
      <c r="J1014" s="12" t="s">
        <v>1557</v>
      </c>
      <c r="K1014" s="12" t="s">
        <v>1554</v>
      </c>
    </row>
    <row r="1015" spans="1:11" ht="30" customHeight="1">
      <c r="A1015" s="12" t="s">
        <v>262</v>
      </c>
      <c r="B1015" s="12" t="s">
        <v>259</v>
      </c>
      <c r="C1015" s="12" t="s">
        <v>207</v>
      </c>
      <c r="D1015" s="12" t="s">
        <v>567</v>
      </c>
      <c r="E1015" s="12" t="s">
        <v>54</v>
      </c>
      <c r="F1015" s="13"/>
      <c r="G1015" s="12" t="s">
        <v>1445</v>
      </c>
      <c r="H1015" s="12" t="s">
        <v>1546</v>
      </c>
      <c r="I1015" s="13"/>
      <c r="J1015" s="12" t="s">
        <v>1557</v>
      </c>
      <c r="K1015" s="12" t="s">
        <v>1554</v>
      </c>
    </row>
    <row r="1016" spans="1:11" ht="30" customHeight="1">
      <c r="A1016" s="12" t="s">
        <v>262</v>
      </c>
      <c r="B1016" s="12" t="s">
        <v>259</v>
      </c>
      <c r="C1016" s="12" t="s">
        <v>207</v>
      </c>
      <c r="D1016" s="12" t="s">
        <v>1543</v>
      </c>
      <c r="E1016" s="12" t="s">
        <v>1555</v>
      </c>
      <c r="F1016" s="13"/>
      <c r="G1016" s="12" t="s">
        <v>1445</v>
      </c>
      <c r="H1016" s="12" t="s">
        <v>1546</v>
      </c>
      <c r="I1016" s="13"/>
      <c r="J1016" s="12" t="s">
        <v>1557</v>
      </c>
      <c r="K1016" s="12" t="s">
        <v>1556</v>
      </c>
    </row>
    <row r="1017" spans="1:11" ht="30" customHeight="1">
      <c r="A1017" s="12" t="s">
        <v>255</v>
      </c>
      <c r="B1017" s="12" t="s">
        <v>251</v>
      </c>
      <c r="C1017" s="12" t="s">
        <v>207</v>
      </c>
      <c r="D1017" s="12" t="s">
        <v>557</v>
      </c>
      <c r="E1017" s="17">
        <v>2418</v>
      </c>
      <c r="F1017" s="13"/>
      <c r="G1017" s="12" t="s">
        <v>1445</v>
      </c>
      <c r="H1017" s="12" t="s">
        <v>1546</v>
      </c>
      <c r="I1017" s="13"/>
      <c r="J1017" s="12" t="s">
        <v>1558</v>
      </c>
      <c r="K1017" s="12" t="s">
        <v>1554</v>
      </c>
    </row>
    <row r="1018" spans="1:11" ht="30" customHeight="1">
      <c r="A1018" s="12" t="s">
        <v>255</v>
      </c>
      <c r="B1018" s="12" t="s">
        <v>251</v>
      </c>
      <c r="C1018" s="12" t="s">
        <v>207</v>
      </c>
      <c r="D1018" s="12" t="s">
        <v>559</v>
      </c>
      <c r="E1018" s="17">
        <v>180.1</v>
      </c>
      <c r="F1018" s="13"/>
      <c r="G1018" s="12" t="s">
        <v>1445</v>
      </c>
      <c r="H1018" s="12" t="s">
        <v>1546</v>
      </c>
      <c r="I1018" s="13"/>
      <c r="J1018" s="12" t="s">
        <v>1558</v>
      </c>
      <c r="K1018" s="12" t="s">
        <v>1554</v>
      </c>
    </row>
    <row r="1019" spans="1:11" ht="30" customHeight="1">
      <c r="A1019" s="12" t="s">
        <v>255</v>
      </c>
      <c r="B1019" s="12" t="s">
        <v>251</v>
      </c>
      <c r="C1019" s="12" t="s">
        <v>207</v>
      </c>
      <c r="D1019" s="12" t="s">
        <v>567</v>
      </c>
      <c r="E1019" s="12" t="s">
        <v>54</v>
      </c>
      <c r="F1019" s="13"/>
      <c r="G1019" s="12" t="s">
        <v>1445</v>
      </c>
      <c r="H1019" s="12" t="s">
        <v>1546</v>
      </c>
      <c r="I1019" s="13"/>
      <c r="J1019" s="12" t="s">
        <v>1558</v>
      </c>
      <c r="K1019" s="12" t="s">
        <v>1554</v>
      </c>
    </row>
    <row r="1020" spans="1:11" ht="30" customHeight="1">
      <c r="A1020" s="12" t="s">
        <v>255</v>
      </c>
      <c r="B1020" s="12" t="s">
        <v>251</v>
      </c>
      <c r="C1020" s="12" t="s">
        <v>207</v>
      </c>
      <c r="D1020" s="12" t="s">
        <v>1543</v>
      </c>
      <c r="E1020" s="12" t="s">
        <v>1555</v>
      </c>
      <c r="F1020" s="13"/>
      <c r="G1020" s="12" t="s">
        <v>1445</v>
      </c>
      <c r="H1020" s="12" t="s">
        <v>1546</v>
      </c>
      <c r="I1020" s="13"/>
      <c r="J1020" s="12" t="s">
        <v>1558</v>
      </c>
      <c r="K1020" s="12" t="s">
        <v>1556</v>
      </c>
    </row>
    <row r="1021" spans="1:11" ht="30" customHeight="1">
      <c r="A1021" s="12" t="s">
        <v>300</v>
      </c>
      <c r="B1021" s="12" t="s">
        <v>296</v>
      </c>
      <c r="C1021" s="12" t="s">
        <v>207</v>
      </c>
      <c r="D1021" s="12" t="s">
        <v>561</v>
      </c>
      <c r="E1021" s="17">
        <v>4527</v>
      </c>
      <c r="F1021" s="13"/>
      <c r="G1021" s="12" t="s">
        <v>1445</v>
      </c>
      <c r="H1021" s="12" t="s">
        <v>1546</v>
      </c>
      <c r="I1021" s="13"/>
      <c r="J1021" s="12" t="s">
        <v>1559</v>
      </c>
      <c r="K1021" s="12" t="s">
        <v>1560</v>
      </c>
    </row>
    <row r="1022" spans="1:11" ht="30" customHeight="1">
      <c r="A1022" s="12" t="s">
        <v>300</v>
      </c>
      <c r="B1022" s="12" t="s">
        <v>296</v>
      </c>
      <c r="C1022" s="12" t="s">
        <v>207</v>
      </c>
      <c r="D1022" s="12" t="s">
        <v>558</v>
      </c>
      <c r="E1022" s="17">
        <v>22261</v>
      </c>
      <c r="F1022" s="13"/>
      <c r="G1022" s="12" t="s">
        <v>1445</v>
      </c>
      <c r="H1022" s="12" t="s">
        <v>1546</v>
      </c>
      <c r="I1022" s="13"/>
      <c r="J1022" s="12" t="s">
        <v>1559</v>
      </c>
      <c r="K1022" s="12" t="s">
        <v>1560</v>
      </c>
    </row>
    <row r="1023" spans="1:11" ht="30" customHeight="1">
      <c r="A1023" s="12" t="s">
        <v>300</v>
      </c>
      <c r="B1023" s="12" t="s">
        <v>296</v>
      </c>
      <c r="C1023" s="12" t="s">
        <v>207</v>
      </c>
      <c r="D1023" s="12" t="s">
        <v>567</v>
      </c>
      <c r="E1023" s="12" t="s">
        <v>32</v>
      </c>
      <c r="F1023" s="13"/>
      <c r="G1023" s="12" t="s">
        <v>1445</v>
      </c>
      <c r="H1023" s="12" t="s">
        <v>1546</v>
      </c>
      <c r="I1023" s="13"/>
      <c r="J1023" s="12" t="s">
        <v>1559</v>
      </c>
      <c r="K1023" s="12" t="s">
        <v>1560</v>
      </c>
    </row>
    <row r="1024" spans="1:11" ht="30" customHeight="1">
      <c r="A1024" s="12" t="s">
        <v>300</v>
      </c>
      <c r="B1024" s="12" t="s">
        <v>296</v>
      </c>
      <c r="C1024" s="12" t="s">
        <v>207</v>
      </c>
      <c r="D1024" s="12" t="s">
        <v>1561</v>
      </c>
      <c r="E1024" s="17">
        <v>89730</v>
      </c>
      <c r="F1024" s="13"/>
      <c r="G1024" s="12" t="s">
        <v>1445</v>
      </c>
      <c r="H1024" s="12" t="s">
        <v>1546</v>
      </c>
      <c r="I1024" s="13"/>
      <c r="J1024" s="12" t="s">
        <v>1559</v>
      </c>
      <c r="K1024" s="12" t="s">
        <v>1562</v>
      </c>
    </row>
    <row r="1025" spans="1:11" ht="30" customHeight="1">
      <c r="A1025" s="12" t="s">
        <v>300</v>
      </c>
      <c r="B1025" s="12" t="s">
        <v>296</v>
      </c>
      <c r="C1025" s="12" t="s">
        <v>207</v>
      </c>
      <c r="D1025" s="12" t="s">
        <v>1563</v>
      </c>
      <c r="E1025" s="17">
        <v>13264</v>
      </c>
      <c r="F1025" s="13"/>
      <c r="G1025" s="12" t="s">
        <v>1445</v>
      </c>
      <c r="H1025" s="12" t="s">
        <v>1546</v>
      </c>
      <c r="I1025" s="13"/>
      <c r="J1025" s="12" t="s">
        <v>1559</v>
      </c>
      <c r="K1025" s="12" t="s">
        <v>1562</v>
      </c>
    </row>
    <row r="1026" spans="1:11" ht="30" customHeight="1">
      <c r="A1026" s="12" t="s">
        <v>300</v>
      </c>
      <c r="B1026" s="12" t="s">
        <v>296</v>
      </c>
      <c r="C1026" s="12" t="s">
        <v>207</v>
      </c>
      <c r="D1026" s="12" t="s">
        <v>1564</v>
      </c>
      <c r="E1026" s="17">
        <v>6.76</v>
      </c>
      <c r="F1026" s="13"/>
      <c r="G1026" s="12" t="s">
        <v>1445</v>
      </c>
      <c r="H1026" s="12" t="s">
        <v>1546</v>
      </c>
      <c r="I1026" s="13"/>
      <c r="J1026" s="12" t="s">
        <v>1559</v>
      </c>
      <c r="K1026" s="12" t="s">
        <v>1565</v>
      </c>
    </row>
    <row r="1027" spans="1:11" ht="30" customHeight="1">
      <c r="A1027" s="12" t="s">
        <v>300</v>
      </c>
      <c r="B1027" s="12" t="s">
        <v>296</v>
      </c>
      <c r="C1027" s="12" t="s">
        <v>207</v>
      </c>
      <c r="D1027" s="12" t="s">
        <v>1543</v>
      </c>
      <c r="E1027" s="12" t="s">
        <v>1555</v>
      </c>
      <c r="F1027" s="13"/>
      <c r="G1027" s="12" t="s">
        <v>1445</v>
      </c>
      <c r="H1027" s="12" t="s">
        <v>1546</v>
      </c>
      <c r="I1027" s="13"/>
      <c r="J1027" s="12" t="s">
        <v>1559</v>
      </c>
      <c r="K1027" s="12" t="s">
        <v>1556</v>
      </c>
    </row>
    <row r="1028" spans="1:11" ht="30" customHeight="1">
      <c r="A1028" s="12" t="s">
        <v>212</v>
      </c>
      <c r="B1028" s="12" t="s">
        <v>206</v>
      </c>
      <c r="C1028" s="12" t="s">
        <v>207</v>
      </c>
      <c r="D1028" s="12" t="s">
        <v>1566</v>
      </c>
      <c r="E1028" s="17">
        <v>82.3</v>
      </c>
      <c r="F1028" s="13"/>
      <c r="G1028" s="12" t="s">
        <v>1445</v>
      </c>
      <c r="H1028" s="12" t="s">
        <v>1546</v>
      </c>
      <c r="I1028" s="13"/>
      <c r="J1028" s="12" t="s">
        <v>1567</v>
      </c>
      <c r="K1028" s="12" t="s">
        <v>1568</v>
      </c>
    </row>
    <row r="1029" spans="1:11" ht="30" customHeight="1">
      <c r="A1029" s="12" t="s">
        <v>212</v>
      </c>
      <c r="B1029" s="12" t="s">
        <v>206</v>
      </c>
      <c r="C1029" s="12" t="s">
        <v>207</v>
      </c>
      <c r="D1029" s="12" t="s">
        <v>567</v>
      </c>
      <c r="E1029" s="12" t="s">
        <v>32</v>
      </c>
      <c r="F1029" s="13"/>
      <c r="G1029" s="12" t="s">
        <v>1445</v>
      </c>
      <c r="H1029" s="12" t="s">
        <v>1546</v>
      </c>
      <c r="I1029" s="13"/>
      <c r="J1029" s="12" t="s">
        <v>1567</v>
      </c>
      <c r="K1029" s="12" t="s">
        <v>1569</v>
      </c>
    </row>
    <row r="1030" spans="1:11" ht="30" customHeight="1">
      <c r="A1030" s="12" t="s">
        <v>212</v>
      </c>
      <c r="B1030" s="12" t="s">
        <v>206</v>
      </c>
      <c r="C1030" s="12" t="s">
        <v>207</v>
      </c>
      <c r="D1030" s="12" t="s">
        <v>1570</v>
      </c>
      <c r="E1030" s="17">
        <v>0.099</v>
      </c>
      <c r="F1030" s="13"/>
      <c r="G1030" s="12" t="s">
        <v>1445</v>
      </c>
      <c r="H1030" s="12" t="s">
        <v>1546</v>
      </c>
      <c r="I1030" s="13"/>
      <c r="J1030" s="12" t="s">
        <v>1567</v>
      </c>
      <c r="K1030" s="12" t="s">
        <v>1568</v>
      </c>
    </row>
    <row r="1031" spans="1:11" ht="30" customHeight="1">
      <c r="A1031" s="12" t="s">
        <v>212</v>
      </c>
      <c r="B1031" s="12" t="s">
        <v>206</v>
      </c>
      <c r="C1031" s="12" t="s">
        <v>207</v>
      </c>
      <c r="D1031" s="12" t="s">
        <v>1543</v>
      </c>
      <c r="E1031" s="12" t="s">
        <v>1571</v>
      </c>
      <c r="F1031" s="13"/>
      <c r="G1031" s="12" t="s">
        <v>1445</v>
      </c>
      <c r="H1031" s="12" t="s">
        <v>1546</v>
      </c>
      <c r="I1031" s="13"/>
      <c r="J1031" s="12" t="s">
        <v>1567</v>
      </c>
      <c r="K1031" s="12" t="s">
        <v>1572</v>
      </c>
    </row>
    <row r="1032" spans="1:11" ht="30" customHeight="1">
      <c r="A1032" s="12" t="s">
        <v>255</v>
      </c>
      <c r="B1032" s="12" t="s">
        <v>251</v>
      </c>
      <c r="C1032" s="12" t="s">
        <v>207</v>
      </c>
      <c r="D1032" s="12" t="s">
        <v>1573</v>
      </c>
      <c r="E1032" s="12" t="s">
        <v>1574</v>
      </c>
      <c r="F1032" s="13"/>
      <c r="G1032" s="12" t="s">
        <v>1445</v>
      </c>
      <c r="H1032" s="12" t="s">
        <v>1546</v>
      </c>
      <c r="I1032" s="13"/>
      <c r="J1032" s="12" t="s">
        <v>1575</v>
      </c>
      <c r="K1032" s="12" t="s">
        <v>1576</v>
      </c>
    </row>
    <row r="1033" spans="1:11" ht="30" customHeight="1">
      <c r="A1033" s="12" t="s">
        <v>255</v>
      </c>
      <c r="B1033" s="12" t="s">
        <v>251</v>
      </c>
      <c r="C1033" s="12" t="s">
        <v>207</v>
      </c>
      <c r="D1033" s="12" t="s">
        <v>566</v>
      </c>
      <c r="E1033" s="12" t="s">
        <v>1445</v>
      </c>
      <c r="F1033" s="13"/>
      <c r="G1033" s="12" t="s">
        <v>1445</v>
      </c>
      <c r="H1033" s="12" t="s">
        <v>1577</v>
      </c>
      <c r="I1033" s="13"/>
      <c r="J1033" s="12" t="s">
        <v>1578</v>
      </c>
      <c r="K1033" s="12" t="s">
        <v>1579</v>
      </c>
    </row>
    <row r="1034" spans="1:11" ht="30" customHeight="1">
      <c r="A1034" s="12" t="s">
        <v>255</v>
      </c>
      <c r="B1034" s="12" t="s">
        <v>251</v>
      </c>
      <c r="C1034" s="12" t="s">
        <v>207</v>
      </c>
      <c r="D1034" s="12" t="s">
        <v>568</v>
      </c>
      <c r="E1034" s="12" t="s">
        <v>1580</v>
      </c>
      <c r="F1034" s="13"/>
      <c r="G1034" s="12" t="s">
        <v>1445</v>
      </c>
      <c r="H1034" s="12" t="s">
        <v>1581</v>
      </c>
      <c r="I1034" s="13"/>
      <c r="J1034" s="12" t="s">
        <v>1582</v>
      </c>
      <c r="K1034" s="12" t="s">
        <v>1583</v>
      </c>
    </row>
    <row r="1035" spans="1:11" ht="30" customHeight="1">
      <c r="A1035" s="12" t="s">
        <v>267</v>
      </c>
      <c r="B1035" s="12" t="s">
        <v>264</v>
      </c>
      <c r="C1035" s="12" t="s">
        <v>207</v>
      </c>
      <c r="D1035" s="12" t="s">
        <v>566</v>
      </c>
      <c r="E1035" s="12" t="s">
        <v>1445</v>
      </c>
      <c r="F1035" s="13"/>
      <c r="G1035" s="12" t="s">
        <v>1445</v>
      </c>
      <c r="H1035" s="12" t="s">
        <v>1577</v>
      </c>
      <c r="I1035" s="13"/>
      <c r="J1035" s="12" t="s">
        <v>1578</v>
      </c>
      <c r="K1035" s="12" t="s">
        <v>1579</v>
      </c>
    </row>
    <row r="1036" spans="1:11" ht="30" customHeight="1">
      <c r="A1036" s="12" t="s">
        <v>267</v>
      </c>
      <c r="B1036" s="12" t="s">
        <v>264</v>
      </c>
      <c r="C1036" s="12" t="s">
        <v>207</v>
      </c>
      <c r="D1036" s="12" t="s">
        <v>568</v>
      </c>
      <c r="E1036" s="12" t="s">
        <v>1580</v>
      </c>
      <c r="F1036" s="13"/>
      <c r="G1036" s="12" t="s">
        <v>1445</v>
      </c>
      <c r="H1036" s="12" t="s">
        <v>1581</v>
      </c>
      <c r="I1036" s="13"/>
      <c r="J1036" s="12" t="s">
        <v>1582</v>
      </c>
      <c r="K1036" s="12" t="s">
        <v>1583</v>
      </c>
    </row>
    <row r="1037" spans="1:11" ht="30" customHeight="1">
      <c r="A1037" s="12" t="s">
        <v>262</v>
      </c>
      <c r="B1037" s="12" t="s">
        <v>259</v>
      </c>
      <c r="C1037" s="12" t="s">
        <v>207</v>
      </c>
      <c r="D1037" s="12" t="s">
        <v>566</v>
      </c>
      <c r="E1037" s="12" t="s">
        <v>1445</v>
      </c>
      <c r="F1037" s="13"/>
      <c r="G1037" s="12" t="s">
        <v>1445</v>
      </c>
      <c r="H1037" s="12" t="s">
        <v>1577</v>
      </c>
      <c r="I1037" s="13"/>
      <c r="J1037" s="12" t="s">
        <v>1578</v>
      </c>
      <c r="K1037" s="12" t="s">
        <v>1579</v>
      </c>
    </row>
    <row r="1038" spans="1:11" ht="30" customHeight="1">
      <c r="A1038" s="12" t="s">
        <v>262</v>
      </c>
      <c r="B1038" s="12" t="s">
        <v>259</v>
      </c>
      <c r="C1038" s="12" t="s">
        <v>207</v>
      </c>
      <c r="D1038" s="12" t="s">
        <v>568</v>
      </c>
      <c r="E1038" s="12" t="s">
        <v>1580</v>
      </c>
      <c r="F1038" s="13"/>
      <c r="G1038" s="12" t="s">
        <v>1445</v>
      </c>
      <c r="H1038" s="12" t="s">
        <v>1581</v>
      </c>
      <c r="I1038" s="13"/>
      <c r="J1038" s="12" t="s">
        <v>1582</v>
      </c>
      <c r="K1038" s="12" t="s">
        <v>1583</v>
      </c>
    </row>
    <row r="1039" spans="1:11" ht="30" customHeight="1">
      <c r="A1039" s="12" t="s">
        <v>320</v>
      </c>
      <c r="B1039" s="12" t="s">
        <v>317</v>
      </c>
      <c r="C1039" s="12" t="s">
        <v>303</v>
      </c>
      <c r="D1039" s="12" t="s">
        <v>566</v>
      </c>
      <c r="E1039" s="12" t="s">
        <v>1584</v>
      </c>
      <c r="F1039" s="13"/>
      <c r="G1039" s="12" t="s">
        <v>1585</v>
      </c>
      <c r="H1039" s="12" t="s">
        <v>1586</v>
      </c>
      <c r="I1039" s="13"/>
      <c r="J1039" s="12" t="s">
        <v>1587</v>
      </c>
      <c r="K1039" s="12" t="s">
        <v>1588</v>
      </c>
    </row>
    <row r="1040" spans="1:11" ht="30" customHeight="1">
      <c r="A1040" s="12" t="s">
        <v>320</v>
      </c>
      <c r="B1040" s="12" t="s">
        <v>317</v>
      </c>
      <c r="C1040" s="12" t="s">
        <v>303</v>
      </c>
      <c r="D1040" s="12" t="s">
        <v>568</v>
      </c>
      <c r="E1040" s="12" t="s">
        <v>1589</v>
      </c>
      <c r="F1040" s="13"/>
      <c r="G1040" s="12" t="s">
        <v>1585</v>
      </c>
      <c r="H1040" s="12" t="s">
        <v>1586</v>
      </c>
      <c r="I1040" s="13"/>
      <c r="J1040" s="12" t="s">
        <v>1590</v>
      </c>
      <c r="K1040" s="12" t="s">
        <v>1591</v>
      </c>
    </row>
    <row r="1041" spans="1:11" ht="30" customHeight="1">
      <c r="A1041" s="12" t="s">
        <v>320</v>
      </c>
      <c r="B1041" s="12" t="s">
        <v>317</v>
      </c>
      <c r="C1041" s="12" t="s">
        <v>303</v>
      </c>
      <c r="D1041" s="12" t="s">
        <v>1592</v>
      </c>
      <c r="E1041" s="12" t="s">
        <v>1593</v>
      </c>
      <c r="F1041" s="13"/>
      <c r="G1041" s="12" t="s">
        <v>1585</v>
      </c>
      <c r="H1041" s="12" t="s">
        <v>1586</v>
      </c>
      <c r="I1041" s="13"/>
      <c r="J1041" s="12" t="s">
        <v>1594</v>
      </c>
      <c r="K1041" s="12" t="s">
        <v>1595</v>
      </c>
    </row>
    <row r="1042" spans="1:11" ht="30" customHeight="1">
      <c r="A1042" s="12" t="s">
        <v>307</v>
      </c>
      <c r="B1042" s="12" t="s">
        <v>302</v>
      </c>
      <c r="C1042" s="12" t="s">
        <v>303</v>
      </c>
      <c r="D1042" s="12" t="s">
        <v>566</v>
      </c>
      <c r="E1042" s="12" t="s">
        <v>1584</v>
      </c>
      <c r="F1042" s="13"/>
      <c r="G1042" s="12" t="s">
        <v>1585</v>
      </c>
      <c r="H1042" s="12" t="s">
        <v>1586</v>
      </c>
      <c r="I1042" s="13"/>
      <c r="J1042" s="12" t="s">
        <v>1587</v>
      </c>
      <c r="K1042" s="12" t="s">
        <v>1588</v>
      </c>
    </row>
    <row r="1043" spans="1:11" ht="30" customHeight="1">
      <c r="A1043" s="12" t="s">
        <v>307</v>
      </c>
      <c r="B1043" s="12" t="s">
        <v>302</v>
      </c>
      <c r="C1043" s="12" t="s">
        <v>303</v>
      </c>
      <c r="D1043" s="12" t="s">
        <v>568</v>
      </c>
      <c r="E1043" s="12" t="s">
        <v>1589</v>
      </c>
      <c r="F1043" s="13"/>
      <c r="G1043" s="12" t="s">
        <v>1585</v>
      </c>
      <c r="H1043" s="12" t="s">
        <v>1586</v>
      </c>
      <c r="I1043" s="13"/>
      <c r="J1043" s="12" t="s">
        <v>1590</v>
      </c>
      <c r="K1043" s="12" t="s">
        <v>1591</v>
      </c>
    </row>
    <row r="1044" spans="1:11" ht="30" customHeight="1">
      <c r="A1044" s="12" t="s">
        <v>307</v>
      </c>
      <c r="B1044" s="12" t="s">
        <v>302</v>
      </c>
      <c r="C1044" s="12" t="s">
        <v>303</v>
      </c>
      <c r="D1044" s="12" t="s">
        <v>1592</v>
      </c>
      <c r="E1044" s="12" t="s">
        <v>1593</v>
      </c>
      <c r="F1044" s="13"/>
      <c r="G1044" s="12" t="s">
        <v>1585</v>
      </c>
      <c r="H1044" s="12" t="s">
        <v>1586</v>
      </c>
      <c r="I1044" s="13"/>
      <c r="J1044" s="12" t="s">
        <v>1594</v>
      </c>
      <c r="K1044" s="12" t="s">
        <v>1595</v>
      </c>
    </row>
    <row r="1045" spans="1:11" ht="30" customHeight="1">
      <c r="A1045" s="12" t="s">
        <v>371</v>
      </c>
      <c r="B1045" s="12" t="s">
        <v>368</v>
      </c>
      <c r="C1045" s="12" t="s">
        <v>303</v>
      </c>
      <c r="D1045" s="12" t="s">
        <v>566</v>
      </c>
      <c r="E1045" s="12" t="s">
        <v>1584</v>
      </c>
      <c r="F1045" s="13"/>
      <c r="G1045" s="12" t="s">
        <v>1585</v>
      </c>
      <c r="H1045" s="12" t="s">
        <v>1586</v>
      </c>
      <c r="I1045" s="13"/>
      <c r="J1045" s="12" t="s">
        <v>1587</v>
      </c>
      <c r="K1045" s="12" t="s">
        <v>1588</v>
      </c>
    </row>
    <row r="1046" spans="1:11" ht="30" customHeight="1">
      <c r="A1046" s="12" t="s">
        <v>371</v>
      </c>
      <c r="B1046" s="12" t="s">
        <v>368</v>
      </c>
      <c r="C1046" s="12" t="s">
        <v>303</v>
      </c>
      <c r="D1046" s="12" t="s">
        <v>568</v>
      </c>
      <c r="E1046" s="12" t="s">
        <v>1589</v>
      </c>
      <c r="F1046" s="13"/>
      <c r="G1046" s="12" t="s">
        <v>1585</v>
      </c>
      <c r="H1046" s="12" t="s">
        <v>1586</v>
      </c>
      <c r="I1046" s="13"/>
      <c r="J1046" s="12" t="s">
        <v>1590</v>
      </c>
      <c r="K1046" s="12" t="s">
        <v>1591</v>
      </c>
    </row>
    <row r="1047" spans="1:11" ht="30" customHeight="1">
      <c r="A1047" s="12" t="s">
        <v>371</v>
      </c>
      <c r="B1047" s="12" t="s">
        <v>368</v>
      </c>
      <c r="C1047" s="12" t="s">
        <v>303</v>
      </c>
      <c r="D1047" s="12" t="s">
        <v>1592</v>
      </c>
      <c r="E1047" s="12" t="s">
        <v>1593</v>
      </c>
      <c r="F1047" s="13"/>
      <c r="G1047" s="12" t="s">
        <v>1585</v>
      </c>
      <c r="H1047" s="12" t="s">
        <v>1586</v>
      </c>
      <c r="I1047" s="13"/>
      <c r="J1047" s="12" t="s">
        <v>1594</v>
      </c>
      <c r="K1047" s="12" t="s">
        <v>1595</v>
      </c>
    </row>
    <row r="1048" spans="1:11" ht="30" customHeight="1">
      <c r="A1048" s="12" t="s">
        <v>361</v>
      </c>
      <c r="B1048" s="12" t="s">
        <v>358</v>
      </c>
      <c r="C1048" s="12" t="s">
        <v>303</v>
      </c>
      <c r="D1048" s="12" t="s">
        <v>566</v>
      </c>
      <c r="E1048" s="12" t="s">
        <v>1584</v>
      </c>
      <c r="F1048" s="13"/>
      <c r="G1048" s="12" t="s">
        <v>1585</v>
      </c>
      <c r="H1048" s="12" t="s">
        <v>1586</v>
      </c>
      <c r="I1048" s="13"/>
      <c r="J1048" s="12" t="s">
        <v>1587</v>
      </c>
      <c r="K1048" s="12" t="s">
        <v>1588</v>
      </c>
    </row>
    <row r="1049" spans="1:11" ht="30" customHeight="1">
      <c r="A1049" s="12" t="s">
        <v>361</v>
      </c>
      <c r="B1049" s="12" t="s">
        <v>358</v>
      </c>
      <c r="C1049" s="12" t="s">
        <v>303</v>
      </c>
      <c r="D1049" s="12" t="s">
        <v>568</v>
      </c>
      <c r="E1049" s="12" t="s">
        <v>1589</v>
      </c>
      <c r="F1049" s="13"/>
      <c r="G1049" s="12" t="s">
        <v>1585</v>
      </c>
      <c r="H1049" s="12" t="s">
        <v>1586</v>
      </c>
      <c r="I1049" s="13"/>
      <c r="J1049" s="12" t="s">
        <v>1590</v>
      </c>
      <c r="K1049" s="12" t="s">
        <v>1591</v>
      </c>
    </row>
    <row r="1050" spans="1:11" ht="30" customHeight="1">
      <c r="A1050" s="12" t="s">
        <v>361</v>
      </c>
      <c r="B1050" s="12" t="s">
        <v>358</v>
      </c>
      <c r="C1050" s="12" t="s">
        <v>303</v>
      </c>
      <c r="D1050" s="12" t="s">
        <v>1592</v>
      </c>
      <c r="E1050" s="12" t="s">
        <v>1593</v>
      </c>
      <c r="F1050" s="13"/>
      <c r="G1050" s="12" t="s">
        <v>1585</v>
      </c>
      <c r="H1050" s="12" t="s">
        <v>1586</v>
      </c>
      <c r="I1050" s="13"/>
      <c r="J1050" s="12" t="s">
        <v>1594</v>
      </c>
      <c r="K1050" s="12" t="s">
        <v>1595</v>
      </c>
    </row>
    <row r="1051" spans="1:11" ht="30" customHeight="1">
      <c r="A1051" s="12" t="s">
        <v>325</v>
      </c>
      <c r="B1051" s="12" t="s">
        <v>322</v>
      </c>
      <c r="C1051" s="12" t="s">
        <v>303</v>
      </c>
      <c r="D1051" s="12" t="s">
        <v>566</v>
      </c>
      <c r="E1051" s="12" t="s">
        <v>1584</v>
      </c>
      <c r="F1051" s="13"/>
      <c r="G1051" s="12" t="s">
        <v>1585</v>
      </c>
      <c r="H1051" s="12" t="s">
        <v>1586</v>
      </c>
      <c r="I1051" s="13"/>
      <c r="J1051" s="12" t="s">
        <v>1587</v>
      </c>
      <c r="K1051" s="12" t="s">
        <v>1588</v>
      </c>
    </row>
    <row r="1052" spans="1:11" ht="30" customHeight="1">
      <c r="A1052" s="12" t="s">
        <v>325</v>
      </c>
      <c r="B1052" s="12" t="s">
        <v>322</v>
      </c>
      <c r="C1052" s="12" t="s">
        <v>303</v>
      </c>
      <c r="D1052" s="12" t="s">
        <v>568</v>
      </c>
      <c r="E1052" s="12" t="s">
        <v>1589</v>
      </c>
      <c r="F1052" s="13"/>
      <c r="G1052" s="12" t="s">
        <v>1585</v>
      </c>
      <c r="H1052" s="12" t="s">
        <v>1586</v>
      </c>
      <c r="I1052" s="13"/>
      <c r="J1052" s="12" t="s">
        <v>1590</v>
      </c>
      <c r="K1052" s="12" t="s">
        <v>1591</v>
      </c>
    </row>
    <row r="1053" spans="1:11" ht="30" customHeight="1">
      <c r="A1053" s="12" t="s">
        <v>325</v>
      </c>
      <c r="B1053" s="12" t="s">
        <v>322</v>
      </c>
      <c r="C1053" s="12" t="s">
        <v>303</v>
      </c>
      <c r="D1053" s="12" t="s">
        <v>1592</v>
      </c>
      <c r="E1053" s="12" t="s">
        <v>1593</v>
      </c>
      <c r="F1053" s="13"/>
      <c r="G1053" s="12" t="s">
        <v>1585</v>
      </c>
      <c r="H1053" s="12" t="s">
        <v>1586</v>
      </c>
      <c r="I1053" s="13"/>
      <c r="J1053" s="12" t="s">
        <v>1594</v>
      </c>
      <c r="K1053" s="12" t="s">
        <v>1595</v>
      </c>
    </row>
    <row r="1054" spans="1:11" ht="30" customHeight="1">
      <c r="A1054" s="12" t="s">
        <v>366</v>
      </c>
      <c r="B1054" s="12" t="s">
        <v>363</v>
      </c>
      <c r="C1054" s="12" t="s">
        <v>303</v>
      </c>
      <c r="D1054" s="12" t="s">
        <v>566</v>
      </c>
      <c r="E1054" s="12" t="s">
        <v>1584</v>
      </c>
      <c r="F1054" s="13"/>
      <c r="G1054" s="12" t="s">
        <v>1585</v>
      </c>
      <c r="H1054" s="12" t="s">
        <v>1586</v>
      </c>
      <c r="I1054" s="13"/>
      <c r="J1054" s="12" t="s">
        <v>1587</v>
      </c>
      <c r="K1054" s="12" t="s">
        <v>1588</v>
      </c>
    </row>
    <row r="1055" spans="1:11" ht="30" customHeight="1">
      <c r="A1055" s="12" t="s">
        <v>366</v>
      </c>
      <c r="B1055" s="12" t="s">
        <v>363</v>
      </c>
      <c r="C1055" s="12" t="s">
        <v>303</v>
      </c>
      <c r="D1055" s="12" t="s">
        <v>568</v>
      </c>
      <c r="E1055" s="12" t="s">
        <v>1589</v>
      </c>
      <c r="F1055" s="13"/>
      <c r="G1055" s="12" t="s">
        <v>1585</v>
      </c>
      <c r="H1055" s="12" t="s">
        <v>1586</v>
      </c>
      <c r="I1055" s="13"/>
      <c r="J1055" s="12" t="s">
        <v>1590</v>
      </c>
      <c r="K1055" s="12" t="s">
        <v>1591</v>
      </c>
    </row>
    <row r="1056" spans="1:11" ht="30" customHeight="1">
      <c r="A1056" s="12" t="s">
        <v>366</v>
      </c>
      <c r="B1056" s="12" t="s">
        <v>363</v>
      </c>
      <c r="C1056" s="12" t="s">
        <v>303</v>
      </c>
      <c r="D1056" s="12" t="s">
        <v>1592</v>
      </c>
      <c r="E1056" s="12" t="s">
        <v>1593</v>
      </c>
      <c r="F1056" s="13"/>
      <c r="G1056" s="12" t="s">
        <v>1585</v>
      </c>
      <c r="H1056" s="12" t="s">
        <v>1586</v>
      </c>
      <c r="I1056" s="13"/>
      <c r="J1056" s="12" t="s">
        <v>1594</v>
      </c>
      <c r="K1056" s="12" t="s">
        <v>1595</v>
      </c>
    </row>
    <row r="1057" spans="1:11" ht="30" customHeight="1">
      <c r="A1057" s="12" t="s">
        <v>351</v>
      </c>
      <c r="B1057" s="12" t="s">
        <v>348</v>
      </c>
      <c r="C1057" s="12" t="s">
        <v>303</v>
      </c>
      <c r="D1057" s="12" t="s">
        <v>566</v>
      </c>
      <c r="E1057" s="12" t="s">
        <v>1584</v>
      </c>
      <c r="F1057" s="13"/>
      <c r="G1057" s="12" t="s">
        <v>1585</v>
      </c>
      <c r="H1057" s="12" t="s">
        <v>1586</v>
      </c>
      <c r="I1057" s="13"/>
      <c r="J1057" s="12" t="s">
        <v>1587</v>
      </c>
      <c r="K1057" s="12" t="s">
        <v>1588</v>
      </c>
    </row>
    <row r="1058" spans="1:11" ht="30" customHeight="1">
      <c r="A1058" s="12" t="s">
        <v>351</v>
      </c>
      <c r="B1058" s="12" t="s">
        <v>348</v>
      </c>
      <c r="C1058" s="12" t="s">
        <v>303</v>
      </c>
      <c r="D1058" s="12" t="s">
        <v>568</v>
      </c>
      <c r="E1058" s="12" t="s">
        <v>1589</v>
      </c>
      <c r="F1058" s="13"/>
      <c r="G1058" s="12" t="s">
        <v>1585</v>
      </c>
      <c r="H1058" s="12" t="s">
        <v>1586</v>
      </c>
      <c r="I1058" s="13"/>
      <c r="J1058" s="12" t="s">
        <v>1590</v>
      </c>
      <c r="K1058" s="12" t="s">
        <v>1591</v>
      </c>
    </row>
    <row r="1059" spans="1:11" ht="30" customHeight="1">
      <c r="A1059" s="12" t="s">
        <v>351</v>
      </c>
      <c r="B1059" s="12" t="s">
        <v>348</v>
      </c>
      <c r="C1059" s="12" t="s">
        <v>303</v>
      </c>
      <c r="D1059" s="12" t="s">
        <v>1592</v>
      </c>
      <c r="E1059" s="12" t="s">
        <v>1593</v>
      </c>
      <c r="F1059" s="13"/>
      <c r="G1059" s="12" t="s">
        <v>1585</v>
      </c>
      <c r="H1059" s="12" t="s">
        <v>1586</v>
      </c>
      <c r="I1059" s="13"/>
      <c r="J1059" s="12" t="s">
        <v>1594</v>
      </c>
      <c r="K1059" s="12" t="s">
        <v>1595</v>
      </c>
    </row>
    <row r="1060" spans="1:11" ht="30" customHeight="1">
      <c r="A1060" s="12" t="s">
        <v>346</v>
      </c>
      <c r="B1060" s="12" t="s">
        <v>343</v>
      </c>
      <c r="C1060" s="12" t="s">
        <v>303</v>
      </c>
      <c r="D1060" s="12" t="s">
        <v>566</v>
      </c>
      <c r="E1060" s="12" t="s">
        <v>1584</v>
      </c>
      <c r="F1060" s="13"/>
      <c r="G1060" s="12" t="s">
        <v>1585</v>
      </c>
      <c r="H1060" s="12" t="s">
        <v>1586</v>
      </c>
      <c r="I1060" s="13"/>
      <c r="J1060" s="12" t="s">
        <v>1587</v>
      </c>
      <c r="K1060" s="12" t="s">
        <v>1588</v>
      </c>
    </row>
    <row r="1061" spans="1:11" ht="30" customHeight="1">
      <c r="A1061" s="12" t="s">
        <v>346</v>
      </c>
      <c r="B1061" s="12" t="s">
        <v>343</v>
      </c>
      <c r="C1061" s="12" t="s">
        <v>303</v>
      </c>
      <c r="D1061" s="12" t="s">
        <v>568</v>
      </c>
      <c r="E1061" s="12" t="s">
        <v>1589</v>
      </c>
      <c r="F1061" s="13"/>
      <c r="G1061" s="12" t="s">
        <v>1585</v>
      </c>
      <c r="H1061" s="12" t="s">
        <v>1586</v>
      </c>
      <c r="I1061" s="13"/>
      <c r="J1061" s="12" t="s">
        <v>1590</v>
      </c>
      <c r="K1061" s="12" t="s">
        <v>1591</v>
      </c>
    </row>
    <row r="1062" spans="1:11" ht="30" customHeight="1">
      <c r="A1062" s="12" t="s">
        <v>346</v>
      </c>
      <c r="B1062" s="12" t="s">
        <v>343</v>
      </c>
      <c r="C1062" s="12" t="s">
        <v>303</v>
      </c>
      <c r="D1062" s="12" t="s">
        <v>1592</v>
      </c>
      <c r="E1062" s="12" t="s">
        <v>1593</v>
      </c>
      <c r="F1062" s="13"/>
      <c r="G1062" s="12" t="s">
        <v>1585</v>
      </c>
      <c r="H1062" s="12" t="s">
        <v>1586</v>
      </c>
      <c r="I1062" s="13"/>
      <c r="J1062" s="12" t="s">
        <v>1594</v>
      </c>
      <c r="K1062" s="12" t="s">
        <v>1595</v>
      </c>
    </row>
    <row r="1063" spans="1:11" ht="30" customHeight="1">
      <c r="A1063" s="12" t="s">
        <v>340</v>
      </c>
      <c r="B1063" s="12" t="s">
        <v>337</v>
      </c>
      <c r="C1063" s="12" t="s">
        <v>303</v>
      </c>
      <c r="D1063" s="12" t="s">
        <v>566</v>
      </c>
      <c r="E1063" s="12" t="s">
        <v>1584</v>
      </c>
      <c r="F1063" s="13"/>
      <c r="G1063" s="12" t="s">
        <v>1585</v>
      </c>
      <c r="H1063" s="12" t="s">
        <v>1586</v>
      </c>
      <c r="I1063" s="13"/>
      <c r="J1063" s="12" t="s">
        <v>1587</v>
      </c>
      <c r="K1063" s="12" t="s">
        <v>1588</v>
      </c>
    </row>
    <row r="1064" spans="1:11" ht="30" customHeight="1">
      <c r="A1064" s="12" t="s">
        <v>340</v>
      </c>
      <c r="B1064" s="12" t="s">
        <v>337</v>
      </c>
      <c r="C1064" s="12" t="s">
        <v>303</v>
      </c>
      <c r="D1064" s="12" t="s">
        <v>568</v>
      </c>
      <c r="E1064" s="12" t="s">
        <v>1589</v>
      </c>
      <c r="F1064" s="13"/>
      <c r="G1064" s="12" t="s">
        <v>1585</v>
      </c>
      <c r="H1064" s="12" t="s">
        <v>1586</v>
      </c>
      <c r="I1064" s="13"/>
      <c r="J1064" s="12" t="s">
        <v>1590</v>
      </c>
      <c r="K1064" s="12" t="s">
        <v>1591</v>
      </c>
    </row>
    <row r="1065" spans="1:11" ht="30" customHeight="1">
      <c r="A1065" s="12" t="s">
        <v>340</v>
      </c>
      <c r="B1065" s="12" t="s">
        <v>337</v>
      </c>
      <c r="C1065" s="12" t="s">
        <v>303</v>
      </c>
      <c r="D1065" s="12" t="s">
        <v>1592</v>
      </c>
      <c r="E1065" s="12" t="s">
        <v>1593</v>
      </c>
      <c r="F1065" s="13"/>
      <c r="G1065" s="12" t="s">
        <v>1585</v>
      </c>
      <c r="H1065" s="12" t="s">
        <v>1586</v>
      </c>
      <c r="I1065" s="13"/>
      <c r="J1065" s="12" t="s">
        <v>1594</v>
      </c>
      <c r="K1065" s="12" t="s">
        <v>1595</v>
      </c>
    </row>
    <row r="1066" spans="1:11" ht="30" customHeight="1">
      <c r="A1066" s="12" t="s">
        <v>330</v>
      </c>
      <c r="B1066" s="12" t="s">
        <v>327</v>
      </c>
      <c r="C1066" s="12" t="s">
        <v>303</v>
      </c>
      <c r="D1066" s="12" t="s">
        <v>566</v>
      </c>
      <c r="E1066" s="12" t="s">
        <v>1584</v>
      </c>
      <c r="F1066" s="13"/>
      <c r="G1066" s="12" t="s">
        <v>1585</v>
      </c>
      <c r="H1066" s="12" t="s">
        <v>1586</v>
      </c>
      <c r="I1066" s="13"/>
      <c r="J1066" s="12" t="s">
        <v>1587</v>
      </c>
      <c r="K1066" s="12" t="s">
        <v>1588</v>
      </c>
    </row>
    <row r="1067" spans="1:11" ht="30" customHeight="1">
      <c r="A1067" s="12" t="s">
        <v>330</v>
      </c>
      <c r="B1067" s="12" t="s">
        <v>327</v>
      </c>
      <c r="C1067" s="12" t="s">
        <v>303</v>
      </c>
      <c r="D1067" s="12" t="s">
        <v>568</v>
      </c>
      <c r="E1067" s="12" t="s">
        <v>1589</v>
      </c>
      <c r="F1067" s="13"/>
      <c r="G1067" s="12" t="s">
        <v>1585</v>
      </c>
      <c r="H1067" s="12" t="s">
        <v>1586</v>
      </c>
      <c r="I1067" s="13"/>
      <c r="J1067" s="12" t="s">
        <v>1590</v>
      </c>
      <c r="K1067" s="12" t="s">
        <v>1591</v>
      </c>
    </row>
    <row r="1068" spans="1:11" ht="30" customHeight="1">
      <c r="A1068" s="12" t="s">
        <v>330</v>
      </c>
      <c r="B1068" s="12" t="s">
        <v>327</v>
      </c>
      <c r="C1068" s="12" t="s">
        <v>303</v>
      </c>
      <c r="D1068" s="12" t="s">
        <v>1592</v>
      </c>
      <c r="E1068" s="12" t="s">
        <v>1593</v>
      </c>
      <c r="F1068" s="13"/>
      <c r="G1068" s="12" t="s">
        <v>1585</v>
      </c>
      <c r="H1068" s="12" t="s">
        <v>1586</v>
      </c>
      <c r="I1068" s="13"/>
      <c r="J1068" s="12" t="s">
        <v>1594</v>
      </c>
      <c r="K1068" s="12" t="s">
        <v>1595</v>
      </c>
    </row>
    <row r="1069" spans="1:11" ht="30" customHeight="1">
      <c r="A1069" s="12" t="s">
        <v>315</v>
      </c>
      <c r="B1069" s="12" t="s">
        <v>312</v>
      </c>
      <c r="C1069" s="12" t="s">
        <v>303</v>
      </c>
      <c r="D1069" s="12" t="s">
        <v>566</v>
      </c>
      <c r="E1069" s="12" t="s">
        <v>1584</v>
      </c>
      <c r="F1069" s="13"/>
      <c r="G1069" s="12" t="s">
        <v>1585</v>
      </c>
      <c r="H1069" s="12" t="s">
        <v>1586</v>
      </c>
      <c r="I1069" s="13"/>
      <c r="J1069" s="12" t="s">
        <v>1587</v>
      </c>
      <c r="K1069" s="12" t="s">
        <v>1588</v>
      </c>
    </row>
    <row r="1070" spans="1:11" ht="30" customHeight="1">
      <c r="A1070" s="12" t="s">
        <v>315</v>
      </c>
      <c r="B1070" s="12" t="s">
        <v>312</v>
      </c>
      <c r="C1070" s="12" t="s">
        <v>303</v>
      </c>
      <c r="D1070" s="12" t="s">
        <v>568</v>
      </c>
      <c r="E1070" s="12" t="s">
        <v>1589</v>
      </c>
      <c r="F1070" s="13"/>
      <c r="G1070" s="12" t="s">
        <v>1585</v>
      </c>
      <c r="H1070" s="12" t="s">
        <v>1586</v>
      </c>
      <c r="I1070" s="13"/>
      <c r="J1070" s="12" t="s">
        <v>1590</v>
      </c>
      <c r="K1070" s="12" t="s">
        <v>1591</v>
      </c>
    </row>
    <row r="1071" spans="1:11" ht="30" customHeight="1">
      <c r="A1071" s="12" t="s">
        <v>315</v>
      </c>
      <c r="B1071" s="12" t="s">
        <v>312</v>
      </c>
      <c r="C1071" s="12" t="s">
        <v>303</v>
      </c>
      <c r="D1071" s="12" t="s">
        <v>1592</v>
      </c>
      <c r="E1071" s="12" t="s">
        <v>1593</v>
      </c>
      <c r="F1071" s="13"/>
      <c r="G1071" s="12" t="s">
        <v>1585</v>
      </c>
      <c r="H1071" s="12" t="s">
        <v>1586</v>
      </c>
      <c r="I1071" s="13"/>
      <c r="J1071" s="12" t="s">
        <v>1594</v>
      </c>
      <c r="K1071" s="12" t="s">
        <v>1595</v>
      </c>
    </row>
    <row r="1072" spans="1:11" ht="30" customHeight="1">
      <c r="A1072" s="12" t="s">
        <v>335</v>
      </c>
      <c r="B1072" s="12" t="s">
        <v>332</v>
      </c>
      <c r="C1072" s="12" t="s">
        <v>303</v>
      </c>
      <c r="D1072" s="12" t="s">
        <v>566</v>
      </c>
      <c r="E1072" s="12" t="s">
        <v>1584</v>
      </c>
      <c r="F1072" s="13"/>
      <c r="G1072" s="12" t="s">
        <v>1585</v>
      </c>
      <c r="H1072" s="12" t="s">
        <v>1586</v>
      </c>
      <c r="I1072" s="13"/>
      <c r="J1072" s="12" t="s">
        <v>1587</v>
      </c>
      <c r="K1072" s="12" t="s">
        <v>1588</v>
      </c>
    </row>
    <row r="1073" spans="1:11" ht="30" customHeight="1">
      <c r="A1073" s="12" t="s">
        <v>335</v>
      </c>
      <c r="B1073" s="12" t="s">
        <v>332</v>
      </c>
      <c r="C1073" s="12" t="s">
        <v>303</v>
      </c>
      <c r="D1073" s="12" t="s">
        <v>568</v>
      </c>
      <c r="E1073" s="12" t="s">
        <v>1589</v>
      </c>
      <c r="F1073" s="13"/>
      <c r="G1073" s="12" t="s">
        <v>1585</v>
      </c>
      <c r="H1073" s="12" t="s">
        <v>1586</v>
      </c>
      <c r="I1073" s="13"/>
      <c r="J1073" s="12" t="s">
        <v>1590</v>
      </c>
      <c r="K1073" s="12" t="s">
        <v>1591</v>
      </c>
    </row>
    <row r="1074" spans="1:11" ht="30" customHeight="1">
      <c r="A1074" s="12" t="s">
        <v>335</v>
      </c>
      <c r="B1074" s="12" t="s">
        <v>332</v>
      </c>
      <c r="C1074" s="12" t="s">
        <v>303</v>
      </c>
      <c r="D1074" s="12" t="s">
        <v>1592</v>
      </c>
      <c r="E1074" s="12" t="s">
        <v>1593</v>
      </c>
      <c r="F1074" s="13"/>
      <c r="G1074" s="12" t="s">
        <v>1585</v>
      </c>
      <c r="H1074" s="12" t="s">
        <v>1586</v>
      </c>
      <c r="I1074" s="13"/>
      <c r="J1074" s="12" t="s">
        <v>1594</v>
      </c>
      <c r="K1074" s="12" t="s">
        <v>1595</v>
      </c>
    </row>
    <row r="1075" spans="1:11" ht="30" customHeight="1">
      <c r="A1075" s="12" t="s">
        <v>356</v>
      </c>
      <c r="B1075" s="12" t="s">
        <v>353</v>
      </c>
      <c r="C1075" s="12" t="s">
        <v>303</v>
      </c>
      <c r="D1075" s="12" t="s">
        <v>566</v>
      </c>
      <c r="E1075" s="12" t="s">
        <v>1584</v>
      </c>
      <c r="F1075" s="13"/>
      <c r="G1075" s="12" t="s">
        <v>1585</v>
      </c>
      <c r="H1075" s="12" t="s">
        <v>1586</v>
      </c>
      <c r="I1075" s="13"/>
      <c r="J1075" s="12" t="s">
        <v>1587</v>
      </c>
      <c r="K1075" s="12" t="s">
        <v>1588</v>
      </c>
    </row>
    <row r="1076" spans="1:11" ht="30" customHeight="1">
      <c r="A1076" s="12" t="s">
        <v>356</v>
      </c>
      <c r="B1076" s="12" t="s">
        <v>353</v>
      </c>
      <c r="C1076" s="12" t="s">
        <v>303</v>
      </c>
      <c r="D1076" s="12" t="s">
        <v>568</v>
      </c>
      <c r="E1076" s="12" t="s">
        <v>1589</v>
      </c>
      <c r="F1076" s="13"/>
      <c r="G1076" s="12" t="s">
        <v>1585</v>
      </c>
      <c r="H1076" s="12" t="s">
        <v>1586</v>
      </c>
      <c r="I1076" s="13"/>
      <c r="J1076" s="12" t="s">
        <v>1590</v>
      </c>
      <c r="K1076" s="12" t="s">
        <v>1591</v>
      </c>
    </row>
    <row r="1077" spans="1:11" ht="30" customHeight="1">
      <c r="A1077" s="12" t="s">
        <v>356</v>
      </c>
      <c r="B1077" s="12" t="s">
        <v>353</v>
      </c>
      <c r="C1077" s="12" t="s">
        <v>303</v>
      </c>
      <c r="D1077" s="12" t="s">
        <v>1592</v>
      </c>
      <c r="E1077" s="12" t="s">
        <v>1593</v>
      </c>
      <c r="F1077" s="13"/>
      <c r="G1077" s="12" t="s">
        <v>1585</v>
      </c>
      <c r="H1077" s="12" t="s">
        <v>1586</v>
      </c>
      <c r="I1077" s="13"/>
      <c r="J1077" s="12" t="s">
        <v>1594</v>
      </c>
      <c r="K1077" s="12" t="s">
        <v>1595</v>
      </c>
    </row>
    <row r="1078" spans="1:11" ht="30" customHeight="1">
      <c r="A1078" s="12" t="s">
        <v>434</v>
      </c>
      <c r="B1078" s="12" t="s">
        <v>429</v>
      </c>
      <c r="C1078" s="12" t="s">
        <v>430</v>
      </c>
      <c r="D1078" s="12" t="s">
        <v>567</v>
      </c>
      <c r="E1078" s="12" t="s">
        <v>32</v>
      </c>
      <c r="F1078" s="13"/>
      <c r="G1078" s="12" t="s">
        <v>1596</v>
      </c>
      <c r="H1078" s="12" t="s">
        <v>1597</v>
      </c>
      <c r="I1078" s="13"/>
      <c r="J1078" s="12" t="s">
        <v>1598</v>
      </c>
      <c r="K1078" s="12" t="s">
        <v>1599</v>
      </c>
    </row>
    <row r="1079" spans="1:11" ht="30" customHeight="1">
      <c r="A1079" s="12" t="s">
        <v>434</v>
      </c>
      <c r="B1079" s="12" t="s">
        <v>429</v>
      </c>
      <c r="C1079" s="12" t="s">
        <v>430</v>
      </c>
      <c r="D1079" s="12" t="s">
        <v>566</v>
      </c>
      <c r="E1079" s="12" t="s">
        <v>1600</v>
      </c>
      <c r="F1079" s="13"/>
      <c r="G1079" s="12" t="s">
        <v>1596</v>
      </c>
      <c r="H1079" s="12" t="s">
        <v>1597</v>
      </c>
      <c r="I1079" s="13"/>
      <c r="J1079" s="12" t="s">
        <v>1601</v>
      </c>
      <c r="K1079" s="12" t="s">
        <v>1602</v>
      </c>
    </row>
    <row r="1080" spans="1:11" ht="30" customHeight="1">
      <c r="A1080" s="12" t="s">
        <v>434</v>
      </c>
      <c r="B1080" s="12" t="s">
        <v>429</v>
      </c>
      <c r="C1080" s="12" t="s">
        <v>430</v>
      </c>
      <c r="D1080" s="12" t="s">
        <v>568</v>
      </c>
      <c r="E1080" s="12" t="s">
        <v>1603</v>
      </c>
      <c r="F1080" s="13"/>
      <c r="G1080" s="12" t="s">
        <v>1596</v>
      </c>
      <c r="H1080" s="12" t="s">
        <v>1597</v>
      </c>
      <c r="I1080" s="13"/>
      <c r="J1080" s="12" t="s">
        <v>1604</v>
      </c>
      <c r="K1080" s="12" t="s">
        <v>1605</v>
      </c>
    </row>
    <row r="1081" spans="1:11" ht="30" customHeight="1">
      <c r="A1081" s="12" t="s">
        <v>434</v>
      </c>
      <c r="B1081" s="12" t="s">
        <v>429</v>
      </c>
      <c r="C1081" s="12" t="s">
        <v>430</v>
      </c>
      <c r="D1081" s="12" t="s">
        <v>1543</v>
      </c>
      <c r="E1081" s="12" t="s">
        <v>1606</v>
      </c>
      <c r="F1081" s="13"/>
      <c r="G1081" s="12" t="s">
        <v>1596</v>
      </c>
      <c r="H1081" s="12" t="s">
        <v>1597</v>
      </c>
      <c r="I1081" s="13"/>
      <c r="J1081" s="12" t="s">
        <v>1607</v>
      </c>
      <c r="K1081" s="12" t="s">
        <v>1608</v>
      </c>
    </row>
    <row r="1082" spans="1:11" ht="30" customHeight="1">
      <c r="A1082" s="12" t="s">
        <v>434</v>
      </c>
      <c r="B1082" s="12" t="s">
        <v>429</v>
      </c>
      <c r="C1082" s="12" t="s">
        <v>430</v>
      </c>
      <c r="D1082" s="12" t="s">
        <v>1592</v>
      </c>
      <c r="E1082" s="12" t="s">
        <v>1609</v>
      </c>
      <c r="F1082" s="13"/>
      <c r="G1082" s="12" t="s">
        <v>1596</v>
      </c>
      <c r="H1082" s="12" t="s">
        <v>1597</v>
      </c>
      <c r="I1082" s="13"/>
      <c r="J1082" s="12" t="s">
        <v>1610</v>
      </c>
      <c r="K1082" s="12" t="s">
        <v>1611</v>
      </c>
    </row>
    <row r="1083" spans="1:11" ht="30" customHeight="1">
      <c r="A1083" s="12" t="s">
        <v>469</v>
      </c>
      <c r="B1083" s="12" t="s">
        <v>466</v>
      </c>
      <c r="C1083" s="12" t="s">
        <v>430</v>
      </c>
      <c r="D1083" s="12" t="s">
        <v>567</v>
      </c>
      <c r="E1083" s="12" t="s">
        <v>32</v>
      </c>
      <c r="F1083" s="13"/>
      <c r="G1083" s="12" t="s">
        <v>1596</v>
      </c>
      <c r="H1083" s="12" t="s">
        <v>1597</v>
      </c>
      <c r="I1083" s="13"/>
      <c r="J1083" s="12" t="s">
        <v>1598</v>
      </c>
      <c r="K1083" s="12" t="s">
        <v>1599</v>
      </c>
    </row>
    <row r="1084" spans="1:11" ht="30" customHeight="1">
      <c r="A1084" s="12" t="s">
        <v>469</v>
      </c>
      <c r="B1084" s="12" t="s">
        <v>466</v>
      </c>
      <c r="C1084" s="12" t="s">
        <v>430</v>
      </c>
      <c r="D1084" s="12" t="s">
        <v>566</v>
      </c>
      <c r="E1084" s="12" t="s">
        <v>1600</v>
      </c>
      <c r="F1084" s="13"/>
      <c r="G1084" s="12" t="s">
        <v>1596</v>
      </c>
      <c r="H1084" s="12" t="s">
        <v>1597</v>
      </c>
      <c r="I1084" s="13"/>
      <c r="J1084" s="12" t="s">
        <v>1601</v>
      </c>
      <c r="K1084" s="12" t="s">
        <v>1602</v>
      </c>
    </row>
    <row r="1085" spans="1:11" ht="30" customHeight="1">
      <c r="A1085" s="12" t="s">
        <v>469</v>
      </c>
      <c r="B1085" s="12" t="s">
        <v>466</v>
      </c>
      <c r="C1085" s="12" t="s">
        <v>430</v>
      </c>
      <c r="D1085" s="12" t="s">
        <v>568</v>
      </c>
      <c r="E1085" s="12" t="s">
        <v>1603</v>
      </c>
      <c r="F1085" s="13"/>
      <c r="G1085" s="12" t="s">
        <v>1596</v>
      </c>
      <c r="H1085" s="12" t="s">
        <v>1597</v>
      </c>
      <c r="I1085" s="13"/>
      <c r="J1085" s="12" t="s">
        <v>1604</v>
      </c>
      <c r="K1085" s="12" t="s">
        <v>1605</v>
      </c>
    </row>
    <row r="1086" spans="1:11" ht="30" customHeight="1">
      <c r="A1086" s="12" t="s">
        <v>469</v>
      </c>
      <c r="B1086" s="12" t="s">
        <v>466</v>
      </c>
      <c r="C1086" s="12" t="s">
        <v>430</v>
      </c>
      <c r="D1086" s="12" t="s">
        <v>1543</v>
      </c>
      <c r="E1086" s="12" t="s">
        <v>1606</v>
      </c>
      <c r="F1086" s="13"/>
      <c r="G1086" s="12" t="s">
        <v>1596</v>
      </c>
      <c r="H1086" s="12" t="s">
        <v>1597</v>
      </c>
      <c r="I1086" s="13"/>
      <c r="J1086" s="12" t="s">
        <v>1607</v>
      </c>
      <c r="K1086" s="12" t="s">
        <v>1608</v>
      </c>
    </row>
    <row r="1087" spans="1:11" ht="30" customHeight="1">
      <c r="A1087" s="12" t="s">
        <v>469</v>
      </c>
      <c r="B1087" s="12" t="s">
        <v>466</v>
      </c>
      <c r="C1087" s="12" t="s">
        <v>430</v>
      </c>
      <c r="D1087" s="12" t="s">
        <v>1592</v>
      </c>
      <c r="E1087" s="12" t="s">
        <v>1609</v>
      </c>
      <c r="F1087" s="13"/>
      <c r="G1087" s="12" t="s">
        <v>1596</v>
      </c>
      <c r="H1087" s="12" t="s">
        <v>1597</v>
      </c>
      <c r="I1087" s="13"/>
      <c r="J1087" s="12" t="s">
        <v>1610</v>
      </c>
      <c r="K1087" s="12" t="s">
        <v>1611</v>
      </c>
    </row>
    <row r="1088" spans="1:11" ht="30" customHeight="1">
      <c r="A1088" s="12" t="s">
        <v>439</v>
      </c>
      <c r="B1088" s="12" t="s">
        <v>436</v>
      </c>
      <c r="C1088" s="12" t="s">
        <v>430</v>
      </c>
      <c r="D1088" s="12" t="s">
        <v>567</v>
      </c>
      <c r="E1088" s="12" t="s">
        <v>32</v>
      </c>
      <c r="F1088" s="13"/>
      <c r="G1088" s="12" t="s">
        <v>1596</v>
      </c>
      <c r="H1088" s="12" t="s">
        <v>1597</v>
      </c>
      <c r="I1088" s="13"/>
      <c r="J1088" s="12" t="s">
        <v>1598</v>
      </c>
      <c r="K1088" s="12" t="s">
        <v>1599</v>
      </c>
    </row>
    <row r="1089" spans="1:11" ht="30" customHeight="1">
      <c r="A1089" s="12" t="s">
        <v>439</v>
      </c>
      <c r="B1089" s="12" t="s">
        <v>436</v>
      </c>
      <c r="C1089" s="12" t="s">
        <v>430</v>
      </c>
      <c r="D1089" s="12" t="s">
        <v>566</v>
      </c>
      <c r="E1089" s="12" t="s">
        <v>1600</v>
      </c>
      <c r="F1089" s="13"/>
      <c r="G1089" s="12" t="s">
        <v>1596</v>
      </c>
      <c r="H1089" s="12" t="s">
        <v>1597</v>
      </c>
      <c r="I1089" s="13"/>
      <c r="J1089" s="12" t="s">
        <v>1601</v>
      </c>
      <c r="K1089" s="12" t="s">
        <v>1602</v>
      </c>
    </row>
    <row r="1090" spans="1:11" ht="30" customHeight="1">
      <c r="A1090" s="12" t="s">
        <v>439</v>
      </c>
      <c r="B1090" s="12" t="s">
        <v>436</v>
      </c>
      <c r="C1090" s="12" t="s">
        <v>430</v>
      </c>
      <c r="D1090" s="12" t="s">
        <v>568</v>
      </c>
      <c r="E1090" s="12" t="s">
        <v>1603</v>
      </c>
      <c r="F1090" s="13"/>
      <c r="G1090" s="12" t="s">
        <v>1596</v>
      </c>
      <c r="H1090" s="12" t="s">
        <v>1597</v>
      </c>
      <c r="I1090" s="13"/>
      <c r="J1090" s="12" t="s">
        <v>1604</v>
      </c>
      <c r="K1090" s="12" t="s">
        <v>1605</v>
      </c>
    </row>
    <row r="1091" spans="1:11" ht="30" customHeight="1">
      <c r="A1091" s="12" t="s">
        <v>439</v>
      </c>
      <c r="B1091" s="12" t="s">
        <v>436</v>
      </c>
      <c r="C1091" s="12" t="s">
        <v>430</v>
      </c>
      <c r="D1091" s="12" t="s">
        <v>1543</v>
      </c>
      <c r="E1091" s="12" t="s">
        <v>1606</v>
      </c>
      <c r="F1091" s="13"/>
      <c r="G1091" s="12" t="s">
        <v>1596</v>
      </c>
      <c r="H1091" s="12" t="s">
        <v>1597</v>
      </c>
      <c r="I1091" s="13"/>
      <c r="J1091" s="12" t="s">
        <v>1607</v>
      </c>
      <c r="K1091" s="12" t="s">
        <v>1608</v>
      </c>
    </row>
    <row r="1092" spans="1:11" ht="30" customHeight="1">
      <c r="A1092" s="12" t="s">
        <v>439</v>
      </c>
      <c r="B1092" s="12" t="s">
        <v>436</v>
      </c>
      <c r="C1092" s="12" t="s">
        <v>430</v>
      </c>
      <c r="D1092" s="12" t="s">
        <v>1592</v>
      </c>
      <c r="E1092" s="12" t="s">
        <v>1609</v>
      </c>
      <c r="F1092" s="13"/>
      <c r="G1092" s="12" t="s">
        <v>1596</v>
      </c>
      <c r="H1092" s="12" t="s">
        <v>1597</v>
      </c>
      <c r="I1092" s="13"/>
      <c r="J1092" s="12" t="s">
        <v>1610</v>
      </c>
      <c r="K1092" s="12" t="s">
        <v>1611</v>
      </c>
    </row>
    <row r="1093" spans="1:11" ht="30" customHeight="1">
      <c r="A1093" s="12" t="s">
        <v>464</v>
      </c>
      <c r="B1093" s="12" t="s">
        <v>461</v>
      </c>
      <c r="C1093" s="12" t="s">
        <v>430</v>
      </c>
      <c r="D1093" s="12" t="s">
        <v>567</v>
      </c>
      <c r="E1093" s="12" t="s">
        <v>32</v>
      </c>
      <c r="F1093" s="13"/>
      <c r="G1093" s="12" t="s">
        <v>1596</v>
      </c>
      <c r="H1093" s="12" t="s">
        <v>1597</v>
      </c>
      <c r="I1093" s="13"/>
      <c r="J1093" s="12" t="s">
        <v>1598</v>
      </c>
      <c r="K1093" s="12" t="s">
        <v>1599</v>
      </c>
    </row>
    <row r="1094" spans="1:11" ht="30" customHeight="1">
      <c r="A1094" s="12" t="s">
        <v>464</v>
      </c>
      <c r="B1094" s="12" t="s">
        <v>461</v>
      </c>
      <c r="C1094" s="12" t="s">
        <v>430</v>
      </c>
      <c r="D1094" s="12" t="s">
        <v>566</v>
      </c>
      <c r="E1094" s="12" t="s">
        <v>1600</v>
      </c>
      <c r="F1094" s="13"/>
      <c r="G1094" s="12" t="s">
        <v>1596</v>
      </c>
      <c r="H1094" s="12" t="s">
        <v>1597</v>
      </c>
      <c r="I1094" s="13"/>
      <c r="J1094" s="12" t="s">
        <v>1601</v>
      </c>
      <c r="K1094" s="12" t="s">
        <v>1602</v>
      </c>
    </row>
    <row r="1095" spans="1:11" ht="30" customHeight="1">
      <c r="A1095" s="12" t="s">
        <v>464</v>
      </c>
      <c r="B1095" s="12" t="s">
        <v>461</v>
      </c>
      <c r="C1095" s="12" t="s">
        <v>430</v>
      </c>
      <c r="D1095" s="12" t="s">
        <v>568</v>
      </c>
      <c r="E1095" s="12" t="s">
        <v>1603</v>
      </c>
      <c r="F1095" s="13"/>
      <c r="G1095" s="12" t="s">
        <v>1596</v>
      </c>
      <c r="H1095" s="12" t="s">
        <v>1597</v>
      </c>
      <c r="I1095" s="13"/>
      <c r="J1095" s="12" t="s">
        <v>1604</v>
      </c>
      <c r="K1095" s="12" t="s">
        <v>1605</v>
      </c>
    </row>
    <row r="1096" spans="1:11" ht="30" customHeight="1">
      <c r="A1096" s="12" t="s">
        <v>464</v>
      </c>
      <c r="B1096" s="12" t="s">
        <v>461</v>
      </c>
      <c r="C1096" s="12" t="s">
        <v>430</v>
      </c>
      <c r="D1096" s="12" t="s">
        <v>1543</v>
      </c>
      <c r="E1096" s="12" t="s">
        <v>1612</v>
      </c>
      <c r="F1096" s="13"/>
      <c r="G1096" s="12" t="s">
        <v>1596</v>
      </c>
      <c r="H1096" s="12" t="s">
        <v>1597</v>
      </c>
      <c r="I1096" s="13"/>
      <c r="J1096" s="12" t="s">
        <v>1607</v>
      </c>
      <c r="K1096" s="12" t="s">
        <v>1608</v>
      </c>
    </row>
    <row r="1097" spans="1:11" ht="30" customHeight="1">
      <c r="A1097" s="12" t="s">
        <v>464</v>
      </c>
      <c r="B1097" s="12" t="s">
        <v>461</v>
      </c>
      <c r="C1097" s="12" t="s">
        <v>430</v>
      </c>
      <c r="D1097" s="12" t="s">
        <v>1592</v>
      </c>
      <c r="E1097" s="12" t="s">
        <v>1613</v>
      </c>
      <c r="F1097" s="13"/>
      <c r="G1097" s="12" t="s">
        <v>1596</v>
      </c>
      <c r="H1097" s="12" t="s">
        <v>1597</v>
      </c>
      <c r="I1097" s="13"/>
      <c r="J1097" s="12" t="s">
        <v>1610</v>
      </c>
      <c r="K1097" s="12" t="s">
        <v>1611</v>
      </c>
    </row>
    <row r="1098" spans="1:11" ht="30" customHeight="1">
      <c r="A1098" s="12" t="s">
        <v>454</v>
      </c>
      <c r="B1098" s="12" t="s">
        <v>451</v>
      </c>
      <c r="C1098" s="12" t="s">
        <v>430</v>
      </c>
      <c r="D1098" s="12" t="s">
        <v>567</v>
      </c>
      <c r="E1098" s="12" t="s">
        <v>32</v>
      </c>
      <c r="F1098" s="13"/>
      <c r="G1098" s="12" t="s">
        <v>1596</v>
      </c>
      <c r="H1098" s="12" t="s">
        <v>1597</v>
      </c>
      <c r="I1098" s="13"/>
      <c r="J1098" s="12" t="s">
        <v>1598</v>
      </c>
      <c r="K1098" s="12" t="s">
        <v>1599</v>
      </c>
    </row>
    <row r="1099" spans="1:11" ht="30" customHeight="1">
      <c r="A1099" s="12" t="s">
        <v>454</v>
      </c>
      <c r="B1099" s="12" t="s">
        <v>451</v>
      </c>
      <c r="C1099" s="12" t="s">
        <v>430</v>
      </c>
      <c r="D1099" s="12" t="s">
        <v>566</v>
      </c>
      <c r="E1099" s="12" t="s">
        <v>1600</v>
      </c>
      <c r="F1099" s="13"/>
      <c r="G1099" s="12" t="s">
        <v>1596</v>
      </c>
      <c r="H1099" s="12" t="s">
        <v>1597</v>
      </c>
      <c r="I1099" s="13"/>
      <c r="J1099" s="12" t="s">
        <v>1601</v>
      </c>
      <c r="K1099" s="12" t="s">
        <v>1602</v>
      </c>
    </row>
    <row r="1100" spans="1:11" ht="30" customHeight="1">
      <c r="A1100" s="12" t="s">
        <v>454</v>
      </c>
      <c r="B1100" s="12" t="s">
        <v>451</v>
      </c>
      <c r="C1100" s="12" t="s">
        <v>430</v>
      </c>
      <c r="D1100" s="12" t="s">
        <v>568</v>
      </c>
      <c r="E1100" s="12" t="s">
        <v>1603</v>
      </c>
      <c r="F1100" s="13"/>
      <c r="G1100" s="12" t="s">
        <v>1596</v>
      </c>
      <c r="H1100" s="12" t="s">
        <v>1597</v>
      </c>
      <c r="I1100" s="13"/>
      <c r="J1100" s="12" t="s">
        <v>1604</v>
      </c>
      <c r="K1100" s="12" t="s">
        <v>1605</v>
      </c>
    </row>
    <row r="1101" spans="1:11" ht="30" customHeight="1">
      <c r="A1101" s="12" t="s">
        <v>454</v>
      </c>
      <c r="B1101" s="12" t="s">
        <v>451</v>
      </c>
      <c r="C1101" s="12" t="s">
        <v>430</v>
      </c>
      <c r="D1101" s="12" t="s">
        <v>1543</v>
      </c>
      <c r="E1101" s="12" t="s">
        <v>1606</v>
      </c>
      <c r="F1101" s="13"/>
      <c r="G1101" s="12" t="s">
        <v>1596</v>
      </c>
      <c r="H1101" s="12" t="s">
        <v>1597</v>
      </c>
      <c r="I1101" s="13"/>
      <c r="J1101" s="12" t="s">
        <v>1607</v>
      </c>
      <c r="K1101" s="12" t="s">
        <v>1608</v>
      </c>
    </row>
    <row r="1102" spans="1:11" ht="30" customHeight="1">
      <c r="A1102" s="12" t="s">
        <v>454</v>
      </c>
      <c r="B1102" s="12" t="s">
        <v>451</v>
      </c>
      <c r="C1102" s="12" t="s">
        <v>430</v>
      </c>
      <c r="D1102" s="12" t="s">
        <v>1592</v>
      </c>
      <c r="E1102" s="12" t="s">
        <v>1614</v>
      </c>
      <c r="F1102" s="13"/>
      <c r="G1102" s="12" t="s">
        <v>1596</v>
      </c>
      <c r="H1102" s="12" t="s">
        <v>1597</v>
      </c>
      <c r="I1102" s="13"/>
      <c r="J1102" s="12" t="s">
        <v>1610</v>
      </c>
      <c r="K1102" s="12" t="s">
        <v>1611</v>
      </c>
    </row>
    <row r="1103" spans="1:11" ht="30" customHeight="1">
      <c r="A1103" s="12" t="s">
        <v>444</v>
      </c>
      <c r="B1103" s="12" t="s">
        <v>441</v>
      </c>
      <c r="C1103" s="12" t="s">
        <v>430</v>
      </c>
      <c r="D1103" s="12" t="s">
        <v>567</v>
      </c>
      <c r="E1103" s="12" t="s">
        <v>32</v>
      </c>
      <c r="F1103" s="13"/>
      <c r="G1103" s="12" t="s">
        <v>1596</v>
      </c>
      <c r="H1103" s="12" t="s">
        <v>1597</v>
      </c>
      <c r="I1103" s="13"/>
      <c r="J1103" s="12" t="s">
        <v>1598</v>
      </c>
      <c r="K1103" s="12" t="s">
        <v>1599</v>
      </c>
    </row>
    <row r="1104" spans="1:11" ht="30" customHeight="1">
      <c r="A1104" s="12" t="s">
        <v>444</v>
      </c>
      <c r="B1104" s="12" t="s">
        <v>441</v>
      </c>
      <c r="C1104" s="12" t="s">
        <v>430</v>
      </c>
      <c r="D1104" s="12" t="s">
        <v>566</v>
      </c>
      <c r="E1104" s="12" t="s">
        <v>1600</v>
      </c>
      <c r="F1104" s="13"/>
      <c r="G1104" s="12" t="s">
        <v>1596</v>
      </c>
      <c r="H1104" s="12" t="s">
        <v>1597</v>
      </c>
      <c r="I1104" s="13"/>
      <c r="J1104" s="12" t="s">
        <v>1601</v>
      </c>
      <c r="K1104" s="12" t="s">
        <v>1602</v>
      </c>
    </row>
    <row r="1105" spans="1:11" ht="30" customHeight="1">
      <c r="A1105" s="12" t="s">
        <v>444</v>
      </c>
      <c r="B1105" s="12" t="s">
        <v>441</v>
      </c>
      <c r="C1105" s="12" t="s">
        <v>430</v>
      </c>
      <c r="D1105" s="12" t="s">
        <v>568</v>
      </c>
      <c r="E1105" s="12" t="s">
        <v>1603</v>
      </c>
      <c r="F1105" s="13"/>
      <c r="G1105" s="12" t="s">
        <v>1596</v>
      </c>
      <c r="H1105" s="12" t="s">
        <v>1597</v>
      </c>
      <c r="I1105" s="13"/>
      <c r="J1105" s="12" t="s">
        <v>1604</v>
      </c>
      <c r="K1105" s="12" t="s">
        <v>1605</v>
      </c>
    </row>
    <row r="1106" spans="1:11" ht="30" customHeight="1">
      <c r="A1106" s="12" t="s">
        <v>444</v>
      </c>
      <c r="B1106" s="12" t="s">
        <v>441</v>
      </c>
      <c r="C1106" s="12" t="s">
        <v>430</v>
      </c>
      <c r="D1106" s="12" t="s">
        <v>1543</v>
      </c>
      <c r="E1106" s="12" t="s">
        <v>1615</v>
      </c>
      <c r="F1106" s="13"/>
      <c r="G1106" s="12" t="s">
        <v>1596</v>
      </c>
      <c r="H1106" s="12" t="s">
        <v>1597</v>
      </c>
      <c r="I1106" s="13"/>
      <c r="J1106" s="12" t="s">
        <v>1607</v>
      </c>
      <c r="K1106" s="12" t="s">
        <v>1608</v>
      </c>
    </row>
    <row r="1107" spans="1:11" ht="30" customHeight="1">
      <c r="A1107" s="12" t="s">
        <v>444</v>
      </c>
      <c r="B1107" s="12" t="s">
        <v>441</v>
      </c>
      <c r="C1107" s="12" t="s">
        <v>430</v>
      </c>
      <c r="D1107" s="12" t="s">
        <v>1592</v>
      </c>
      <c r="E1107" s="12" t="s">
        <v>1616</v>
      </c>
      <c r="F1107" s="13"/>
      <c r="G1107" s="12" t="s">
        <v>1596</v>
      </c>
      <c r="H1107" s="12" t="s">
        <v>1597</v>
      </c>
      <c r="I1107" s="13"/>
      <c r="J1107" s="12" t="s">
        <v>1610</v>
      </c>
      <c r="K1107" s="12" t="s">
        <v>1611</v>
      </c>
    </row>
    <row r="1108" spans="1:11" ht="30" customHeight="1">
      <c r="A1108" s="12" t="s">
        <v>449</v>
      </c>
      <c r="B1108" s="12" t="s">
        <v>446</v>
      </c>
      <c r="C1108" s="12" t="s">
        <v>430</v>
      </c>
      <c r="D1108" s="12" t="s">
        <v>567</v>
      </c>
      <c r="E1108" s="12" t="s">
        <v>32</v>
      </c>
      <c r="F1108" s="13"/>
      <c r="G1108" s="12" t="s">
        <v>1596</v>
      </c>
      <c r="H1108" s="12" t="s">
        <v>1597</v>
      </c>
      <c r="I1108" s="13"/>
      <c r="J1108" s="12" t="s">
        <v>1598</v>
      </c>
      <c r="K1108" s="12" t="s">
        <v>1599</v>
      </c>
    </row>
    <row r="1109" spans="1:11" ht="30" customHeight="1">
      <c r="A1109" s="12" t="s">
        <v>449</v>
      </c>
      <c r="B1109" s="12" t="s">
        <v>446</v>
      </c>
      <c r="C1109" s="12" t="s">
        <v>430</v>
      </c>
      <c r="D1109" s="12" t="s">
        <v>566</v>
      </c>
      <c r="E1109" s="12" t="s">
        <v>1600</v>
      </c>
      <c r="F1109" s="13"/>
      <c r="G1109" s="12" t="s">
        <v>1596</v>
      </c>
      <c r="H1109" s="12" t="s">
        <v>1597</v>
      </c>
      <c r="I1109" s="13"/>
      <c r="J1109" s="12" t="s">
        <v>1601</v>
      </c>
      <c r="K1109" s="12" t="s">
        <v>1602</v>
      </c>
    </row>
    <row r="1110" spans="1:11" ht="30" customHeight="1">
      <c r="A1110" s="12" t="s">
        <v>449</v>
      </c>
      <c r="B1110" s="12" t="s">
        <v>446</v>
      </c>
      <c r="C1110" s="12" t="s">
        <v>430</v>
      </c>
      <c r="D1110" s="12" t="s">
        <v>568</v>
      </c>
      <c r="E1110" s="12" t="s">
        <v>1603</v>
      </c>
      <c r="F1110" s="13"/>
      <c r="G1110" s="12" t="s">
        <v>1596</v>
      </c>
      <c r="H1110" s="12" t="s">
        <v>1597</v>
      </c>
      <c r="I1110" s="13"/>
      <c r="J1110" s="12" t="s">
        <v>1604</v>
      </c>
      <c r="K1110" s="12" t="s">
        <v>1605</v>
      </c>
    </row>
    <row r="1111" spans="1:11" ht="30" customHeight="1">
      <c r="A1111" s="12" t="s">
        <v>449</v>
      </c>
      <c r="B1111" s="12" t="s">
        <v>446</v>
      </c>
      <c r="C1111" s="12" t="s">
        <v>430</v>
      </c>
      <c r="D1111" s="12" t="s">
        <v>1543</v>
      </c>
      <c r="E1111" s="12" t="s">
        <v>1617</v>
      </c>
      <c r="F1111" s="13"/>
      <c r="G1111" s="12" t="s">
        <v>1596</v>
      </c>
      <c r="H1111" s="12" t="s">
        <v>1597</v>
      </c>
      <c r="I1111" s="13"/>
      <c r="J1111" s="12" t="s">
        <v>1607</v>
      </c>
      <c r="K1111" s="12" t="s">
        <v>1608</v>
      </c>
    </row>
    <row r="1112" spans="1:11" ht="30" customHeight="1">
      <c r="A1112" s="12" t="s">
        <v>449</v>
      </c>
      <c r="B1112" s="12" t="s">
        <v>446</v>
      </c>
      <c r="C1112" s="12" t="s">
        <v>430</v>
      </c>
      <c r="D1112" s="12" t="s">
        <v>1592</v>
      </c>
      <c r="E1112" s="12" t="s">
        <v>1618</v>
      </c>
      <c r="F1112" s="13"/>
      <c r="G1112" s="12" t="s">
        <v>1596</v>
      </c>
      <c r="H1112" s="12" t="s">
        <v>1597</v>
      </c>
      <c r="I1112" s="13"/>
      <c r="J1112" s="12" t="s">
        <v>1610</v>
      </c>
      <c r="K1112" s="12" t="s">
        <v>1611</v>
      </c>
    </row>
    <row r="1113" spans="1:11" ht="30" customHeight="1">
      <c r="A1113" s="12" t="s">
        <v>475</v>
      </c>
      <c r="B1113" s="12" t="s">
        <v>472</v>
      </c>
      <c r="C1113" s="12" t="s">
        <v>430</v>
      </c>
      <c r="D1113" s="12" t="s">
        <v>567</v>
      </c>
      <c r="E1113" s="12" t="s">
        <v>32</v>
      </c>
      <c r="F1113" s="13"/>
      <c r="G1113" s="12" t="s">
        <v>1596</v>
      </c>
      <c r="H1113" s="12" t="s">
        <v>1597</v>
      </c>
      <c r="I1113" s="13"/>
      <c r="J1113" s="12" t="s">
        <v>1598</v>
      </c>
      <c r="K1113" s="12" t="s">
        <v>1599</v>
      </c>
    </row>
    <row r="1114" spans="1:11" ht="30" customHeight="1">
      <c r="A1114" s="12" t="s">
        <v>475</v>
      </c>
      <c r="B1114" s="12" t="s">
        <v>472</v>
      </c>
      <c r="C1114" s="12" t="s">
        <v>430</v>
      </c>
      <c r="D1114" s="12" t="s">
        <v>566</v>
      </c>
      <c r="E1114" s="12" t="s">
        <v>1600</v>
      </c>
      <c r="F1114" s="13"/>
      <c r="G1114" s="12" t="s">
        <v>1596</v>
      </c>
      <c r="H1114" s="12" t="s">
        <v>1597</v>
      </c>
      <c r="I1114" s="13"/>
      <c r="J1114" s="12" t="s">
        <v>1601</v>
      </c>
      <c r="K1114" s="12" t="s">
        <v>1602</v>
      </c>
    </row>
    <row r="1115" spans="1:11" ht="30" customHeight="1">
      <c r="A1115" s="12" t="s">
        <v>475</v>
      </c>
      <c r="B1115" s="12" t="s">
        <v>472</v>
      </c>
      <c r="C1115" s="12" t="s">
        <v>430</v>
      </c>
      <c r="D1115" s="12" t="s">
        <v>568</v>
      </c>
      <c r="E1115" s="12" t="s">
        <v>1603</v>
      </c>
      <c r="F1115" s="13"/>
      <c r="G1115" s="12" t="s">
        <v>1596</v>
      </c>
      <c r="H1115" s="12" t="s">
        <v>1597</v>
      </c>
      <c r="I1115" s="13"/>
      <c r="J1115" s="12" t="s">
        <v>1604</v>
      </c>
      <c r="K1115" s="12" t="s">
        <v>1605</v>
      </c>
    </row>
    <row r="1116" spans="1:11" ht="30" customHeight="1">
      <c r="A1116" s="12" t="s">
        <v>475</v>
      </c>
      <c r="B1116" s="12" t="s">
        <v>472</v>
      </c>
      <c r="C1116" s="12" t="s">
        <v>430</v>
      </c>
      <c r="D1116" s="12" t="s">
        <v>1543</v>
      </c>
      <c r="E1116" s="12" t="s">
        <v>1606</v>
      </c>
      <c r="F1116" s="13"/>
      <c r="G1116" s="12" t="s">
        <v>1596</v>
      </c>
      <c r="H1116" s="12" t="s">
        <v>1597</v>
      </c>
      <c r="I1116" s="13"/>
      <c r="J1116" s="12" t="s">
        <v>1607</v>
      </c>
      <c r="K1116" s="12" t="s">
        <v>1608</v>
      </c>
    </row>
    <row r="1117" spans="1:11" ht="30" customHeight="1">
      <c r="A1117" s="12" t="s">
        <v>475</v>
      </c>
      <c r="B1117" s="12" t="s">
        <v>472</v>
      </c>
      <c r="C1117" s="12" t="s">
        <v>430</v>
      </c>
      <c r="D1117" s="12" t="s">
        <v>1592</v>
      </c>
      <c r="E1117" s="12" t="s">
        <v>1609</v>
      </c>
      <c r="F1117" s="13"/>
      <c r="G1117" s="12" t="s">
        <v>1596</v>
      </c>
      <c r="H1117" s="12" t="s">
        <v>1597</v>
      </c>
      <c r="I1117" s="13"/>
      <c r="J1117" s="12" t="s">
        <v>1610</v>
      </c>
      <c r="K1117" s="12" t="s">
        <v>1611</v>
      </c>
    </row>
    <row r="1118" spans="1:11" ht="30" customHeight="1">
      <c r="A1118" s="12" t="s">
        <v>480</v>
      </c>
      <c r="B1118" s="12" t="s">
        <v>477</v>
      </c>
      <c r="C1118" s="12" t="s">
        <v>430</v>
      </c>
      <c r="D1118" s="12" t="s">
        <v>567</v>
      </c>
      <c r="E1118" s="12" t="s">
        <v>32</v>
      </c>
      <c r="F1118" s="13"/>
      <c r="G1118" s="12" t="s">
        <v>1596</v>
      </c>
      <c r="H1118" s="12" t="s">
        <v>1597</v>
      </c>
      <c r="I1118" s="13"/>
      <c r="J1118" s="12" t="s">
        <v>1598</v>
      </c>
      <c r="K1118" s="12" t="s">
        <v>1599</v>
      </c>
    </row>
    <row r="1119" spans="1:11" ht="30" customHeight="1">
      <c r="A1119" s="12" t="s">
        <v>480</v>
      </c>
      <c r="B1119" s="12" t="s">
        <v>477</v>
      </c>
      <c r="C1119" s="12" t="s">
        <v>430</v>
      </c>
      <c r="D1119" s="12" t="s">
        <v>566</v>
      </c>
      <c r="E1119" s="12" t="s">
        <v>1600</v>
      </c>
      <c r="F1119" s="13"/>
      <c r="G1119" s="12" t="s">
        <v>1596</v>
      </c>
      <c r="H1119" s="12" t="s">
        <v>1597</v>
      </c>
      <c r="I1119" s="13"/>
      <c r="J1119" s="12" t="s">
        <v>1601</v>
      </c>
      <c r="K1119" s="12" t="s">
        <v>1602</v>
      </c>
    </row>
    <row r="1120" spans="1:11" ht="30" customHeight="1">
      <c r="A1120" s="12" t="s">
        <v>480</v>
      </c>
      <c r="B1120" s="12" t="s">
        <v>477</v>
      </c>
      <c r="C1120" s="12" t="s">
        <v>430</v>
      </c>
      <c r="D1120" s="12" t="s">
        <v>568</v>
      </c>
      <c r="E1120" s="12" t="s">
        <v>1603</v>
      </c>
      <c r="F1120" s="13"/>
      <c r="G1120" s="12" t="s">
        <v>1596</v>
      </c>
      <c r="H1120" s="12" t="s">
        <v>1597</v>
      </c>
      <c r="I1120" s="13"/>
      <c r="J1120" s="12" t="s">
        <v>1604</v>
      </c>
      <c r="K1120" s="12" t="s">
        <v>1605</v>
      </c>
    </row>
    <row r="1121" spans="1:11" ht="30" customHeight="1">
      <c r="A1121" s="12" t="s">
        <v>480</v>
      </c>
      <c r="B1121" s="12" t="s">
        <v>477</v>
      </c>
      <c r="C1121" s="12" t="s">
        <v>430</v>
      </c>
      <c r="D1121" s="12" t="s">
        <v>1543</v>
      </c>
      <c r="E1121" s="12" t="s">
        <v>1606</v>
      </c>
      <c r="F1121" s="13"/>
      <c r="G1121" s="12" t="s">
        <v>1596</v>
      </c>
      <c r="H1121" s="12" t="s">
        <v>1597</v>
      </c>
      <c r="I1121" s="13"/>
      <c r="J1121" s="12" t="s">
        <v>1607</v>
      </c>
      <c r="K1121" s="12" t="s">
        <v>1608</v>
      </c>
    </row>
    <row r="1122" spans="1:11" ht="30" customHeight="1">
      <c r="A1122" s="12" t="s">
        <v>480</v>
      </c>
      <c r="B1122" s="12" t="s">
        <v>477</v>
      </c>
      <c r="C1122" s="12" t="s">
        <v>430</v>
      </c>
      <c r="D1122" s="12" t="s">
        <v>1592</v>
      </c>
      <c r="E1122" s="12" t="s">
        <v>1609</v>
      </c>
      <c r="F1122" s="13"/>
      <c r="G1122" s="12" t="s">
        <v>1596</v>
      </c>
      <c r="H1122" s="12" t="s">
        <v>1597</v>
      </c>
      <c r="I1122" s="13"/>
      <c r="J1122" s="12" t="s">
        <v>1610</v>
      </c>
      <c r="K1122" s="12" t="s">
        <v>1611</v>
      </c>
    </row>
    <row r="1123" spans="1:11" ht="30" customHeight="1">
      <c r="A1123" s="12" t="s">
        <v>459</v>
      </c>
      <c r="B1123" s="12" t="s">
        <v>456</v>
      </c>
      <c r="C1123" s="12" t="s">
        <v>430</v>
      </c>
      <c r="D1123" s="12" t="s">
        <v>567</v>
      </c>
      <c r="E1123" s="12" t="s">
        <v>32</v>
      </c>
      <c r="F1123" s="13"/>
      <c r="G1123" s="12" t="s">
        <v>1596</v>
      </c>
      <c r="H1123" s="12" t="s">
        <v>1597</v>
      </c>
      <c r="I1123" s="13"/>
      <c r="J1123" s="12" t="s">
        <v>1598</v>
      </c>
      <c r="K1123" s="12" t="s">
        <v>1599</v>
      </c>
    </row>
    <row r="1124" spans="1:11" ht="30" customHeight="1">
      <c r="A1124" s="12" t="s">
        <v>459</v>
      </c>
      <c r="B1124" s="12" t="s">
        <v>456</v>
      </c>
      <c r="C1124" s="12" t="s">
        <v>430</v>
      </c>
      <c r="D1124" s="12" t="s">
        <v>566</v>
      </c>
      <c r="E1124" s="12" t="s">
        <v>1600</v>
      </c>
      <c r="F1124" s="13"/>
      <c r="G1124" s="12" t="s">
        <v>1596</v>
      </c>
      <c r="H1124" s="12" t="s">
        <v>1597</v>
      </c>
      <c r="I1124" s="13"/>
      <c r="J1124" s="12" t="s">
        <v>1601</v>
      </c>
      <c r="K1124" s="12" t="s">
        <v>1602</v>
      </c>
    </row>
    <row r="1125" spans="1:11" ht="30" customHeight="1">
      <c r="A1125" s="12" t="s">
        <v>459</v>
      </c>
      <c r="B1125" s="12" t="s">
        <v>456</v>
      </c>
      <c r="C1125" s="12" t="s">
        <v>430</v>
      </c>
      <c r="D1125" s="12" t="s">
        <v>568</v>
      </c>
      <c r="E1125" s="12" t="s">
        <v>1603</v>
      </c>
      <c r="F1125" s="13"/>
      <c r="G1125" s="12" t="s">
        <v>1596</v>
      </c>
      <c r="H1125" s="12" t="s">
        <v>1597</v>
      </c>
      <c r="I1125" s="13"/>
      <c r="J1125" s="12" t="s">
        <v>1604</v>
      </c>
      <c r="K1125" s="12" t="s">
        <v>1605</v>
      </c>
    </row>
    <row r="1126" spans="1:11" ht="30" customHeight="1">
      <c r="A1126" s="12" t="s">
        <v>459</v>
      </c>
      <c r="B1126" s="12" t="s">
        <v>456</v>
      </c>
      <c r="C1126" s="12" t="s">
        <v>430</v>
      </c>
      <c r="D1126" s="12" t="s">
        <v>1543</v>
      </c>
      <c r="E1126" s="12" t="s">
        <v>1606</v>
      </c>
      <c r="F1126" s="13"/>
      <c r="G1126" s="12" t="s">
        <v>1596</v>
      </c>
      <c r="H1126" s="12" t="s">
        <v>1597</v>
      </c>
      <c r="I1126" s="13"/>
      <c r="J1126" s="12" t="s">
        <v>1607</v>
      </c>
      <c r="K1126" s="12" t="s">
        <v>1608</v>
      </c>
    </row>
    <row r="1127" spans="1:11" ht="30" customHeight="1">
      <c r="A1127" s="12" t="s">
        <v>459</v>
      </c>
      <c r="B1127" s="12" t="s">
        <v>456</v>
      </c>
      <c r="C1127" s="12" t="s">
        <v>430</v>
      </c>
      <c r="D1127" s="12" t="s">
        <v>1592</v>
      </c>
      <c r="E1127" s="12" t="s">
        <v>1609</v>
      </c>
      <c r="F1127" s="13"/>
      <c r="G1127" s="12" t="s">
        <v>1596</v>
      </c>
      <c r="H1127" s="12" t="s">
        <v>1597</v>
      </c>
      <c r="I1127" s="13"/>
      <c r="J1127" s="12" t="s">
        <v>1610</v>
      </c>
      <c r="K1127" s="12" t="s">
        <v>1611</v>
      </c>
    </row>
    <row r="1128" spans="1:11" ht="30" customHeight="1">
      <c r="A1128" s="12" t="s">
        <v>175</v>
      </c>
      <c r="B1128" s="12" t="s">
        <v>171</v>
      </c>
      <c r="C1128" s="12" t="s">
        <v>142</v>
      </c>
      <c r="D1128" s="12" t="s">
        <v>568</v>
      </c>
      <c r="E1128" s="12" t="s">
        <v>1619</v>
      </c>
      <c r="F1128" s="13"/>
      <c r="G1128" s="12" t="s">
        <v>1620</v>
      </c>
      <c r="H1128" s="12" t="s">
        <v>1619</v>
      </c>
      <c r="I1128" s="13"/>
      <c r="J1128" s="12" t="s">
        <v>1621</v>
      </c>
      <c r="K1128" s="12" t="s">
        <v>1622</v>
      </c>
    </row>
    <row r="1129" spans="1:11" ht="30" customHeight="1">
      <c r="A1129" s="12" t="s">
        <v>175</v>
      </c>
      <c r="B1129" s="12" t="s">
        <v>171</v>
      </c>
      <c r="C1129" s="12" t="s">
        <v>142</v>
      </c>
      <c r="D1129" s="12" t="s">
        <v>1623</v>
      </c>
      <c r="E1129" s="12" t="s">
        <v>1624</v>
      </c>
      <c r="F1129" s="13"/>
      <c r="G1129" s="12" t="s">
        <v>1620</v>
      </c>
      <c r="H1129" s="12" t="s">
        <v>1625</v>
      </c>
      <c r="I1129" s="13"/>
      <c r="J1129" s="12" t="s">
        <v>1626</v>
      </c>
      <c r="K1129" s="12" t="s">
        <v>1627</v>
      </c>
    </row>
    <row r="1130" spans="1:11" ht="30" customHeight="1">
      <c r="A1130" s="12" t="s">
        <v>204</v>
      </c>
      <c r="B1130" s="12" t="s">
        <v>200</v>
      </c>
      <c r="C1130" s="12" t="s">
        <v>142</v>
      </c>
      <c r="D1130" s="12" t="s">
        <v>568</v>
      </c>
      <c r="E1130" s="12" t="s">
        <v>1628</v>
      </c>
      <c r="F1130" s="13"/>
      <c r="G1130" s="12" t="s">
        <v>1620</v>
      </c>
      <c r="H1130" s="12" t="s">
        <v>1628</v>
      </c>
      <c r="I1130" s="13"/>
      <c r="J1130" s="12" t="s">
        <v>1621</v>
      </c>
      <c r="K1130" s="12" t="s">
        <v>1622</v>
      </c>
    </row>
    <row r="1131" spans="1:11" ht="30" customHeight="1">
      <c r="A1131" s="12" t="s">
        <v>204</v>
      </c>
      <c r="B1131" s="12" t="s">
        <v>200</v>
      </c>
      <c r="C1131" s="12" t="s">
        <v>142</v>
      </c>
      <c r="D1131" s="12" t="s">
        <v>1623</v>
      </c>
      <c r="E1131" s="12" t="s">
        <v>1624</v>
      </c>
      <c r="F1131" s="13"/>
      <c r="G1131" s="12" t="s">
        <v>1620</v>
      </c>
      <c r="H1131" s="12" t="s">
        <v>1625</v>
      </c>
      <c r="I1131" s="13"/>
      <c r="J1131" s="12" t="s">
        <v>1626</v>
      </c>
      <c r="K1131" s="12" t="s">
        <v>1627</v>
      </c>
    </row>
    <row r="1132" spans="1:11" ht="30" customHeight="1">
      <c r="A1132" s="12" t="s">
        <v>193</v>
      </c>
      <c r="B1132" s="12" t="s">
        <v>189</v>
      </c>
      <c r="C1132" s="12" t="s">
        <v>142</v>
      </c>
      <c r="D1132" s="12" t="s">
        <v>568</v>
      </c>
      <c r="E1132" s="12" t="s">
        <v>1619</v>
      </c>
      <c r="F1132" s="13"/>
      <c r="G1132" s="12" t="s">
        <v>1620</v>
      </c>
      <c r="H1132" s="12" t="s">
        <v>1619</v>
      </c>
      <c r="I1132" s="13"/>
      <c r="J1132" s="12" t="s">
        <v>1621</v>
      </c>
      <c r="K1132" s="12" t="s">
        <v>1622</v>
      </c>
    </row>
    <row r="1133" spans="1:11" ht="30" customHeight="1">
      <c r="A1133" s="12" t="s">
        <v>193</v>
      </c>
      <c r="B1133" s="12" t="s">
        <v>189</v>
      </c>
      <c r="C1133" s="12" t="s">
        <v>142</v>
      </c>
      <c r="D1133" s="12" t="s">
        <v>1623</v>
      </c>
      <c r="E1133" s="12" t="s">
        <v>1624</v>
      </c>
      <c r="F1133" s="13"/>
      <c r="G1133" s="12" t="s">
        <v>1620</v>
      </c>
      <c r="H1133" s="12" t="s">
        <v>1625</v>
      </c>
      <c r="I1133" s="13"/>
      <c r="J1133" s="12" t="s">
        <v>1626</v>
      </c>
      <c r="K1133" s="12" t="s">
        <v>1627</v>
      </c>
    </row>
    <row r="1134" spans="1:11" ht="30" customHeight="1">
      <c r="A1134" s="12" t="s">
        <v>155</v>
      </c>
      <c r="B1134" s="12" t="s">
        <v>151</v>
      </c>
      <c r="C1134" s="12" t="s">
        <v>142</v>
      </c>
      <c r="D1134" s="12" t="s">
        <v>568</v>
      </c>
      <c r="E1134" s="12" t="s">
        <v>1628</v>
      </c>
      <c r="F1134" s="13"/>
      <c r="G1134" s="12" t="s">
        <v>1620</v>
      </c>
      <c r="H1134" s="12" t="s">
        <v>1628</v>
      </c>
      <c r="I1134" s="13"/>
      <c r="J1134" s="12" t="s">
        <v>1621</v>
      </c>
      <c r="K1134" s="12" t="s">
        <v>1622</v>
      </c>
    </row>
    <row r="1135" spans="1:11" ht="30" customHeight="1">
      <c r="A1135" s="12" t="s">
        <v>155</v>
      </c>
      <c r="B1135" s="12" t="s">
        <v>151</v>
      </c>
      <c r="C1135" s="12" t="s">
        <v>142</v>
      </c>
      <c r="D1135" s="12" t="s">
        <v>1623</v>
      </c>
      <c r="E1135" s="12" t="s">
        <v>1624</v>
      </c>
      <c r="F1135" s="13"/>
      <c r="G1135" s="12" t="s">
        <v>1620</v>
      </c>
      <c r="H1135" s="12" t="s">
        <v>1625</v>
      </c>
      <c r="I1135" s="13"/>
      <c r="J1135" s="12" t="s">
        <v>1626</v>
      </c>
      <c r="K1135" s="12" t="s">
        <v>1627</v>
      </c>
    </row>
    <row r="1136" spans="1:11" ht="30" customHeight="1">
      <c r="A1136" s="12" t="s">
        <v>181</v>
      </c>
      <c r="B1136" s="12" t="s">
        <v>178</v>
      </c>
      <c r="C1136" s="12" t="s">
        <v>142</v>
      </c>
      <c r="D1136" s="12" t="s">
        <v>568</v>
      </c>
      <c r="E1136" s="12" t="s">
        <v>1619</v>
      </c>
      <c r="F1136" s="13"/>
      <c r="G1136" s="12" t="s">
        <v>1620</v>
      </c>
      <c r="H1136" s="12" t="s">
        <v>1619</v>
      </c>
      <c r="I1136" s="13"/>
      <c r="J1136" s="12" t="s">
        <v>1621</v>
      </c>
      <c r="K1136" s="12" t="s">
        <v>1622</v>
      </c>
    </row>
    <row r="1137" spans="1:11" ht="30" customHeight="1">
      <c r="A1137" s="12" t="s">
        <v>181</v>
      </c>
      <c r="B1137" s="12" t="s">
        <v>178</v>
      </c>
      <c r="C1137" s="12" t="s">
        <v>142</v>
      </c>
      <c r="D1137" s="12" t="s">
        <v>1623</v>
      </c>
      <c r="E1137" s="12" t="s">
        <v>1629</v>
      </c>
      <c r="F1137" s="13"/>
      <c r="G1137" s="12" t="s">
        <v>1620</v>
      </c>
      <c r="H1137" s="12" t="s">
        <v>1625</v>
      </c>
      <c r="I1137" s="13"/>
      <c r="J1137" s="12" t="s">
        <v>1626</v>
      </c>
      <c r="K1137" s="12" t="s">
        <v>1627</v>
      </c>
    </row>
    <row r="1138" spans="1:11" ht="30" customHeight="1">
      <c r="A1138" s="12" t="s">
        <v>162</v>
      </c>
      <c r="B1138" s="12" t="s">
        <v>158</v>
      </c>
      <c r="C1138" s="12" t="s">
        <v>142</v>
      </c>
      <c r="D1138" s="12" t="s">
        <v>568</v>
      </c>
      <c r="E1138" s="12" t="s">
        <v>1619</v>
      </c>
      <c r="F1138" s="13"/>
      <c r="G1138" s="12" t="s">
        <v>1620</v>
      </c>
      <c r="H1138" s="12" t="s">
        <v>1619</v>
      </c>
      <c r="I1138" s="13"/>
      <c r="J1138" s="12" t="s">
        <v>1621</v>
      </c>
      <c r="K1138" s="12" t="s">
        <v>1622</v>
      </c>
    </row>
    <row r="1139" spans="1:11" ht="30" customHeight="1">
      <c r="A1139" s="12" t="s">
        <v>162</v>
      </c>
      <c r="B1139" s="12" t="s">
        <v>158</v>
      </c>
      <c r="C1139" s="12" t="s">
        <v>142</v>
      </c>
      <c r="D1139" s="12" t="s">
        <v>1623</v>
      </c>
      <c r="E1139" s="12" t="s">
        <v>1629</v>
      </c>
      <c r="F1139" s="13"/>
      <c r="G1139" s="12" t="s">
        <v>1620</v>
      </c>
      <c r="H1139" s="12" t="s">
        <v>1625</v>
      </c>
      <c r="I1139" s="13"/>
      <c r="J1139" s="12" t="s">
        <v>1626</v>
      </c>
      <c r="K1139" s="12" t="s">
        <v>1627</v>
      </c>
    </row>
    <row r="1140" spans="1:11" ht="30" customHeight="1">
      <c r="A1140" s="12" t="s">
        <v>198</v>
      </c>
      <c r="B1140" s="12" t="s">
        <v>196</v>
      </c>
      <c r="C1140" s="12" t="s">
        <v>142</v>
      </c>
      <c r="D1140" s="12" t="s">
        <v>568</v>
      </c>
      <c r="E1140" s="12" t="s">
        <v>1619</v>
      </c>
      <c r="F1140" s="13"/>
      <c r="G1140" s="12" t="s">
        <v>1620</v>
      </c>
      <c r="H1140" s="12" t="s">
        <v>1619</v>
      </c>
      <c r="I1140" s="13"/>
      <c r="J1140" s="12" t="s">
        <v>1621</v>
      </c>
      <c r="K1140" s="12" t="s">
        <v>1622</v>
      </c>
    </row>
    <row r="1141" spans="1:11" ht="30" customHeight="1">
      <c r="A1141" s="12" t="s">
        <v>198</v>
      </c>
      <c r="B1141" s="12" t="s">
        <v>196</v>
      </c>
      <c r="C1141" s="12" t="s">
        <v>142</v>
      </c>
      <c r="D1141" s="12" t="s">
        <v>1623</v>
      </c>
      <c r="E1141" s="12" t="s">
        <v>1629</v>
      </c>
      <c r="F1141" s="13"/>
      <c r="G1141" s="12" t="s">
        <v>1620</v>
      </c>
      <c r="H1141" s="12" t="s">
        <v>1625</v>
      </c>
      <c r="I1141" s="13"/>
      <c r="J1141" s="12" t="s">
        <v>1626</v>
      </c>
      <c r="K1141" s="12" t="s">
        <v>1627</v>
      </c>
    </row>
    <row r="1142" spans="1:11" ht="30" customHeight="1">
      <c r="A1142" s="12" t="s">
        <v>187</v>
      </c>
      <c r="B1142" s="12" t="s">
        <v>184</v>
      </c>
      <c r="C1142" s="12" t="s">
        <v>142</v>
      </c>
      <c r="D1142" s="12" t="s">
        <v>568</v>
      </c>
      <c r="E1142" s="12" t="s">
        <v>1619</v>
      </c>
      <c r="F1142" s="13"/>
      <c r="G1142" s="12" t="s">
        <v>1620</v>
      </c>
      <c r="H1142" s="12" t="s">
        <v>1619</v>
      </c>
      <c r="I1142" s="13"/>
      <c r="J1142" s="12" t="s">
        <v>1621</v>
      </c>
      <c r="K1142" s="12" t="s">
        <v>1622</v>
      </c>
    </row>
    <row r="1143" spans="1:11" ht="30" customHeight="1">
      <c r="A1143" s="12" t="s">
        <v>187</v>
      </c>
      <c r="B1143" s="12" t="s">
        <v>184</v>
      </c>
      <c r="C1143" s="12" t="s">
        <v>142</v>
      </c>
      <c r="D1143" s="12" t="s">
        <v>1623</v>
      </c>
      <c r="E1143" s="12" t="s">
        <v>1629</v>
      </c>
      <c r="F1143" s="13"/>
      <c r="G1143" s="12" t="s">
        <v>1620</v>
      </c>
      <c r="H1143" s="12" t="s">
        <v>1625</v>
      </c>
      <c r="I1143" s="13"/>
      <c r="J1143" s="12" t="s">
        <v>1626</v>
      </c>
      <c r="K1143" s="12" t="s">
        <v>1627</v>
      </c>
    </row>
    <row r="1144" spans="1:11" ht="30" customHeight="1">
      <c r="A1144" s="12" t="s">
        <v>145</v>
      </c>
      <c r="B1144" s="12" t="s">
        <v>141</v>
      </c>
      <c r="C1144" s="12" t="s">
        <v>142</v>
      </c>
      <c r="D1144" s="12" t="s">
        <v>568</v>
      </c>
      <c r="E1144" s="12" t="s">
        <v>1619</v>
      </c>
      <c r="F1144" s="13"/>
      <c r="G1144" s="12" t="s">
        <v>1620</v>
      </c>
      <c r="H1144" s="12" t="s">
        <v>1619</v>
      </c>
      <c r="I1144" s="13"/>
      <c r="J1144" s="12" t="s">
        <v>1621</v>
      </c>
      <c r="K1144" s="12" t="s">
        <v>1622</v>
      </c>
    </row>
    <row r="1145" spans="1:11" ht="30" customHeight="1">
      <c r="A1145" s="12" t="s">
        <v>145</v>
      </c>
      <c r="B1145" s="12" t="s">
        <v>141</v>
      </c>
      <c r="C1145" s="12" t="s">
        <v>142</v>
      </c>
      <c r="D1145" s="12" t="s">
        <v>1623</v>
      </c>
      <c r="E1145" s="12" t="s">
        <v>1629</v>
      </c>
      <c r="F1145" s="13"/>
      <c r="G1145" s="12" t="s">
        <v>1620</v>
      </c>
      <c r="H1145" s="12" t="s">
        <v>1625</v>
      </c>
      <c r="I1145" s="13"/>
      <c r="J1145" s="12" t="s">
        <v>1626</v>
      </c>
      <c r="K1145" s="12" t="s">
        <v>1627</v>
      </c>
    </row>
    <row r="1146" spans="1:11" ht="30" customHeight="1">
      <c r="A1146" s="12" t="s">
        <v>168</v>
      </c>
      <c r="B1146" s="12" t="s">
        <v>165</v>
      </c>
      <c r="C1146" s="12" t="s">
        <v>142</v>
      </c>
      <c r="D1146" s="12" t="s">
        <v>568</v>
      </c>
      <c r="E1146" s="12" t="s">
        <v>1628</v>
      </c>
      <c r="F1146" s="13"/>
      <c r="G1146" s="12" t="s">
        <v>1620</v>
      </c>
      <c r="H1146" s="12" t="s">
        <v>1628</v>
      </c>
      <c r="I1146" s="13"/>
      <c r="J1146" s="12" t="s">
        <v>1621</v>
      </c>
      <c r="K1146" s="12" t="s">
        <v>1622</v>
      </c>
    </row>
    <row r="1147" spans="1:11" ht="30" customHeight="1">
      <c r="A1147" s="12" t="s">
        <v>168</v>
      </c>
      <c r="B1147" s="12" t="s">
        <v>165</v>
      </c>
      <c r="C1147" s="12" t="s">
        <v>142</v>
      </c>
      <c r="D1147" s="12" t="s">
        <v>1623</v>
      </c>
      <c r="E1147" s="12" t="s">
        <v>1629</v>
      </c>
      <c r="F1147" s="13"/>
      <c r="G1147" s="12" t="s">
        <v>1620</v>
      </c>
      <c r="H1147" s="12" t="s">
        <v>1625</v>
      </c>
      <c r="I1147" s="13"/>
      <c r="J1147" s="12" t="s">
        <v>1626</v>
      </c>
      <c r="K1147" s="12" t="s">
        <v>1627</v>
      </c>
    </row>
    <row r="1148" spans="1:11" ht="30" customHeight="1">
      <c r="A1148" s="12" t="s">
        <v>155</v>
      </c>
      <c r="B1148" s="12" t="s">
        <v>151</v>
      </c>
      <c r="C1148" s="12" t="s">
        <v>142</v>
      </c>
      <c r="D1148" s="12" t="s">
        <v>532</v>
      </c>
      <c r="E1148" s="12" t="s">
        <v>152</v>
      </c>
      <c r="F1148" s="13"/>
      <c r="G1148" s="12" t="s">
        <v>1620</v>
      </c>
      <c r="H1148" s="12" t="s">
        <v>1630</v>
      </c>
      <c r="I1148" s="13"/>
      <c r="J1148" s="12" t="s">
        <v>1631</v>
      </c>
      <c r="K1148" s="12" t="s">
        <v>1632</v>
      </c>
    </row>
    <row r="1149" spans="1:11" ht="30" customHeight="1">
      <c r="A1149" s="12" t="s">
        <v>510</v>
      </c>
      <c r="B1149" s="12" t="s">
        <v>506</v>
      </c>
      <c r="C1149" s="12" t="s">
        <v>484</v>
      </c>
      <c r="D1149" s="12" t="s">
        <v>568</v>
      </c>
      <c r="E1149" s="12" t="s">
        <v>1633</v>
      </c>
      <c r="F1149" s="13"/>
      <c r="G1149" s="12" t="s">
        <v>1634</v>
      </c>
      <c r="H1149" s="12" t="s">
        <v>1635</v>
      </c>
      <c r="I1149" s="13"/>
      <c r="J1149" s="12" t="s">
        <v>1636</v>
      </c>
      <c r="K1149" s="12" t="s">
        <v>1637</v>
      </c>
    </row>
    <row r="1150" spans="1:11" ht="30" customHeight="1">
      <c r="A1150" s="12" t="s">
        <v>510</v>
      </c>
      <c r="B1150" s="12" t="s">
        <v>506</v>
      </c>
      <c r="C1150" s="12" t="s">
        <v>484</v>
      </c>
      <c r="D1150" s="12" t="s">
        <v>1638</v>
      </c>
      <c r="E1150" s="12" t="s">
        <v>1639</v>
      </c>
      <c r="F1150" s="13"/>
      <c r="G1150" s="12" t="s">
        <v>1634</v>
      </c>
      <c r="H1150" s="12" t="s">
        <v>1640</v>
      </c>
      <c r="I1150" s="13"/>
      <c r="J1150" s="12" t="s">
        <v>1639</v>
      </c>
      <c r="K1150" s="12" t="s">
        <v>1641</v>
      </c>
    </row>
    <row r="1151" spans="1:11" ht="30" customHeight="1">
      <c r="A1151" s="12" t="s">
        <v>504</v>
      </c>
      <c r="B1151" s="12" t="s">
        <v>500</v>
      </c>
      <c r="C1151" s="12" t="s">
        <v>484</v>
      </c>
      <c r="D1151" s="12" t="s">
        <v>568</v>
      </c>
      <c r="E1151" s="12" t="s">
        <v>1633</v>
      </c>
      <c r="F1151" s="13"/>
      <c r="G1151" s="12" t="s">
        <v>1634</v>
      </c>
      <c r="H1151" s="12" t="s">
        <v>1635</v>
      </c>
      <c r="I1151" s="13"/>
      <c r="J1151" s="12" t="s">
        <v>1642</v>
      </c>
      <c r="K1151" s="12" t="s">
        <v>1637</v>
      </c>
    </row>
    <row r="1152" spans="1:11" ht="30" customHeight="1">
      <c r="A1152" s="12" t="s">
        <v>504</v>
      </c>
      <c r="B1152" s="12" t="s">
        <v>500</v>
      </c>
      <c r="C1152" s="12" t="s">
        <v>484</v>
      </c>
      <c r="D1152" s="12" t="s">
        <v>1638</v>
      </c>
      <c r="E1152" s="12" t="s">
        <v>1639</v>
      </c>
      <c r="F1152" s="13"/>
      <c r="G1152" s="12" t="s">
        <v>1634</v>
      </c>
      <c r="H1152" s="12" t="s">
        <v>1640</v>
      </c>
      <c r="I1152" s="13"/>
      <c r="J1152" s="12" t="s">
        <v>1639</v>
      </c>
      <c r="K1152" s="12" t="s">
        <v>1641</v>
      </c>
    </row>
    <row r="1153" spans="1:11" ht="30" customHeight="1">
      <c r="A1153" s="12" t="s">
        <v>498</v>
      </c>
      <c r="B1153" s="12" t="s">
        <v>495</v>
      </c>
      <c r="C1153" s="12" t="s">
        <v>484</v>
      </c>
      <c r="D1153" s="12" t="s">
        <v>568</v>
      </c>
      <c r="E1153" s="12" t="s">
        <v>1633</v>
      </c>
      <c r="F1153" s="13"/>
      <c r="G1153" s="12" t="s">
        <v>1634</v>
      </c>
      <c r="H1153" s="12" t="s">
        <v>1635</v>
      </c>
      <c r="I1153" s="13"/>
      <c r="J1153" s="12" t="s">
        <v>1643</v>
      </c>
      <c r="K1153" s="12" t="s">
        <v>1637</v>
      </c>
    </row>
    <row r="1154" spans="1:11" ht="30" customHeight="1">
      <c r="A1154" s="12" t="s">
        <v>498</v>
      </c>
      <c r="B1154" s="12" t="s">
        <v>495</v>
      </c>
      <c r="C1154" s="12" t="s">
        <v>484</v>
      </c>
      <c r="D1154" s="12" t="s">
        <v>1638</v>
      </c>
      <c r="E1154" s="12" t="s">
        <v>1639</v>
      </c>
      <c r="F1154" s="13"/>
      <c r="G1154" s="12" t="s">
        <v>1634</v>
      </c>
      <c r="H1154" s="12" t="s">
        <v>1640</v>
      </c>
      <c r="I1154" s="13"/>
      <c r="J1154" s="12" t="s">
        <v>1639</v>
      </c>
      <c r="K1154" s="12" t="s">
        <v>1641</v>
      </c>
    </row>
    <row r="1155" spans="1:11" ht="30" customHeight="1">
      <c r="A1155" s="12" t="s">
        <v>488</v>
      </c>
      <c r="B1155" s="12" t="s">
        <v>483</v>
      </c>
      <c r="C1155" s="12" t="s">
        <v>484</v>
      </c>
      <c r="D1155" s="12" t="s">
        <v>568</v>
      </c>
      <c r="E1155" s="12" t="s">
        <v>1633</v>
      </c>
      <c r="F1155" s="13"/>
      <c r="G1155" s="12" t="s">
        <v>1634</v>
      </c>
      <c r="H1155" s="12" t="s">
        <v>1635</v>
      </c>
      <c r="I1155" s="13"/>
      <c r="J1155" s="12" t="s">
        <v>1644</v>
      </c>
      <c r="K1155" s="12" t="s">
        <v>1637</v>
      </c>
    </row>
    <row r="1156" spans="1:11" ht="30" customHeight="1">
      <c r="A1156" s="12" t="s">
        <v>488</v>
      </c>
      <c r="B1156" s="12" t="s">
        <v>483</v>
      </c>
      <c r="C1156" s="12" t="s">
        <v>484</v>
      </c>
      <c r="D1156" s="12" t="s">
        <v>1638</v>
      </c>
      <c r="E1156" s="12" t="s">
        <v>1645</v>
      </c>
      <c r="F1156" s="13"/>
      <c r="G1156" s="12" t="s">
        <v>1634</v>
      </c>
      <c r="H1156" s="12" t="s">
        <v>1640</v>
      </c>
      <c r="I1156" s="13"/>
      <c r="J1156" s="12" t="s">
        <v>1645</v>
      </c>
      <c r="K1156" s="12" t="s">
        <v>1641</v>
      </c>
    </row>
    <row r="1157" spans="1:11" ht="30" customHeight="1">
      <c r="A1157" s="12" t="s">
        <v>525</v>
      </c>
      <c r="B1157" s="12" t="s">
        <v>521</v>
      </c>
      <c r="C1157" s="12" t="s">
        <v>484</v>
      </c>
      <c r="D1157" s="12" t="s">
        <v>568</v>
      </c>
      <c r="E1157" s="12" t="s">
        <v>1633</v>
      </c>
      <c r="F1157" s="13"/>
      <c r="G1157" s="12" t="s">
        <v>1634</v>
      </c>
      <c r="H1157" s="12" t="s">
        <v>1635</v>
      </c>
      <c r="I1157" s="13"/>
      <c r="J1157" s="12" t="s">
        <v>1646</v>
      </c>
      <c r="K1157" s="12" t="s">
        <v>1637</v>
      </c>
    </row>
    <row r="1158" spans="1:11" ht="30" customHeight="1">
      <c r="A1158" s="12" t="s">
        <v>525</v>
      </c>
      <c r="B1158" s="12" t="s">
        <v>521</v>
      </c>
      <c r="C1158" s="12" t="s">
        <v>484</v>
      </c>
      <c r="D1158" s="12" t="s">
        <v>1638</v>
      </c>
      <c r="E1158" s="12" t="s">
        <v>1639</v>
      </c>
      <c r="F1158" s="13"/>
      <c r="G1158" s="12" t="s">
        <v>1634</v>
      </c>
      <c r="H1158" s="12" t="s">
        <v>1640</v>
      </c>
      <c r="I1158" s="13"/>
      <c r="J1158" s="12" t="s">
        <v>1639</v>
      </c>
      <c r="K1158" s="12" t="s">
        <v>1641</v>
      </c>
    </row>
    <row r="1159" spans="1:11" ht="30" customHeight="1">
      <c r="A1159" s="12" t="s">
        <v>516</v>
      </c>
      <c r="B1159" s="12" t="s">
        <v>512</v>
      </c>
      <c r="C1159" s="12" t="s">
        <v>484</v>
      </c>
      <c r="D1159" s="12" t="s">
        <v>568</v>
      </c>
      <c r="E1159" s="12" t="s">
        <v>1633</v>
      </c>
      <c r="F1159" s="13"/>
      <c r="G1159" s="12" t="s">
        <v>1634</v>
      </c>
      <c r="H1159" s="12" t="s">
        <v>1635</v>
      </c>
      <c r="I1159" s="13"/>
      <c r="J1159" s="12" t="s">
        <v>1647</v>
      </c>
      <c r="K1159" s="12" t="s">
        <v>1637</v>
      </c>
    </row>
    <row r="1160" spans="1:11" ht="30" customHeight="1">
      <c r="A1160" s="12" t="s">
        <v>516</v>
      </c>
      <c r="B1160" s="12" t="s">
        <v>512</v>
      </c>
      <c r="C1160" s="12" t="s">
        <v>484</v>
      </c>
      <c r="D1160" s="12" t="s">
        <v>1638</v>
      </c>
      <c r="E1160" s="12" t="s">
        <v>1648</v>
      </c>
      <c r="F1160" s="13"/>
      <c r="G1160" s="12" t="s">
        <v>1634</v>
      </c>
      <c r="H1160" s="12" t="s">
        <v>1640</v>
      </c>
      <c r="I1160" s="13"/>
      <c r="J1160" s="12" t="s">
        <v>1648</v>
      </c>
      <c r="K1160" s="12" t="s">
        <v>1641</v>
      </c>
    </row>
    <row r="1161" spans="1:11" ht="30" customHeight="1">
      <c r="A1161" s="12" t="s">
        <v>493</v>
      </c>
      <c r="B1161" s="12" t="s">
        <v>490</v>
      </c>
      <c r="C1161" s="12" t="s">
        <v>484</v>
      </c>
      <c r="D1161" s="12" t="s">
        <v>568</v>
      </c>
      <c r="E1161" s="12" t="s">
        <v>1633</v>
      </c>
      <c r="F1161" s="13"/>
      <c r="G1161" s="12" t="s">
        <v>1634</v>
      </c>
      <c r="H1161" s="12" t="s">
        <v>1635</v>
      </c>
      <c r="I1161" s="13"/>
      <c r="J1161" s="12" t="s">
        <v>1649</v>
      </c>
      <c r="K1161" s="12" t="s">
        <v>1637</v>
      </c>
    </row>
    <row r="1162" spans="1:11" ht="30" customHeight="1">
      <c r="A1162" s="12" t="s">
        <v>493</v>
      </c>
      <c r="B1162" s="12" t="s">
        <v>490</v>
      </c>
      <c r="C1162" s="12" t="s">
        <v>484</v>
      </c>
      <c r="D1162" s="12" t="s">
        <v>1638</v>
      </c>
      <c r="E1162" s="12" t="s">
        <v>1639</v>
      </c>
      <c r="F1162" s="13"/>
      <c r="G1162" s="12" t="s">
        <v>1634</v>
      </c>
      <c r="H1162" s="12" t="s">
        <v>1640</v>
      </c>
      <c r="I1162" s="13"/>
      <c r="J1162" s="12" t="s">
        <v>1639</v>
      </c>
      <c r="K1162" s="12" t="s">
        <v>1641</v>
      </c>
    </row>
    <row r="1163" spans="1:11" ht="30" customHeight="1">
      <c r="A1163" s="12" t="s">
        <v>284</v>
      </c>
      <c r="B1163" s="12" t="s">
        <v>280</v>
      </c>
      <c r="C1163" s="12" t="s">
        <v>484</v>
      </c>
      <c r="D1163" s="12" t="s">
        <v>568</v>
      </c>
      <c r="E1163" s="12" t="s">
        <v>1633</v>
      </c>
      <c r="F1163" s="13"/>
      <c r="G1163" s="12" t="s">
        <v>1634</v>
      </c>
      <c r="H1163" s="12" t="s">
        <v>1635</v>
      </c>
      <c r="I1163" s="13"/>
      <c r="J1163" s="12" t="s">
        <v>1650</v>
      </c>
      <c r="K1163" s="12" t="s">
        <v>1637</v>
      </c>
    </row>
    <row r="1164" spans="1:11" ht="30" customHeight="1">
      <c r="A1164" s="12" t="s">
        <v>284</v>
      </c>
      <c r="B1164" s="12" t="s">
        <v>280</v>
      </c>
      <c r="C1164" s="12" t="s">
        <v>484</v>
      </c>
      <c r="D1164" s="12" t="s">
        <v>1638</v>
      </c>
      <c r="E1164" s="12" t="s">
        <v>1651</v>
      </c>
      <c r="F1164" s="13"/>
      <c r="G1164" s="12" t="s">
        <v>1634</v>
      </c>
      <c r="H1164" s="12" t="s">
        <v>1640</v>
      </c>
      <c r="I1164" s="13"/>
      <c r="J1164" s="12" t="s">
        <v>1651</v>
      </c>
      <c r="K1164" s="12" t="s">
        <v>1641</v>
      </c>
    </row>
    <row r="1165" spans="1:11" ht="30" customHeight="1">
      <c r="A1165" s="12" t="s">
        <v>379</v>
      </c>
      <c r="B1165" s="12" t="s">
        <v>373</v>
      </c>
      <c r="C1165" s="12" t="s">
        <v>374</v>
      </c>
      <c r="D1165" s="12" t="s">
        <v>557</v>
      </c>
      <c r="E1165" s="17">
        <v>4098.6231</v>
      </c>
      <c r="F1165" s="12" t="s">
        <v>32</v>
      </c>
      <c r="G1165" s="12" t="s">
        <v>378</v>
      </c>
      <c r="H1165" s="12" t="s">
        <v>1652</v>
      </c>
      <c r="I1165" s="12" t="s">
        <v>378</v>
      </c>
      <c r="J1165" s="12" t="s">
        <v>1653</v>
      </c>
      <c r="K1165" s="12" t="s">
        <v>1654</v>
      </c>
    </row>
    <row r="1166" spans="1:11" ht="30" customHeight="1">
      <c r="A1166" s="12" t="s">
        <v>379</v>
      </c>
      <c r="B1166" s="12" t="s">
        <v>373</v>
      </c>
      <c r="C1166" s="12" t="s">
        <v>374</v>
      </c>
      <c r="D1166" s="12" t="s">
        <v>558</v>
      </c>
      <c r="E1166" s="17">
        <v>3705.9462</v>
      </c>
      <c r="F1166" s="12" t="s">
        <v>32</v>
      </c>
      <c r="G1166" s="12" t="s">
        <v>378</v>
      </c>
      <c r="H1166" s="12" t="s">
        <v>1652</v>
      </c>
      <c r="I1166" s="12" t="s">
        <v>378</v>
      </c>
      <c r="J1166" s="12" t="s">
        <v>1653</v>
      </c>
      <c r="K1166" s="12" t="s">
        <v>1654</v>
      </c>
    </row>
    <row r="1167" spans="1:11" ht="30" customHeight="1">
      <c r="A1167" s="12" t="s">
        <v>379</v>
      </c>
      <c r="B1167" s="12" t="s">
        <v>373</v>
      </c>
      <c r="C1167" s="12" t="s">
        <v>374</v>
      </c>
      <c r="D1167" s="12" t="s">
        <v>559</v>
      </c>
      <c r="E1167" s="17">
        <v>202.0813</v>
      </c>
      <c r="F1167" s="12" t="s">
        <v>32</v>
      </c>
      <c r="G1167" s="12" t="s">
        <v>378</v>
      </c>
      <c r="H1167" s="12" t="s">
        <v>1652</v>
      </c>
      <c r="I1167" s="12" t="s">
        <v>378</v>
      </c>
      <c r="J1167" s="12" t="s">
        <v>1653</v>
      </c>
      <c r="K1167" s="12" t="s">
        <v>1654</v>
      </c>
    </row>
    <row r="1168" spans="1:11" ht="30" customHeight="1">
      <c r="A1168" s="12" t="s">
        <v>379</v>
      </c>
      <c r="B1168" s="12" t="s">
        <v>373</v>
      </c>
      <c r="C1168" s="12" t="s">
        <v>374</v>
      </c>
      <c r="D1168" s="12" t="s">
        <v>562</v>
      </c>
      <c r="E1168" s="17">
        <v>58.1373</v>
      </c>
      <c r="F1168" s="12" t="s">
        <v>32</v>
      </c>
      <c r="G1168" s="12" t="s">
        <v>378</v>
      </c>
      <c r="H1168" s="12" t="s">
        <v>1652</v>
      </c>
      <c r="I1168" s="12" t="s">
        <v>378</v>
      </c>
      <c r="J1168" s="12" t="s">
        <v>1653</v>
      </c>
      <c r="K1168" s="12" t="s">
        <v>1654</v>
      </c>
    </row>
    <row r="1169" spans="1:11" ht="30" customHeight="1">
      <c r="A1169" s="12" t="s">
        <v>379</v>
      </c>
      <c r="B1169" s="12" t="s">
        <v>373</v>
      </c>
      <c r="C1169" s="12" t="s">
        <v>374</v>
      </c>
      <c r="D1169" s="12" t="s">
        <v>564</v>
      </c>
      <c r="E1169" s="17">
        <v>188.7831</v>
      </c>
      <c r="F1169" s="12" t="s">
        <v>32</v>
      </c>
      <c r="G1169" s="12" t="s">
        <v>378</v>
      </c>
      <c r="H1169" s="12" t="s">
        <v>1652</v>
      </c>
      <c r="I1169" s="12" t="s">
        <v>378</v>
      </c>
      <c r="J1169" s="12" t="s">
        <v>1653</v>
      </c>
      <c r="K1169" s="12" t="s">
        <v>1654</v>
      </c>
    </row>
    <row r="1170" spans="1:11" ht="30" customHeight="1">
      <c r="A1170" s="12" t="s">
        <v>379</v>
      </c>
      <c r="B1170" s="12" t="s">
        <v>373</v>
      </c>
      <c r="C1170" s="12" t="s">
        <v>374</v>
      </c>
      <c r="D1170" s="12" t="s">
        <v>561</v>
      </c>
      <c r="E1170" s="17">
        <v>13.9965</v>
      </c>
      <c r="F1170" s="12" t="s">
        <v>32</v>
      </c>
      <c r="G1170" s="12" t="s">
        <v>378</v>
      </c>
      <c r="H1170" s="12" t="s">
        <v>1652</v>
      </c>
      <c r="I1170" s="12" t="s">
        <v>378</v>
      </c>
      <c r="J1170" s="12" t="s">
        <v>1653</v>
      </c>
      <c r="K1170" s="12" t="s">
        <v>1654</v>
      </c>
    </row>
    <row r="1171" spans="1:11" ht="30" customHeight="1">
      <c r="A1171" s="12" t="s">
        <v>379</v>
      </c>
      <c r="B1171" s="12" t="s">
        <v>373</v>
      </c>
      <c r="C1171" s="12" t="s">
        <v>374</v>
      </c>
      <c r="D1171" s="12" t="s">
        <v>779</v>
      </c>
      <c r="E1171" s="17">
        <v>44.9663</v>
      </c>
      <c r="F1171" s="12" t="s">
        <v>32</v>
      </c>
      <c r="G1171" s="12" t="s">
        <v>378</v>
      </c>
      <c r="H1171" s="12" t="s">
        <v>1652</v>
      </c>
      <c r="I1171" s="12" t="s">
        <v>378</v>
      </c>
      <c r="J1171" s="12" t="s">
        <v>1653</v>
      </c>
      <c r="K1171" s="12" t="s">
        <v>1654</v>
      </c>
    </row>
    <row r="1172" spans="1:11" ht="30" customHeight="1">
      <c r="A1172" s="12" t="s">
        <v>386</v>
      </c>
      <c r="B1172" s="12" t="s">
        <v>382</v>
      </c>
      <c r="C1172" s="12" t="s">
        <v>374</v>
      </c>
      <c r="D1172" s="12" t="s">
        <v>557</v>
      </c>
      <c r="E1172" s="17">
        <v>6568.6</v>
      </c>
      <c r="F1172" s="12" t="s">
        <v>54</v>
      </c>
      <c r="G1172" s="12" t="s">
        <v>385</v>
      </c>
      <c r="H1172" s="12" t="s">
        <v>1655</v>
      </c>
      <c r="I1172" s="12" t="s">
        <v>385</v>
      </c>
      <c r="J1172" s="12" t="s">
        <v>1656</v>
      </c>
      <c r="K1172" s="12" t="s">
        <v>1657</v>
      </c>
    </row>
    <row r="1173" spans="1:11" ht="30" customHeight="1">
      <c r="A1173" s="12" t="s">
        <v>386</v>
      </c>
      <c r="B1173" s="12" t="s">
        <v>382</v>
      </c>
      <c r="C1173" s="12" t="s">
        <v>374</v>
      </c>
      <c r="D1173" s="12" t="s">
        <v>558</v>
      </c>
      <c r="E1173" s="17">
        <v>5811.9</v>
      </c>
      <c r="F1173" s="12" t="s">
        <v>54</v>
      </c>
      <c r="G1173" s="12" t="s">
        <v>385</v>
      </c>
      <c r="H1173" s="12" t="s">
        <v>1655</v>
      </c>
      <c r="I1173" s="12" t="s">
        <v>385</v>
      </c>
      <c r="J1173" s="12" t="s">
        <v>1656</v>
      </c>
      <c r="K1173" s="12" t="s">
        <v>1657</v>
      </c>
    </row>
    <row r="1174" spans="1:11" ht="30" customHeight="1">
      <c r="A1174" s="12" t="s">
        <v>386</v>
      </c>
      <c r="B1174" s="12" t="s">
        <v>382</v>
      </c>
      <c r="C1174" s="12" t="s">
        <v>374</v>
      </c>
      <c r="D1174" s="12" t="s">
        <v>559</v>
      </c>
      <c r="E1174" s="17">
        <v>534.7</v>
      </c>
      <c r="F1174" s="12" t="s">
        <v>54</v>
      </c>
      <c r="G1174" s="12" t="s">
        <v>385</v>
      </c>
      <c r="H1174" s="12" t="s">
        <v>1655</v>
      </c>
      <c r="I1174" s="12" t="s">
        <v>385</v>
      </c>
      <c r="J1174" s="12" t="s">
        <v>1656</v>
      </c>
      <c r="K1174" s="12" t="s">
        <v>1657</v>
      </c>
    </row>
    <row r="1175" spans="1:11" ht="30" customHeight="1">
      <c r="A1175" s="12" t="s">
        <v>386</v>
      </c>
      <c r="B1175" s="12" t="s">
        <v>382</v>
      </c>
      <c r="C1175" s="12" t="s">
        <v>374</v>
      </c>
      <c r="D1175" s="12" t="s">
        <v>562</v>
      </c>
      <c r="E1175" s="17">
        <v>64.40000000000001</v>
      </c>
      <c r="F1175" s="12" t="s">
        <v>54</v>
      </c>
      <c r="G1175" s="12" t="s">
        <v>385</v>
      </c>
      <c r="H1175" s="12" t="s">
        <v>1655</v>
      </c>
      <c r="I1175" s="12" t="s">
        <v>385</v>
      </c>
      <c r="J1175" s="12" t="s">
        <v>1656</v>
      </c>
      <c r="K1175" s="12" t="s">
        <v>1657</v>
      </c>
    </row>
    <row r="1176" spans="1:11" ht="30" customHeight="1">
      <c r="A1176" s="12" t="s">
        <v>386</v>
      </c>
      <c r="B1176" s="12" t="s">
        <v>382</v>
      </c>
      <c r="C1176" s="12" t="s">
        <v>374</v>
      </c>
      <c r="D1176" s="12" t="s">
        <v>564</v>
      </c>
      <c r="E1176" s="17">
        <v>459.1</v>
      </c>
      <c r="F1176" s="12" t="s">
        <v>54</v>
      </c>
      <c r="G1176" s="12" t="s">
        <v>385</v>
      </c>
      <c r="H1176" s="12" t="s">
        <v>1655</v>
      </c>
      <c r="I1176" s="12" t="s">
        <v>385</v>
      </c>
      <c r="J1176" s="12" t="s">
        <v>1656</v>
      </c>
      <c r="K1176" s="12" t="s">
        <v>1657</v>
      </c>
    </row>
    <row r="1177" spans="1:11" ht="30" customHeight="1">
      <c r="A1177" s="12" t="s">
        <v>386</v>
      </c>
      <c r="B1177" s="12" t="s">
        <v>382</v>
      </c>
      <c r="C1177" s="12" t="s">
        <v>374</v>
      </c>
      <c r="D1177" s="12" t="s">
        <v>561</v>
      </c>
      <c r="E1177" s="17">
        <v>153.1</v>
      </c>
      <c r="F1177" s="12" t="s">
        <v>54</v>
      </c>
      <c r="G1177" s="12" t="s">
        <v>385</v>
      </c>
      <c r="H1177" s="12" t="s">
        <v>1655</v>
      </c>
      <c r="I1177" s="12" t="s">
        <v>385</v>
      </c>
      <c r="J1177" s="12" t="s">
        <v>1656</v>
      </c>
      <c r="K1177" s="12" t="s">
        <v>1657</v>
      </c>
    </row>
    <row r="1178" spans="1:11" ht="30" customHeight="1">
      <c r="A1178" s="12" t="s">
        <v>386</v>
      </c>
      <c r="B1178" s="12" t="s">
        <v>382</v>
      </c>
      <c r="C1178" s="12" t="s">
        <v>374</v>
      </c>
      <c r="D1178" s="12" t="s">
        <v>779</v>
      </c>
      <c r="E1178" s="17">
        <v>143.9</v>
      </c>
      <c r="F1178" s="12" t="s">
        <v>54</v>
      </c>
      <c r="G1178" s="12" t="s">
        <v>385</v>
      </c>
      <c r="H1178" s="12" t="s">
        <v>1655</v>
      </c>
      <c r="I1178" s="12" t="s">
        <v>385</v>
      </c>
      <c r="J1178" s="12" t="s">
        <v>1656</v>
      </c>
      <c r="K1178" s="12" t="s">
        <v>1657</v>
      </c>
    </row>
    <row r="1179" spans="1:11" ht="30" customHeight="1">
      <c r="A1179" s="12" t="s">
        <v>392</v>
      </c>
      <c r="B1179" s="12" t="s">
        <v>388</v>
      </c>
      <c r="C1179" s="12" t="s">
        <v>374</v>
      </c>
      <c r="D1179" s="12" t="s">
        <v>557</v>
      </c>
      <c r="E1179" s="17">
        <v>8194.0178</v>
      </c>
      <c r="F1179" s="12" t="s">
        <v>54</v>
      </c>
      <c r="G1179" s="12" t="s">
        <v>391</v>
      </c>
      <c r="H1179" s="12" t="s">
        <v>1658</v>
      </c>
      <c r="I1179" s="12" t="s">
        <v>391</v>
      </c>
      <c r="J1179" s="12" t="s">
        <v>1659</v>
      </c>
      <c r="K1179" s="12" t="s">
        <v>1654</v>
      </c>
    </row>
    <row r="1180" spans="1:11" ht="30" customHeight="1">
      <c r="A1180" s="12" t="s">
        <v>392</v>
      </c>
      <c r="B1180" s="12" t="s">
        <v>388</v>
      </c>
      <c r="C1180" s="12" t="s">
        <v>374</v>
      </c>
      <c r="D1180" s="12" t="s">
        <v>558</v>
      </c>
      <c r="E1180" s="17">
        <v>74874.773</v>
      </c>
      <c r="F1180" s="12" t="s">
        <v>54</v>
      </c>
      <c r="G1180" s="12" t="s">
        <v>391</v>
      </c>
      <c r="H1180" s="12" t="s">
        <v>1658</v>
      </c>
      <c r="I1180" s="12" t="s">
        <v>391</v>
      </c>
      <c r="J1180" s="12" t="s">
        <v>1659</v>
      </c>
      <c r="K1180" s="12" t="s">
        <v>1654</v>
      </c>
    </row>
    <row r="1181" spans="1:11" ht="30" customHeight="1">
      <c r="A1181" s="12" t="s">
        <v>392</v>
      </c>
      <c r="B1181" s="12" t="s">
        <v>388</v>
      </c>
      <c r="C1181" s="12" t="s">
        <v>374</v>
      </c>
      <c r="D1181" s="12" t="s">
        <v>559</v>
      </c>
      <c r="E1181" s="17">
        <v>4414.675</v>
      </c>
      <c r="F1181" s="12" t="s">
        <v>54</v>
      </c>
      <c r="G1181" s="12" t="s">
        <v>391</v>
      </c>
      <c r="H1181" s="12" t="s">
        <v>1658</v>
      </c>
      <c r="I1181" s="12" t="s">
        <v>391</v>
      </c>
      <c r="J1181" s="12" t="s">
        <v>1659</v>
      </c>
      <c r="K1181" s="12" t="s">
        <v>1654</v>
      </c>
    </row>
    <row r="1182" spans="1:11" ht="30" customHeight="1">
      <c r="A1182" s="12" t="s">
        <v>392</v>
      </c>
      <c r="B1182" s="12" t="s">
        <v>388</v>
      </c>
      <c r="C1182" s="12" t="s">
        <v>374</v>
      </c>
      <c r="D1182" s="12" t="s">
        <v>562</v>
      </c>
      <c r="E1182" s="17">
        <v>199.0747</v>
      </c>
      <c r="F1182" s="12" t="s">
        <v>54</v>
      </c>
      <c r="G1182" s="12" t="s">
        <v>391</v>
      </c>
      <c r="H1182" s="12" t="s">
        <v>1658</v>
      </c>
      <c r="I1182" s="12" t="s">
        <v>391</v>
      </c>
      <c r="J1182" s="12" t="s">
        <v>1659</v>
      </c>
      <c r="K1182" s="12" t="s">
        <v>1654</v>
      </c>
    </row>
    <row r="1183" spans="1:11" ht="30" customHeight="1">
      <c r="A1183" s="12" t="s">
        <v>392</v>
      </c>
      <c r="B1183" s="12" t="s">
        <v>388</v>
      </c>
      <c r="C1183" s="12" t="s">
        <v>374</v>
      </c>
      <c r="D1183" s="12" t="s">
        <v>564</v>
      </c>
      <c r="E1183" s="17">
        <v>129.1947</v>
      </c>
      <c r="F1183" s="12" t="s">
        <v>54</v>
      </c>
      <c r="G1183" s="12" t="s">
        <v>391</v>
      </c>
      <c r="H1183" s="12" t="s">
        <v>1658</v>
      </c>
      <c r="I1183" s="12" t="s">
        <v>391</v>
      </c>
      <c r="J1183" s="12" t="s">
        <v>1659</v>
      </c>
      <c r="K1183" s="12" t="s">
        <v>1654</v>
      </c>
    </row>
    <row r="1184" spans="1:11" ht="30" customHeight="1">
      <c r="A1184" s="12" t="s">
        <v>392</v>
      </c>
      <c r="B1184" s="12" t="s">
        <v>388</v>
      </c>
      <c r="C1184" s="12" t="s">
        <v>374</v>
      </c>
      <c r="D1184" s="12" t="s">
        <v>561</v>
      </c>
      <c r="E1184" s="17">
        <v>44.9476</v>
      </c>
      <c r="F1184" s="12" t="s">
        <v>54</v>
      </c>
      <c r="G1184" s="12" t="s">
        <v>391</v>
      </c>
      <c r="H1184" s="12" t="s">
        <v>1658</v>
      </c>
      <c r="I1184" s="12" t="s">
        <v>391</v>
      </c>
      <c r="J1184" s="12" t="s">
        <v>1659</v>
      </c>
      <c r="K1184" s="12" t="s">
        <v>1654</v>
      </c>
    </row>
    <row r="1185" spans="1:11" ht="30" customHeight="1">
      <c r="A1185" s="12" t="s">
        <v>392</v>
      </c>
      <c r="B1185" s="12" t="s">
        <v>388</v>
      </c>
      <c r="C1185" s="12" t="s">
        <v>374</v>
      </c>
      <c r="D1185" s="12" t="s">
        <v>779</v>
      </c>
      <c r="E1185" s="17">
        <v>3854.0261</v>
      </c>
      <c r="F1185" s="12" t="s">
        <v>54</v>
      </c>
      <c r="G1185" s="12" t="s">
        <v>391</v>
      </c>
      <c r="H1185" s="12" t="s">
        <v>1658</v>
      </c>
      <c r="I1185" s="12" t="s">
        <v>391</v>
      </c>
      <c r="J1185" s="12" t="s">
        <v>1659</v>
      </c>
      <c r="K1185" s="12" t="s">
        <v>1654</v>
      </c>
    </row>
    <row r="1186" spans="1:11" ht="30" customHeight="1">
      <c r="A1186" s="12" t="s">
        <v>397</v>
      </c>
      <c r="B1186" s="12" t="s">
        <v>394</v>
      </c>
      <c r="C1186" s="12" t="s">
        <v>374</v>
      </c>
      <c r="D1186" s="12" t="s">
        <v>557</v>
      </c>
      <c r="E1186" s="17">
        <v>5131.43</v>
      </c>
      <c r="F1186" s="12" t="s">
        <v>54</v>
      </c>
      <c r="G1186" s="12" t="s">
        <v>396</v>
      </c>
      <c r="H1186" s="12" t="s">
        <v>1660</v>
      </c>
      <c r="I1186" s="12" t="s">
        <v>396</v>
      </c>
      <c r="J1186" s="12" t="s">
        <v>1661</v>
      </c>
      <c r="K1186" s="12" t="s">
        <v>1662</v>
      </c>
    </row>
    <row r="1187" spans="1:11" ht="30" customHeight="1">
      <c r="A1187" s="12" t="s">
        <v>397</v>
      </c>
      <c r="B1187" s="12" t="s">
        <v>394</v>
      </c>
      <c r="C1187" s="12" t="s">
        <v>374</v>
      </c>
      <c r="D1187" s="12" t="s">
        <v>558</v>
      </c>
      <c r="E1187" s="17">
        <v>81894.42999999999</v>
      </c>
      <c r="F1187" s="12" t="s">
        <v>54</v>
      </c>
      <c r="G1187" s="12" t="s">
        <v>396</v>
      </c>
      <c r="H1187" s="12" t="s">
        <v>1660</v>
      </c>
      <c r="I1187" s="12" t="s">
        <v>396</v>
      </c>
      <c r="J1187" s="12" t="s">
        <v>1661</v>
      </c>
      <c r="K1187" s="12" t="s">
        <v>1662</v>
      </c>
    </row>
    <row r="1188" spans="1:11" ht="30" customHeight="1">
      <c r="A1188" s="12" t="s">
        <v>397</v>
      </c>
      <c r="B1188" s="12" t="s">
        <v>394</v>
      </c>
      <c r="C1188" s="12" t="s">
        <v>374</v>
      </c>
      <c r="D1188" s="12" t="s">
        <v>559</v>
      </c>
      <c r="E1188" s="17">
        <v>1840.66</v>
      </c>
      <c r="F1188" s="12" t="s">
        <v>54</v>
      </c>
      <c r="G1188" s="12" t="s">
        <v>396</v>
      </c>
      <c r="H1188" s="12" t="s">
        <v>1660</v>
      </c>
      <c r="I1188" s="12" t="s">
        <v>396</v>
      </c>
      <c r="J1188" s="12" t="s">
        <v>1661</v>
      </c>
      <c r="K1188" s="12" t="s">
        <v>1662</v>
      </c>
    </row>
    <row r="1189" spans="1:11" ht="30" customHeight="1">
      <c r="A1189" s="12" t="s">
        <v>397</v>
      </c>
      <c r="B1189" s="12" t="s">
        <v>394</v>
      </c>
      <c r="C1189" s="12" t="s">
        <v>374</v>
      </c>
      <c r="D1189" s="12" t="s">
        <v>562</v>
      </c>
      <c r="E1189" s="17">
        <v>136.86</v>
      </c>
      <c r="F1189" s="12" t="s">
        <v>54</v>
      </c>
      <c r="G1189" s="12" t="s">
        <v>396</v>
      </c>
      <c r="H1189" s="12" t="s">
        <v>1660</v>
      </c>
      <c r="I1189" s="12" t="s">
        <v>396</v>
      </c>
      <c r="J1189" s="12" t="s">
        <v>1661</v>
      </c>
      <c r="K1189" s="12" t="s">
        <v>1662</v>
      </c>
    </row>
    <row r="1190" spans="1:11" ht="30" customHeight="1">
      <c r="A1190" s="12" t="s">
        <v>397</v>
      </c>
      <c r="B1190" s="12" t="s">
        <v>394</v>
      </c>
      <c r="C1190" s="12" t="s">
        <v>374</v>
      </c>
      <c r="D1190" s="12" t="s">
        <v>564</v>
      </c>
      <c r="E1190" s="17">
        <v>406.04</v>
      </c>
      <c r="F1190" s="12" t="s">
        <v>54</v>
      </c>
      <c r="G1190" s="12" t="s">
        <v>396</v>
      </c>
      <c r="H1190" s="12" t="s">
        <v>1660</v>
      </c>
      <c r="I1190" s="12" t="s">
        <v>396</v>
      </c>
      <c r="J1190" s="12" t="s">
        <v>1661</v>
      </c>
      <c r="K1190" s="12" t="s">
        <v>1662</v>
      </c>
    </row>
    <row r="1191" spans="1:11" ht="30" customHeight="1">
      <c r="A1191" s="12" t="s">
        <v>397</v>
      </c>
      <c r="B1191" s="12" t="s">
        <v>394</v>
      </c>
      <c r="C1191" s="12" t="s">
        <v>374</v>
      </c>
      <c r="D1191" s="12" t="s">
        <v>561</v>
      </c>
      <c r="E1191" s="17">
        <v>15614.87</v>
      </c>
      <c r="F1191" s="12" t="s">
        <v>54</v>
      </c>
      <c r="G1191" s="12" t="s">
        <v>396</v>
      </c>
      <c r="H1191" s="12" t="s">
        <v>1660</v>
      </c>
      <c r="I1191" s="12" t="s">
        <v>396</v>
      </c>
      <c r="J1191" s="12" t="s">
        <v>1661</v>
      </c>
      <c r="K1191" s="12" t="s">
        <v>1662</v>
      </c>
    </row>
    <row r="1192" spans="1:11" ht="30" customHeight="1">
      <c r="A1192" s="12" t="s">
        <v>397</v>
      </c>
      <c r="B1192" s="12" t="s">
        <v>394</v>
      </c>
      <c r="C1192" s="12" t="s">
        <v>374</v>
      </c>
      <c r="D1192" s="12" t="s">
        <v>779</v>
      </c>
      <c r="E1192" s="17">
        <v>12561.16</v>
      </c>
      <c r="F1192" s="12" t="s">
        <v>54</v>
      </c>
      <c r="G1192" s="12" t="s">
        <v>396</v>
      </c>
      <c r="H1192" s="12" t="s">
        <v>1660</v>
      </c>
      <c r="I1192" s="12" t="s">
        <v>396</v>
      </c>
      <c r="J1192" s="12" t="s">
        <v>1661</v>
      </c>
      <c r="K1192" s="12" t="s">
        <v>1662</v>
      </c>
    </row>
    <row r="1193" spans="1:11" ht="30" customHeight="1">
      <c r="A1193" s="12" t="s">
        <v>402</v>
      </c>
      <c r="B1193" s="12" t="s">
        <v>399</v>
      </c>
      <c r="C1193" s="12" t="s">
        <v>374</v>
      </c>
      <c r="D1193" s="12" t="s">
        <v>557</v>
      </c>
      <c r="E1193" s="17">
        <v>4635.07</v>
      </c>
      <c r="F1193" s="12" t="s">
        <v>32</v>
      </c>
      <c r="G1193" s="12" t="s">
        <v>401</v>
      </c>
      <c r="H1193" s="12" t="s">
        <v>1663</v>
      </c>
      <c r="I1193" s="12" t="s">
        <v>401</v>
      </c>
      <c r="J1193" s="12" t="s">
        <v>1664</v>
      </c>
      <c r="K1193" s="12" t="s">
        <v>1662</v>
      </c>
    </row>
    <row r="1194" spans="1:11" ht="30" customHeight="1">
      <c r="A1194" s="12" t="s">
        <v>402</v>
      </c>
      <c r="B1194" s="12" t="s">
        <v>399</v>
      </c>
      <c r="C1194" s="12" t="s">
        <v>374</v>
      </c>
      <c r="D1194" s="12" t="s">
        <v>558</v>
      </c>
      <c r="E1194" s="17">
        <v>3756.2</v>
      </c>
      <c r="F1194" s="12" t="s">
        <v>32</v>
      </c>
      <c r="G1194" s="12" t="s">
        <v>401</v>
      </c>
      <c r="H1194" s="12" t="s">
        <v>1663</v>
      </c>
      <c r="I1194" s="12" t="s">
        <v>401</v>
      </c>
      <c r="J1194" s="12" t="s">
        <v>1664</v>
      </c>
      <c r="K1194" s="12" t="s">
        <v>1662</v>
      </c>
    </row>
    <row r="1195" spans="1:11" ht="30" customHeight="1">
      <c r="A1195" s="12" t="s">
        <v>402</v>
      </c>
      <c r="B1195" s="12" t="s">
        <v>399</v>
      </c>
      <c r="C1195" s="12" t="s">
        <v>374</v>
      </c>
      <c r="D1195" s="12" t="s">
        <v>559</v>
      </c>
      <c r="E1195" s="17">
        <v>300.02</v>
      </c>
      <c r="F1195" s="12" t="s">
        <v>32</v>
      </c>
      <c r="G1195" s="12" t="s">
        <v>401</v>
      </c>
      <c r="H1195" s="12" t="s">
        <v>1663</v>
      </c>
      <c r="I1195" s="12" t="s">
        <v>401</v>
      </c>
      <c r="J1195" s="12" t="s">
        <v>1664</v>
      </c>
      <c r="K1195" s="12" t="s">
        <v>1662</v>
      </c>
    </row>
    <row r="1196" spans="1:11" ht="30" customHeight="1">
      <c r="A1196" s="12" t="s">
        <v>402</v>
      </c>
      <c r="B1196" s="12" t="s">
        <v>399</v>
      </c>
      <c r="C1196" s="12" t="s">
        <v>374</v>
      </c>
      <c r="D1196" s="12" t="s">
        <v>562</v>
      </c>
      <c r="E1196" s="17">
        <v>20.03</v>
      </c>
      <c r="F1196" s="12" t="s">
        <v>32</v>
      </c>
      <c r="G1196" s="12" t="s">
        <v>401</v>
      </c>
      <c r="H1196" s="12" t="s">
        <v>1663</v>
      </c>
      <c r="I1196" s="12" t="s">
        <v>401</v>
      </c>
      <c r="J1196" s="12" t="s">
        <v>1664</v>
      </c>
      <c r="K1196" s="12" t="s">
        <v>1662</v>
      </c>
    </row>
    <row r="1197" spans="1:11" ht="30" customHeight="1">
      <c r="A1197" s="12" t="s">
        <v>402</v>
      </c>
      <c r="B1197" s="12" t="s">
        <v>399</v>
      </c>
      <c r="C1197" s="12" t="s">
        <v>374</v>
      </c>
      <c r="D1197" s="12" t="s">
        <v>564</v>
      </c>
      <c r="E1197" s="17">
        <v>220.51</v>
      </c>
      <c r="F1197" s="12" t="s">
        <v>32</v>
      </c>
      <c r="G1197" s="12" t="s">
        <v>401</v>
      </c>
      <c r="H1197" s="12" t="s">
        <v>1663</v>
      </c>
      <c r="I1197" s="12" t="s">
        <v>401</v>
      </c>
      <c r="J1197" s="12" t="s">
        <v>1664</v>
      </c>
      <c r="K1197" s="12" t="s">
        <v>1662</v>
      </c>
    </row>
    <row r="1198" spans="1:11" ht="30" customHeight="1">
      <c r="A1198" s="12" t="s">
        <v>402</v>
      </c>
      <c r="B1198" s="12" t="s">
        <v>399</v>
      </c>
      <c r="C1198" s="12" t="s">
        <v>374</v>
      </c>
      <c r="D1198" s="12" t="s">
        <v>561</v>
      </c>
      <c r="E1198" s="17">
        <v>175.94</v>
      </c>
      <c r="F1198" s="12" t="s">
        <v>32</v>
      </c>
      <c r="G1198" s="12" t="s">
        <v>401</v>
      </c>
      <c r="H1198" s="12" t="s">
        <v>1663</v>
      </c>
      <c r="I1198" s="12" t="s">
        <v>401</v>
      </c>
      <c r="J1198" s="12" t="s">
        <v>1664</v>
      </c>
      <c r="K1198" s="12" t="s">
        <v>1662</v>
      </c>
    </row>
    <row r="1199" spans="1:11" ht="30" customHeight="1">
      <c r="A1199" s="12" t="s">
        <v>402</v>
      </c>
      <c r="B1199" s="12" t="s">
        <v>399</v>
      </c>
      <c r="C1199" s="12" t="s">
        <v>374</v>
      </c>
      <c r="D1199" s="12" t="s">
        <v>779</v>
      </c>
      <c r="E1199" s="17">
        <v>170.59</v>
      </c>
      <c r="F1199" s="12" t="s">
        <v>32</v>
      </c>
      <c r="G1199" s="12" t="s">
        <v>401</v>
      </c>
      <c r="H1199" s="12" t="s">
        <v>1663</v>
      </c>
      <c r="I1199" s="12" t="s">
        <v>401</v>
      </c>
      <c r="J1199" s="12" t="s">
        <v>1664</v>
      </c>
      <c r="K1199" s="12" t="s">
        <v>1662</v>
      </c>
    </row>
    <row r="1200" spans="1:11" ht="30" customHeight="1">
      <c r="A1200" s="12" t="s">
        <v>407</v>
      </c>
      <c r="B1200" s="12" t="s">
        <v>404</v>
      </c>
      <c r="C1200" s="12" t="s">
        <v>374</v>
      </c>
      <c r="D1200" s="12" t="s">
        <v>557</v>
      </c>
      <c r="E1200" s="17">
        <v>285874.36</v>
      </c>
      <c r="F1200" s="12" t="s">
        <v>54</v>
      </c>
      <c r="G1200" s="12" t="s">
        <v>406</v>
      </c>
      <c r="H1200" s="12" t="s">
        <v>1665</v>
      </c>
      <c r="I1200" s="12" t="s">
        <v>406</v>
      </c>
      <c r="J1200" s="12" t="s">
        <v>1666</v>
      </c>
      <c r="K1200" s="12" t="s">
        <v>1667</v>
      </c>
    </row>
    <row r="1201" spans="1:11" ht="30" customHeight="1">
      <c r="A1201" s="12" t="s">
        <v>407</v>
      </c>
      <c r="B1201" s="12" t="s">
        <v>404</v>
      </c>
      <c r="C1201" s="12" t="s">
        <v>374</v>
      </c>
      <c r="D1201" s="12" t="s">
        <v>558</v>
      </c>
      <c r="E1201" s="17">
        <v>452549.88</v>
      </c>
      <c r="F1201" s="12" t="s">
        <v>54</v>
      </c>
      <c r="G1201" s="12" t="s">
        <v>406</v>
      </c>
      <c r="H1201" s="12" t="s">
        <v>1665</v>
      </c>
      <c r="I1201" s="12" t="s">
        <v>406</v>
      </c>
      <c r="J1201" s="12" t="s">
        <v>1666</v>
      </c>
      <c r="K1201" s="12" t="s">
        <v>1667</v>
      </c>
    </row>
    <row r="1202" spans="1:11" ht="30" customHeight="1">
      <c r="A1202" s="12" t="s">
        <v>407</v>
      </c>
      <c r="B1202" s="12" t="s">
        <v>404</v>
      </c>
      <c r="C1202" s="12" t="s">
        <v>374</v>
      </c>
      <c r="D1202" s="12" t="s">
        <v>559</v>
      </c>
      <c r="E1202" s="17">
        <v>18953.88</v>
      </c>
      <c r="F1202" s="12" t="s">
        <v>54</v>
      </c>
      <c r="G1202" s="12" t="s">
        <v>406</v>
      </c>
      <c r="H1202" s="12" t="s">
        <v>1665</v>
      </c>
      <c r="I1202" s="12" t="s">
        <v>406</v>
      </c>
      <c r="J1202" s="12" t="s">
        <v>1666</v>
      </c>
      <c r="K1202" s="12" t="s">
        <v>1667</v>
      </c>
    </row>
    <row r="1203" spans="1:11" ht="30" customHeight="1">
      <c r="A1203" s="12" t="s">
        <v>407</v>
      </c>
      <c r="B1203" s="12" t="s">
        <v>404</v>
      </c>
      <c r="C1203" s="12" t="s">
        <v>374</v>
      </c>
      <c r="D1203" s="12" t="s">
        <v>562</v>
      </c>
      <c r="E1203" s="17">
        <v>9844.16</v>
      </c>
      <c r="F1203" s="12" t="s">
        <v>54</v>
      </c>
      <c r="G1203" s="12" t="s">
        <v>406</v>
      </c>
      <c r="H1203" s="12" t="s">
        <v>1665</v>
      </c>
      <c r="I1203" s="12" t="s">
        <v>406</v>
      </c>
      <c r="J1203" s="12" t="s">
        <v>1666</v>
      </c>
      <c r="K1203" s="12" t="s">
        <v>1667</v>
      </c>
    </row>
    <row r="1204" spans="1:11" ht="30" customHeight="1">
      <c r="A1204" s="12" t="s">
        <v>407</v>
      </c>
      <c r="B1204" s="12" t="s">
        <v>404</v>
      </c>
      <c r="C1204" s="12" t="s">
        <v>374</v>
      </c>
      <c r="D1204" s="12" t="s">
        <v>564</v>
      </c>
      <c r="E1204" s="17">
        <v>4809.19</v>
      </c>
      <c r="F1204" s="12" t="s">
        <v>54</v>
      </c>
      <c r="G1204" s="12" t="s">
        <v>406</v>
      </c>
      <c r="H1204" s="12" t="s">
        <v>1665</v>
      </c>
      <c r="I1204" s="12" t="s">
        <v>406</v>
      </c>
      <c r="J1204" s="12" t="s">
        <v>1666</v>
      </c>
      <c r="K1204" s="12" t="s">
        <v>1667</v>
      </c>
    </row>
    <row r="1205" spans="1:11" ht="30" customHeight="1">
      <c r="A1205" s="12" t="s">
        <v>407</v>
      </c>
      <c r="B1205" s="12" t="s">
        <v>404</v>
      </c>
      <c r="C1205" s="12" t="s">
        <v>374</v>
      </c>
      <c r="D1205" s="12" t="s">
        <v>561</v>
      </c>
      <c r="E1205" s="17">
        <v>121683.02</v>
      </c>
      <c r="F1205" s="12" t="s">
        <v>54</v>
      </c>
      <c r="G1205" s="12" t="s">
        <v>406</v>
      </c>
      <c r="H1205" s="12" t="s">
        <v>1665</v>
      </c>
      <c r="I1205" s="12" t="s">
        <v>406</v>
      </c>
      <c r="J1205" s="12" t="s">
        <v>1666</v>
      </c>
      <c r="K1205" s="12" t="s">
        <v>1667</v>
      </c>
    </row>
    <row r="1206" spans="1:11" ht="30" customHeight="1">
      <c r="A1206" s="12" t="s">
        <v>407</v>
      </c>
      <c r="B1206" s="12" t="s">
        <v>404</v>
      </c>
      <c r="C1206" s="12" t="s">
        <v>374</v>
      </c>
      <c r="D1206" s="12" t="s">
        <v>779</v>
      </c>
      <c r="E1206" s="17">
        <v>129559.34</v>
      </c>
      <c r="F1206" s="12" t="s">
        <v>54</v>
      </c>
      <c r="G1206" s="12" t="s">
        <v>406</v>
      </c>
      <c r="H1206" s="12" t="s">
        <v>1665</v>
      </c>
      <c r="I1206" s="12" t="s">
        <v>406</v>
      </c>
      <c r="J1206" s="12" t="s">
        <v>1666</v>
      </c>
      <c r="K1206" s="12" t="s">
        <v>1667</v>
      </c>
    </row>
    <row r="1207" spans="1:11" ht="30" customHeight="1">
      <c r="A1207" s="12" t="s">
        <v>412</v>
      </c>
      <c r="B1207" s="12" t="s">
        <v>409</v>
      </c>
      <c r="C1207" s="12" t="s">
        <v>374</v>
      </c>
      <c r="D1207" s="12" t="s">
        <v>557</v>
      </c>
      <c r="E1207" s="17">
        <v>16676.2</v>
      </c>
      <c r="F1207" s="12" t="s">
        <v>54</v>
      </c>
      <c r="G1207" s="12" t="s">
        <v>411</v>
      </c>
      <c r="H1207" s="12" t="s">
        <v>1668</v>
      </c>
      <c r="I1207" s="12" t="s">
        <v>411</v>
      </c>
      <c r="J1207" s="12" t="s">
        <v>1669</v>
      </c>
      <c r="K1207" s="12" t="s">
        <v>1670</v>
      </c>
    </row>
    <row r="1208" spans="1:11" ht="30" customHeight="1">
      <c r="A1208" s="12" t="s">
        <v>412</v>
      </c>
      <c r="B1208" s="12" t="s">
        <v>409</v>
      </c>
      <c r="C1208" s="12" t="s">
        <v>374</v>
      </c>
      <c r="D1208" s="12" t="s">
        <v>558</v>
      </c>
      <c r="E1208" s="17">
        <v>58936.6</v>
      </c>
      <c r="F1208" s="12" t="s">
        <v>54</v>
      </c>
      <c r="G1208" s="12" t="s">
        <v>411</v>
      </c>
      <c r="H1208" s="12" t="s">
        <v>1668</v>
      </c>
      <c r="I1208" s="12" t="s">
        <v>411</v>
      </c>
      <c r="J1208" s="12" t="s">
        <v>1669</v>
      </c>
      <c r="K1208" s="12" t="s">
        <v>1670</v>
      </c>
    </row>
    <row r="1209" spans="1:11" ht="30" customHeight="1">
      <c r="A1209" s="12" t="s">
        <v>412</v>
      </c>
      <c r="B1209" s="12" t="s">
        <v>409</v>
      </c>
      <c r="C1209" s="12" t="s">
        <v>374</v>
      </c>
      <c r="D1209" s="12" t="s">
        <v>559</v>
      </c>
      <c r="E1209" s="17">
        <v>3430.7</v>
      </c>
      <c r="F1209" s="12" t="s">
        <v>54</v>
      </c>
      <c r="G1209" s="12" t="s">
        <v>411</v>
      </c>
      <c r="H1209" s="12" t="s">
        <v>1668</v>
      </c>
      <c r="I1209" s="12" t="s">
        <v>411</v>
      </c>
      <c r="J1209" s="12" t="s">
        <v>1669</v>
      </c>
      <c r="K1209" s="12" t="s">
        <v>1670</v>
      </c>
    </row>
    <row r="1210" spans="1:11" ht="30" customHeight="1">
      <c r="A1210" s="12" t="s">
        <v>412</v>
      </c>
      <c r="B1210" s="12" t="s">
        <v>409</v>
      </c>
      <c r="C1210" s="12" t="s">
        <v>374</v>
      </c>
      <c r="D1210" s="12" t="s">
        <v>562</v>
      </c>
      <c r="E1210" s="17">
        <v>656.7</v>
      </c>
      <c r="F1210" s="12" t="s">
        <v>54</v>
      </c>
      <c r="G1210" s="12" t="s">
        <v>411</v>
      </c>
      <c r="H1210" s="12" t="s">
        <v>1668</v>
      </c>
      <c r="I1210" s="12" t="s">
        <v>411</v>
      </c>
      <c r="J1210" s="12" t="s">
        <v>1669</v>
      </c>
      <c r="K1210" s="12" t="s">
        <v>1670</v>
      </c>
    </row>
    <row r="1211" spans="1:11" ht="30" customHeight="1">
      <c r="A1211" s="12" t="s">
        <v>412</v>
      </c>
      <c r="B1211" s="12" t="s">
        <v>409</v>
      </c>
      <c r="C1211" s="12" t="s">
        <v>374</v>
      </c>
      <c r="D1211" s="12" t="s">
        <v>564</v>
      </c>
      <c r="E1211" s="17">
        <v>250.2</v>
      </c>
      <c r="F1211" s="12" t="s">
        <v>54</v>
      </c>
      <c r="G1211" s="12" t="s">
        <v>411</v>
      </c>
      <c r="H1211" s="12" t="s">
        <v>1668</v>
      </c>
      <c r="I1211" s="12" t="s">
        <v>411</v>
      </c>
      <c r="J1211" s="12" t="s">
        <v>1669</v>
      </c>
      <c r="K1211" s="12" t="s">
        <v>1670</v>
      </c>
    </row>
    <row r="1212" spans="1:11" ht="30" customHeight="1">
      <c r="A1212" s="12" t="s">
        <v>412</v>
      </c>
      <c r="B1212" s="12" t="s">
        <v>409</v>
      </c>
      <c r="C1212" s="12" t="s">
        <v>374</v>
      </c>
      <c r="D1212" s="12" t="s">
        <v>561</v>
      </c>
      <c r="E1212" s="17">
        <v>9883.9</v>
      </c>
      <c r="F1212" s="12" t="s">
        <v>54</v>
      </c>
      <c r="G1212" s="12" t="s">
        <v>411</v>
      </c>
      <c r="H1212" s="12" t="s">
        <v>1668</v>
      </c>
      <c r="I1212" s="12" t="s">
        <v>411</v>
      </c>
      <c r="J1212" s="12" t="s">
        <v>1669</v>
      </c>
      <c r="K1212" s="12" t="s">
        <v>1670</v>
      </c>
    </row>
    <row r="1213" spans="1:11" ht="30" customHeight="1">
      <c r="A1213" s="12" t="s">
        <v>412</v>
      </c>
      <c r="B1213" s="12" t="s">
        <v>409</v>
      </c>
      <c r="C1213" s="12" t="s">
        <v>374</v>
      </c>
      <c r="D1213" s="12" t="s">
        <v>779</v>
      </c>
      <c r="E1213" s="17">
        <v>7080.4</v>
      </c>
      <c r="F1213" s="12" t="s">
        <v>54</v>
      </c>
      <c r="G1213" s="12" t="s">
        <v>411</v>
      </c>
      <c r="H1213" s="12" t="s">
        <v>1668</v>
      </c>
      <c r="I1213" s="12" t="s">
        <v>411</v>
      </c>
      <c r="J1213" s="12" t="s">
        <v>1669</v>
      </c>
      <c r="K1213" s="12" t="s">
        <v>1670</v>
      </c>
    </row>
    <row r="1214" spans="1:11" ht="30" customHeight="1">
      <c r="A1214" s="12" t="s">
        <v>417</v>
      </c>
      <c r="B1214" s="12" t="s">
        <v>414</v>
      </c>
      <c r="C1214" s="12" t="s">
        <v>374</v>
      </c>
      <c r="D1214" s="12" t="s">
        <v>557</v>
      </c>
      <c r="E1214" s="17">
        <v>1178.3144</v>
      </c>
      <c r="F1214" s="12" t="s">
        <v>54</v>
      </c>
      <c r="G1214" s="12" t="s">
        <v>416</v>
      </c>
      <c r="H1214" s="12" t="s">
        <v>1671</v>
      </c>
      <c r="I1214" s="12" t="s">
        <v>416</v>
      </c>
      <c r="J1214" s="12" t="s">
        <v>1672</v>
      </c>
      <c r="K1214" s="12" t="s">
        <v>1673</v>
      </c>
    </row>
    <row r="1215" spans="1:11" ht="30" customHeight="1">
      <c r="A1215" s="12" t="s">
        <v>417</v>
      </c>
      <c r="B1215" s="12" t="s">
        <v>414</v>
      </c>
      <c r="C1215" s="12" t="s">
        <v>374</v>
      </c>
      <c r="D1215" s="12" t="s">
        <v>558</v>
      </c>
      <c r="E1215" s="17">
        <v>8294.8271</v>
      </c>
      <c r="F1215" s="12" t="s">
        <v>54</v>
      </c>
      <c r="G1215" s="12" t="s">
        <v>416</v>
      </c>
      <c r="H1215" s="12" t="s">
        <v>1671</v>
      </c>
      <c r="I1215" s="12" t="s">
        <v>416</v>
      </c>
      <c r="J1215" s="12" t="s">
        <v>1672</v>
      </c>
      <c r="K1215" s="12" t="s">
        <v>1673</v>
      </c>
    </row>
    <row r="1216" spans="1:11" ht="30" customHeight="1">
      <c r="A1216" s="12" t="s">
        <v>417</v>
      </c>
      <c r="B1216" s="12" t="s">
        <v>414</v>
      </c>
      <c r="C1216" s="12" t="s">
        <v>374</v>
      </c>
      <c r="D1216" s="12" t="s">
        <v>559</v>
      </c>
      <c r="E1216" s="17">
        <v>298.1651</v>
      </c>
      <c r="F1216" s="12" t="s">
        <v>54</v>
      </c>
      <c r="G1216" s="12" t="s">
        <v>416</v>
      </c>
      <c r="H1216" s="12" t="s">
        <v>1671</v>
      </c>
      <c r="I1216" s="12" t="s">
        <v>416</v>
      </c>
      <c r="J1216" s="12" t="s">
        <v>1672</v>
      </c>
      <c r="K1216" s="12" t="s">
        <v>1673</v>
      </c>
    </row>
    <row r="1217" spans="1:11" ht="30" customHeight="1">
      <c r="A1217" s="12" t="s">
        <v>417</v>
      </c>
      <c r="B1217" s="12" t="s">
        <v>414</v>
      </c>
      <c r="C1217" s="12" t="s">
        <v>374</v>
      </c>
      <c r="D1217" s="12" t="s">
        <v>562</v>
      </c>
      <c r="E1217" s="17">
        <v>10.9078</v>
      </c>
      <c r="F1217" s="12" t="s">
        <v>54</v>
      </c>
      <c r="G1217" s="12" t="s">
        <v>416</v>
      </c>
      <c r="H1217" s="12" t="s">
        <v>1671</v>
      </c>
      <c r="I1217" s="12" t="s">
        <v>416</v>
      </c>
      <c r="J1217" s="12" t="s">
        <v>1672</v>
      </c>
      <c r="K1217" s="12" t="s">
        <v>1673</v>
      </c>
    </row>
    <row r="1218" spans="1:11" ht="30" customHeight="1">
      <c r="A1218" s="12" t="s">
        <v>417</v>
      </c>
      <c r="B1218" s="12" t="s">
        <v>414</v>
      </c>
      <c r="C1218" s="12" t="s">
        <v>374</v>
      </c>
      <c r="D1218" s="12" t="s">
        <v>564</v>
      </c>
      <c r="E1218" s="17">
        <v>18.1386</v>
      </c>
      <c r="F1218" s="12" t="s">
        <v>54</v>
      </c>
      <c r="G1218" s="12" t="s">
        <v>416</v>
      </c>
      <c r="H1218" s="12" t="s">
        <v>1671</v>
      </c>
      <c r="I1218" s="12" t="s">
        <v>416</v>
      </c>
      <c r="J1218" s="12" t="s">
        <v>1672</v>
      </c>
      <c r="K1218" s="12" t="s">
        <v>1673</v>
      </c>
    </row>
    <row r="1219" spans="1:11" ht="30" customHeight="1">
      <c r="A1219" s="12" t="s">
        <v>417</v>
      </c>
      <c r="B1219" s="12" t="s">
        <v>414</v>
      </c>
      <c r="C1219" s="12" t="s">
        <v>374</v>
      </c>
      <c r="D1219" s="12" t="s">
        <v>561</v>
      </c>
      <c r="E1219" s="17">
        <v>645.2515</v>
      </c>
      <c r="F1219" s="12" t="s">
        <v>54</v>
      </c>
      <c r="G1219" s="12" t="s">
        <v>416</v>
      </c>
      <c r="H1219" s="12" t="s">
        <v>1671</v>
      </c>
      <c r="I1219" s="12" t="s">
        <v>416</v>
      </c>
      <c r="J1219" s="12" t="s">
        <v>1672</v>
      </c>
      <c r="K1219" s="12" t="s">
        <v>1673</v>
      </c>
    </row>
    <row r="1220" spans="1:11" ht="30" customHeight="1">
      <c r="A1220" s="12" t="s">
        <v>417</v>
      </c>
      <c r="B1220" s="12" t="s">
        <v>414</v>
      </c>
      <c r="C1220" s="12" t="s">
        <v>374</v>
      </c>
      <c r="D1220" s="12" t="s">
        <v>779</v>
      </c>
      <c r="E1220" s="17">
        <v>1431.743</v>
      </c>
      <c r="F1220" s="12" t="s">
        <v>54</v>
      </c>
      <c r="G1220" s="12" t="s">
        <v>416</v>
      </c>
      <c r="H1220" s="12" t="s">
        <v>1671</v>
      </c>
      <c r="I1220" s="12" t="s">
        <v>416</v>
      </c>
      <c r="J1220" s="12" t="s">
        <v>1672</v>
      </c>
      <c r="K1220" s="12" t="s">
        <v>1673</v>
      </c>
    </row>
    <row r="1221" spans="1:11" ht="30" customHeight="1">
      <c r="A1221" s="12" t="s">
        <v>422</v>
      </c>
      <c r="B1221" s="12" t="s">
        <v>419</v>
      </c>
      <c r="C1221" s="12" t="s">
        <v>374</v>
      </c>
      <c r="D1221" s="12" t="s">
        <v>557</v>
      </c>
      <c r="E1221" s="17">
        <v>12038.5724</v>
      </c>
      <c r="F1221" s="12" t="s">
        <v>32</v>
      </c>
      <c r="G1221" s="12" t="s">
        <v>421</v>
      </c>
      <c r="H1221" s="12" t="s">
        <v>1674</v>
      </c>
      <c r="I1221" s="12" t="s">
        <v>421</v>
      </c>
      <c r="J1221" s="12" t="s">
        <v>1675</v>
      </c>
      <c r="K1221" s="12" t="s">
        <v>1676</v>
      </c>
    </row>
    <row r="1222" spans="1:11" ht="30" customHeight="1">
      <c r="A1222" s="12" t="s">
        <v>422</v>
      </c>
      <c r="B1222" s="12" t="s">
        <v>419</v>
      </c>
      <c r="C1222" s="12" t="s">
        <v>374</v>
      </c>
      <c r="D1222" s="12" t="s">
        <v>558</v>
      </c>
      <c r="E1222" s="17">
        <v>13640.9521</v>
      </c>
      <c r="F1222" s="12" t="s">
        <v>32</v>
      </c>
      <c r="G1222" s="12" t="s">
        <v>421</v>
      </c>
      <c r="H1222" s="12" t="s">
        <v>1674</v>
      </c>
      <c r="I1222" s="12" t="s">
        <v>421</v>
      </c>
      <c r="J1222" s="12" t="s">
        <v>1675</v>
      </c>
      <c r="K1222" s="12" t="s">
        <v>1676</v>
      </c>
    </row>
    <row r="1223" spans="1:11" ht="30" customHeight="1">
      <c r="A1223" s="12" t="s">
        <v>422</v>
      </c>
      <c r="B1223" s="12" t="s">
        <v>419</v>
      </c>
      <c r="C1223" s="12" t="s">
        <v>374</v>
      </c>
      <c r="D1223" s="12" t="s">
        <v>559</v>
      </c>
      <c r="E1223" s="17">
        <v>557.4246000000001</v>
      </c>
      <c r="F1223" s="12" t="s">
        <v>32</v>
      </c>
      <c r="G1223" s="12" t="s">
        <v>421</v>
      </c>
      <c r="H1223" s="12" t="s">
        <v>1674</v>
      </c>
      <c r="I1223" s="12" t="s">
        <v>421</v>
      </c>
      <c r="J1223" s="12" t="s">
        <v>1675</v>
      </c>
      <c r="K1223" s="12" t="s">
        <v>1676</v>
      </c>
    </row>
    <row r="1224" spans="1:11" ht="30" customHeight="1">
      <c r="A1224" s="12" t="s">
        <v>422</v>
      </c>
      <c r="B1224" s="12" t="s">
        <v>419</v>
      </c>
      <c r="C1224" s="12" t="s">
        <v>374</v>
      </c>
      <c r="D1224" s="12" t="s">
        <v>562</v>
      </c>
      <c r="E1224" s="17">
        <v>0.0616</v>
      </c>
      <c r="F1224" s="12" t="s">
        <v>32</v>
      </c>
      <c r="G1224" s="12" t="s">
        <v>421</v>
      </c>
      <c r="H1224" s="12" t="s">
        <v>1674</v>
      </c>
      <c r="I1224" s="12" t="s">
        <v>421</v>
      </c>
      <c r="J1224" s="12" t="s">
        <v>1675</v>
      </c>
      <c r="K1224" s="12" t="s">
        <v>1676</v>
      </c>
    </row>
    <row r="1225" spans="1:11" ht="30" customHeight="1">
      <c r="A1225" s="12" t="s">
        <v>422</v>
      </c>
      <c r="B1225" s="12" t="s">
        <v>419</v>
      </c>
      <c r="C1225" s="12" t="s">
        <v>374</v>
      </c>
      <c r="D1225" s="12" t="s">
        <v>564</v>
      </c>
      <c r="E1225" s="17">
        <v>319.8098</v>
      </c>
      <c r="F1225" s="12" t="s">
        <v>32</v>
      </c>
      <c r="G1225" s="12" t="s">
        <v>421</v>
      </c>
      <c r="H1225" s="12" t="s">
        <v>1674</v>
      </c>
      <c r="I1225" s="12" t="s">
        <v>421</v>
      </c>
      <c r="J1225" s="12" t="s">
        <v>1675</v>
      </c>
      <c r="K1225" s="12" t="s">
        <v>1676</v>
      </c>
    </row>
    <row r="1226" spans="1:11" ht="30" customHeight="1">
      <c r="A1226" s="12" t="s">
        <v>422</v>
      </c>
      <c r="B1226" s="12" t="s">
        <v>419</v>
      </c>
      <c r="C1226" s="12" t="s">
        <v>374</v>
      </c>
      <c r="D1226" s="12" t="s">
        <v>561</v>
      </c>
      <c r="E1226" s="17">
        <v>0</v>
      </c>
      <c r="F1226" s="12" t="s">
        <v>32</v>
      </c>
      <c r="G1226" s="12" t="s">
        <v>421</v>
      </c>
      <c r="H1226" s="12" t="s">
        <v>1674</v>
      </c>
      <c r="I1226" s="12" t="s">
        <v>421</v>
      </c>
      <c r="J1226" s="12" t="s">
        <v>1675</v>
      </c>
      <c r="K1226" s="12" t="s">
        <v>1676</v>
      </c>
    </row>
    <row r="1227" spans="1:11" ht="30" customHeight="1">
      <c r="A1227" s="12" t="s">
        <v>422</v>
      </c>
      <c r="B1227" s="12" t="s">
        <v>419</v>
      </c>
      <c r="C1227" s="12" t="s">
        <v>374</v>
      </c>
      <c r="D1227" s="12" t="s">
        <v>779</v>
      </c>
      <c r="E1227" s="17">
        <v>0</v>
      </c>
      <c r="F1227" s="12" t="s">
        <v>32</v>
      </c>
      <c r="G1227" s="12" t="s">
        <v>421</v>
      </c>
      <c r="H1227" s="12" t="s">
        <v>1674</v>
      </c>
      <c r="I1227" s="12" t="s">
        <v>421</v>
      </c>
      <c r="J1227" s="12" t="s">
        <v>1675</v>
      </c>
      <c r="K1227" s="12" t="s">
        <v>1676</v>
      </c>
    </row>
    <row r="1228" spans="1:11" ht="30" customHeight="1">
      <c r="A1228" s="12" t="s">
        <v>427</v>
      </c>
      <c r="B1228" s="12" t="s">
        <v>424</v>
      </c>
      <c r="C1228" s="12" t="s">
        <v>374</v>
      </c>
      <c r="D1228" s="12" t="s">
        <v>557</v>
      </c>
      <c r="E1228" s="17">
        <v>20823</v>
      </c>
      <c r="F1228" s="12" t="s">
        <v>54</v>
      </c>
      <c r="G1228" s="12" t="s">
        <v>426</v>
      </c>
      <c r="H1228" s="12" t="s">
        <v>1677</v>
      </c>
      <c r="I1228" s="12" t="s">
        <v>426</v>
      </c>
      <c r="J1228" s="12" t="s">
        <v>1678</v>
      </c>
      <c r="K1228" s="12" t="s">
        <v>1662</v>
      </c>
    </row>
    <row r="1229" spans="1:11" ht="30" customHeight="1">
      <c r="A1229" s="12" t="s">
        <v>427</v>
      </c>
      <c r="B1229" s="12" t="s">
        <v>424</v>
      </c>
      <c r="C1229" s="12" t="s">
        <v>374</v>
      </c>
      <c r="D1229" s="12" t="s">
        <v>558</v>
      </c>
      <c r="E1229" s="17">
        <v>26006.07</v>
      </c>
      <c r="F1229" s="12" t="s">
        <v>54</v>
      </c>
      <c r="G1229" s="12" t="s">
        <v>426</v>
      </c>
      <c r="H1229" s="12" t="s">
        <v>1677</v>
      </c>
      <c r="I1229" s="12" t="s">
        <v>426</v>
      </c>
      <c r="J1229" s="12" t="s">
        <v>1678</v>
      </c>
      <c r="K1229" s="12" t="s">
        <v>1662</v>
      </c>
    </row>
    <row r="1230" spans="1:11" ht="30" customHeight="1">
      <c r="A1230" s="12" t="s">
        <v>427</v>
      </c>
      <c r="B1230" s="12" t="s">
        <v>424</v>
      </c>
      <c r="C1230" s="12" t="s">
        <v>374</v>
      </c>
      <c r="D1230" s="12" t="s">
        <v>559</v>
      </c>
      <c r="E1230" s="17">
        <v>723.96</v>
      </c>
      <c r="F1230" s="12" t="s">
        <v>54</v>
      </c>
      <c r="G1230" s="12" t="s">
        <v>426</v>
      </c>
      <c r="H1230" s="12" t="s">
        <v>1677</v>
      </c>
      <c r="I1230" s="12" t="s">
        <v>426</v>
      </c>
      <c r="J1230" s="12" t="s">
        <v>1678</v>
      </c>
      <c r="K1230" s="12" t="s">
        <v>1662</v>
      </c>
    </row>
    <row r="1231" spans="1:11" ht="30" customHeight="1">
      <c r="A1231" s="12" t="s">
        <v>427</v>
      </c>
      <c r="B1231" s="12" t="s">
        <v>424</v>
      </c>
      <c r="C1231" s="12" t="s">
        <v>374</v>
      </c>
      <c r="D1231" s="12" t="s">
        <v>562</v>
      </c>
      <c r="E1231" s="17">
        <v>745.29</v>
      </c>
      <c r="F1231" s="12" t="s">
        <v>54</v>
      </c>
      <c r="G1231" s="12" t="s">
        <v>426</v>
      </c>
      <c r="H1231" s="12" t="s">
        <v>1677</v>
      </c>
      <c r="I1231" s="12" t="s">
        <v>426</v>
      </c>
      <c r="J1231" s="12" t="s">
        <v>1678</v>
      </c>
      <c r="K1231" s="12" t="s">
        <v>1662</v>
      </c>
    </row>
    <row r="1232" spans="1:11" ht="30" customHeight="1">
      <c r="A1232" s="12" t="s">
        <v>427</v>
      </c>
      <c r="B1232" s="12" t="s">
        <v>424</v>
      </c>
      <c r="C1232" s="12" t="s">
        <v>374</v>
      </c>
      <c r="D1232" s="12" t="s">
        <v>564</v>
      </c>
      <c r="E1232" s="17">
        <v>955.3099999999999</v>
      </c>
      <c r="F1232" s="12" t="s">
        <v>54</v>
      </c>
      <c r="G1232" s="12" t="s">
        <v>426</v>
      </c>
      <c r="H1232" s="12" t="s">
        <v>1677</v>
      </c>
      <c r="I1232" s="12" t="s">
        <v>426</v>
      </c>
      <c r="J1232" s="12" t="s">
        <v>1678</v>
      </c>
      <c r="K1232" s="12" t="s">
        <v>1662</v>
      </c>
    </row>
    <row r="1233" spans="1:11" ht="30" customHeight="1">
      <c r="A1233" s="12" t="s">
        <v>427</v>
      </c>
      <c r="B1233" s="12" t="s">
        <v>424</v>
      </c>
      <c r="C1233" s="12" t="s">
        <v>374</v>
      </c>
      <c r="D1233" s="12" t="s">
        <v>561</v>
      </c>
      <c r="E1233" s="17">
        <v>3457</v>
      </c>
      <c r="F1233" s="12" t="s">
        <v>54</v>
      </c>
      <c r="G1233" s="12" t="s">
        <v>426</v>
      </c>
      <c r="H1233" s="12" t="s">
        <v>1677</v>
      </c>
      <c r="I1233" s="12" t="s">
        <v>426</v>
      </c>
      <c r="J1233" s="12" t="s">
        <v>1678</v>
      </c>
      <c r="K1233" s="12" t="s">
        <v>1662</v>
      </c>
    </row>
    <row r="1234" spans="1:11" ht="30" customHeight="1">
      <c r="A1234" s="12" t="s">
        <v>427</v>
      </c>
      <c r="B1234" s="12" t="s">
        <v>424</v>
      </c>
      <c r="C1234" s="12" t="s">
        <v>374</v>
      </c>
      <c r="D1234" s="12" t="s">
        <v>779</v>
      </c>
      <c r="E1234" s="17">
        <v>1593.58</v>
      </c>
      <c r="F1234" s="12" t="s">
        <v>54</v>
      </c>
      <c r="G1234" s="12" t="s">
        <v>426</v>
      </c>
      <c r="H1234" s="12" t="s">
        <v>1677</v>
      </c>
      <c r="I1234" s="12" t="s">
        <v>426</v>
      </c>
      <c r="J1234" s="12" t="s">
        <v>1678</v>
      </c>
      <c r="K1234" s="12" t="s">
        <v>1662</v>
      </c>
    </row>
    <row r="1235" spans="1:11" ht="30" customHeight="1">
      <c r="A1235" s="12" t="s">
        <v>39</v>
      </c>
      <c r="B1235" s="12" t="s">
        <v>28</v>
      </c>
      <c r="C1235" s="12" t="s">
        <v>29</v>
      </c>
      <c r="D1235" s="12" t="s">
        <v>558</v>
      </c>
      <c r="E1235" s="17">
        <v>6157.2166</v>
      </c>
      <c r="F1235" s="12" t="s">
        <v>32</v>
      </c>
      <c r="G1235" s="12" t="s">
        <v>38</v>
      </c>
      <c r="H1235" s="12" t="s">
        <v>1679</v>
      </c>
      <c r="I1235" s="12" t="s">
        <v>38</v>
      </c>
      <c r="J1235" s="12" t="s">
        <v>1680</v>
      </c>
      <c r="K1235" s="12" t="s">
        <v>1681</v>
      </c>
    </row>
    <row r="1236" spans="1:11" ht="30" customHeight="1">
      <c r="A1236" s="12" t="s">
        <v>39</v>
      </c>
      <c r="B1236" s="12" t="s">
        <v>28</v>
      </c>
      <c r="C1236" s="12" t="s">
        <v>29</v>
      </c>
      <c r="D1236" s="12" t="s">
        <v>561</v>
      </c>
      <c r="E1236" s="17">
        <v>308.5909</v>
      </c>
      <c r="F1236" s="12" t="s">
        <v>32</v>
      </c>
      <c r="G1236" s="12" t="s">
        <v>38</v>
      </c>
      <c r="H1236" s="12" t="s">
        <v>1679</v>
      </c>
      <c r="I1236" s="12" t="s">
        <v>38</v>
      </c>
      <c r="J1236" s="12" t="s">
        <v>1680</v>
      </c>
      <c r="K1236" s="12" t="s">
        <v>1681</v>
      </c>
    </row>
    <row r="1237" spans="1:11" ht="30" customHeight="1">
      <c r="A1237" s="12" t="s">
        <v>39</v>
      </c>
      <c r="B1237" s="12" t="s">
        <v>28</v>
      </c>
      <c r="C1237" s="12" t="s">
        <v>29</v>
      </c>
      <c r="D1237" s="12" t="s">
        <v>779</v>
      </c>
      <c r="E1237" s="17">
        <v>51.627</v>
      </c>
      <c r="F1237" s="12" t="s">
        <v>32</v>
      </c>
      <c r="G1237" s="12" t="s">
        <v>38</v>
      </c>
      <c r="H1237" s="12" t="s">
        <v>1679</v>
      </c>
      <c r="I1237" s="12" t="s">
        <v>38</v>
      </c>
      <c r="J1237" s="12" t="s">
        <v>1680</v>
      </c>
      <c r="K1237" s="12" t="s">
        <v>1681</v>
      </c>
    </row>
    <row r="1238" spans="1:11" ht="30" customHeight="1">
      <c r="A1238" s="12" t="s">
        <v>39</v>
      </c>
      <c r="B1238" s="12" t="s">
        <v>28</v>
      </c>
      <c r="C1238" s="12" t="s">
        <v>29</v>
      </c>
      <c r="D1238" s="12" t="s">
        <v>557</v>
      </c>
      <c r="E1238" s="17">
        <v>5375.7286</v>
      </c>
      <c r="F1238" s="12" t="s">
        <v>32</v>
      </c>
      <c r="G1238" s="12" t="s">
        <v>38</v>
      </c>
      <c r="H1238" s="12" t="s">
        <v>1682</v>
      </c>
      <c r="I1238" s="12" t="s">
        <v>38</v>
      </c>
      <c r="J1238" s="12" t="s">
        <v>1683</v>
      </c>
      <c r="K1238" s="12" t="s">
        <v>1684</v>
      </c>
    </row>
    <row r="1239" spans="1:11" ht="30" customHeight="1">
      <c r="A1239" s="12" t="s">
        <v>39</v>
      </c>
      <c r="B1239" s="12" t="s">
        <v>28</v>
      </c>
      <c r="C1239" s="12" t="s">
        <v>29</v>
      </c>
      <c r="D1239" s="12" t="s">
        <v>559</v>
      </c>
      <c r="E1239" s="17">
        <v>812.9908</v>
      </c>
      <c r="F1239" s="12" t="s">
        <v>32</v>
      </c>
      <c r="G1239" s="12" t="s">
        <v>38</v>
      </c>
      <c r="H1239" s="12" t="s">
        <v>1682</v>
      </c>
      <c r="I1239" s="12" t="s">
        <v>38</v>
      </c>
      <c r="J1239" s="12" t="s">
        <v>1683</v>
      </c>
      <c r="K1239" s="12" t="s">
        <v>1684</v>
      </c>
    </row>
    <row r="1240" spans="1:11" ht="30" customHeight="1">
      <c r="A1240" s="12" t="s">
        <v>39</v>
      </c>
      <c r="B1240" s="12" t="s">
        <v>28</v>
      </c>
      <c r="C1240" s="12" t="s">
        <v>29</v>
      </c>
      <c r="D1240" s="12" t="s">
        <v>562</v>
      </c>
      <c r="E1240" s="17">
        <v>55.3919</v>
      </c>
      <c r="F1240" s="12" t="s">
        <v>32</v>
      </c>
      <c r="G1240" s="12" t="s">
        <v>38</v>
      </c>
      <c r="H1240" s="12" t="s">
        <v>1682</v>
      </c>
      <c r="I1240" s="12" t="s">
        <v>38</v>
      </c>
      <c r="J1240" s="12" t="s">
        <v>1683</v>
      </c>
      <c r="K1240" s="12" t="s">
        <v>1684</v>
      </c>
    </row>
    <row r="1241" spans="1:11" ht="30" customHeight="1">
      <c r="A1241" s="12" t="s">
        <v>39</v>
      </c>
      <c r="B1241" s="12" t="s">
        <v>28</v>
      </c>
      <c r="C1241" s="12" t="s">
        <v>29</v>
      </c>
      <c r="D1241" s="12" t="s">
        <v>564</v>
      </c>
      <c r="E1241" s="17">
        <v>535.1079999999999</v>
      </c>
      <c r="F1241" s="12" t="s">
        <v>32</v>
      </c>
      <c r="G1241" s="12" t="s">
        <v>38</v>
      </c>
      <c r="H1241" s="12" t="s">
        <v>1685</v>
      </c>
      <c r="I1241" s="12" t="s">
        <v>38</v>
      </c>
      <c r="J1241" s="12" t="s">
        <v>1686</v>
      </c>
      <c r="K1241" s="12" t="s">
        <v>1687</v>
      </c>
    </row>
    <row r="1242" spans="1:11" ht="30" customHeight="1">
      <c r="A1242" s="12" t="s">
        <v>51</v>
      </c>
      <c r="B1242" s="12" t="s">
        <v>46</v>
      </c>
      <c r="C1242" s="12" t="s">
        <v>29</v>
      </c>
      <c r="D1242" s="12" t="s">
        <v>558</v>
      </c>
      <c r="E1242" s="17">
        <v>36158.05</v>
      </c>
      <c r="F1242" s="12" t="s">
        <v>32</v>
      </c>
      <c r="G1242" s="12" t="s">
        <v>50</v>
      </c>
      <c r="H1242" s="12" t="s">
        <v>1688</v>
      </c>
      <c r="I1242" s="12" t="s">
        <v>50</v>
      </c>
      <c r="J1242" s="12" t="s">
        <v>1689</v>
      </c>
      <c r="K1242" s="12" t="s">
        <v>1690</v>
      </c>
    </row>
    <row r="1243" spans="1:11" ht="30" customHeight="1">
      <c r="A1243" s="12" t="s">
        <v>51</v>
      </c>
      <c r="B1243" s="12" t="s">
        <v>46</v>
      </c>
      <c r="C1243" s="12" t="s">
        <v>29</v>
      </c>
      <c r="D1243" s="12" t="s">
        <v>561</v>
      </c>
      <c r="E1243" s="17">
        <v>6297.73</v>
      </c>
      <c r="F1243" s="12" t="s">
        <v>32</v>
      </c>
      <c r="G1243" s="12" t="s">
        <v>50</v>
      </c>
      <c r="H1243" s="12" t="s">
        <v>1688</v>
      </c>
      <c r="I1243" s="12" t="s">
        <v>50</v>
      </c>
      <c r="J1243" s="12" t="s">
        <v>1689</v>
      </c>
      <c r="K1243" s="12" t="s">
        <v>1690</v>
      </c>
    </row>
    <row r="1244" spans="1:11" ht="30" customHeight="1">
      <c r="A1244" s="12" t="s">
        <v>51</v>
      </c>
      <c r="B1244" s="12" t="s">
        <v>46</v>
      </c>
      <c r="C1244" s="12" t="s">
        <v>29</v>
      </c>
      <c r="D1244" s="12" t="s">
        <v>779</v>
      </c>
      <c r="E1244" s="17">
        <v>5948.19</v>
      </c>
      <c r="F1244" s="12" t="s">
        <v>32</v>
      </c>
      <c r="G1244" s="12" t="s">
        <v>50</v>
      </c>
      <c r="H1244" s="12" t="s">
        <v>1688</v>
      </c>
      <c r="I1244" s="12" t="s">
        <v>50</v>
      </c>
      <c r="J1244" s="12" t="s">
        <v>1689</v>
      </c>
      <c r="K1244" s="12" t="s">
        <v>1690</v>
      </c>
    </row>
    <row r="1245" spans="1:11" ht="30" customHeight="1">
      <c r="A1245" s="12" t="s">
        <v>51</v>
      </c>
      <c r="B1245" s="12" t="s">
        <v>46</v>
      </c>
      <c r="C1245" s="12" t="s">
        <v>29</v>
      </c>
      <c r="D1245" s="12" t="s">
        <v>557</v>
      </c>
      <c r="E1245" s="17">
        <v>39312.21</v>
      </c>
      <c r="F1245" s="12" t="s">
        <v>32</v>
      </c>
      <c r="G1245" s="12" t="s">
        <v>50</v>
      </c>
      <c r="H1245" s="12" t="s">
        <v>1691</v>
      </c>
      <c r="I1245" s="12" t="s">
        <v>50</v>
      </c>
      <c r="J1245" s="12" t="s">
        <v>1692</v>
      </c>
      <c r="K1245" s="12" t="s">
        <v>1693</v>
      </c>
    </row>
    <row r="1246" spans="1:11" ht="30" customHeight="1">
      <c r="A1246" s="12" t="s">
        <v>51</v>
      </c>
      <c r="B1246" s="12" t="s">
        <v>46</v>
      </c>
      <c r="C1246" s="12" t="s">
        <v>29</v>
      </c>
      <c r="D1246" s="12" t="s">
        <v>559</v>
      </c>
      <c r="E1246" s="17">
        <v>2499.72</v>
      </c>
      <c r="F1246" s="12" t="s">
        <v>32</v>
      </c>
      <c r="G1246" s="12" t="s">
        <v>50</v>
      </c>
      <c r="H1246" s="12" t="s">
        <v>1691</v>
      </c>
      <c r="I1246" s="12" t="s">
        <v>50</v>
      </c>
      <c r="J1246" s="12" t="s">
        <v>1692</v>
      </c>
      <c r="K1246" s="12" t="s">
        <v>1693</v>
      </c>
    </row>
    <row r="1247" spans="1:11" ht="30" customHeight="1">
      <c r="A1247" s="12" t="s">
        <v>51</v>
      </c>
      <c r="B1247" s="12" t="s">
        <v>46</v>
      </c>
      <c r="C1247" s="12" t="s">
        <v>29</v>
      </c>
      <c r="D1247" s="12" t="s">
        <v>562</v>
      </c>
      <c r="E1247" s="17">
        <v>611.64</v>
      </c>
      <c r="F1247" s="12" t="s">
        <v>32</v>
      </c>
      <c r="G1247" s="12" t="s">
        <v>50</v>
      </c>
      <c r="H1247" s="12" t="s">
        <v>1691</v>
      </c>
      <c r="I1247" s="12" t="s">
        <v>50</v>
      </c>
      <c r="J1247" s="12" t="s">
        <v>1692</v>
      </c>
      <c r="K1247" s="12" t="s">
        <v>1693</v>
      </c>
    </row>
    <row r="1248" spans="1:11" ht="30" customHeight="1">
      <c r="A1248" s="12" t="s">
        <v>51</v>
      </c>
      <c r="B1248" s="12" t="s">
        <v>46</v>
      </c>
      <c r="C1248" s="12" t="s">
        <v>29</v>
      </c>
      <c r="D1248" s="12" t="s">
        <v>564</v>
      </c>
      <c r="E1248" s="17">
        <v>1885.46</v>
      </c>
      <c r="F1248" s="12" t="s">
        <v>32</v>
      </c>
      <c r="G1248" s="12" t="s">
        <v>50</v>
      </c>
      <c r="H1248" s="12" t="s">
        <v>1694</v>
      </c>
      <c r="I1248" s="12" t="s">
        <v>50</v>
      </c>
      <c r="J1248" s="12" t="s">
        <v>1695</v>
      </c>
      <c r="K1248" s="12" t="s">
        <v>1696</v>
      </c>
    </row>
    <row r="1249" spans="1:11" ht="30" customHeight="1">
      <c r="A1249" s="12" t="s">
        <v>58</v>
      </c>
      <c r="B1249" s="12" t="s">
        <v>53</v>
      </c>
      <c r="C1249" s="12" t="s">
        <v>29</v>
      </c>
      <c r="D1249" s="12" t="s">
        <v>558</v>
      </c>
      <c r="E1249" s="17">
        <v>97761.77</v>
      </c>
      <c r="F1249" s="12" t="s">
        <v>54</v>
      </c>
      <c r="G1249" s="12" t="s">
        <v>57</v>
      </c>
      <c r="H1249" s="12" t="s">
        <v>1697</v>
      </c>
      <c r="I1249" s="12" t="s">
        <v>57</v>
      </c>
      <c r="J1249" s="12" t="s">
        <v>1698</v>
      </c>
      <c r="K1249" s="12" t="s">
        <v>1690</v>
      </c>
    </row>
    <row r="1250" spans="1:11" ht="30" customHeight="1">
      <c r="A1250" s="12" t="s">
        <v>58</v>
      </c>
      <c r="B1250" s="12" t="s">
        <v>53</v>
      </c>
      <c r="C1250" s="12" t="s">
        <v>29</v>
      </c>
      <c r="D1250" s="12" t="s">
        <v>561</v>
      </c>
      <c r="E1250" s="17">
        <v>22037.86</v>
      </c>
      <c r="F1250" s="12" t="s">
        <v>54</v>
      </c>
      <c r="G1250" s="12" t="s">
        <v>57</v>
      </c>
      <c r="H1250" s="12" t="s">
        <v>1697</v>
      </c>
      <c r="I1250" s="12" t="s">
        <v>57</v>
      </c>
      <c r="J1250" s="12" t="s">
        <v>1698</v>
      </c>
      <c r="K1250" s="12" t="s">
        <v>1690</v>
      </c>
    </row>
    <row r="1251" spans="1:11" ht="30" customHeight="1">
      <c r="A1251" s="12" t="s">
        <v>58</v>
      </c>
      <c r="B1251" s="12" t="s">
        <v>53</v>
      </c>
      <c r="C1251" s="12" t="s">
        <v>29</v>
      </c>
      <c r="D1251" s="12" t="s">
        <v>779</v>
      </c>
      <c r="E1251" s="17">
        <v>17841.96</v>
      </c>
      <c r="F1251" s="12" t="s">
        <v>54</v>
      </c>
      <c r="G1251" s="12" t="s">
        <v>57</v>
      </c>
      <c r="H1251" s="12" t="s">
        <v>1697</v>
      </c>
      <c r="I1251" s="12" t="s">
        <v>57</v>
      </c>
      <c r="J1251" s="12" t="s">
        <v>1698</v>
      </c>
      <c r="K1251" s="12" t="s">
        <v>1690</v>
      </c>
    </row>
    <row r="1252" spans="1:11" ht="30" customHeight="1">
      <c r="A1252" s="12" t="s">
        <v>58</v>
      </c>
      <c r="B1252" s="12" t="s">
        <v>53</v>
      </c>
      <c r="C1252" s="12" t="s">
        <v>29</v>
      </c>
      <c r="D1252" s="12" t="s">
        <v>557</v>
      </c>
      <c r="E1252" s="17">
        <v>53224.92</v>
      </c>
      <c r="F1252" s="12" t="s">
        <v>54</v>
      </c>
      <c r="G1252" s="12" t="s">
        <v>57</v>
      </c>
      <c r="H1252" s="12" t="s">
        <v>1697</v>
      </c>
      <c r="I1252" s="12" t="s">
        <v>57</v>
      </c>
      <c r="J1252" s="12" t="s">
        <v>1699</v>
      </c>
      <c r="K1252" s="12" t="s">
        <v>1700</v>
      </c>
    </row>
    <row r="1253" spans="1:11" ht="30" customHeight="1">
      <c r="A1253" s="12" t="s">
        <v>58</v>
      </c>
      <c r="B1253" s="12" t="s">
        <v>53</v>
      </c>
      <c r="C1253" s="12" t="s">
        <v>29</v>
      </c>
      <c r="D1253" s="12" t="s">
        <v>559</v>
      </c>
      <c r="E1253" s="17">
        <v>3360.87</v>
      </c>
      <c r="F1253" s="12" t="s">
        <v>54</v>
      </c>
      <c r="G1253" s="12" t="s">
        <v>57</v>
      </c>
      <c r="H1253" s="12" t="s">
        <v>1697</v>
      </c>
      <c r="I1253" s="12" t="s">
        <v>57</v>
      </c>
      <c r="J1253" s="12" t="s">
        <v>1699</v>
      </c>
      <c r="K1253" s="12" t="s">
        <v>1700</v>
      </c>
    </row>
    <row r="1254" spans="1:11" ht="30" customHeight="1">
      <c r="A1254" s="12" t="s">
        <v>58</v>
      </c>
      <c r="B1254" s="12" t="s">
        <v>53</v>
      </c>
      <c r="C1254" s="12" t="s">
        <v>29</v>
      </c>
      <c r="D1254" s="12" t="s">
        <v>562</v>
      </c>
      <c r="E1254" s="17">
        <v>1516.64</v>
      </c>
      <c r="F1254" s="12" t="s">
        <v>54</v>
      </c>
      <c r="G1254" s="12" t="s">
        <v>57</v>
      </c>
      <c r="H1254" s="12" t="s">
        <v>1697</v>
      </c>
      <c r="I1254" s="12" t="s">
        <v>57</v>
      </c>
      <c r="J1254" s="12" t="s">
        <v>1699</v>
      </c>
      <c r="K1254" s="12" t="s">
        <v>1700</v>
      </c>
    </row>
    <row r="1255" spans="1:11" ht="30" customHeight="1">
      <c r="A1255" s="12" t="s">
        <v>58</v>
      </c>
      <c r="B1255" s="12" t="s">
        <v>53</v>
      </c>
      <c r="C1255" s="12" t="s">
        <v>29</v>
      </c>
      <c r="D1255" s="12" t="s">
        <v>564</v>
      </c>
      <c r="E1255" s="17">
        <v>9574.15</v>
      </c>
      <c r="F1255" s="12" t="s">
        <v>54</v>
      </c>
      <c r="G1255" s="12" t="s">
        <v>57</v>
      </c>
      <c r="H1255" s="12" t="s">
        <v>1701</v>
      </c>
      <c r="I1255" s="12" t="s">
        <v>57</v>
      </c>
      <c r="J1255" s="12" t="s">
        <v>1702</v>
      </c>
      <c r="K1255" s="12" t="s">
        <v>1696</v>
      </c>
    </row>
    <row r="1256" spans="1:11" ht="30" customHeight="1">
      <c r="A1256" s="12" t="s">
        <v>64</v>
      </c>
      <c r="B1256" s="12" t="s">
        <v>60</v>
      </c>
      <c r="C1256" s="12" t="s">
        <v>29</v>
      </c>
      <c r="D1256" s="12" t="s">
        <v>558</v>
      </c>
      <c r="E1256" s="17">
        <v>269676</v>
      </c>
      <c r="F1256" s="12" t="s">
        <v>54</v>
      </c>
      <c r="G1256" s="12" t="s">
        <v>63</v>
      </c>
      <c r="H1256" s="12" t="s">
        <v>1703</v>
      </c>
      <c r="I1256" s="12" t="s">
        <v>63</v>
      </c>
      <c r="J1256" s="12" t="s">
        <v>1704</v>
      </c>
      <c r="K1256" s="12" t="s">
        <v>1690</v>
      </c>
    </row>
    <row r="1257" spans="1:11" ht="30" customHeight="1">
      <c r="A1257" s="12" t="s">
        <v>64</v>
      </c>
      <c r="B1257" s="12" t="s">
        <v>60</v>
      </c>
      <c r="C1257" s="12" t="s">
        <v>29</v>
      </c>
      <c r="D1257" s="12" t="s">
        <v>561</v>
      </c>
      <c r="E1257" s="17">
        <v>95532</v>
      </c>
      <c r="F1257" s="12" t="s">
        <v>54</v>
      </c>
      <c r="G1257" s="12" t="s">
        <v>63</v>
      </c>
      <c r="H1257" s="12" t="s">
        <v>1703</v>
      </c>
      <c r="I1257" s="12" t="s">
        <v>63</v>
      </c>
      <c r="J1257" s="12" t="s">
        <v>1704</v>
      </c>
      <c r="K1257" s="12" t="s">
        <v>1690</v>
      </c>
    </row>
    <row r="1258" spans="1:11" ht="30" customHeight="1">
      <c r="A1258" s="12" t="s">
        <v>64</v>
      </c>
      <c r="B1258" s="12" t="s">
        <v>60</v>
      </c>
      <c r="C1258" s="12" t="s">
        <v>29</v>
      </c>
      <c r="D1258" s="12" t="s">
        <v>779</v>
      </c>
      <c r="E1258" s="17">
        <v>95957</v>
      </c>
      <c r="F1258" s="12" t="s">
        <v>54</v>
      </c>
      <c r="G1258" s="12" t="s">
        <v>63</v>
      </c>
      <c r="H1258" s="12" t="s">
        <v>1703</v>
      </c>
      <c r="I1258" s="12" t="s">
        <v>63</v>
      </c>
      <c r="J1258" s="12" t="s">
        <v>1704</v>
      </c>
      <c r="K1258" s="12" t="s">
        <v>1690</v>
      </c>
    </row>
    <row r="1259" spans="1:11" ht="30" customHeight="1">
      <c r="A1259" s="12" t="s">
        <v>64</v>
      </c>
      <c r="B1259" s="12" t="s">
        <v>60</v>
      </c>
      <c r="C1259" s="12" t="s">
        <v>29</v>
      </c>
      <c r="D1259" s="12" t="s">
        <v>557</v>
      </c>
      <c r="E1259" s="17">
        <v>185470</v>
      </c>
      <c r="F1259" s="12" t="s">
        <v>54</v>
      </c>
      <c r="G1259" s="12" t="s">
        <v>63</v>
      </c>
      <c r="H1259" s="12" t="s">
        <v>1703</v>
      </c>
      <c r="I1259" s="12" t="s">
        <v>63</v>
      </c>
      <c r="J1259" s="12" t="s">
        <v>1705</v>
      </c>
      <c r="K1259" s="12" t="s">
        <v>1693</v>
      </c>
    </row>
    <row r="1260" spans="1:11" ht="30" customHeight="1">
      <c r="A1260" s="12" t="s">
        <v>64</v>
      </c>
      <c r="B1260" s="12" t="s">
        <v>60</v>
      </c>
      <c r="C1260" s="12" t="s">
        <v>29</v>
      </c>
      <c r="D1260" s="12" t="s">
        <v>559</v>
      </c>
      <c r="E1260" s="17">
        <v>25508</v>
      </c>
      <c r="F1260" s="12" t="s">
        <v>54</v>
      </c>
      <c r="G1260" s="12" t="s">
        <v>63</v>
      </c>
      <c r="H1260" s="12" t="s">
        <v>1703</v>
      </c>
      <c r="I1260" s="12" t="s">
        <v>63</v>
      </c>
      <c r="J1260" s="12" t="s">
        <v>1705</v>
      </c>
      <c r="K1260" s="12" t="s">
        <v>1693</v>
      </c>
    </row>
    <row r="1261" spans="1:11" ht="30" customHeight="1">
      <c r="A1261" s="12" t="s">
        <v>64</v>
      </c>
      <c r="B1261" s="12" t="s">
        <v>60</v>
      </c>
      <c r="C1261" s="12" t="s">
        <v>29</v>
      </c>
      <c r="D1261" s="12" t="s">
        <v>562</v>
      </c>
      <c r="E1261" s="17">
        <v>9102</v>
      </c>
      <c r="F1261" s="12" t="s">
        <v>54</v>
      </c>
      <c r="G1261" s="12" t="s">
        <v>63</v>
      </c>
      <c r="H1261" s="12" t="s">
        <v>1703</v>
      </c>
      <c r="I1261" s="12" t="s">
        <v>63</v>
      </c>
      <c r="J1261" s="12" t="s">
        <v>1705</v>
      </c>
      <c r="K1261" s="12" t="s">
        <v>1693</v>
      </c>
    </row>
    <row r="1262" spans="1:11" ht="30" customHeight="1">
      <c r="A1262" s="12" t="s">
        <v>64</v>
      </c>
      <c r="B1262" s="12" t="s">
        <v>60</v>
      </c>
      <c r="C1262" s="12" t="s">
        <v>29</v>
      </c>
      <c r="D1262" s="12" t="s">
        <v>564</v>
      </c>
      <c r="E1262" s="17">
        <v>14654</v>
      </c>
      <c r="F1262" s="12" t="s">
        <v>54</v>
      </c>
      <c r="G1262" s="12" t="s">
        <v>63</v>
      </c>
      <c r="H1262" s="12" t="s">
        <v>1706</v>
      </c>
      <c r="I1262" s="12" t="s">
        <v>63</v>
      </c>
      <c r="J1262" s="12" t="s">
        <v>1707</v>
      </c>
      <c r="K1262" s="12" t="s">
        <v>1696</v>
      </c>
    </row>
    <row r="1263" spans="1:11" ht="30" customHeight="1">
      <c r="A1263" s="12" t="s">
        <v>70</v>
      </c>
      <c r="B1263" s="12" t="s">
        <v>66</v>
      </c>
      <c r="C1263" s="12" t="s">
        <v>29</v>
      </c>
      <c r="D1263" s="12" t="s">
        <v>558</v>
      </c>
      <c r="E1263" s="17">
        <v>2995.763</v>
      </c>
      <c r="F1263" s="12" t="s">
        <v>54</v>
      </c>
      <c r="G1263" s="12" t="s">
        <v>69</v>
      </c>
      <c r="H1263" s="12" t="s">
        <v>1708</v>
      </c>
      <c r="I1263" s="12" t="s">
        <v>69</v>
      </c>
      <c r="J1263" s="12" t="s">
        <v>1709</v>
      </c>
      <c r="K1263" s="12" t="s">
        <v>1710</v>
      </c>
    </row>
    <row r="1264" spans="1:11" ht="30" customHeight="1">
      <c r="A1264" s="12" t="s">
        <v>70</v>
      </c>
      <c r="B1264" s="12" t="s">
        <v>66</v>
      </c>
      <c r="C1264" s="12" t="s">
        <v>29</v>
      </c>
      <c r="D1264" s="12" t="s">
        <v>561</v>
      </c>
      <c r="E1264" s="17">
        <v>475.026</v>
      </c>
      <c r="F1264" s="12" t="s">
        <v>54</v>
      </c>
      <c r="G1264" s="12" t="s">
        <v>69</v>
      </c>
      <c r="H1264" s="12" t="s">
        <v>1708</v>
      </c>
      <c r="I1264" s="12" t="s">
        <v>69</v>
      </c>
      <c r="J1264" s="12" t="s">
        <v>1709</v>
      </c>
      <c r="K1264" s="12" t="s">
        <v>1710</v>
      </c>
    </row>
    <row r="1265" spans="1:11" ht="30" customHeight="1">
      <c r="A1265" s="12" t="s">
        <v>70</v>
      </c>
      <c r="B1265" s="12" t="s">
        <v>66</v>
      </c>
      <c r="C1265" s="12" t="s">
        <v>29</v>
      </c>
      <c r="D1265" s="12" t="s">
        <v>779</v>
      </c>
      <c r="E1265" s="17">
        <v>437.597</v>
      </c>
      <c r="F1265" s="12" t="s">
        <v>54</v>
      </c>
      <c r="G1265" s="12" t="s">
        <v>69</v>
      </c>
      <c r="H1265" s="12" t="s">
        <v>1708</v>
      </c>
      <c r="I1265" s="12" t="s">
        <v>69</v>
      </c>
      <c r="J1265" s="12" t="s">
        <v>1709</v>
      </c>
      <c r="K1265" s="12" t="s">
        <v>1710</v>
      </c>
    </row>
    <row r="1266" spans="1:11" ht="30" customHeight="1">
      <c r="A1266" s="12" t="s">
        <v>70</v>
      </c>
      <c r="B1266" s="12" t="s">
        <v>66</v>
      </c>
      <c r="C1266" s="12" t="s">
        <v>29</v>
      </c>
      <c r="D1266" s="12" t="s">
        <v>557</v>
      </c>
      <c r="E1266" s="17">
        <v>1845.607</v>
      </c>
      <c r="F1266" s="12" t="s">
        <v>54</v>
      </c>
      <c r="G1266" s="12" t="s">
        <v>69</v>
      </c>
      <c r="H1266" s="12" t="s">
        <v>1679</v>
      </c>
      <c r="I1266" s="12" t="s">
        <v>69</v>
      </c>
      <c r="J1266" s="12" t="s">
        <v>1711</v>
      </c>
      <c r="K1266" s="12" t="s">
        <v>1712</v>
      </c>
    </row>
    <row r="1267" spans="1:11" ht="30" customHeight="1">
      <c r="A1267" s="12" t="s">
        <v>70</v>
      </c>
      <c r="B1267" s="12" t="s">
        <v>66</v>
      </c>
      <c r="C1267" s="12" t="s">
        <v>29</v>
      </c>
      <c r="D1267" s="12" t="s">
        <v>559</v>
      </c>
      <c r="E1267" s="17">
        <v>257.867</v>
      </c>
      <c r="F1267" s="12" t="s">
        <v>54</v>
      </c>
      <c r="G1267" s="12" t="s">
        <v>69</v>
      </c>
      <c r="H1267" s="12" t="s">
        <v>1679</v>
      </c>
      <c r="I1267" s="12" t="s">
        <v>69</v>
      </c>
      <c r="J1267" s="12" t="s">
        <v>1711</v>
      </c>
      <c r="K1267" s="12" t="s">
        <v>1712</v>
      </c>
    </row>
    <row r="1268" spans="1:11" ht="30" customHeight="1">
      <c r="A1268" s="12" t="s">
        <v>70</v>
      </c>
      <c r="B1268" s="12" t="s">
        <v>66</v>
      </c>
      <c r="C1268" s="12" t="s">
        <v>29</v>
      </c>
      <c r="D1268" s="12" t="s">
        <v>562</v>
      </c>
      <c r="E1268" s="17">
        <v>8.638</v>
      </c>
      <c r="F1268" s="12" t="s">
        <v>54</v>
      </c>
      <c r="G1268" s="12" t="s">
        <v>69</v>
      </c>
      <c r="H1268" s="12" t="s">
        <v>1679</v>
      </c>
      <c r="I1268" s="12" t="s">
        <v>69</v>
      </c>
      <c r="J1268" s="12" t="s">
        <v>1711</v>
      </c>
      <c r="K1268" s="12" t="s">
        <v>1712</v>
      </c>
    </row>
    <row r="1269" spans="1:11" ht="30" customHeight="1">
      <c r="A1269" s="12" t="s">
        <v>70</v>
      </c>
      <c r="B1269" s="12" t="s">
        <v>66</v>
      </c>
      <c r="C1269" s="12" t="s">
        <v>29</v>
      </c>
      <c r="D1269" s="12" t="s">
        <v>564</v>
      </c>
      <c r="E1269" s="17">
        <v>61.44</v>
      </c>
      <c r="F1269" s="12" t="s">
        <v>54</v>
      </c>
      <c r="G1269" s="12" t="s">
        <v>69</v>
      </c>
      <c r="H1269" s="12" t="s">
        <v>1682</v>
      </c>
      <c r="I1269" s="12" t="s">
        <v>69</v>
      </c>
      <c r="J1269" s="12" t="s">
        <v>1713</v>
      </c>
      <c r="K1269" s="12" t="s">
        <v>1714</v>
      </c>
    </row>
    <row r="1270" spans="1:11" ht="30" customHeight="1">
      <c r="A1270" s="12" t="s">
        <v>77</v>
      </c>
      <c r="B1270" s="12" t="s">
        <v>72</v>
      </c>
      <c r="C1270" s="12" t="s">
        <v>29</v>
      </c>
      <c r="D1270" s="12" t="s">
        <v>558</v>
      </c>
      <c r="E1270" s="17">
        <v>28469.74</v>
      </c>
      <c r="F1270" s="12" t="s">
        <v>32</v>
      </c>
      <c r="G1270" s="12" t="s">
        <v>76</v>
      </c>
      <c r="H1270" s="12" t="s">
        <v>1715</v>
      </c>
      <c r="I1270" s="12" t="s">
        <v>76</v>
      </c>
      <c r="J1270" s="12" t="s">
        <v>1716</v>
      </c>
      <c r="K1270" s="12" t="s">
        <v>1717</v>
      </c>
    </row>
    <row r="1271" spans="1:11" ht="30" customHeight="1">
      <c r="A1271" s="12" t="s">
        <v>77</v>
      </c>
      <c r="B1271" s="12" t="s">
        <v>72</v>
      </c>
      <c r="C1271" s="12" t="s">
        <v>29</v>
      </c>
      <c r="D1271" s="12" t="s">
        <v>561</v>
      </c>
      <c r="E1271" s="17">
        <v>5897.64</v>
      </c>
      <c r="F1271" s="12" t="s">
        <v>32</v>
      </c>
      <c r="G1271" s="12" t="s">
        <v>76</v>
      </c>
      <c r="H1271" s="12" t="s">
        <v>1715</v>
      </c>
      <c r="I1271" s="12" t="s">
        <v>76</v>
      </c>
      <c r="J1271" s="12" t="s">
        <v>1716</v>
      </c>
      <c r="K1271" s="12" t="s">
        <v>1717</v>
      </c>
    </row>
    <row r="1272" spans="1:11" ht="30" customHeight="1">
      <c r="A1272" s="12" t="s">
        <v>77</v>
      </c>
      <c r="B1272" s="12" t="s">
        <v>72</v>
      </c>
      <c r="C1272" s="12" t="s">
        <v>29</v>
      </c>
      <c r="D1272" s="12" t="s">
        <v>779</v>
      </c>
      <c r="E1272" s="17">
        <v>6651.77</v>
      </c>
      <c r="F1272" s="12" t="s">
        <v>32</v>
      </c>
      <c r="G1272" s="12" t="s">
        <v>76</v>
      </c>
      <c r="H1272" s="12" t="s">
        <v>1715</v>
      </c>
      <c r="I1272" s="12" t="s">
        <v>76</v>
      </c>
      <c r="J1272" s="12" t="s">
        <v>1716</v>
      </c>
      <c r="K1272" s="12" t="s">
        <v>1717</v>
      </c>
    </row>
    <row r="1273" spans="1:11" ht="30" customHeight="1">
      <c r="A1273" s="12" t="s">
        <v>77</v>
      </c>
      <c r="B1273" s="12" t="s">
        <v>72</v>
      </c>
      <c r="C1273" s="12" t="s">
        <v>29</v>
      </c>
      <c r="D1273" s="12" t="s">
        <v>557</v>
      </c>
      <c r="E1273" s="17">
        <v>8503.049999999999</v>
      </c>
      <c r="F1273" s="12" t="s">
        <v>32</v>
      </c>
      <c r="G1273" s="12" t="s">
        <v>76</v>
      </c>
      <c r="H1273" s="12" t="s">
        <v>1718</v>
      </c>
      <c r="I1273" s="12" t="s">
        <v>76</v>
      </c>
      <c r="J1273" s="12" t="s">
        <v>1719</v>
      </c>
      <c r="K1273" s="12" t="s">
        <v>1720</v>
      </c>
    </row>
    <row r="1274" spans="1:11" ht="30" customHeight="1">
      <c r="A1274" s="12" t="s">
        <v>77</v>
      </c>
      <c r="B1274" s="12" t="s">
        <v>72</v>
      </c>
      <c r="C1274" s="12" t="s">
        <v>29</v>
      </c>
      <c r="D1274" s="12" t="s">
        <v>559</v>
      </c>
      <c r="E1274" s="17">
        <v>-2373.78</v>
      </c>
      <c r="F1274" s="12" t="s">
        <v>32</v>
      </c>
      <c r="G1274" s="12" t="s">
        <v>76</v>
      </c>
      <c r="H1274" s="12" t="s">
        <v>1718</v>
      </c>
      <c r="I1274" s="12" t="s">
        <v>76</v>
      </c>
      <c r="J1274" s="12" t="s">
        <v>1719</v>
      </c>
      <c r="K1274" s="12" t="s">
        <v>1720</v>
      </c>
    </row>
    <row r="1275" spans="1:11" ht="30" customHeight="1">
      <c r="A1275" s="12" t="s">
        <v>77</v>
      </c>
      <c r="B1275" s="12" t="s">
        <v>72</v>
      </c>
      <c r="C1275" s="12" t="s">
        <v>29</v>
      </c>
      <c r="D1275" s="12" t="s">
        <v>562</v>
      </c>
      <c r="E1275" s="17">
        <v>651.9400000000001</v>
      </c>
      <c r="F1275" s="12" t="s">
        <v>32</v>
      </c>
      <c r="G1275" s="12" t="s">
        <v>76</v>
      </c>
      <c r="H1275" s="12" t="s">
        <v>1718</v>
      </c>
      <c r="I1275" s="12" t="s">
        <v>76</v>
      </c>
      <c r="J1275" s="12" t="s">
        <v>1719</v>
      </c>
      <c r="K1275" s="12" t="s">
        <v>1720</v>
      </c>
    </row>
    <row r="1276" spans="1:11" ht="30" customHeight="1">
      <c r="A1276" s="12" t="s">
        <v>85</v>
      </c>
      <c r="B1276" s="12" t="s">
        <v>81</v>
      </c>
      <c r="C1276" s="12" t="s">
        <v>29</v>
      </c>
      <c r="D1276" s="12" t="s">
        <v>558</v>
      </c>
      <c r="E1276" s="17">
        <v>16315.63</v>
      </c>
      <c r="F1276" s="12" t="s">
        <v>32</v>
      </c>
      <c r="G1276" s="12" t="s">
        <v>84</v>
      </c>
      <c r="H1276" s="12" t="s">
        <v>1721</v>
      </c>
      <c r="I1276" s="12" t="s">
        <v>84</v>
      </c>
      <c r="J1276" s="12" t="s">
        <v>1722</v>
      </c>
      <c r="K1276" s="12" t="s">
        <v>1690</v>
      </c>
    </row>
    <row r="1277" spans="1:11" ht="30" customHeight="1">
      <c r="A1277" s="12" t="s">
        <v>85</v>
      </c>
      <c r="B1277" s="12" t="s">
        <v>81</v>
      </c>
      <c r="C1277" s="12" t="s">
        <v>29</v>
      </c>
      <c r="D1277" s="12" t="s">
        <v>561</v>
      </c>
      <c r="E1277" s="17">
        <v>779.46</v>
      </c>
      <c r="F1277" s="12" t="s">
        <v>32</v>
      </c>
      <c r="G1277" s="12" t="s">
        <v>84</v>
      </c>
      <c r="H1277" s="12" t="s">
        <v>1721</v>
      </c>
      <c r="I1277" s="12" t="s">
        <v>84</v>
      </c>
      <c r="J1277" s="12" t="s">
        <v>1722</v>
      </c>
      <c r="K1277" s="12" t="s">
        <v>1690</v>
      </c>
    </row>
    <row r="1278" spans="1:11" ht="30" customHeight="1">
      <c r="A1278" s="12" t="s">
        <v>85</v>
      </c>
      <c r="B1278" s="12" t="s">
        <v>81</v>
      </c>
      <c r="C1278" s="12" t="s">
        <v>29</v>
      </c>
      <c r="D1278" s="12" t="s">
        <v>779</v>
      </c>
      <c r="E1278" s="17">
        <v>587.4400000000001</v>
      </c>
      <c r="F1278" s="12" t="s">
        <v>32</v>
      </c>
      <c r="G1278" s="12" t="s">
        <v>84</v>
      </c>
      <c r="H1278" s="12" t="s">
        <v>1721</v>
      </c>
      <c r="I1278" s="12" t="s">
        <v>84</v>
      </c>
      <c r="J1278" s="12" t="s">
        <v>1722</v>
      </c>
      <c r="K1278" s="12" t="s">
        <v>1690</v>
      </c>
    </row>
    <row r="1279" spans="1:11" ht="30" customHeight="1">
      <c r="A1279" s="12" t="s">
        <v>85</v>
      </c>
      <c r="B1279" s="12" t="s">
        <v>81</v>
      </c>
      <c r="C1279" s="12" t="s">
        <v>29</v>
      </c>
      <c r="D1279" s="12" t="s">
        <v>557</v>
      </c>
      <c r="E1279" s="17">
        <v>15137.5</v>
      </c>
      <c r="F1279" s="12" t="s">
        <v>32</v>
      </c>
      <c r="G1279" s="12" t="s">
        <v>84</v>
      </c>
      <c r="H1279" s="12" t="s">
        <v>1723</v>
      </c>
      <c r="I1279" s="12" t="s">
        <v>84</v>
      </c>
      <c r="J1279" s="12" t="s">
        <v>1724</v>
      </c>
      <c r="K1279" s="12" t="s">
        <v>1693</v>
      </c>
    </row>
    <row r="1280" spans="1:11" ht="30" customHeight="1">
      <c r="A1280" s="12" t="s">
        <v>85</v>
      </c>
      <c r="B1280" s="12" t="s">
        <v>81</v>
      </c>
      <c r="C1280" s="12" t="s">
        <v>29</v>
      </c>
      <c r="D1280" s="12" t="s">
        <v>559</v>
      </c>
      <c r="E1280" s="17">
        <v>909.26</v>
      </c>
      <c r="F1280" s="12" t="s">
        <v>32</v>
      </c>
      <c r="G1280" s="12" t="s">
        <v>84</v>
      </c>
      <c r="H1280" s="12" t="s">
        <v>1723</v>
      </c>
      <c r="I1280" s="12" t="s">
        <v>84</v>
      </c>
      <c r="J1280" s="12" t="s">
        <v>1724</v>
      </c>
      <c r="K1280" s="12" t="s">
        <v>1693</v>
      </c>
    </row>
    <row r="1281" spans="1:11" ht="30" customHeight="1">
      <c r="A1281" s="12" t="s">
        <v>85</v>
      </c>
      <c r="B1281" s="12" t="s">
        <v>81</v>
      </c>
      <c r="C1281" s="12" t="s">
        <v>29</v>
      </c>
      <c r="D1281" s="12" t="s">
        <v>562</v>
      </c>
      <c r="E1281" s="17">
        <v>143.92</v>
      </c>
      <c r="F1281" s="12" t="s">
        <v>32</v>
      </c>
      <c r="G1281" s="12" t="s">
        <v>84</v>
      </c>
      <c r="H1281" s="12" t="s">
        <v>1723</v>
      </c>
      <c r="I1281" s="12" t="s">
        <v>84</v>
      </c>
      <c r="J1281" s="12" t="s">
        <v>1724</v>
      </c>
      <c r="K1281" s="12" t="s">
        <v>1693</v>
      </c>
    </row>
    <row r="1282" spans="1:11" ht="30" customHeight="1">
      <c r="A1282" s="12" t="s">
        <v>85</v>
      </c>
      <c r="B1282" s="12" t="s">
        <v>81</v>
      </c>
      <c r="C1282" s="12" t="s">
        <v>29</v>
      </c>
      <c r="D1282" s="12" t="s">
        <v>564</v>
      </c>
      <c r="E1282" s="17">
        <v>2148.32</v>
      </c>
      <c r="F1282" s="12" t="s">
        <v>32</v>
      </c>
      <c r="G1282" s="12" t="s">
        <v>84</v>
      </c>
      <c r="H1282" s="12" t="s">
        <v>1725</v>
      </c>
      <c r="I1282" s="12" t="s">
        <v>84</v>
      </c>
      <c r="J1282" s="12" t="s">
        <v>1726</v>
      </c>
      <c r="K1282" s="12" t="s">
        <v>1696</v>
      </c>
    </row>
    <row r="1283" spans="1:11" ht="30" customHeight="1">
      <c r="A1283" s="12" t="s">
        <v>90</v>
      </c>
      <c r="B1283" s="12" t="s">
        <v>87</v>
      </c>
      <c r="C1283" s="12" t="s">
        <v>29</v>
      </c>
      <c r="D1283" s="12" t="s">
        <v>558</v>
      </c>
      <c r="E1283" s="17">
        <v>136370.94</v>
      </c>
      <c r="F1283" s="12" t="s">
        <v>32</v>
      </c>
      <c r="G1283" s="12" t="s">
        <v>89</v>
      </c>
      <c r="H1283" s="12" t="s">
        <v>1727</v>
      </c>
      <c r="I1283" s="12" t="s">
        <v>89</v>
      </c>
      <c r="J1283" s="12" t="s">
        <v>1728</v>
      </c>
      <c r="K1283" s="12" t="s">
        <v>1690</v>
      </c>
    </row>
    <row r="1284" spans="1:11" ht="30" customHeight="1">
      <c r="A1284" s="12" t="s">
        <v>90</v>
      </c>
      <c r="B1284" s="12" t="s">
        <v>87</v>
      </c>
      <c r="C1284" s="12" t="s">
        <v>29</v>
      </c>
      <c r="D1284" s="12" t="s">
        <v>561</v>
      </c>
      <c r="E1284" s="17">
        <v>29811.12</v>
      </c>
      <c r="F1284" s="12" t="s">
        <v>32</v>
      </c>
      <c r="G1284" s="12" t="s">
        <v>89</v>
      </c>
      <c r="H1284" s="12" t="s">
        <v>1727</v>
      </c>
      <c r="I1284" s="12" t="s">
        <v>89</v>
      </c>
      <c r="J1284" s="12" t="s">
        <v>1728</v>
      </c>
      <c r="K1284" s="12" t="s">
        <v>1690</v>
      </c>
    </row>
    <row r="1285" spans="1:11" ht="30" customHeight="1">
      <c r="A1285" s="12" t="s">
        <v>90</v>
      </c>
      <c r="B1285" s="12" t="s">
        <v>87</v>
      </c>
      <c r="C1285" s="12" t="s">
        <v>29</v>
      </c>
      <c r="D1285" s="12" t="s">
        <v>779</v>
      </c>
      <c r="E1285" s="17">
        <v>30600.97</v>
      </c>
      <c r="F1285" s="12" t="s">
        <v>32</v>
      </c>
      <c r="G1285" s="12" t="s">
        <v>89</v>
      </c>
      <c r="H1285" s="12" t="s">
        <v>1727</v>
      </c>
      <c r="I1285" s="12" t="s">
        <v>89</v>
      </c>
      <c r="J1285" s="12" t="s">
        <v>1728</v>
      </c>
      <c r="K1285" s="12" t="s">
        <v>1690</v>
      </c>
    </row>
    <row r="1286" spans="1:11" ht="30" customHeight="1">
      <c r="A1286" s="12" t="s">
        <v>90</v>
      </c>
      <c r="B1286" s="12" t="s">
        <v>87</v>
      </c>
      <c r="C1286" s="12" t="s">
        <v>29</v>
      </c>
      <c r="D1286" s="12" t="s">
        <v>557</v>
      </c>
      <c r="E1286" s="17">
        <v>102479.06</v>
      </c>
      <c r="F1286" s="12" t="s">
        <v>32</v>
      </c>
      <c r="G1286" s="12" t="s">
        <v>89</v>
      </c>
      <c r="H1286" s="12" t="s">
        <v>1729</v>
      </c>
      <c r="I1286" s="12" t="s">
        <v>89</v>
      </c>
      <c r="J1286" s="12" t="s">
        <v>1730</v>
      </c>
      <c r="K1286" s="12" t="s">
        <v>1693</v>
      </c>
    </row>
    <row r="1287" spans="1:11" ht="30" customHeight="1">
      <c r="A1287" s="12" t="s">
        <v>90</v>
      </c>
      <c r="B1287" s="12" t="s">
        <v>87</v>
      </c>
      <c r="C1287" s="12" t="s">
        <v>29</v>
      </c>
      <c r="D1287" s="12" t="s">
        <v>559</v>
      </c>
      <c r="E1287" s="17">
        <v>2371.8</v>
      </c>
      <c r="F1287" s="12" t="s">
        <v>32</v>
      </c>
      <c r="G1287" s="12" t="s">
        <v>89</v>
      </c>
      <c r="H1287" s="12" t="s">
        <v>1729</v>
      </c>
      <c r="I1287" s="12" t="s">
        <v>89</v>
      </c>
      <c r="J1287" s="12" t="s">
        <v>1730</v>
      </c>
      <c r="K1287" s="12" t="s">
        <v>1693</v>
      </c>
    </row>
    <row r="1288" spans="1:11" ht="30" customHeight="1">
      <c r="A1288" s="12" t="s">
        <v>90</v>
      </c>
      <c r="B1288" s="12" t="s">
        <v>87</v>
      </c>
      <c r="C1288" s="12" t="s">
        <v>29</v>
      </c>
      <c r="D1288" s="12" t="s">
        <v>562</v>
      </c>
      <c r="E1288" s="17">
        <v>2793.17</v>
      </c>
      <c r="F1288" s="12" t="s">
        <v>32</v>
      </c>
      <c r="G1288" s="12" t="s">
        <v>89</v>
      </c>
      <c r="H1288" s="12" t="s">
        <v>1729</v>
      </c>
      <c r="I1288" s="12" t="s">
        <v>89</v>
      </c>
      <c r="J1288" s="12" t="s">
        <v>1730</v>
      </c>
      <c r="K1288" s="12" t="s">
        <v>1693</v>
      </c>
    </row>
    <row r="1289" spans="1:11" ht="30" customHeight="1">
      <c r="A1289" s="12" t="s">
        <v>90</v>
      </c>
      <c r="B1289" s="12" t="s">
        <v>87</v>
      </c>
      <c r="C1289" s="12" t="s">
        <v>29</v>
      </c>
      <c r="D1289" s="12" t="s">
        <v>564</v>
      </c>
      <c r="E1289" s="17">
        <v>6221.15</v>
      </c>
      <c r="F1289" s="12" t="s">
        <v>32</v>
      </c>
      <c r="G1289" s="12" t="s">
        <v>89</v>
      </c>
      <c r="H1289" s="12" t="s">
        <v>1731</v>
      </c>
      <c r="I1289" s="12" t="s">
        <v>89</v>
      </c>
      <c r="J1289" s="12" t="s">
        <v>1732</v>
      </c>
      <c r="K1289" s="12" t="s">
        <v>1696</v>
      </c>
    </row>
    <row r="1290" spans="1:11" ht="30" customHeight="1">
      <c r="A1290" s="12" t="s">
        <v>95</v>
      </c>
      <c r="B1290" s="12" t="s">
        <v>92</v>
      </c>
      <c r="C1290" s="12" t="s">
        <v>29</v>
      </c>
      <c r="D1290" s="12" t="s">
        <v>558</v>
      </c>
      <c r="E1290" s="17">
        <v>279394.8</v>
      </c>
      <c r="F1290" s="12" t="s">
        <v>32</v>
      </c>
      <c r="G1290" s="12" t="s">
        <v>94</v>
      </c>
      <c r="H1290" s="12" t="s">
        <v>1733</v>
      </c>
      <c r="I1290" s="12" t="s">
        <v>94</v>
      </c>
      <c r="J1290" s="12" t="s">
        <v>1734</v>
      </c>
      <c r="K1290" s="12" t="s">
        <v>1735</v>
      </c>
    </row>
    <row r="1291" spans="1:11" ht="30" customHeight="1">
      <c r="A1291" s="12" t="s">
        <v>95</v>
      </c>
      <c r="B1291" s="12" t="s">
        <v>92</v>
      </c>
      <c r="C1291" s="12" t="s">
        <v>29</v>
      </c>
      <c r="D1291" s="12" t="s">
        <v>561</v>
      </c>
      <c r="E1291" s="17">
        <v>88963.81</v>
      </c>
      <c r="F1291" s="12" t="s">
        <v>32</v>
      </c>
      <c r="G1291" s="12" t="s">
        <v>94</v>
      </c>
      <c r="H1291" s="12" t="s">
        <v>1736</v>
      </c>
      <c r="I1291" s="12" t="s">
        <v>94</v>
      </c>
      <c r="J1291" s="12" t="s">
        <v>1737</v>
      </c>
      <c r="K1291" s="12" t="s">
        <v>1690</v>
      </c>
    </row>
    <row r="1292" spans="1:11" ht="30" customHeight="1">
      <c r="A1292" s="12" t="s">
        <v>95</v>
      </c>
      <c r="B1292" s="12" t="s">
        <v>92</v>
      </c>
      <c r="C1292" s="12" t="s">
        <v>29</v>
      </c>
      <c r="D1292" s="12" t="s">
        <v>779</v>
      </c>
      <c r="E1292" s="17">
        <v>81573.92</v>
      </c>
      <c r="F1292" s="12" t="s">
        <v>32</v>
      </c>
      <c r="G1292" s="12" t="s">
        <v>94</v>
      </c>
      <c r="H1292" s="12" t="s">
        <v>1736</v>
      </c>
      <c r="I1292" s="12" t="s">
        <v>94</v>
      </c>
      <c r="J1292" s="12" t="s">
        <v>1737</v>
      </c>
      <c r="K1292" s="12" t="s">
        <v>1690</v>
      </c>
    </row>
    <row r="1293" spans="1:11" ht="30" customHeight="1">
      <c r="A1293" s="12" t="s">
        <v>95</v>
      </c>
      <c r="B1293" s="12" t="s">
        <v>92</v>
      </c>
      <c r="C1293" s="12" t="s">
        <v>29</v>
      </c>
      <c r="D1293" s="12" t="s">
        <v>557</v>
      </c>
      <c r="E1293" s="17">
        <v>218542.51</v>
      </c>
      <c r="F1293" s="12" t="s">
        <v>32</v>
      </c>
      <c r="G1293" s="12" t="s">
        <v>94</v>
      </c>
      <c r="H1293" s="12" t="s">
        <v>1738</v>
      </c>
      <c r="I1293" s="12" t="s">
        <v>94</v>
      </c>
      <c r="J1293" s="12" t="s">
        <v>1739</v>
      </c>
      <c r="K1293" s="12" t="s">
        <v>1693</v>
      </c>
    </row>
    <row r="1294" spans="1:11" ht="30" customHeight="1">
      <c r="A1294" s="12" t="s">
        <v>95</v>
      </c>
      <c r="B1294" s="12" t="s">
        <v>92</v>
      </c>
      <c r="C1294" s="12" t="s">
        <v>29</v>
      </c>
      <c r="D1294" s="12" t="s">
        <v>559</v>
      </c>
      <c r="E1294" s="17">
        <v>3173.78</v>
      </c>
      <c r="F1294" s="12" t="s">
        <v>32</v>
      </c>
      <c r="G1294" s="12" t="s">
        <v>94</v>
      </c>
      <c r="H1294" s="12" t="s">
        <v>1738</v>
      </c>
      <c r="I1294" s="12" t="s">
        <v>94</v>
      </c>
      <c r="J1294" s="12" t="s">
        <v>1739</v>
      </c>
      <c r="K1294" s="12" t="s">
        <v>1693</v>
      </c>
    </row>
    <row r="1295" spans="1:11" ht="30" customHeight="1">
      <c r="A1295" s="12" t="s">
        <v>95</v>
      </c>
      <c r="B1295" s="12" t="s">
        <v>92</v>
      </c>
      <c r="C1295" s="12" t="s">
        <v>29</v>
      </c>
      <c r="D1295" s="12" t="s">
        <v>562</v>
      </c>
      <c r="E1295" s="17">
        <v>7340.95</v>
      </c>
      <c r="F1295" s="12" t="s">
        <v>32</v>
      </c>
      <c r="G1295" s="12" t="s">
        <v>94</v>
      </c>
      <c r="H1295" s="12" t="s">
        <v>1738</v>
      </c>
      <c r="I1295" s="12" t="s">
        <v>94</v>
      </c>
      <c r="J1295" s="12" t="s">
        <v>1739</v>
      </c>
      <c r="K1295" s="12" t="s">
        <v>1693</v>
      </c>
    </row>
    <row r="1296" spans="1:11" ht="30" customHeight="1">
      <c r="A1296" s="12" t="s">
        <v>95</v>
      </c>
      <c r="B1296" s="12" t="s">
        <v>92</v>
      </c>
      <c r="C1296" s="12" t="s">
        <v>29</v>
      </c>
      <c r="D1296" s="12" t="s">
        <v>564</v>
      </c>
      <c r="E1296" s="17">
        <v>15670.52</v>
      </c>
      <c r="F1296" s="12" t="s">
        <v>32</v>
      </c>
      <c r="G1296" s="12" t="s">
        <v>94</v>
      </c>
      <c r="H1296" s="12" t="s">
        <v>1740</v>
      </c>
      <c r="I1296" s="12" t="s">
        <v>94</v>
      </c>
      <c r="J1296" s="12" t="s">
        <v>1741</v>
      </c>
      <c r="K1296" s="12" t="s">
        <v>1742</v>
      </c>
    </row>
    <row r="1297" spans="1:11" ht="30" customHeight="1">
      <c r="A1297" s="12" t="s">
        <v>115</v>
      </c>
      <c r="B1297" s="12" t="s">
        <v>111</v>
      </c>
      <c r="C1297" s="12" t="s">
        <v>98</v>
      </c>
      <c r="D1297" s="12" t="s">
        <v>557</v>
      </c>
      <c r="E1297" s="17">
        <v>14804</v>
      </c>
      <c r="F1297" s="12" t="s">
        <v>54</v>
      </c>
      <c r="G1297" s="12" t="s">
        <v>114</v>
      </c>
      <c r="H1297" s="12" t="s">
        <v>1743</v>
      </c>
      <c r="I1297" s="12" t="s">
        <v>114</v>
      </c>
      <c r="J1297" s="12" t="s">
        <v>1744</v>
      </c>
      <c r="K1297" s="12" t="s">
        <v>1745</v>
      </c>
    </row>
    <row r="1298" spans="1:11" ht="30" customHeight="1">
      <c r="A1298" s="12" t="s">
        <v>115</v>
      </c>
      <c r="B1298" s="12" t="s">
        <v>111</v>
      </c>
      <c r="C1298" s="12" t="s">
        <v>98</v>
      </c>
      <c r="D1298" s="12" t="s">
        <v>558</v>
      </c>
      <c r="E1298" s="17">
        <v>33312</v>
      </c>
      <c r="F1298" s="12" t="s">
        <v>54</v>
      </c>
      <c r="G1298" s="12" t="s">
        <v>114</v>
      </c>
      <c r="H1298" s="12" t="s">
        <v>1743</v>
      </c>
      <c r="I1298" s="12" t="s">
        <v>114</v>
      </c>
      <c r="J1298" s="12" t="s">
        <v>1744</v>
      </c>
      <c r="K1298" s="12" t="s">
        <v>1745</v>
      </c>
    </row>
    <row r="1299" spans="1:11" ht="30" customHeight="1">
      <c r="A1299" s="12" t="s">
        <v>115</v>
      </c>
      <c r="B1299" s="12" t="s">
        <v>111</v>
      </c>
      <c r="C1299" s="12" t="s">
        <v>98</v>
      </c>
      <c r="D1299" s="12" t="s">
        <v>559</v>
      </c>
      <c r="E1299" s="17">
        <v>1157</v>
      </c>
      <c r="F1299" s="12" t="s">
        <v>54</v>
      </c>
      <c r="G1299" s="12" t="s">
        <v>114</v>
      </c>
      <c r="H1299" s="12" t="s">
        <v>1743</v>
      </c>
      <c r="I1299" s="12" t="s">
        <v>114</v>
      </c>
      <c r="J1299" s="12" t="s">
        <v>1744</v>
      </c>
      <c r="K1299" s="12" t="s">
        <v>1745</v>
      </c>
    </row>
    <row r="1300" spans="1:11" ht="30" customHeight="1">
      <c r="A1300" s="12" t="s">
        <v>115</v>
      </c>
      <c r="B1300" s="12" t="s">
        <v>111</v>
      </c>
      <c r="C1300" s="12" t="s">
        <v>98</v>
      </c>
      <c r="D1300" s="12" t="s">
        <v>561</v>
      </c>
      <c r="E1300" s="17">
        <v>6752</v>
      </c>
      <c r="F1300" s="12" t="s">
        <v>54</v>
      </c>
      <c r="G1300" s="12" t="s">
        <v>114</v>
      </c>
      <c r="H1300" s="12" t="s">
        <v>1743</v>
      </c>
      <c r="I1300" s="12" t="s">
        <v>114</v>
      </c>
      <c r="J1300" s="12" t="s">
        <v>1744</v>
      </c>
      <c r="K1300" s="12" t="s">
        <v>1745</v>
      </c>
    </row>
    <row r="1301" spans="1:11" ht="30" customHeight="1">
      <c r="A1301" s="12" t="s">
        <v>115</v>
      </c>
      <c r="B1301" s="12" t="s">
        <v>111</v>
      </c>
      <c r="C1301" s="12" t="s">
        <v>98</v>
      </c>
      <c r="D1301" s="12" t="s">
        <v>779</v>
      </c>
      <c r="E1301" s="17">
        <v>5258</v>
      </c>
      <c r="F1301" s="12" t="s">
        <v>54</v>
      </c>
      <c r="G1301" s="12" t="s">
        <v>114</v>
      </c>
      <c r="H1301" s="12" t="s">
        <v>1743</v>
      </c>
      <c r="I1301" s="12" t="s">
        <v>114</v>
      </c>
      <c r="J1301" s="12" t="s">
        <v>1744</v>
      </c>
      <c r="K1301" s="12" t="s">
        <v>1745</v>
      </c>
    </row>
    <row r="1302" spans="1:11" ht="30" customHeight="1">
      <c r="A1302" s="12" t="s">
        <v>115</v>
      </c>
      <c r="B1302" s="12" t="s">
        <v>111</v>
      </c>
      <c r="C1302" s="12" t="s">
        <v>98</v>
      </c>
      <c r="D1302" s="12" t="s">
        <v>562</v>
      </c>
      <c r="E1302" s="17">
        <v>480</v>
      </c>
      <c r="F1302" s="12" t="s">
        <v>54</v>
      </c>
      <c r="G1302" s="12" t="s">
        <v>114</v>
      </c>
      <c r="H1302" s="12" t="s">
        <v>1743</v>
      </c>
      <c r="I1302" s="12" t="s">
        <v>114</v>
      </c>
      <c r="J1302" s="12" t="s">
        <v>1744</v>
      </c>
      <c r="K1302" s="12" t="s">
        <v>1745</v>
      </c>
    </row>
    <row r="1303" spans="1:11" ht="30" customHeight="1">
      <c r="A1303" s="12" t="s">
        <v>115</v>
      </c>
      <c r="B1303" s="12" t="s">
        <v>111</v>
      </c>
      <c r="C1303" s="12" t="s">
        <v>98</v>
      </c>
      <c r="D1303" s="12" t="s">
        <v>564</v>
      </c>
      <c r="E1303" s="17">
        <v>2056</v>
      </c>
      <c r="F1303" s="12" t="s">
        <v>54</v>
      </c>
      <c r="G1303" s="12" t="s">
        <v>114</v>
      </c>
      <c r="H1303" s="12" t="s">
        <v>1746</v>
      </c>
      <c r="I1303" s="12" t="s">
        <v>114</v>
      </c>
      <c r="J1303" s="12" t="s">
        <v>1747</v>
      </c>
      <c r="K1303" s="12" t="s">
        <v>1748</v>
      </c>
    </row>
    <row r="1304" spans="1:11" ht="30" customHeight="1">
      <c r="A1304" s="12" t="s">
        <v>133</v>
      </c>
      <c r="B1304" s="12" t="s">
        <v>129</v>
      </c>
      <c r="C1304" s="12" t="s">
        <v>98</v>
      </c>
      <c r="D1304" s="12" t="s">
        <v>557</v>
      </c>
      <c r="E1304" s="17">
        <v>20943.47</v>
      </c>
      <c r="F1304" s="12" t="s">
        <v>54</v>
      </c>
      <c r="G1304" s="12" t="s">
        <v>132</v>
      </c>
      <c r="H1304" s="12" t="s">
        <v>1749</v>
      </c>
      <c r="I1304" s="12" t="s">
        <v>132</v>
      </c>
      <c r="J1304" s="12" t="s">
        <v>1750</v>
      </c>
      <c r="K1304" s="12" t="s">
        <v>1751</v>
      </c>
    </row>
    <row r="1305" spans="1:11" ht="30" customHeight="1">
      <c r="A1305" s="12" t="s">
        <v>133</v>
      </c>
      <c r="B1305" s="12" t="s">
        <v>129</v>
      </c>
      <c r="C1305" s="12" t="s">
        <v>98</v>
      </c>
      <c r="D1305" s="12" t="s">
        <v>558</v>
      </c>
      <c r="E1305" s="17">
        <v>31475.69</v>
      </c>
      <c r="F1305" s="12" t="s">
        <v>54</v>
      </c>
      <c r="G1305" s="12" t="s">
        <v>132</v>
      </c>
      <c r="H1305" s="12" t="s">
        <v>1749</v>
      </c>
      <c r="I1305" s="12" t="s">
        <v>132</v>
      </c>
      <c r="J1305" s="12" t="s">
        <v>1750</v>
      </c>
      <c r="K1305" s="12" t="s">
        <v>1751</v>
      </c>
    </row>
    <row r="1306" spans="1:11" ht="30" customHeight="1">
      <c r="A1306" s="12" t="s">
        <v>133</v>
      </c>
      <c r="B1306" s="12" t="s">
        <v>129</v>
      </c>
      <c r="C1306" s="12" t="s">
        <v>98</v>
      </c>
      <c r="D1306" s="12" t="s">
        <v>559</v>
      </c>
      <c r="E1306" s="17">
        <v>1748.66</v>
      </c>
      <c r="F1306" s="12" t="s">
        <v>54</v>
      </c>
      <c r="G1306" s="12" t="s">
        <v>132</v>
      </c>
      <c r="H1306" s="12" t="s">
        <v>1749</v>
      </c>
      <c r="I1306" s="12" t="s">
        <v>132</v>
      </c>
      <c r="J1306" s="12" t="s">
        <v>1750</v>
      </c>
      <c r="K1306" s="12" t="s">
        <v>1751</v>
      </c>
    </row>
    <row r="1307" spans="1:11" ht="30" customHeight="1">
      <c r="A1307" s="12" t="s">
        <v>133</v>
      </c>
      <c r="B1307" s="12" t="s">
        <v>129</v>
      </c>
      <c r="C1307" s="12" t="s">
        <v>98</v>
      </c>
      <c r="D1307" s="12" t="s">
        <v>561</v>
      </c>
      <c r="E1307" s="17">
        <v>1593.72</v>
      </c>
      <c r="F1307" s="12" t="s">
        <v>54</v>
      </c>
      <c r="G1307" s="12" t="s">
        <v>132</v>
      </c>
      <c r="H1307" s="12" t="s">
        <v>1749</v>
      </c>
      <c r="I1307" s="12" t="s">
        <v>132</v>
      </c>
      <c r="J1307" s="12" t="s">
        <v>1750</v>
      </c>
      <c r="K1307" s="12" t="s">
        <v>1751</v>
      </c>
    </row>
    <row r="1308" spans="1:11" ht="30" customHeight="1">
      <c r="A1308" s="12" t="s">
        <v>133</v>
      </c>
      <c r="B1308" s="12" t="s">
        <v>129</v>
      </c>
      <c r="C1308" s="12" t="s">
        <v>98</v>
      </c>
      <c r="D1308" s="12" t="s">
        <v>779</v>
      </c>
      <c r="E1308" s="17">
        <v>816.92</v>
      </c>
      <c r="F1308" s="12" t="s">
        <v>54</v>
      </c>
      <c r="G1308" s="12" t="s">
        <v>132</v>
      </c>
      <c r="H1308" s="12" t="s">
        <v>1749</v>
      </c>
      <c r="I1308" s="12" t="s">
        <v>132</v>
      </c>
      <c r="J1308" s="12" t="s">
        <v>1750</v>
      </c>
      <c r="K1308" s="12" t="s">
        <v>1751</v>
      </c>
    </row>
    <row r="1309" spans="1:11" ht="30" customHeight="1">
      <c r="A1309" s="12" t="s">
        <v>133</v>
      </c>
      <c r="B1309" s="12" t="s">
        <v>129</v>
      </c>
      <c r="C1309" s="12" t="s">
        <v>98</v>
      </c>
      <c r="D1309" s="12" t="s">
        <v>562</v>
      </c>
      <c r="E1309" s="17">
        <v>211.72</v>
      </c>
      <c r="F1309" s="12" t="s">
        <v>54</v>
      </c>
      <c r="G1309" s="12" t="s">
        <v>132</v>
      </c>
      <c r="H1309" s="12" t="s">
        <v>1749</v>
      </c>
      <c r="I1309" s="12" t="s">
        <v>132</v>
      </c>
      <c r="J1309" s="12" t="s">
        <v>1750</v>
      </c>
      <c r="K1309" s="12" t="s">
        <v>1751</v>
      </c>
    </row>
    <row r="1310" spans="1:11" ht="30" customHeight="1">
      <c r="A1310" s="12" t="s">
        <v>133</v>
      </c>
      <c r="B1310" s="12" t="s">
        <v>129</v>
      </c>
      <c r="C1310" s="12" t="s">
        <v>98</v>
      </c>
      <c r="D1310" s="12" t="s">
        <v>564</v>
      </c>
      <c r="E1310" s="17">
        <v>1909.16</v>
      </c>
      <c r="F1310" s="12" t="s">
        <v>54</v>
      </c>
      <c r="G1310" s="12" t="s">
        <v>132</v>
      </c>
      <c r="H1310" s="12" t="s">
        <v>1752</v>
      </c>
      <c r="I1310" s="12" t="s">
        <v>132</v>
      </c>
      <c r="J1310" s="12" t="s">
        <v>1753</v>
      </c>
      <c r="K1310" s="12" t="s">
        <v>1754</v>
      </c>
    </row>
    <row r="1311" spans="1:11" ht="30" customHeight="1">
      <c r="A1311" s="12" t="s">
        <v>102</v>
      </c>
      <c r="B1311" s="12" t="s">
        <v>97</v>
      </c>
      <c r="C1311" s="12" t="s">
        <v>98</v>
      </c>
      <c r="D1311" s="12" t="s">
        <v>557</v>
      </c>
      <c r="E1311" s="17">
        <v>20789.1</v>
      </c>
      <c r="F1311" s="12" t="s">
        <v>32</v>
      </c>
      <c r="G1311" s="12" t="s">
        <v>101</v>
      </c>
      <c r="H1311" s="12" t="s">
        <v>1755</v>
      </c>
      <c r="I1311" s="12" t="s">
        <v>101</v>
      </c>
      <c r="J1311" s="12" t="s">
        <v>1756</v>
      </c>
      <c r="K1311" s="12" t="s">
        <v>1757</v>
      </c>
    </row>
    <row r="1312" spans="1:11" ht="30" customHeight="1">
      <c r="A1312" s="12" t="s">
        <v>102</v>
      </c>
      <c r="B1312" s="12" t="s">
        <v>97</v>
      </c>
      <c r="C1312" s="12" t="s">
        <v>98</v>
      </c>
      <c r="D1312" s="12" t="s">
        <v>558</v>
      </c>
      <c r="E1312" s="17">
        <v>25412.61</v>
      </c>
      <c r="F1312" s="12" t="s">
        <v>32</v>
      </c>
      <c r="G1312" s="12" t="s">
        <v>101</v>
      </c>
      <c r="H1312" s="12" t="s">
        <v>1755</v>
      </c>
      <c r="I1312" s="12" t="s">
        <v>101</v>
      </c>
      <c r="J1312" s="12" t="s">
        <v>1756</v>
      </c>
      <c r="K1312" s="12" t="s">
        <v>1757</v>
      </c>
    </row>
    <row r="1313" spans="1:11" ht="30" customHeight="1">
      <c r="A1313" s="12" t="s">
        <v>102</v>
      </c>
      <c r="B1313" s="12" t="s">
        <v>97</v>
      </c>
      <c r="C1313" s="12" t="s">
        <v>98</v>
      </c>
      <c r="D1313" s="12" t="s">
        <v>559</v>
      </c>
      <c r="E1313" s="17">
        <v>2402.27</v>
      </c>
      <c r="F1313" s="12" t="s">
        <v>32</v>
      </c>
      <c r="G1313" s="12" t="s">
        <v>101</v>
      </c>
      <c r="H1313" s="12" t="s">
        <v>1755</v>
      </c>
      <c r="I1313" s="12" t="s">
        <v>101</v>
      </c>
      <c r="J1313" s="12" t="s">
        <v>1756</v>
      </c>
      <c r="K1313" s="12" t="s">
        <v>1757</v>
      </c>
    </row>
    <row r="1314" spans="1:11" ht="30" customHeight="1">
      <c r="A1314" s="12" t="s">
        <v>102</v>
      </c>
      <c r="B1314" s="12" t="s">
        <v>97</v>
      </c>
      <c r="C1314" s="12" t="s">
        <v>98</v>
      </c>
      <c r="D1314" s="12" t="s">
        <v>562</v>
      </c>
      <c r="E1314" s="17">
        <v>108.22</v>
      </c>
      <c r="F1314" s="12" t="s">
        <v>32</v>
      </c>
      <c r="G1314" s="12" t="s">
        <v>101</v>
      </c>
      <c r="H1314" s="12" t="s">
        <v>1755</v>
      </c>
      <c r="I1314" s="12" t="s">
        <v>101</v>
      </c>
      <c r="J1314" s="12" t="s">
        <v>1756</v>
      </c>
      <c r="K1314" s="12" t="s">
        <v>1757</v>
      </c>
    </row>
    <row r="1315" spans="1:11" ht="30" customHeight="1">
      <c r="A1315" s="12" t="s">
        <v>102</v>
      </c>
      <c r="B1315" s="12" t="s">
        <v>97</v>
      </c>
      <c r="C1315" s="12" t="s">
        <v>98</v>
      </c>
      <c r="D1315" s="12" t="s">
        <v>561</v>
      </c>
      <c r="E1315" s="17">
        <v>0</v>
      </c>
      <c r="F1315" s="12" t="s">
        <v>32</v>
      </c>
      <c r="G1315" s="12" t="s">
        <v>101</v>
      </c>
      <c r="H1315" s="12" t="s">
        <v>1758</v>
      </c>
      <c r="I1315" s="12" t="s">
        <v>101</v>
      </c>
      <c r="J1315" s="12" t="s">
        <v>1759</v>
      </c>
      <c r="K1315" s="12" t="s">
        <v>1760</v>
      </c>
    </row>
    <row r="1316" spans="1:11" ht="30" customHeight="1">
      <c r="A1316" s="12" t="s">
        <v>102</v>
      </c>
      <c r="B1316" s="12" t="s">
        <v>97</v>
      </c>
      <c r="C1316" s="12" t="s">
        <v>98</v>
      </c>
      <c r="D1316" s="12" t="s">
        <v>779</v>
      </c>
      <c r="E1316" s="17">
        <v>0</v>
      </c>
      <c r="F1316" s="12" t="s">
        <v>32</v>
      </c>
      <c r="G1316" s="12" t="s">
        <v>101</v>
      </c>
      <c r="H1316" s="12" t="s">
        <v>1758</v>
      </c>
      <c r="I1316" s="12" t="s">
        <v>101</v>
      </c>
      <c r="J1316" s="12" t="s">
        <v>1759</v>
      </c>
      <c r="K1316" s="12" t="s">
        <v>1760</v>
      </c>
    </row>
    <row r="1317" spans="1:11" ht="30" customHeight="1">
      <c r="A1317" s="12" t="s">
        <v>102</v>
      </c>
      <c r="B1317" s="12" t="s">
        <v>97</v>
      </c>
      <c r="C1317" s="12" t="s">
        <v>98</v>
      </c>
      <c r="D1317" s="12" t="s">
        <v>564</v>
      </c>
      <c r="E1317" s="17">
        <v>1968.44</v>
      </c>
      <c r="F1317" s="12" t="s">
        <v>32</v>
      </c>
      <c r="G1317" s="12" t="s">
        <v>101</v>
      </c>
      <c r="H1317" s="12" t="s">
        <v>1761</v>
      </c>
      <c r="I1317" s="12" t="s">
        <v>101</v>
      </c>
      <c r="J1317" s="12" t="s">
        <v>1762</v>
      </c>
      <c r="K1317" s="12" t="s">
        <v>1763</v>
      </c>
    </row>
    <row r="1318" spans="1:11" ht="30" customHeight="1">
      <c r="A1318" s="12" t="s">
        <v>121</v>
      </c>
      <c r="B1318" s="12" t="s">
        <v>117</v>
      </c>
      <c r="C1318" s="12" t="s">
        <v>98</v>
      </c>
      <c r="D1318" s="12" t="s">
        <v>557</v>
      </c>
      <c r="E1318" s="17">
        <v>13722.3</v>
      </c>
      <c r="F1318" s="12" t="s">
        <v>54</v>
      </c>
      <c r="G1318" s="12" t="s">
        <v>120</v>
      </c>
      <c r="H1318" s="12" t="s">
        <v>1764</v>
      </c>
      <c r="I1318" s="12" t="s">
        <v>120</v>
      </c>
      <c r="J1318" s="12" t="s">
        <v>1765</v>
      </c>
      <c r="K1318" s="12" t="s">
        <v>1766</v>
      </c>
    </row>
    <row r="1319" spans="1:11" ht="30" customHeight="1">
      <c r="A1319" s="12" t="s">
        <v>121</v>
      </c>
      <c r="B1319" s="12" t="s">
        <v>117</v>
      </c>
      <c r="C1319" s="12" t="s">
        <v>98</v>
      </c>
      <c r="D1319" s="12" t="s">
        <v>558</v>
      </c>
      <c r="E1319" s="17">
        <v>18499.97</v>
      </c>
      <c r="F1319" s="12" t="s">
        <v>54</v>
      </c>
      <c r="G1319" s="12" t="s">
        <v>120</v>
      </c>
      <c r="H1319" s="12" t="s">
        <v>1764</v>
      </c>
      <c r="I1319" s="12" t="s">
        <v>120</v>
      </c>
      <c r="J1319" s="12" t="s">
        <v>1765</v>
      </c>
      <c r="K1319" s="12" t="s">
        <v>1766</v>
      </c>
    </row>
    <row r="1320" spans="1:11" ht="30" customHeight="1">
      <c r="A1320" s="12" t="s">
        <v>121</v>
      </c>
      <c r="B1320" s="12" t="s">
        <v>117</v>
      </c>
      <c r="C1320" s="12" t="s">
        <v>98</v>
      </c>
      <c r="D1320" s="12" t="s">
        <v>559</v>
      </c>
      <c r="E1320" s="17">
        <v>987.99</v>
      </c>
      <c r="F1320" s="12" t="s">
        <v>54</v>
      </c>
      <c r="G1320" s="12" t="s">
        <v>120</v>
      </c>
      <c r="H1320" s="12" t="s">
        <v>1764</v>
      </c>
      <c r="I1320" s="12" t="s">
        <v>120</v>
      </c>
      <c r="J1320" s="12" t="s">
        <v>1765</v>
      </c>
      <c r="K1320" s="12" t="s">
        <v>1766</v>
      </c>
    </row>
    <row r="1321" spans="1:11" ht="30" customHeight="1">
      <c r="A1321" s="12" t="s">
        <v>121</v>
      </c>
      <c r="B1321" s="12" t="s">
        <v>117</v>
      </c>
      <c r="C1321" s="12" t="s">
        <v>98</v>
      </c>
      <c r="D1321" s="12" t="s">
        <v>561</v>
      </c>
      <c r="E1321" s="17">
        <v>6073.63</v>
      </c>
      <c r="F1321" s="12" t="s">
        <v>54</v>
      </c>
      <c r="G1321" s="12" t="s">
        <v>120</v>
      </c>
      <c r="H1321" s="12" t="s">
        <v>1764</v>
      </c>
      <c r="I1321" s="12" t="s">
        <v>120</v>
      </c>
      <c r="J1321" s="12" t="s">
        <v>1765</v>
      </c>
      <c r="K1321" s="12" t="s">
        <v>1766</v>
      </c>
    </row>
    <row r="1322" spans="1:11" ht="30" customHeight="1">
      <c r="A1322" s="12" t="s">
        <v>121</v>
      </c>
      <c r="B1322" s="12" t="s">
        <v>117</v>
      </c>
      <c r="C1322" s="12" t="s">
        <v>98</v>
      </c>
      <c r="D1322" s="12" t="s">
        <v>779</v>
      </c>
      <c r="E1322" s="17">
        <v>5895.53</v>
      </c>
      <c r="F1322" s="12" t="s">
        <v>54</v>
      </c>
      <c r="G1322" s="12" t="s">
        <v>120</v>
      </c>
      <c r="H1322" s="12" t="s">
        <v>1764</v>
      </c>
      <c r="I1322" s="12" t="s">
        <v>120</v>
      </c>
      <c r="J1322" s="12" t="s">
        <v>1765</v>
      </c>
      <c r="K1322" s="12" t="s">
        <v>1766</v>
      </c>
    </row>
    <row r="1323" spans="1:11" ht="30" customHeight="1">
      <c r="A1323" s="12" t="s">
        <v>121</v>
      </c>
      <c r="B1323" s="12" t="s">
        <v>117</v>
      </c>
      <c r="C1323" s="12" t="s">
        <v>98</v>
      </c>
      <c r="D1323" s="12" t="s">
        <v>562</v>
      </c>
      <c r="E1323" s="17">
        <v>424.27</v>
      </c>
      <c r="F1323" s="12" t="s">
        <v>54</v>
      </c>
      <c r="G1323" s="12" t="s">
        <v>120</v>
      </c>
      <c r="H1323" s="12" t="s">
        <v>1764</v>
      </c>
      <c r="I1323" s="12" t="s">
        <v>120</v>
      </c>
      <c r="J1323" s="12" t="s">
        <v>1765</v>
      </c>
      <c r="K1323" s="12" t="s">
        <v>1766</v>
      </c>
    </row>
    <row r="1324" spans="1:11" ht="30" customHeight="1">
      <c r="A1324" s="12" t="s">
        <v>121</v>
      </c>
      <c r="B1324" s="12" t="s">
        <v>117</v>
      </c>
      <c r="C1324" s="12" t="s">
        <v>98</v>
      </c>
      <c r="D1324" s="12" t="s">
        <v>564</v>
      </c>
      <c r="E1324" s="17">
        <v>2266.45</v>
      </c>
      <c r="F1324" s="12" t="s">
        <v>54</v>
      </c>
      <c r="G1324" s="12" t="s">
        <v>120</v>
      </c>
      <c r="H1324" s="12" t="s">
        <v>1767</v>
      </c>
      <c r="I1324" s="12" t="s">
        <v>120</v>
      </c>
      <c r="J1324" s="12" t="s">
        <v>1768</v>
      </c>
      <c r="K1324" s="12" t="s">
        <v>1769</v>
      </c>
    </row>
    <row r="1325" spans="1:11" ht="30" customHeight="1">
      <c r="A1325" s="12" t="s">
        <v>139</v>
      </c>
      <c r="B1325" s="12" t="s">
        <v>135</v>
      </c>
      <c r="C1325" s="12" t="s">
        <v>98</v>
      </c>
      <c r="D1325" s="12" t="s">
        <v>557</v>
      </c>
      <c r="E1325" s="17">
        <v>88511.53</v>
      </c>
      <c r="F1325" s="12" t="s">
        <v>54</v>
      </c>
      <c r="G1325" s="12" t="s">
        <v>138</v>
      </c>
      <c r="H1325" s="12" t="s">
        <v>1770</v>
      </c>
      <c r="I1325" s="12" t="s">
        <v>138</v>
      </c>
      <c r="J1325" s="12" t="s">
        <v>1771</v>
      </c>
      <c r="K1325" s="12" t="s">
        <v>1772</v>
      </c>
    </row>
    <row r="1326" spans="1:11" ht="30" customHeight="1">
      <c r="A1326" s="12" t="s">
        <v>139</v>
      </c>
      <c r="B1326" s="12" t="s">
        <v>135</v>
      </c>
      <c r="C1326" s="12" t="s">
        <v>98</v>
      </c>
      <c r="D1326" s="12" t="s">
        <v>558</v>
      </c>
      <c r="E1326" s="17">
        <v>141376.05</v>
      </c>
      <c r="F1326" s="12" t="s">
        <v>54</v>
      </c>
      <c r="G1326" s="12" t="s">
        <v>138</v>
      </c>
      <c r="H1326" s="12" t="s">
        <v>1770</v>
      </c>
      <c r="I1326" s="12" t="s">
        <v>138</v>
      </c>
      <c r="J1326" s="12" t="s">
        <v>1771</v>
      </c>
      <c r="K1326" s="12" t="s">
        <v>1772</v>
      </c>
    </row>
    <row r="1327" spans="1:11" ht="30" customHeight="1">
      <c r="A1327" s="12" t="s">
        <v>139</v>
      </c>
      <c r="B1327" s="12" t="s">
        <v>135</v>
      </c>
      <c r="C1327" s="12" t="s">
        <v>98</v>
      </c>
      <c r="D1327" s="12" t="s">
        <v>559</v>
      </c>
      <c r="E1327" s="17">
        <v>8188.35</v>
      </c>
      <c r="F1327" s="12" t="s">
        <v>54</v>
      </c>
      <c r="G1327" s="12" t="s">
        <v>138</v>
      </c>
      <c r="H1327" s="12" t="s">
        <v>1770</v>
      </c>
      <c r="I1327" s="12" t="s">
        <v>138</v>
      </c>
      <c r="J1327" s="12" t="s">
        <v>1771</v>
      </c>
      <c r="K1327" s="12" t="s">
        <v>1772</v>
      </c>
    </row>
    <row r="1328" spans="1:11" ht="30" customHeight="1">
      <c r="A1328" s="12" t="s">
        <v>139</v>
      </c>
      <c r="B1328" s="12" t="s">
        <v>135</v>
      </c>
      <c r="C1328" s="12" t="s">
        <v>98</v>
      </c>
      <c r="D1328" s="12" t="s">
        <v>561</v>
      </c>
      <c r="E1328" s="17">
        <v>22780.66</v>
      </c>
      <c r="F1328" s="12" t="s">
        <v>54</v>
      </c>
      <c r="G1328" s="12" t="s">
        <v>138</v>
      </c>
      <c r="H1328" s="12" t="s">
        <v>1770</v>
      </c>
      <c r="I1328" s="12" t="s">
        <v>138</v>
      </c>
      <c r="J1328" s="12" t="s">
        <v>1771</v>
      </c>
      <c r="K1328" s="12" t="s">
        <v>1772</v>
      </c>
    </row>
    <row r="1329" spans="1:11" ht="30" customHeight="1">
      <c r="A1329" s="12" t="s">
        <v>139</v>
      </c>
      <c r="B1329" s="12" t="s">
        <v>135</v>
      </c>
      <c r="C1329" s="12" t="s">
        <v>98</v>
      </c>
      <c r="D1329" s="12" t="s">
        <v>779</v>
      </c>
      <c r="E1329" s="17">
        <v>23030.99</v>
      </c>
      <c r="F1329" s="12" t="s">
        <v>54</v>
      </c>
      <c r="G1329" s="12" t="s">
        <v>138</v>
      </c>
      <c r="H1329" s="12" t="s">
        <v>1770</v>
      </c>
      <c r="I1329" s="12" t="s">
        <v>138</v>
      </c>
      <c r="J1329" s="12" t="s">
        <v>1771</v>
      </c>
      <c r="K1329" s="12" t="s">
        <v>1772</v>
      </c>
    </row>
    <row r="1330" spans="1:11" ht="30" customHeight="1">
      <c r="A1330" s="12" t="s">
        <v>139</v>
      </c>
      <c r="B1330" s="12" t="s">
        <v>135</v>
      </c>
      <c r="C1330" s="12" t="s">
        <v>98</v>
      </c>
      <c r="D1330" s="12" t="s">
        <v>562</v>
      </c>
      <c r="E1330" s="17">
        <v>1871.71</v>
      </c>
      <c r="F1330" s="12" t="s">
        <v>54</v>
      </c>
      <c r="G1330" s="12" t="s">
        <v>138</v>
      </c>
      <c r="H1330" s="12" t="s">
        <v>1770</v>
      </c>
      <c r="I1330" s="12" t="s">
        <v>138</v>
      </c>
      <c r="J1330" s="12" t="s">
        <v>1771</v>
      </c>
      <c r="K1330" s="12" t="s">
        <v>1772</v>
      </c>
    </row>
    <row r="1331" spans="1:11" ht="30" customHeight="1">
      <c r="A1331" s="12" t="s">
        <v>139</v>
      </c>
      <c r="B1331" s="12" t="s">
        <v>135</v>
      </c>
      <c r="C1331" s="12" t="s">
        <v>98</v>
      </c>
      <c r="D1331" s="12" t="s">
        <v>564</v>
      </c>
      <c r="E1331" s="17">
        <v>9677.77</v>
      </c>
      <c r="F1331" s="12" t="s">
        <v>54</v>
      </c>
      <c r="G1331" s="12" t="s">
        <v>138</v>
      </c>
      <c r="H1331" s="12" t="s">
        <v>1773</v>
      </c>
      <c r="I1331" s="12" t="s">
        <v>138</v>
      </c>
      <c r="J1331" s="12" t="s">
        <v>1774</v>
      </c>
      <c r="K1331" s="12" t="s">
        <v>1775</v>
      </c>
    </row>
    <row r="1332" spans="1:11" ht="30" customHeight="1">
      <c r="A1332" s="12" t="s">
        <v>109</v>
      </c>
      <c r="B1332" s="12" t="s">
        <v>105</v>
      </c>
      <c r="C1332" s="12" t="s">
        <v>98</v>
      </c>
      <c r="D1332" s="12" t="s">
        <v>558</v>
      </c>
      <c r="E1332" s="17">
        <v>80945.41</v>
      </c>
      <c r="F1332" s="12" t="s">
        <v>32</v>
      </c>
      <c r="G1332" s="12" t="s">
        <v>108</v>
      </c>
      <c r="H1332" s="12" t="s">
        <v>1776</v>
      </c>
      <c r="I1332" s="12" t="s">
        <v>108</v>
      </c>
      <c r="J1332" s="12" t="s">
        <v>1777</v>
      </c>
      <c r="K1332" s="12" t="s">
        <v>1778</v>
      </c>
    </row>
    <row r="1333" spans="1:11" ht="30" customHeight="1">
      <c r="A1333" s="12" t="s">
        <v>109</v>
      </c>
      <c r="B1333" s="12" t="s">
        <v>105</v>
      </c>
      <c r="C1333" s="12" t="s">
        <v>98</v>
      </c>
      <c r="D1333" s="12" t="s">
        <v>561</v>
      </c>
      <c r="E1333" s="17">
        <v>26.82</v>
      </c>
      <c r="F1333" s="12" t="s">
        <v>32</v>
      </c>
      <c r="G1333" s="12" t="s">
        <v>108</v>
      </c>
      <c r="H1333" s="12" t="s">
        <v>1776</v>
      </c>
      <c r="I1333" s="12" t="s">
        <v>108</v>
      </c>
      <c r="J1333" s="12" t="s">
        <v>1777</v>
      </c>
      <c r="K1333" s="12" t="s">
        <v>1778</v>
      </c>
    </row>
    <row r="1334" spans="1:11" ht="30" customHeight="1">
      <c r="A1334" s="12" t="s">
        <v>109</v>
      </c>
      <c r="B1334" s="12" t="s">
        <v>105</v>
      </c>
      <c r="C1334" s="12" t="s">
        <v>98</v>
      </c>
      <c r="D1334" s="12" t="s">
        <v>779</v>
      </c>
      <c r="E1334" s="17">
        <v>36.78</v>
      </c>
      <c r="F1334" s="12" t="s">
        <v>32</v>
      </c>
      <c r="G1334" s="12" t="s">
        <v>108</v>
      </c>
      <c r="H1334" s="12" t="s">
        <v>1776</v>
      </c>
      <c r="I1334" s="12" t="s">
        <v>108</v>
      </c>
      <c r="J1334" s="12" t="s">
        <v>1777</v>
      </c>
      <c r="K1334" s="12" t="s">
        <v>1778</v>
      </c>
    </row>
    <row r="1335" spans="1:11" ht="30" customHeight="1">
      <c r="A1335" s="12" t="s">
        <v>109</v>
      </c>
      <c r="B1335" s="12" t="s">
        <v>105</v>
      </c>
      <c r="C1335" s="12" t="s">
        <v>98</v>
      </c>
      <c r="D1335" s="12" t="s">
        <v>557</v>
      </c>
      <c r="E1335" s="17">
        <v>33697.7</v>
      </c>
      <c r="F1335" s="12" t="s">
        <v>32</v>
      </c>
      <c r="G1335" s="12" t="s">
        <v>108</v>
      </c>
      <c r="H1335" s="12" t="s">
        <v>1779</v>
      </c>
      <c r="I1335" s="12" t="s">
        <v>108</v>
      </c>
      <c r="J1335" s="12" t="s">
        <v>1780</v>
      </c>
      <c r="K1335" s="12" t="s">
        <v>1778</v>
      </c>
    </row>
    <row r="1336" spans="1:11" ht="30" customHeight="1">
      <c r="A1336" s="12" t="s">
        <v>109</v>
      </c>
      <c r="B1336" s="12" t="s">
        <v>105</v>
      </c>
      <c r="C1336" s="12" t="s">
        <v>98</v>
      </c>
      <c r="D1336" s="12" t="s">
        <v>559</v>
      </c>
      <c r="E1336" s="17">
        <v>5158.41</v>
      </c>
      <c r="F1336" s="12" t="s">
        <v>32</v>
      </c>
      <c r="G1336" s="12" t="s">
        <v>108</v>
      </c>
      <c r="H1336" s="12" t="s">
        <v>1779</v>
      </c>
      <c r="I1336" s="12" t="s">
        <v>108</v>
      </c>
      <c r="J1336" s="12" t="s">
        <v>1780</v>
      </c>
      <c r="K1336" s="12" t="s">
        <v>1778</v>
      </c>
    </row>
    <row r="1337" spans="1:11" ht="30" customHeight="1">
      <c r="A1337" s="12" t="s">
        <v>109</v>
      </c>
      <c r="B1337" s="12" t="s">
        <v>105</v>
      </c>
      <c r="C1337" s="12" t="s">
        <v>98</v>
      </c>
      <c r="D1337" s="12" t="s">
        <v>562</v>
      </c>
      <c r="E1337" s="17">
        <v>215.94</v>
      </c>
      <c r="F1337" s="12" t="s">
        <v>32</v>
      </c>
      <c r="G1337" s="12" t="s">
        <v>108</v>
      </c>
      <c r="H1337" s="12" t="s">
        <v>1779</v>
      </c>
      <c r="I1337" s="12" t="s">
        <v>108</v>
      </c>
      <c r="J1337" s="12" t="s">
        <v>1780</v>
      </c>
      <c r="K1337" s="12" t="s">
        <v>1778</v>
      </c>
    </row>
    <row r="1338" spans="1:11" ht="30" customHeight="1">
      <c r="A1338" s="12" t="s">
        <v>109</v>
      </c>
      <c r="B1338" s="12" t="s">
        <v>105</v>
      </c>
      <c r="C1338" s="12" t="s">
        <v>98</v>
      </c>
      <c r="D1338" s="12" t="s">
        <v>564</v>
      </c>
      <c r="E1338" s="17">
        <v>8687.049999999999</v>
      </c>
      <c r="F1338" s="12" t="s">
        <v>32</v>
      </c>
      <c r="G1338" s="12" t="s">
        <v>108</v>
      </c>
      <c r="H1338" s="12" t="s">
        <v>1781</v>
      </c>
      <c r="I1338" s="12" t="s">
        <v>108</v>
      </c>
      <c r="J1338" s="12" t="s">
        <v>1782</v>
      </c>
      <c r="K1338" s="12" t="s">
        <v>1783</v>
      </c>
    </row>
    <row r="1339" spans="1:11" ht="30" customHeight="1">
      <c r="A1339" s="12" t="s">
        <v>127</v>
      </c>
      <c r="B1339" s="12" t="s">
        <v>123</v>
      </c>
      <c r="C1339" s="12" t="s">
        <v>98</v>
      </c>
      <c r="D1339" s="12" t="s">
        <v>557</v>
      </c>
      <c r="E1339" s="17">
        <v>6512.46</v>
      </c>
      <c r="F1339" s="12" t="s">
        <v>54</v>
      </c>
      <c r="G1339" s="12" t="s">
        <v>126</v>
      </c>
      <c r="H1339" s="12" t="s">
        <v>1784</v>
      </c>
      <c r="I1339" s="12" t="s">
        <v>126</v>
      </c>
      <c r="J1339" s="12" t="s">
        <v>1785</v>
      </c>
      <c r="K1339" s="12" t="s">
        <v>1786</v>
      </c>
    </row>
    <row r="1340" spans="1:11" ht="30" customHeight="1">
      <c r="A1340" s="12" t="s">
        <v>127</v>
      </c>
      <c r="B1340" s="12" t="s">
        <v>123</v>
      </c>
      <c r="C1340" s="12" t="s">
        <v>98</v>
      </c>
      <c r="D1340" s="12" t="s">
        <v>558</v>
      </c>
      <c r="E1340" s="17">
        <v>14535.48</v>
      </c>
      <c r="F1340" s="12" t="s">
        <v>54</v>
      </c>
      <c r="G1340" s="12" t="s">
        <v>126</v>
      </c>
      <c r="H1340" s="12" t="s">
        <v>1784</v>
      </c>
      <c r="I1340" s="12" t="s">
        <v>126</v>
      </c>
      <c r="J1340" s="12" t="s">
        <v>1785</v>
      </c>
      <c r="K1340" s="12" t="s">
        <v>1786</v>
      </c>
    </row>
    <row r="1341" spans="1:11" ht="30" customHeight="1">
      <c r="A1341" s="12" t="s">
        <v>127</v>
      </c>
      <c r="B1341" s="12" t="s">
        <v>123</v>
      </c>
      <c r="C1341" s="12" t="s">
        <v>98</v>
      </c>
      <c r="D1341" s="12" t="s">
        <v>559</v>
      </c>
      <c r="E1341" s="17">
        <v>-798.78</v>
      </c>
      <c r="F1341" s="12" t="s">
        <v>54</v>
      </c>
      <c r="G1341" s="12" t="s">
        <v>126</v>
      </c>
      <c r="H1341" s="12" t="s">
        <v>1784</v>
      </c>
      <c r="I1341" s="12" t="s">
        <v>126</v>
      </c>
      <c r="J1341" s="12" t="s">
        <v>1785</v>
      </c>
      <c r="K1341" s="12" t="s">
        <v>1786</v>
      </c>
    </row>
    <row r="1342" spans="1:11" ht="30" customHeight="1">
      <c r="A1342" s="12" t="s">
        <v>127</v>
      </c>
      <c r="B1342" s="12" t="s">
        <v>123</v>
      </c>
      <c r="C1342" s="12" t="s">
        <v>98</v>
      </c>
      <c r="D1342" s="12" t="s">
        <v>561</v>
      </c>
      <c r="E1342" s="17">
        <v>4081.61</v>
      </c>
      <c r="F1342" s="12" t="s">
        <v>54</v>
      </c>
      <c r="G1342" s="12" t="s">
        <v>126</v>
      </c>
      <c r="H1342" s="12" t="s">
        <v>1784</v>
      </c>
      <c r="I1342" s="12" t="s">
        <v>126</v>
      </c>
      <c r="J1342" s="12" t="s">
        <v>1785</v>
      </c>
      <c r="K1342" s="12" t="s">
        <v>1786</v>
      </c>
    </row>
    <row r="1343" spans="1:11" ht="30" customHeight="1">
      <c r="A1343" s="12" t="s">
        <v>127</v>
      </c>
      <c r="B1343" s="12" t="s">
        <v>123</v>
      </c>
      <c r="C1343" s="12" t="s">
        <v>98</v>
      </c>
      <c r="D1343" s="12" t="s">
        <v>779</v>
      </c>
      <c r="E1343" s="17">
        <v>6166.55</v>
      </c>
      <c r="F1343" s="12" t="s">
        <v>54</v>
      </c>
      <c r="G1343" s="12" t="s">
        <v>126</v>
      </c>
      <c r="H1343" s="12" t="s">
        <v>1784</v>
      </c>
      <c r="I1343" s="12" t="s">
        <v>126</v>
      </c>
      <c r="J1343" s="12" t="s">
        <v>1785</v>
      </c>
      <c r="K1343" s="12" t="s">
        <v>1786</v>
      </c>
    </row>
    <row r="1344" spans="1:11" ht="30" customHeight="1">
      <c r="A1344" s="12" t="s">
        <v>127</v>
      </c>
      <c r="B1344" s="12" t="s">
        <v>123</v>
      </c>
      <c r="C1344" s="12" t="s">
        <v>98</v>
      </c>
      <c r="D1344" s="12" t="s">
        <v>562</v>
      </c>
      <c r="E1344" s="17">
        <v>377.96</v>
      </c>
      <c r="F1344" s="12" t="s">
        <v>54</v>
      </c>
      <c r="G1344" s="12" t="s">
        <v>126</v>
      </c>
      <c r="H1344" s="12" t="s">
        <v>1784</v>
      </c>
      <c r="I1344" s="12" t="s">
        <v>126</v>
      </c>
      <c r="J1344" s="12" t="s">
        <v>1785</v>
      </c>
      <c r="K1344" s="12" t="s">
        <v>1786</v>
      </c>
    </row>
    <row r="1345" spans="1:11" ht="30" customHeight="1">
      <c r="A1345" s="12" t="s">
        <v>127</v>
      </c>
      <c r="B1345" s="12" t="s">
        <v>123</v>
      </c>
      <c r="C1345" s="12" t="s">
        <v>98</v>
      </c>
      <c r="D1345" s="12" t="s">
        <v>564</v>
      </c>
      <c r="E1345" s="17">
        <v>1961.52</v>
      </c>
      <c r="F1345" s="12" t="s">
        <v>54</v>
      </c>
      <c r="G1345" s="12" t="s">
        <v>126</v>
      </c>
      <c r="H1345" s="12" t="s">
        <v>1787</v>
      </c>
      <c r="I1345" s="12" t="s">
        <v>126</v>
      </c>
      <c r="J1345" s="12" t="s">
        <v>1788</v>
      </c>
      <c r="K1345" s="12" t="s">
        <v>1789</v>
      </c>
    </row>
    <row r="1346" spans="1:11" ht="30" customHeight="1">
      <c r="A1346" s="12" t="s">
        <v>212</v>
      </c>
      <c r="B1346" s="12" t="s">
        <v>206</v>
      </c>
      <c r="C1346" s="12" t="s">
        <v>207</v>
      </c>
      <c r="D1346" s="12" t="s">
        <v>558</v>
      </c>
      <c r="E1346" s="17">
        <v>11406.71</v>
      </c>
      <c r="F1346" s="12" t="s">
        <v>32</v>
      </c>
      <c r="G1346" s="12" t="s">
        <v>211</v>
      </c>
      <c r="H1346" s="12" t="s">
        <v>1790</v>
      </c>
      <c r="I1346" s="12" t="s">
        <v>211</v>
      </c>
      <c r="J1346" s="12" t="s">
        <v>1791</v>
      </c>
      <c r="K1346" s="12" t="s">
        <v>1792</v>
      </c>
    </row>
    <row r="1347" spans="1:11" ht="30" customHeight="1">
      <c r="A1347" s="12" t="s">
        <v>212</v>
      </c>
      <c r="B1347" s="12" t="s">
        <v>206</v>
      </c>
      <c r="C1347" s="12" t="s">
        <v>207</v>
      </c>
      <c r="D1347" s="12" t="s">
        <v>561</v>
      </c>
      <c r="E1347" s="17">
        <v>82.33</v>
      </c>
      <c r="F1347" s="12" t="s">
        <v>32</v>
      </c>
      <c r="G1347" s="12" t="s">
        <v>211</v>
      </c>
      <c r="H1347" s="12" t="s">
        <v>1790</v>
      </c>
      <c r="I1347" s="12" t="s">
        <v>211</v>
      </c>
      <c r="J1347" s="12" t="s">
        <v>1791</v>
      </c>
      <c r="K1347" s="12" t="s">
        <v>1792</v>
      </c>
    </row>
    <row r="1348" spans="1:11" ht="30" customHeight="1">
      <c r="A1348" s="12" t="s">
        <v>212</v>
      </c>
      <c r="B1348" s="12" t="s">
        <v>206</v>
      </c>
      <c r="C1348" s="12" t="s">
        <v>207</v>
      </c>
      <c r="D1348" s="12" t="s">
        <v>1793</v>
      </c>
      <c r="E1348" s="17">
        <v>1853.55</v>
      </c>
      <c r="F1348" s="12" t="s">
        <v>32</v>
      </c>
      <c r="G1348" s="12" t="s">
        <v>211</v>
      </c>
      <c r="H1348" s="12" t="s">
        <v>1790</v>
      </c>
      <c r="I1348" s="12" t="s">
        <v>211</v>
      </c>
      <c r="J1348" s="12" t="s">
        <v>1791</v>
      </c>
      <c r="K1348" s="12" t="s">
        <v>1792</v>
      </c>
    </row>
    <row r="1349" spans="1:11" ht="30" customHeight="1">
      <c r="A1349" s="12" t="s">
        <v>212</v>
      </c>
      <c r="B1349" s="12" t="s">
        <v>206</v>
      </c>
      <c r="C1349" s="12" t="s">
        <v>207</v>
      </c>
      <c r="D1349" s="12" t="s">
        <v>557</v>
      </c>
      <c r="E1349" s="17">
        <v>16646.2</v>
      </c>
      <c r="F1349" s="12" t="s">
        <v>32</v>
      </c>
      <c r="G1349" s="12" t="s">
        <v>211</v>
      </c>
      <c r="H1349" s="12" t="s">
        <v>1794</v>
      </c>
      <c r="I1349" s="12" t="s">
        <v>211</v>
      </c>
      <c r="J1349" s="12" t="s">
        <v>1795</v>
      </c>
      <c r="K1349" s="12" t="s">
        <v>1796</v>
      </c>
    </row>
    <row r="1350" spans="1:11" ht="30" customHeight="1">
      <c r="A1350" s="12" t="s">
        <v>212</v>
      </c>
      <c r="B1350" s="12" t="s">
        <v>206</v>
      </c>
      <c r="C1350" s="12" t="s">
        <v>207</v>
      </c>
      <c r="D1350" s="12" t="s">
        <v>559</v>
      </c>
      <c r="E1350" s="17">
        <v>1649.39</v>
      </c>
      <c r="F1350" s="12" t="s">
        <v>32</v>
      </c>
      <c r="G1350" s="12" t="s">
        <v>211</v>
      </c>
      <c r="H1350" s="12" t="s">
        <v>1794</v>
      </c>
      <c r="I1350" s="12" t="s">
        <v>211</v>
      </c>
      <c r="J1350" s="12" t="s">
        <v>1795</v>
      </c>
      <c r="K1350" s="12" t="s">
        <v>1796</v>
      </c>
    </row>
    <row r="1351" spans="1:11" ht="30" customHeight="1">
      <c r="A1351" s="12" t="s">
        <v>212</v>
      </c>
      <c r="B1351" s="12" t="s">
        <v>206</v>
      </c>
      <c r="C1351" s="12" t="s">
        <v>207</v>
      </c>
      <c r="D1351" s="12" t="s">
        <v>562</v>
      </c>
      <c r="E1351" s="17">
        <v>48.42</v>
      </c>
      <c r="F1351" s="12" t="s">
        <v>32</v>
      </c>
      <c r="G1351" s="12" t="s">
        <v>211</v>
      </c>
      <c r="H1351" s="12" t="s">
        <v>1794</v>
      </c>
      <c r="I1351" s="12" t="s">
        <v>211</v>
      </c>
      <c r="J1351" s="12" t="s">
        <v>1795</v>
      </c>
      <c r="K1351" s="12" t="s">
        <v>1796</v>
      </c>
    </row>
    <row r="1352" spans="1:11" ht="30" customHeight="1">
      <c r="A1352" s="12" t="s">
        <v>212</v>
      </c>
      <c r="B1352" s="12" t="s">
        <v>206</v>
      </c>
      <c r="C1352" s="12" t="s">
        <v>207</v>
      </c>
      <c r="D1352" s="12" t="s">
        <v>564</v>
      </c>
      <c r="E1352" s="17">
        <v>572.95</v>
      </c>
      <c r="F1352" s="12" t="s">
        <v>32</v>
      </c>
      <c r="G1352" s="12" t="s">
        <v>211</v>
      </c>
      <c r="H1352" s="12" t="s">
        <v>1797</v>
      </c>
      <c r="I1352" s="12" t="s">
        <v>211</v>
      </c>
      <c r="J1352" s="12" t="s">
        <v>1798</v>
      </c>
      <c r="K1352" s="12" t="s">
        <v>1799</v>
      </c>
    </row>
    <row r="1353" spans="1:11" ht="30" customHeight="1">
      <c r="A1353" s="12" t="s">
        <v>227</v>
      </c>
      <c r="B1353" s="12" t="s">
        <v>223</v>
      </c>
      <c r="C1353" s="12" t="s">
        <v>207</v>
      </c>
      <c r="D1353" s="12" t="s">
        <v>558</v>
      </c>
      <c r="E1353" s="17">
        <v>14136.75</v>
      </c>
      <c r="F1353" s="12" t="s">
        <v>54</v>
      </c>
      <c r="G1353" s="12" t="s">
        <v>683</v>
      </c>
      <c r="H1353" s="12" t="s">
        <v>1800</v>
      </c>
      <c r="I1353" s="12" t="s">
        <v>683</v>
      </c>
      <c r="J1353" s="12" t="s">
        <v>1801</v>
      </c>
      <c r="K1353" s="12" t="s">
        <v>1802</v>
      </c>
    </row>
    <row r="1354" spans="1:11" ht="30" customHeight="1">
      <c r="A1354" s="12" t="s">
        <v>227</v>
      </c>
      <c r="B1354" s="12" t="s">
        <v>223</v>
      </c>
      <c r="C1354" s="12" t="s">
        <v>207</v>
      </c>
      <c r="D1354" s="12" t="s">
        <v>561</v>
      </c>
      <c r="E1354" s="17">
        <v>2812.49</v>
      </c>
      <c r="F1354" s="12" t="s">
        <v>54</v>
      </c>
      <c r="G1354" s="12" t="s">
        <v>683</v>
      </c>
      <c r="H1354" s="12" t="s">
        <v>1800</v>
      </c>
      <c r="I1354" s="12" t="s">
        <v>683</v>
      </c>
      <c r="J1354" s="12" t="s">
        <v>1801</v>
      </c>
      <c r="K1354" s="12" t="s">
        <v>1802</v>
      </c>
    </row>
    <row r="1355" spans="1:11" ht="30" customHeight="1">
      <c r="A1355" s="12" t="s">
        <v>227</v>
      </c>
      <c r="B1355" s="12" t="s">
        <v>223</v>
      </c>
      <c r="C1355" s="12" t="s">
        <v>207</v>
      </c>
      <c r="D1355" s="12" t="s">
        <v>1793</v>
      </c>
      <c r="E1355" s="17">
        <v>2408.19</v>
      </c>
      <c r="F1355" s="12" t="s">
        <v>54</v>
      </c>
      <c r="G1355" s="12" t="s">
        <v>683</v>
      </c>
      <c r="H1355" s="12" t="s">
        <v>1800</v>
      </c>
      <c r="I1355" s="12" t="s">
        <v>683</v>
      </c>
      <c r="J1355" s="12" t="s">
        <v>1801</v>
      </c>
      <c r="K1355" s="12" t="s">
        <v>1802</v>
      </c>
    </row>
    <row r="1356" spans="1:11" ht="30" customHeight="1">
      <c r="A1356" s="12" t="s">
        <v>227</v>
      </c>
      <c r="B1356" s="12" t="s">
        <v>223</v>
      </c>
      <c r="C1356" s="12" t="s">
        <v>207</v>
      </c>
      <c r="D1356" s="12" t="s">
        <v>557</v>
      </c>
      <c r="E1356" s="17">
        <v>14263.91</v>
      </c>
      <c r="F1356" s="12" t="s">
        <v>54</v>
      </c>
      <c r="G1356" s="12" t="s">
        <v>683</v>
      </c>
      <c r="H1356" s="12" t="s">
        <v>1803</v>
      </c>
      <c r="I1356" s="12" t="s">
        <v>683</v>
      </c>
      <c r="J1356" s="12" t="s">
        <v>1804</v>
      </c>
      <c r="K1356" s="12" t="s">
        <v>1805</v>
      </c>
    </row>
    <row r="1357" spans="1:11" ht="30" customHeight="1">
      <c r="A1357" s="12" t="s">
        <v>227</v>
      </c>
      <c r="B1357" s="12" t="s">
        <v>223</v>
      </c>
      <c r="C1357" s="12" t="s">
        <v>207</v>
      </c>
      <c r="D1357" s="12" t="s">
        <v>559</v>
      </c>
      <c r="E1357" s="17">
        <v>855.98</v>
      </c>
      <c r="F1357" s="12" t="s">
        <v>54</v>
      </c>
      <c r="G1357" s="12" t="s">
        <v>683</v>
      </c>
      <c r="H1357" s="12" t="s">
        <v>1803</v>
      </c>
      <c r="I1357" s="12" t="s">
        <v>683</v>
      </c>
      <c r="J1357" s="12" t="s">
        <v>1804</v>
      </c>
      <c r="K1357" s="12" t="s">
        <v>1805</v>
      </c>
    </row>
    <row r="1358" spans="1:11" ht="30" customHeight="1">
      <c r="A1358" s="12" t="s">
        <v>227</v>
      </c>
      <c r="B1358" s="12" t="s">
        <v>223</v>
      </c>
      <c r="C1358" s="12" t="s">
        <v>207</v>
      </c>
      <c r="D1358" s="12" t="s">
        <v>562</v>
      </c>
      <c r="E1358" s="17">
        <v>175.66</v>
      </c>
      <c r="F1358" s="12" t="s">
        <v>54</v>
      </c>
      <c r="G1358" s="12" t="s">
        <v>683</v>
      </c>
      <c r="H1358" s="12" t="s">
        <v>1803</v>
      </c>
      <c r="I1358" s="12" t="s">
        <v>683</v>
      </c>
      <c r="J1358" s="12" t="s">
        <v>1804</v>
      </c>
      <c r="K1358" s="12" t="s">
        <v>1805</v>
      </c>
    </row>
    <row r="1359" spans="1:11" ht="30" customHeight="1">
      <c r="A1359" s="12" t="s">
        <v>227</v>
      </c>
      <c r="B1359" s="12" t="s">
        <v>223</v>
      </c>
      <c r="C1359" s="12" t="s">
        <v>207</v>
      </c>
      <c r="D1359" s="12" t="s">
        <v>564</v>
      </c>
      <c r="E1359" s="17">
        <v>887.3099999999999</v>
      </c>
      <c r="F1359" s="12" t="s">
        <v>54</v>
      </c>
      <c r="G1359" s="12" t="s">
        <v>683</v>
      </c>
      <c r="H1359" s="12" t="s">
        <v>1806</v>
      </c>
      <c r="I1359" s="12" t="s">
        <v>683</v>
      </c>
      <c r="J1359" s="12" t="s">
        <v>1807</v>
      </c>
      <c r="K1359" s="12" t="s">
        <v>1808</v>
      </c>
    </row>
    <row r="1360" spans="1:11" ht="30" customHeight="1">
      <c r="A1360" s="12" t="s">
        <v>278</v>
      </c>
      <c r="B1360" s="12" t="s">
        <v>274</v>
      </c>
      <c r="C1360" s="12" t="s">
        <v>207</v>
      </c>
      <c r="D1360" s="12" t="s">
        <v>558</v>
      </c>
      <c r="E1360" s="17">
        <v>11724.31</v>
      </c>
      <c r="F1360" s="12" t="s">
        <v>54</v>
      </c>
      <c r="G1360" s="12" t="s">
        <v>702</v>
      </c>
      <c r="H1360" s="12" t="s">
        <v>1809</v>
      </c>
      <c r="I1360" s="12" t="s">
        <v>702</v>
      </c>
      <c r="J1360" s="12" t="s">
        <v>1810</v>
      </c>
      <c r="K1360" s="12" t="s">
        <v>1811</v>
      </c>
    </row>
    <row r="1361" spans="1:11" ht="30" customHeight="1">
      <c r="A1361" s="12" t="s">
        <v>278</v>
      </c>
      <c r="B1361" s="12" t="s">
        <v>274</v>
      </c>
      <c r="C1361" s="12" t="s">
        <v>207</v>
      </c>
      <c r="D1361" s="12" t="s">
        <v>561</v>
      </c>
      <c r="E1361" s="17">
        <v>3959.25</v>
      </c>
      <c r="F1361" s="12" t="s">
        <v>54</v>
      </c>
      <c r="G1361" s="12" t="s">
        <v>702</v>
      </c>
      <c r="H1361" s="12" t="s">
        <v>1809</v>
      </c>
      <c r="I1361" s="12" t="s">
        <v>702</v>
      </c>
      <c r="J1361" s="12" t="s">
        <v>1810</v>
      </c>
      <c r="K1361" s="12" t="s">
        <v>1811</v>
      </c>
    </row>
    <row r="1362" spans="1:11" ht="30" customHeight="1">
      <c r="A1362" s="12" t="s">
        <v>278</v>
      </c>
      <c r="B1362" s="12" t="s">
        <v>274</v>
      </c>
      <c r="C1362" s="12" t="s">
        <v>207</v>
      </c>
      <c r="D1362" s="12" t="s">
        <v>1793</v>
      </c>
      <c r="E1362" s="17">
        <v>1995.77</v>
      </c>
      <c r="F1362" s="12" t="s">
        <v>54</v>
      </c>
      <c r="G1362" s="12" t="s">
        <v>702</v>
      </c>
      <c r="H1362" s="12" t="s">
        <v>1809</v>
      </c>
      <c r="I1362" s="12" t="s">
        <v>702</v>
      </c>
      <c r="J1362" s="12" t="s">
        <v>1810</v>
      </c>
      <c r="K1362" s="12" t="s">
        <v>1811</v>
      </c>
    </row>
    <row r="1363" spans="1:11" ht="30" customHeight="1">
      <c r="A1363" s="12" t="s">
        <v>278</v>
      </c>
      <c r="B1363" s="12" t="s">
        <v>274</v>
      </c>
      <c r="C1363" s="12" t="s">
        <v>207</v>
      </c>
      <c r="D1363" s="12" t="s">
        <v>557</v>
      </c>
      <c r="E1363" s="17">
        <v>21514.18</v>
      </c>
      <c r="F1363" s="12" t="s">
        <v>54</v>
      </c>
      <c r="G1363" s="12" t="s">
        <v>702</v>
      </c>
      <c r="H1363" s="12" t="s">
        <v>1812</v>
      </c>
      <c r="I1363" s="12" t="s">
        <v>702</v>
      </c>
      <c r="J1363" s="12" t="s">
        <v>1813</v>
      </c>
      <c r="K1363" s="12" t="s">
        <v>1814</v>
      </c>
    </row>
    <row r="1364" spans="1:11" ht="30" customHeight="1">
      <c r="A1364" s="12" t="s">
        <v>278</v>
      </c>
      <c r="B1364" s="12" t="s">
        <v>274</v>
      </c>
      <c r="C1364" s="12" t="s">
        <v>207</v>
      </c>
      <c r="D1364" s="12" t="s">
        <v>559</v>
      </c>
      <c r="E1364" s="17">
        <v>211.49</v>
      </c>
      <c r="F1364" s="12" t="s">
        <v>54</v>
      </c>
      <c r="G1364" s="12" t="s">
        <v>702</v>
      </c>
      <c r="H1364" s="12" t="s">
        <v>1812</v>
      </c>
      <c r="I1364" s="12" t="s">
        <v>702</v>
      </c>
      <c r="J1364" s="12" t="s">
        <v>1813</v>
      </c>
      <c r="K1364" s="12" t="s">
        <v>1814</v>
      </c>
    </row>
    <row r="1365" spans="1:11" ht="30" customHeight="1">
      <c r="A1365" s="12" t="s">
        <v>278</v>
      </c>
      <c r="B1365" s="12" t="s">
        <v>274</v>
      </c>
      <c r="C1365" s="12" t="s">
        <v>207</v>
      </c>
      <c r="D1365" s="12" t="s">
        <v>562</v>
      </c>
      <c r="E1365" s="17">
        <v>249.33</v>
      </c>
      <c r="F1365" s="12" t="s">
        <v>54</v>
      </c>
      <c r="G1365" s="12" t="s">
        <v>702</v>
      </c>
      <c r="H1365" s="12" t="s">
        <v>1812</v>
      </c>
      <c r="I1365" s="12" t="s">
        <v>702</v>
      </c>
      <c r="J1365" s="12" t="s">
        <v>1813</v>
      </c>
      <c r="K1365" s="12" t="s">
        <v>1814</v>
      </c>
    </row>
    <row r="1366" spans="1:11" ht="30" customHeight="1">
      <c r="A1366" s="12" t="s">
        <v>278</v>
      </c>
      <c r="B1366" s="12" t="s">
        <v>274</v>
      </c>
      <c r="C1366" s="12" t="s">
        <v>207</v>
      </c>
      <c r="D1366" s="12" t="s">
        <v>564</v>
      </c>
      <c r="E1366" s="17">
        <v>227.86</v>
      </c>
      <c r="F1366" s="12" t="s">
        <v>54</v>
      </c>
      <c r="G1366" s="12" t="s">
        <v>702</v>
      </c>
      <c r="H1366" s="12" t="s">
        <v>1815</v>
      </c>
      <c r="I1366" s="12" t="s">
        <v>702</v>
      </c>
      <c r="J1366" s="12" t="s">
        <v>1816</v>
      </c>
      <c r="K1366" s="12" t="s">
        <v>1817</v>
      </c>
    </row>
    <row r="1367" spans="1:11" ht="30" customHeight="1">
      <c r="A1367" s="12" t="s">
        <v>289</v>
      </c>
      <c r="B1367" s="12" t="s">
        <v>286</v>
      </c>
      <c r="C1367" s="12" t="s">
        <v>207</v>
      </c>
      <c r="D1367" s="12" t="s">
        <v>558</v>
      </c>
      <c r="E1367" s="17">
        <v>11266.63</v>
      </c>
      <c r="F1367" s="12" t="s">
        <v>32</v>
      </c>
      <c r="G1367" s="12" t="s">
        <v>288</v>
      </c>
      <c r="H1367" s="12" t="s">
        <v>1818</v>
      </c>
      <c r="I1367" s="12" t="s">
        <v>288</v>
      </c>
      <c r="J1367" s="12" t="s">
        <v>1819</v>
      </c>
      <c r="K1367" s="12" t="s">
        <v>1820</v>
      </c>
    </row>
    <row r="1368" spans="1:11" ht="30" customHeight="1">
      <c r="A1368" s="12" t="s">
        <v>289</v>
      </c>
      <c r="B1368" s="12" t="s">
        <v>286</v>
      </c>
      <c r="C1368" s="12" t="s">
        <v>207</v>
      </c>
      <c r="D1368" s="12" t="s">
        <v>561</v>
      </c>
      <c r="E1368" s="17">
        <v>2751.92</v>
      </c>
      <c r="F1368" s="12" t="s">
        <v>32</v>
      </c>
      <c r="G1368" s="12" t="s">
        <v>288</v>
      </c>
      <c r="H1368" s="12" t="s">
        <v>1818</v>
      </c>
      <c r="I1368" s="12" t="s">
        <v>288</v>
      </c>
      <c r="J1368" s="12" t="s">
        <v>1819</v>
      </c>
      <c r="K1368" s="12" t="s">
        <v>1820</v>
      </c>
    </row>
    <row r="1369" spans="1:11" ht="30" customHeight="1">
      <c r="A1369" s="12" t="s">
        <v>289</v>
      </c>
      <c r="B1369" s="12" t="s">
        <v>286</v>
      </c>
      <c r="C1369" s="12" t="s">
        <v>207</v>
      </c>
      <c r="D1369" s="12" t="s">
        <v>1793</v>
      </c>
      <c r="E1369" s="17">
        <v>3283.25</v>
      </c>
      <c r="F1369" s="12" t="s">
        <v>32</v>
      </c>
      <c r="G1369" s="12" t="s">
        <v>288</v>
      </c>
      <c r="H1369" s="12" t="s">
        <v>1818</v>
      </c>
      <c r="I1369" s="12" t="s">
        <v>288</v>
      </c>
      <c r="J1369" s="12" t="s">
        <v>1819</v>
      </c>
      <c r="K1369" s="12" t="s">
        <v>1820</v>
      </c>
    </row>
    <row r="1370" spans="1:11" ht="30" customHeight="1">
      <c r="A1370" s="12" t="s">
        <v>289</v>
      </c>
      <c r="B1370" s="12" t="s">
        <v>286</v>
      </c>
      <c r="C1370" s="12" t="s">
        <v>207</v>
      </c>
      <c r="D1370" s="12" t="s">
        <v>557</v>
      </c>
      <c r="E1370" s="17">
        <v>16933.64</v>
      </c>
      <c r="F1370" s="12" t="s">
        <v>32</v>
      </c>
      <c r="G1370" s="12" t="s">
        <v>288</v>
      </c>
      <c r="H1370" s="12" t="s">
        <v>1821</v>
      </c>
      <c r="I1370" s="12" t="s">
        <v>288</v>
      </c>
      <c r="J1370" s="12" t="s">
        <v>1822</v>
      </c>
      <c r="K1370" s="12" t="s">
        <v>1823</v>
      </c>
    </row>
    <row r="1371" spans="1:11" ht="30" customHeight="1">
      <c r="A1371" s="12" t="s">
        <v>289</v>
      </c>
      <c r="B1371" s="12" t="s">
        <v>286</v>
      </c>
      <c r="C1371" s="12" t="s">
        <v>207</v>
      </c>
      <c r="D1371" s="12" t="s">
        <v>559</v>
      </c>
      <c r="E1371" s="17">
        <v>242.45</v>
      </c>
      <c r="F1371" s="12" t="s">
        <v>32</v>
      </c>
      <c r="G1371" s="12" t="s">
        <v>288</v>
      </c>
      <c r="H1371" s="12" t="s">
        <v>1821</v>
      </c>
      <c r="I1371" s="12" t="s">
        <v>288</v>
      </c>
      <c r="J1371" s="12" t="s">
        <v>1822</v>
      </c>
      <c r="K1371" s="12" t="s">
        <v>1823</v>
      </c>
    </row>
    <row r="1372" spans="1:11" ht="30" customHeight="1">
      <c r="A1372" s="12" t="s">
        <v>289</v>
      </c>
      <c r="B1372" s="12" t="s">
        <v>286</v>
      </c>
      <c r="C1372" s="12" t="s">
        <v>207</v>
      </c>
      <c r="D1372" s="12" t="s">
        <v>562</v>
      </c>
      <c r="E1372" s="17">
        <v>253.68</v>
      </c>
      <c r="F1372" s="12" t="s">
        <v>32</v>
      </c>
      <c r="G1372" s="12" t="s">
        <v>288</v>
      </c>
      <c r="H1372" s="12" t="s">
        <v>1821</v>
      </c>
      <c r="I1372" s="12" t="s">
        <v>288</v>
      </c>
      <c r="J1372" s="12" t="s">
        <v>1822</v>
      </c>
      <c r="K1372" s="12" t="s">
        <v>1823</v>
      </c>
    </row>
    <row r="1373" spans="1:11" ht="30" customHeight="1">
      <c r="A1373" s="12" t="s">
        <v>289</v>
      </c>
      <c r="B1373" s="12" t="s">
        <v>286</v>
      </c>
      <c r="C1373" s="12" t="s">
        <v>207</v>
      </c>
      <c r="D1373" s="12" t="s">
        <v>564</v>
      </c>
      <c r="E1373" s="17">
        <v>827.34</v>
      </c>
      <c r="F1373" s="12" t="s">
        <v>32</v>
      </c>
      <c r="G1373" s="12" t="s">
        <v>288</v>
      </c>
      <c r="H1373" s="12" t="s">
        <v>1824</v>
      </c>
      <c r="I1373" s="12" t="s">
        <v>288</v>
      </c>
      <c r="J1373" s="12" t="s">
        <v>1825</v>
      </c>
      <c r="K1373" s="12" t="s">
        <v>1826</v>
      </c>
    </row>
    <row r="1374" spans="1:11" ht="30" customHeight="1">
      <c r="A1374" s="12" t="s">
        <v>294</v>
      </c>
      <c r="B1374" s="12" t="s">
        <v>291</v>
      </c>
      <c r="C1374" s="12" t="s">
        <v>207</v>
      </c>
      <c r="D1374" s="12" t="s">
        <v>558</v>
      </c>
      <c r="E1374" s="17">
        <v>2284.84</v>
      </c>
      <c r="F1374" s="12" t="s">
        <v>32</v>
      </c>
      <c r="G1374" s="12" t="s">
        <v>293</v>
      </c>
      <c r="H1374" s="12" t="s">
        <v>1827</v>
      </c>
      <c r="I1374" s="12" t="s">
        <v>293</v>
      </c>
      <c r="J1374" s="12" t="s">
        <v>1828</v>
      </c>
      <c r="K1374" s="12" t="s">
        <v>1829</v>
      </c>
    </row>
    <row r="1375" spans="1:11" ht="30" customHeight="1">
      <c r="A1375" s="12" t="s">
        <v>294</v>
      </c>
      <c r="B1375" s="12" t="s">
        <v>291</v>
      </c>
      <c r="C1375" s="12" t="s">
        <v>207</v>
      </c>
      <c r="D1375" s="12" t="s">
        <v>561</v>
      </c>
      <c r="E1375" s="17">
        <v>715.99</v>
      </c>
      <c r="F1375" s="12" t="s">
        <v>32</v>
      </c>
      <c r="G1375" s="12" t="s">
        <v>293</v>
      </c>
      <c r="H1375" s="12" t="s">
        <v>1827</v>
      </c>
      <c r="I1375" s="12" t="s">
        <v>293</v>
      </c>
      <c r="J1375" s="12" t="s">
        <v>1828</v>
      </c>
      <c r="K1375" s="12" t="s">
        <v>1829</v>
      </c>
    </row>
    <row r="1376" spans="1:11" ht="30" customHeight="1">
      <c r="A1376" s="12" t="s">
        <v>294</v>
      </c>
      <c r="B1376" s="12" t="s">
        <v>291</v>
      </c>
      <c r="C1376" s="12" t="s">
        <v>207</v>
      </c>
      <c r="D1376" s="12" t="s">
        <v>1793</v>
      </c>
      <c r="E1376" s="17">
        <v>464.43</v>
      </c>
      <c r="F1376" s="12" t="s">
        <v>32</v>
      </c>
      <c r="G1376" s="12" t="s">
        <v>293</v>
      </c>
      <c r="H1376" s="12" t="s">
        <v>1827</v>
      </c>
      <c r="I1376" s="12" t="s">
        <v>293</v>
      </c>
      <c r="J1376" s="12" t="s">
        <v>1828</v>
      </c>
      <c r="K1376" s="12" t="s">
        <v>1829</v>
      </c>
    </row>
    <row r="1377" spans="1:11" ht="30" customHeight="1">
      <c r="A1377" s="12" t="s">
        <v>294</v>
      </c>
      <c r="B1377" s="12" t="s">
        <v>291</v>
      </c>
      <c r="C1377" s="12" t="s">
        <v>207</v>
      </c>
      <c r="D1377" s="12" t="s">
        <v>557</v>
      </c>
      <c r="E1377" s="17">
        <v>3086.33</v>
      </c>
      <c r="F1377" s="12" t="s">
        <v>32</v>
      </c>
      <c r="G1377" s="12" t="s">
        <v>293</v>
      </c>
      <c r="H1377" s="12" t="s">
        <v>1830</v>
      </c>
      <c r="I1377" s="12" t="s">
        <v>293</v>
      </c>
      <c r="J1377" s="12" t="s">
        <v>1831</v>
      </c>
      <c r="K1377" s="12" t="s">
        <v>1832</v>
      </c>
    </row>
    <row r="1378" spans="1:11" ht="30" customHeight="1">
      <c r="A1378" s="12" t="s">
        <v>294</v>
      </c>
      <c r="B1378" s="12" t="s">
        <v>291</v>
      </c>
      <c r="C1378" s="12" t="s">
        <v>207</v>
      </c>
      <c r="D1378" s="12" t="s">
        <v>559</v>
      </c>
      <c r="E1378" s="17">
        <v>155.62</v>
      </c>
      <c r="F1378" s="12" t="s">
        <v>32</v>
      </c>
      <c r="G1378" s="12" t="s">
        <v>293</v>
      </c>
      <c r="H1378" s="12" t="s">
        <v>1830</v>
      </c>
      <c r="I1378" s="12" t="s">
        <v>293</v>
      </c>
      <c r="J1378" s="12" t="s">
        <v>1831</v>
      </c>
      <c r="K1378" s="12" t="s">
        <v>1832</v>
      </c>
    </row>
    <row r="1379" spans="1:11" ht="30" customHeight="1">
      <c r="A1379" s="12" t="s">
        <v>294</v>
      </c>
      <c r="B1379" s="12" t="s">
        <v>291</v>
      </c>
      <c r="C1379" s="12" t="s">
        <v>207</v>
      </c>
      <c r="D1379" s="12" t="s">
        <v>562</v>
      </c>
      <c r="E1379" s="17">
        <v>55.04</v>
      </c>
      <c r="F1379" s="12" t="s">
        <v>32</v>
      </c>
      <c r="G1379" s="12" t="s">
        <v>293</v>
      </c>
      <c r="H1379" s="12" t="s">
        <v>1830</v>
      </c>
      <c r="I1379" s="12" t="s">
        <v>293</v>
      </c>
      <c r="J1379" s="12" t="s">
        <v>1831</v>
      </c>
      <c r="K1379" s="12" t="s">
        <v>1832</v>
      </c>
    </row>
    <row r="1380" spans="1:11" ht="30" customHeight="1">
      <c r="A1380" s="12" t="s">
        <v>294</v>
      </c>
      <c r="B1380" s="12" t="s">
        <v>291</v>
      </c>
      <c r="C1380" s="12" t="s">
        <v>207</v>
      </c>
      <c r="D1380" s="12" t="s">
        <v>564</v>
      </c>
      <c r="E1380" s="17">
        <v>252.66</v>
      </c>
      <c r="F1380" s="12" t="s">
        <v>32</v>
      </c>
      <c r="G1380" s="12" t="s">
        <v>293</v>
      </c>
      <c r="H1380" s="12" t="s">
        <v>1800</v>
      </c>
      <c r="I1380" s="12" t="s">
        <v>293</v>
      </c>
      <c r="J1380" s="12" t="s">
        <v>1833</v>
      </c>
      <c r="K1380" s="12" t="s">
        <v>1834</v>
      </c>
    </row>
    <row r="1381" spans="1:11" ht="30" customHeight="1">
      <c r="A1381" s="12" t="s">
        <v>284</v>
      </c>
      <c r="B1381" s="12" t="s">
        <v>280</v>
      </c>
      <c r="C1381" s="12" t="s">
        <v>207</v>
      </c>
      <c r="D1381" s="12" t="s">
        <v>558</v>
      </c>
      <c r="E1381" s="17">
        <v>12276.7</v>
      </c>
      <c r="F1381" s="12" t="s">
        <v>32</v>
      </c>
      <c r="G1381" s="12" t="s">
        <v>283</v>
      </c>
      <c r="H1381" s="12" t="s">
        <v>1835</v>
      </c>
      <c r="I1381" s="12" t="s">
        <v>283</v>
      </c>
      <c r="J1381" s="12" t="s">
        <v>1836</v>
      </c>
      <c r="K1381" s="12" t="s">
        <v>1837</v>
      </c>
    </row>
    <row r="1382" spans="1:11" ht="30" customHeight="1">
      <c r="A1382" s="12" t="s">
        <v>284</v>
      </c>
      <c r="B1382" s="12" t="s">
        <v>280</v>
      </c>
      <c r="C1382" s="12" t="s">
        <v>207</v>
      </c>
      <c r="D1382" s="12" t="s">
        <v>561</v>
      </c>
      <c r="E1382" s="17">
        <v>111.7</v>
      </c>
      <c r="F1382" s="12" t="s">
        <v>32</v>
      </c>
      <c r="G1382" s="12" t="s">
        <v>283</v>
      </c>
      <c r="H1382" s="12" t="s">
        <v>1835</v>
      </c>
      <c r="I1382" s="12" t="s">
        <v>283</v>
      </c>
      <c r="J1382" s="12" t="s">
        <v>1836</v>
      </c>
      <c r="K1382" s="12" t="s">
        <v>1837</v>
      </c>
    </row>
    <row r="1383" spans="1:11" ht="30" customHeight="1">
      <c r="A1383" s="12" t="s">
        <v>284</v>
      </c>
      <c r="B1383" s="12" t="s">
        <v>280</v>
      </c>
      <c r="C1383" s="12" t="s">
        <v>207</v>
      </c>
      <c r="D1383" s="12" t="s">
        <v>1793</v>
      </c>
      <c r="E1383" s="17">
        <v>127.9</v>
      </c>
      <c r="F1383" s="12" t="s">
        <v>32</v>
      </c>
      <c r="G1383" s="12" t="s">
        <v>283</v>
      </c>
      <c r="H1383" s="12" t="s">
        <v>1835</v>
      </c>
      <c r="I1383" s="12" t="s">
        <v>283</v>
      </c>
      <c r="J1383" s="12" t="s">
        <v>1836</v>
      </c>
      <c r="K1383" s="12" t="s">
        <v>1837</v>
      </c>
    </row>
    <row r="1384" spans="1:11" ht="30" customHeight="1">
      <c r="A1384" s="12" t="s">
        <v>284</v>
      </c>
      <c r="B1384" s="12" t="s">
        <v>280</v>
      </c>
      <c r="C1384" s="12" t="s">
        <v>207</v>
      </c>
      <c r="D1384" s="12" t="s">
        <v>557</v>
      </c>
      <c r="E1384" s="17">
        <v>7977.8</v>
      </c>
      <c r="F1384" s="12" t="s">
        <v>32</v>
      </c>
      <c r="G1384" s="12" t="s">
        <v>283</v>
      </c>
      <c r="H1384" s="12" t="s">
        <v>1835</v>
      </c>
      <c r="I1384" s="12" t="s">
        <v>283</v>
      </c>
      <c r="J1384" s="12" t="s">
        <v>1836</v>
      </c>
      <c r="K1384" s="12" t="s">
        <v>1837</v>
      </c>
    </row>
    <row r="1385" spans="1:11" ht="30" customHeight="1">
      <c r="A1385" s="12" t="s">
        <v>284</v>
      </c>
      <c r="B1385" s="12" t="s">
        <v>280</v>
      </c>
      <c r="C1385" s="12" t="s">
        <v>207</v>
      </c>
      <c r="D1385" s="12" t="s">
        <v>559</v>
      </c>
      <c r="E1385" s="17">
        <v>1660.2</v>
      </c>
      <c r="F1385" s="12" t="s">
        <v>32</v>
      </c>
      <c r="G1385" s="12" t="s">
        <v>283</v>
      </c>
      <c r="H1385" s="12" t="s">
        <v>1835</v>
      </c>
      <c r="I1385" s="12" t="s">
        <v>283</v>
      </c>
      <c r="J1385" s="12" t="s">
        <v>1836</v>
      </c>
      <c r="K1385" s="12" t="s">
        <v>1837</v>
      </c>
    </row>
    <row r="1386" spans="1:11" ht="30" customHeight="1">
      <c r="A1386" s="12" t="s">
        <v>284</v>
      </c>
      <c r="B1386" s="12" t="s">
        <v>280</v>
      </c>
      <c r="C1386" s="12" t="s">
        <v>207</v>
      </c>
      <c r="D1386" s="12" t="s">
        <v>562</v>
      </c>
      <c r="E1386" s="17">
        <v>33</v>
      </c>
      <c r="F1386" s="12" t="s">
        <v>32</v>
      </c>
      <c r="G1386" s="12" t="s">
        <v>283</v>
      </c>
      <c r="H1386" s="12" t="s">
        <v>1835</v>
      </c>
      <c r="I1386" s="12" t="s">
        <v>283</v>
      </c>
      <c r="J1386" s="12" t="s">
        <v>1836</v>
      </c>
      <c r="K1386" s="12" t="s">
        <v>1837</v>
      </c>
    </row>
    <row r="1387" spans="1:11" ht="30" customHeight="1">
      <c r="A1387" s="12" t="s">
        <v>284</v>
      </c>
      <c r="B1387" s="12" t="s">
        <v>280</v>
      </c>
      <c r="C1387" s="12" t="s">
        <v>207</v>
      </c>
      <c r="D1387" s="12" t="s">
        <v>564</v>
      </c>
      <c r="E1387" s="17">
        <v>850</v>
      </c>
      <c r="F1387" s="12" t="s">
        <v>32</v>
      </c>
      <c r="G1387" s="12" t="s">
        <v>283</v>
      </c>
      <c r="H1387" s="12" t="s">
        <v>1838</v>
      </c>
      <c r="I1387" s="12" t="s">
        <v>283</v>
      </c>
      <c r="J1387" s="12" t="s">
        <v>1839</v>
      </c>
      <c r="K1387" s="12" t="s">
        <v>1840</v>
      </c>
    </row>
    <row r="1388" spans="1:11" ht="30" customHeight="1">
      <c r="A1388" s="12" t="s">
        <v>221</v>
      </c>
      <c r="B1388" s="12" t="s">
        <v>217</v>
      </c>
      <c r="C1388" s="12" t="s">
        <v>207</v>
      </c>
      <c r="D1388" s="12" t="s">
        <v>558</v>
      </c>
      <c r="E1388" s="17">
        <v>24503.43</v>
      </c>
      <c r="F1388" s="12" t="s">
        <v>54</v>
      </c>
      <c r="G1388" s="12" t="s">
        <v>220</v>
      </c>
      <c r="H1388" s="12" t="s">
        <v>1841</v>
      </c>
      <c r="I1388" s="12" t="s">
        <v>220</v>
      </c>
      <c r="J1388" s="12" t="s">
        <v>1842</v>
      </c>
      <c r="K1388" s="12" t="s">
        <v>1843</v>
      </c>
    </row>
    <row r="1389" spans="1:11" ht="30" customHeight="1">
      <c r="A1389" s="12" t="s">
        <v>221</v>
      </c>
      <c r="B1389" s="12" t="s">
        <v>217</v>
      </c>
      <c r="C1389" s="12" t="s">
        <v>207</v>
      </c>
      <c r="D1389" s="12" t="s">
        <v>561</v>
      </c>
      <c r="E1389" s="17">
        <v>867.2</v>
      </c>
      <c r="F1389" s="12" t="s">
        <v>54</v>
      </c>
      <c r="G1389" s="12" t="s">
        <v>220</v>
      </c>
      <c r="H1389" s="12" t="s">
        <v>1841</v>
      </c>
      <c r="I1389" s="12" t="s">
        <v>220</v>
      </c>
      <c r="J1389" s="12" t="s">
        <v>1842</v>
      </c>
      <c r="K1389" s="12" t="s">
        <v>1843</v>
      </c>
    </row>
    <row r="1390" spans="1:11" ht="30" customHeight="1">
      <c r="A1390" s="12" t="s">
        <v>221</v>
      </c>
      <c r="B1390" s="12" t="s">
        <v>217</v>
      </c>
      <c r="C1390" s="12" t="s">
        <v>207</v>
      </c>
      <c r="D1390" s="12" t="s">
        <v>1793</v>
      </c>
      <c r="E1390" s="17">
        <v>232.23</v>
      </c>
      <c r="F1390" s="12" t="s">
        <v>54</v>
      </c>
      <c r="G1390" s="12" t="s">
        <v>220</v>
      </c>
      <c r="H1390" s="12" t="s">
        <v>1841</v>
      </c>
      <c r="I1390" s="12" t="s">
        <v>220</v>
      </c>
      <c r="J1390" s="12" t="s">
        <v>1842</v>
      </c>
      <c r="K1390" s="12" t="s">
        <v>1843</v>
      </c>
    </row>
    <row r="1391" spans="1:11" ht="30" customHeight="1">
      <c r="A1391" s="12" t="s">
        <v>221</v>
      </c>
      <c r="B1391" s="12" t="s">
        <v>217</v>
      </c>
      <c r="C1391" s="12" t="s">
        <v>207</v>
      </c>
      <c r="D1391" s="12" t="s">
        <v>557</v>
      </c>
      <c r="E1391" s="17">
        <v>31479.54</v>
      </c>
      <c r="F1391" s="12" t="s">
        <v>54</v>
      </c>
      <c r="G1391" s="12" t="s">
        <v>220</v>
      </c>
      <c r="H1391" s="12" t="s">
        <v>1841</v>
      </c>
      <c r="I1391" s="12" t="s">
        <v>220</v>
      </c>
      <c r="J1391" s="12" t="s">
        <v>1842</v>
      </c>
      <c r="K1391" s="12" t="s">
        <v>1843</v>
      </c>
    </row>
    <row r="1392" spans="1:11" ht="30" customHeight="1">
      <c r="A1392" s="12" t="s">
        <v>221</v>
      </c>
      <c r="B1392" s="12" t="s">
        <v>217</v>
      </c>
      <c r="C1392" s="12" t="s">
        <v>207</v>
      </c>
      <c r="D1392" s="12" t="s">
        <v>559</v>
      </c>
      <c r="E1392" s="17">
        <v>1898.14</v>
      </c>
      <c r="F1392" s="12" t="s">
        <v>54</v>
      </c>
      <c r="G1392" s="12" t="s">
        <v>220</v>
      </c>
      <c r="H1392" s="12" t="s">
        <v>1841</v>
      </c>
      <c r="I1392" s="12" t="s">
        <v>220</v>
      </c>
      <c r="J1392" s="12" t="s">
        <v>1842</v>
      </c>
      <c r="K1392" s="12" t="s">
        <v>1843</v>
      </c>
    </row>
    <row r="1393" spans="1:11" ht="30" customHeight="1">
      <c r="A1393" s="12" t="s">
        <v>221</v>
      </c>
      <c r="B1393" s="12" t="s">
        <v>217</v>
      </c>
      <c r="C1393" s="12" t="s">
        <v>207</v>
      </c>
      <c r="D1393" s="12" t="s">
        <v>562</v>
      </c>
      <c r="E1393" s="17">
        <v>342.59</v>
      </c>
      <c r="F1393" s="12" t="s">
        <v>54</v>
      </c>
      <c r="G1393" s="12" t="s">
        <v>220</v>
      </c>
      <c r="H1393" s="12" t="s">
        <v>1841</v>
      </c>
      <c r="I1393" s="12" t="s">
        <v>220</v>
      </c>
      <c r="J1393" s="12" t="s">
        <v>1842</v>
      </c>
      <c r="K1393" s="12" t="s">
        <v>1843</v>
      </c>
    </row>
    <row r="1394" spans="1:11" ht="30" customHeight="1">
      <c r="A1394" s="12" t="s">
        <v>221</v>
      </c>
      <c r="B1394" s="12" t="s">
        <v>217</v>
      </c>
      <c r="C1394" s="12" t="s">
        <v>207</v>
      </c>
      <c r="D1394" s="12" t="s">
        <v>564</v>
      </c>
      <c r="E1394" s="17">
        <v>1540.47</v>
      </c>
      <c r="F1394" s="12" t="s">
        <v>54</v>
      </c>
      <c r="G1394" s="12" t="s">
        <v>220</v>
      </c>
      <c r="H1394" s="12" t="s">
        <v>1844</v>
      </c>
      <c r="I1394" s="12" t="s">
        <v>220</v>
      </c>
      <c r="J1394" s="12" t="s">
        <v>1845</v>
      </c>
      <c r="K1394" s="12" t="s">
        <v>1846</v>
      </c>
    </row>
    <row r="1395" spans="1:11" ht="30" customHeight="1">
      <c r="A1395" s="12" t="s">
        <v>233</v>
      </c>
      <c r="B1395" s="12" t="s">
        <v>229</v>
      </c>
      <c r="C1395" s="12" t="s">
        <v>207</v>
      </c>
      <c r="D1395" s="12" t="s">
        <v>558</v>
      </c>
      <c r="E1395" s="17">
        <v>14369.009</v>
      </c>
      <c r="F1395" s="12" t="s">
        <v>32</v>
      </c>
      <c r="G1395" s="12" t="s">
        <v>232</v>
      </c>
      <c r="H1395" s="12" t="s">
        <v>1847</v>
      </c>
      <c r="I1395" s="12" t="s">
        <v>232</v>
      </c>
      <c r="J1395" s="12" t="s">
        <v>1848</v>
      </c>
      <c r="K1395" s="12" t="s">
        <v>1849</v>
      </c>
    </row>
    <row r="1396" spans="1:11" ht="30" customHeight="1">
      <c r="A1396" s="12" t="s">
        <v>233</v>
      </c>
      <c r="B1396" s="12" t="s">
        <v>229</v>
      </c>
      <c r="C1396" s="12" t="s">
        <v>207</v>
      </c>
      <c r="D1396" s="12" t="s">
        <v>561</v>
      </c>
      <c r="E1396" s="17">
        <v>0</v>
      </c>
      <c r="F1396" s="12" t="s">
        <v>32</v>
      </c>
      <c r="G1396" s="12" t="s">
        <v>232</v>
      </c>
      <c r="H1396" s="12" t="s">
        <v>1847</v>
      </c>
      <c r="I1396" s="12" t="s">
        <v>232</v>
      </c>
      <c r="J1396" s="12" t="s">
        <v>1848</v>
      </c>
      <c r="K1396" s="12" t="s">
        <v>1849</v>
      </c>
    </row>
    <row r="1397" spans="1:11" ht="30" customHeight="1">
      <c r="A1397" s="12" t="s">
        <v>233</v>
      </c>
      <c r="B1397" s="12" t="s">
        <v>229</v>
      </c>
      <c r="C1397" s="12" t="s">
        <v>207</v>
      </c>
      <c r="D1397" s="12" t="s">
        <v>1793</v>
      </c>
      <c r="E1397" s="17">
        <v>2.5045</v>
      </c>
      <c r="F1397" s="12" t="s">
        <v>32</v>
      </c>
      <c r="G1397" s="12" t="s">
        <v>232</v>
      </c>
      <c r="H1397" s="12" t="s">
        <v>1847</v>
      </c>
      <c r="I1397" s="12" t="s">
        <v>232</v>
      </c>
      <c r="J1397" s="12" t="s">
        <v>1848</v>
      </c>
      <c r="K1397" s="12" t="s">
        <v>1849</v>
      </c>
    </row>
    <row r="1398" spans="1:11" ht="30" customHeight="1">
      <c r="A1398" s="12" t="s">
        <v>233</v>
      </c>
      <c r="B1398" s="12" t="s">
        <v>229</v>
      </c>
      <c r="C1398" s="12" t="s">
        <v>207</v>
      </c>
      <c r="D1398" s="12" t="s">
        <v>557</v>
      </c>
      <c r="E1398" s="17">
        <v>9533.957700000001</v>
      </c>
      <c r="F1398" s="12" t="s">
        <v>32</v>
      </c>
      <c r="G1398" s="12" t="s">
        <v>232</v>
      </c>
      <c r="H1398" s="12" t="s">
        <v>1850</v>
      </c>
      <c r="I1398" s="12" t="s">
        <v>232</v>
      </c>
      <c r="J1398" s="12" t="s">
        <v>1851</v>
      </c>
      <c r="K1398" s="12" t="s">
        <v>1852</v>
      </c>
    </row>
    <row r="1399" spans="1:11" ht="30" customHeight="1">
      <c r="A1399" s="12" t="s">
        <v>233</v>
      </c>
      <c r="B1399" s="12" t="s">
        <v>229</v>
      </c>
      <c r="C1399" s="12" t="s">
        <v>207</v>
      </c>
      <c r="D1399" s="12" t="s">
        <v>559</v>
      </c>
      <c r="E1399" s="17">
        <v>591.1556</v>
      </c>
      <c r="F1399" s="12" t="s">
        <v>32</v>
      </c>
      <c r="G1399" s="12" t="s">
        <v>232</v>
      </c>
      <c r="H1399" s="12" t="s">
        <v>1850</v>
      </c>
      <c r="I1399" s="12" t="s">
        <v>232</v>
      </c>
      <c r="J1399" s="12" t="s">
        <v>1851</v>
      </c>
      <c r="K1399" s="12" t="s">
        <v>1852</v>
      </c>
    </row>
    <row r="1400" spans="1:11" ht="30" customHeight="1">
      <c r="A1400" s="12" t="s">
        <v>233</v>
      </c>
      <c r="B1400" s="12" t="s">
        <v>229</v>
      </c>
      <c r="C1400" s="12" t="s">
        <v>207</v>
      </c>
      <c r="D1400" s="12" t="s">
        <v>562</v>
      </c>
      <c r="E1400" s="17">
        <v>10.0875</v>
      </c>
      <c r="F1400" s="12" t="s">
        <v>32</v>
      </c>
      <c r="G1400" s="12" t="s">
        <v>232</v>
      </c>
      <c r="H1400" s="12" t="s">
        <v>1850</v>
      </c>
      <c r="I1400" s="12" t="s">
        <v>232</v>
      </c>
      <c r="J1400" s="12" t="s">
        <v>1851</v>
      </c>
      <c r="K1400" s="12" t="s">
        <v>1852</v>
      </c>
    </row>
    <row r="1401" spans="1:11" ht="30" customHeight="1">
      <c r="A1401" s="12" t="s">
        <v>233</v>
      </c>
      <c r="B1401" s="12" t="s">
        <v>229</v>
      </c>
      <c r="C1401" s="12" t="s">
        <v>207</v>
      </c>
      <c r="D1401" s="12" t="s">
        <v>564</v>
      </c>
      <c r="E1401" s="17">
        <v>379.5386</v>
      </c>
      <c r="F1401" s="12" t="s">
        <v>32</v>
      </c>
      <c r="G1401" s="12" t="s">
        <v>232</v>
      </c>
      <c r="H1401" s="12" t="s">
        <v>1853</v>
      </c>
      <c r="I1401" s="12" t="s">
        <v>232</v>
      </c>
      <c r="J1401" s="12" t="s">
        <v>1854</v>
      </c>
      <c r="K1401" s="12" t="s">
        <v>1855</v>
      </c>
    </row>
    <row r="1402" spans="1:11" ht="30" customHeight="1">
      <c r="A1402" s="12" t="s">
        <v>248</v>
      </c>
      <c r="B1402" s="12" t="s">
        <v>244</v>
      </c>
      <c r="C1402" s="12" t="s">
        <v>207</v>
      </c>
      <c r="D1402" s="12" t="s">
        <v>558</v>
      </c>
      <c r="E1402" s="17">
        <v>681.5299</v>
      </c>
      <c r="F1402" s="12" t="s">
        <v>54</v>
      </c>
      <c r="G1402" s="12" t="s">
        <v>689</v>
      </c>
      <c r="H1402" s="12" t="s">
        <v>1856</v>
      </c>
      <c r="I1402" s="12" t="s">
        <v>689</v>
      </c>
      <c r="J1402" s="12" t="s">
        <v>1857</v>
      </c>
      <c r="K1402" s="12" t="s">
        <v>1858</v>
      </c>
    </row>
    <row r="1403" spans="1:11" ht="30" customHeight="1">
      <c r="A1403" s="12" t="s">
        <v>248</v>
      </c>
      <c r="B1403" s="12" t="s">
        <v>244</v>
      </c>
      <c r="C1403" s="12" t="s">
        <v>207</v>
      </c>
      <c r="D1403" s="12" t="s">
        <v>561</v>
      </c>
      <c r="E1403" s="17">
        <v>301.3005</v>
      </c>
      <c r="F1403" s="12" t="s">
        <v>54</v>
      </c>
      <c r="G1403" s="12" t="s">
        <v>689</v>
      </c>
      <c r="H1403" s="12" t="s">
        <v>1856</v>
      </c>
      <c r="I1403" s="12" t="s">
        <v>689</v>
      </c>
      <c r="J1403" s="12" t="s">
        <v>1857</v>
      </c>
      <c r="K1403" s="12" t="s">
        <v>1858</v>
      </c>
    </row>
    <row r="1404" spans="1:11" ht="30" customHeight="1">
      <c r="A1404" s="12" t="s">
        <v>248</v>
      </c>
      <c r="B1404" s="12" t="s">
        <v>244</v>
      </c>
      <c r="C1404" s="12" t="s">
        <v>207</v>
      </c>
      <c r="D1404" s="12" t="s">
        <v>1793</v>
      </c>
      <c r="E1404" s="17">
        <v>312.8013</v>
      </c>
      <c r="F1404" s="12" t="s">
        <v>54</v>
      </c>
      <c r="G1404" s="12" t="s">
        <v>689</v>
      </c>
      <c r="H1404" s="12" t="s">
        <v>1856</v>
      </c>
      <c r="I1404" s="12" t="s">
        <v>689</v>
      </c>
      <c r="J1404" s="12" t="s">
        <v>1857</v>
      </c>
      <c r="K1404" s="12" t="s">
        <v>1858</v>
      </c>
    </row>
    <row r="1405" spans="1:11" ht="30" customHeight="1">
      <c r="A1405" s="12" t="s">
        <v>248</v>
      </c>
      <c r="B1405" s="12" t="s">
        <v>244</v>
      </c>
      <c r="C1405" s="12" t="s">
        <v>207</v>
      </c>
      <c r="D1405" s="12" t="s">
        <v>557</v>
      </c>
      <c r="E1405" s="17">
        <v>1001.6294</v>
      </c>
      <c r="F1405" s="12" t="s">
        <v>54</v>
      </c>
      <c r="G1405" s="12" t="s">
        <v>689</v>
      </c>
      <c r="H1405" s="12" t="s">
        <v>1859</v>
      </c>
      <c r="I1405" s="12" t="s">
        <v>689</v>
      </c>
      <c r="J1405" s="12" t="s">
        <v>1860</v>
      </c>
      <c r="K1405" s="12" t="s">
        <v>1861</v>
      </c>
    </row>
    <row r="1406" spans="1:11" ht="30" customHeight="1">
      <c r="A1406" s="12" t="s">
        <v>248</v>
      </c>
      <c r="B1406" s="12" t="s">
        <v>244</v>
      </c>
      <c r="C1406" s="12" t="s">
        <v>207</v>
      </c>
      <c r="D1406" s="12" t="s">
        <v>559</v>
      </c>
      <c r="E1406" s="17">
        <v>64.5979</v>
      </c>
      <c r="F1406" s="12" t="s">
        <v>54</v>
      </c>
      <c r="G1406" s="12" t="s">
        <v>689</v>
      </c>
      <c r="H1406" s="12" t="s">
        <v>1859</v>
      </c>
      <c r="I1406" s="12" t="s">
        <v>689</v>
      </c>
      <c r="J1406" s="12" t="s">
        <v>1860</v>
      </c>
      <c r="K1406" s="12" t="s">
        <v>1861</v>
      </c>
    </row>
    <row r="1407" spans="1:11" ht="30" customHeight="1">
      <c r="A1407" s="12" t="s">
        <v>248</v>
      </c>
      <c r="B1407" s="12" t="s">
        <v>244</v>
      </c>
      <c r="C1407" s="12" t="s">
        <v>207</v>
      </c>
      <c r="D1407" s="12" t="s">
        <v>562</v>
      </c>
      <c r="E1407" s="17">
        <v>32.8955</v>
      </c>
      <c r="F1407" s="12" t="s">
        <v>54</v>
      </c>
      <c r="G1407" s="12" t="s">
        <v>689</v>
      </c>
      <c r="H1407" s="12" t="s">
        <v>1859</v>
      </c>
      <c r="I1407" s="12" t="s">
        <v>689</v>
      </c>
      <c r="J1407" s="12" t="s">
        <v>1860</v>
      </c>
      <c r="K1407" s="12" t="s">
        <v>1861</v>
      </c>
    </row>
    <row r="1408" spans="1:11" ht="30" customHeight="1">
      <c r="A1408" s="12" t="s">
        <v>248</v>
      </c>
      <c r="B1408" s="12" t="s">
        <v>244</v>
      </c>
      <c r="C1408" s="12" t="s">
        <v>207</v>
      </c>
      <c r="D1408" s="12" t="s">
        <v>564</v>
      </c>
      <c r="E1408" s="17">
        <v>8.956799999999999</v>
      </c>
      <c r="F1408" s="12" t="s">
        <v>54</v>
      </c>
      <c r="G1408" s="12" t="s">
        <v>689</v>
      </c>
      <c r="H1408" s="12" t="s">
        <v>1862</v>
      </c>
      <c r="I1408" s="12" t="s">
        <v>689</v>
      </c>
      <c r="J1408" s="12" t="s">
        <v>1863</v>
      </c>
      <c r="K1408" s="12" t="s">
        <v>1864</v>
      </c>
    </row>
    <row r="1409" spans="1:11" ht="30" customHeight="1">
      <c r="A1409" s="12" t="s">
        <v>255</v>
      </c>
      <c r="B1409" s="12" t="s">
        <v>251</v>
      </c>
      <c r="C1409" s="12" t="s">
        <v>207</v>
      </c>
      <c r="D1409" s="12" t="s">
        <v>558</v>
      </c>
      <c r="E1409" s="17">
        <v>1640.705</v>
      </c>
      <c r="F1409" s="12" t="s">
        <v>54</v>
      </c>
      <c r="G1409" s="12" t="s">
        <v>254</v>
      </c>
      <c r="H1409" s="12" t="s">
        <v>1865</v>
      </c>
      <c r="I1409" s="12" t="s">
        <v>254</v>
      </c>
      <c r="J1409" s="12" t="s">
        <v>1866</v>
      </c>
      <c r="K1409" s="12" t="s">
        <v>1867</v>
      </c>
    </row>
    <row r="1410" spans="1:11" ht="30" customHeight="1">
      <c r="A1410" s="12" t="s">
        <v>255</v>
      </c>
      <c r="B1410" s="12" t="s">
        <v>251</v>
      </c>
      <c r="C1410" s="12" t="s">
        <v>207</v>
      </c>
      <c r="D1410" s="12" t="s">
        <v>561</v>
      </c>
      <c r="E1410" s="17">
        <v>732.5424</v>
      </c>
      <c r="F1410" s="12" t="s">
        <v>54</v>
      </c>
      <c r="G1410" s="12" t="s">
        <v>254</v>
      </c>
      <c r="H1410" s="12" t="s">
        <v>1865</v>
      </c>
      <c r="I1410" s="12" t="s">
        <v>254</v>
      </c>
      <c r="J1410" s="12" t="s">
        <v>1866</v>
      </c>
      <c r="K1410" s="12" t="s">
        <v>1867</v>
      </c>
    </row>
    <row r="1411" spans="1:11" ht="30" customHeight="1">
      <c r="A1411" s="12" t="s">
        <v>255</v>
      </c>
      <c r="B1411" s="12" t="s">
        <v>251</v>
      </c>
      <c r="C1411" s="12" t="s">
        <v>207</v>
      </c>
      <c r="D1411" s="12" t="s">
        <v>1793</v>
      </c>
      <c r="E1411" s="17">
        <v>375.2775</v>
      </c>
      <c r="F1411" s="12" t="s">
        <v>54</v>
      </c>
      <c r="G1411" s="12" t="s">
        <v>254</v>
      </c>
      <c r="H1411" s="12" t="s">
        <v>1865</v>
      </c>
      <c r="I1411" s="12" t="s">
        <v>254</v>
      </c>
      <c r="J1411" s="12" t="s">
        <v>1866</v>
      </c>
      <c r="K1411" s="12" t="s">
        <v>1867</v>
      </c>
    </row>
    <row r="1412" spans="1:11" ht="30" customHeight="1">
      <c r="A1412" s="12" t="s">
        <v>255</v>
      </c>
      <c r="B1412" s="12" t="s">
        <v>251</v>
      </c>
      <c r="C1412" s="12" t="s">
        <v>207</v>
      </c>
      <c r="D1412" s="12" t="s">
        <v>557</v>
      </c>
      <c r="E1412" s="17">
        <v>2418.0011</v>
      </c>
      <c r="F1412" s="12" t="s">
        <v>54</v>
      </c>
      <c r="G1412" s="12" t="s">
        <v>254</v>
      </c>
      <c r="H1412" s="12" t="s">
        <v>1868</v>
      </c>
      <c r="I1412" s="12" t="s">
        <v>254</v>
      </c>
      <c r="J1412" s="12" t="s">
        <v>1869</v>
      </c>
      <c r="K1412" s="12" t="s">
        <v>1870</v>
      </c>
    </row>
    <row r="1413" spans="1:11" ht="30" customHeight="1">
      <c r="A1413" s="12" t="s">
        <v>255</v>
      </c>
      <c r="B1413" s="12" t="s">
        <v>251</v>
      </c>
      <c r="C1413" s="12" t="s">
        <v>207</v>
      </c>
      <c r="D1413" s="12" t="s">
        <v>559</v>
      </c>
      <c r="E1413" s="17">
        <v>180.1469</v>
      </c>
      <c r="F1413" s="12" t="s">
        <v>54</v>
      </c>
      <c r="G1413" s="12" t="s">
        <v>254</v>
      </c>
      <c r="H1413" s="12" t="s">
        <v>1868</v>
      </c>
      <c r="I1413" s="12" t="s">
        <v>254</v>
      </c>
      <c r="J1413" s="12" t="s">
        <v>1869</v>
      </c>
      <c r="K1413" s="12" t="s">
        <v>1870</v>
      </c>
    </row>
    <row r="1414" spans="1:11" ht="30" customHeight="1">
      <c r="A1414" s="12" t="s">
        <v>255</v>
      </c>
      <c r="B1414" s="12" t="s">
        <v>251</v>
      </c>
      <c r="C1414" s="12" t="s">
        <v>207</v>
      </c>
      <c r="D1414" s="12" t="s">
        <v>562</v>
      </c>
      <c r="E1414" s="17">
        <v>38.7412</v>
      </c>
      <c r="F1414" s="12" t="s">
        <v>54</v>
      </c>
      <c r="G1414" s="12" t="s">
        <v>254</v>
      </c>
      <c r="H1414" s="12" t="s">
        <v>1868</v>
      </c>
      <c r="I1414" s="12" t="s">
        <v>254</v>
      </c>
      <c r="J1414" s="12" t="s">
        <v>1869</v>
      </c>
      <c r="K1414" s="12" t="s">
        <v>1870</v>
      </c>
    </row>
    <row r="1415" spans="1:11" ht="30" customHeight="1">
      <c r="A1415" s="12" t="s">
        <v>255</v>
      </c>
      <c r="B1415" s="12" t="s">
        <v>251</v>
      </c>
      <c r="C1415" s="12" t="s">
        <v>207</v>
      </c>
      <c r="D1415" s="12" t="s">
        <v>564</v>
      </c>
      <c r="E1415" s="17">
        <v>113.3846</v>
      </c>
      <c r="F1415" s="12" t="s">
        <v>54</v>
      </c>
      <c r="G1415" s="12" t="s">
        <v>254</v>
      </c>
      <c r="H1415" s="12" t="s">
        <v>1871</v>
      </c>
      <c r="I1415" s="12" t="s">
        <v>254</v>
      </c>
      <c r="J1415" s="12" t="s">
        <v>1872</v>
      </c>
      <c r="K1415" s="12" t="s">
        <v>1873</v>
      </c>
    </row>
    <row r="1416" spans="1:11" ht="30" customHeight="1">
      <c r="A1416" s="12" t="s">
        <v>262</v>
      </c>
      <c r="B1416" s="12" t="s">
        <v>259</v>
      </c>
      <c r="C1416" s="12" t="s">
        <v>207</v>
      </c>
      <c r="D1416" s="12" t="s">
        <v>558</v>
      </c>
      <c r="E1416" s="17">
        <v>1682.4324</v>
      </c>
      <c r="F1416" s="12" t="s">
        <v>54</v>
      </c>
      <c r="G1416" s="12" t="s">
        <v>261</v>
      </c>
      <c r="H1416" s="12" t="s">
        <v>1874</v>
      </c>
      <c r="I1416" s="12" t="s">
        <v>261</v>
      </c>
      <c r="J1416" s="12" t="s">
        <v>1875</v>
      </c>
      <c r="K1416" s="12" t="s">
        <v>1876</v>
      </c>
    </row>
    <row r="1417" spans="1:11" ht="30" customHeight="1">
      <c r="A1417" s="12" t="s">
        <v>262</v>
      </c>
      <c r="B1417" s="12" t="s">
        <v>259</v>
      </c>
      <c r="C1417" s="12" t="s">
        <v>207</v>
      </c>
      <c r="D1417" s="12" t="s">
        <v>561</v>
      </c>
      <c r="E1417" s="17">
        <v>855.4053</v>
      </c>
      <c r="F1417" s="12" t="s">
        <v>54</v>
      </c>
      <c r="G1417" s="12" t="s">
        <v>261</v>
      </c>
      <c r="H1417" s="12" t="s">
        <v>1874</v>
      </c>
      <c r="I1417" s="12" t="s">
        <v>261</v>
      </c>
      <c r="J1417" s="12" t="s">
        <v>1875</v>
      </c>
      <c r="K1417" s="12" t="s">
        <v>1876</v>
      </c>
    </row>
    <row r="1418" spans="1:11" ht="30" customHeight="1">
      <c r="A1418" s="12" t="s">
        <v>262</v>
      </c>
      <c r="B1418" s="12" t="s">
        <v>259</v>
      </c>
      <c r="C1418" s="12" t="s">
        <v>207</v>
      </c>
      <c r="D1418" s="12" t="s">
        <v>1793</v>
      </c>
      <c r="E1418" s="17">
        <v>317.8608</v>
      </c>
      <c r="F1418" s="12" t="s">
        <v>54</v>
      </c>
      <c r="G1418" s="12" t="s">
        <v>261</v>
      </c>
      <c r="H1418" s="12" t="s">
        <v>1874</v>
      </c>
      <c r="I1418" s="12" t="s">
        <v>261</v>
      </c>
      <c r="J1418" s="12" t="s">
        <v>1875</v>
      </c>
      <c r="K1418" s="12" t="s">
        <v>1876</v>
      </c>
    </row>
    <row r="1419" spans="1:11" ht="30" customHeight="1">
      <c r="A1419" s="12" t="s">
        <v>262</v>
      </c>
      <c r="B1419" s="12" t="s">
        <v>259</v>
      </c>
      <c r="C1419" s="12" t="s">
        <v>207</v>
      </c>
      <c r="D1419" s="12" t="s">
        <v>557</v>
      </c>
      <c r="E1419" s="17">
        <v>1866.9803</v>
      </c>
      <c r="F1419" s="12" t="s">
        <v>54</v>
      </c>
      <c r="G1419" s="12" t="s">
        <v>261</v>
      </c>
      <c r="H1419" s="12" t="s">
        <v>1877</v>
      </c>
      <c r="I1419" s="12" t="s">
        <v>261</v>
      </c>
      <c r="J1419" s="12" t="s">
        <v>1878</v>
      </c>
      <c r="K1419" s="12" t="s">
        <v>1879</v>
      </c>
    </row>
    <row r="1420" spans="1:11" ht="30" customHeight="1">
      <c r="A1420" s="12" t="s">
        <v>262</v>
      </c>
      <c r="B1420" s="12" t="s">
        <v>259</v>
      </c>
      <c r="C1420" s="12" t="s">
        <v>207</v>
      </c>
      <c r="D1420" s="12" t="s">
        <v>559</v>
      </c>
      <c r="E1420" s="17">
        <v>150.1824</v>
      </c>
      <c r="F1420" s="12" t="s">
        <v>54</v>
      </c>
      <c r="G1420" s="12" t="s">
        <v>261</v>
      </c>
      <c r="H1420" s="12" t="s">
        <v>1877</v>
      </c>
      <c r="I1420" s="12" t="s">
        <v>261</v>
      </c>
      <c r="J1420" s="12" t="s">
        <v>1878</v>
      </c>
      <c r="K1420" s="12" t="s">
        <v>1879</v>
      </c>
    </row>
    <row r="1421" spans="1:11" ht="30" customHeight="1">
      <c r="A1421" s="12" t="s">
        <v>262</v>
      </c>
      <c r="B1421" s="12" t="s">
        <v>259</v>
      </c>
      <c r="C1421" s="12" t="s">
        <v>207</v>
      </c>
      <c r="D1421" s="12" t="s">
        <v>562</v>
      </c>
      <c r="E1421" s="17">
        <v>32.3653</v>
      </c>
      <c r="F1421" s="12" t="s">
        <v>54</v>
      </c>
      <c r="G1421" s="12" t="s">
        <v>261</v>
      </c>
      <c r="H1421" s="12" t="s">
        <v>1877</v>
      </c>
      <c r="I1421" s="12" t="s">
        <v>261</v>
      </c>
      <c r="J1421" s="12" t="s">
        <v>1878</v>
      </c>
      <c r="K1421" s="12" t="s">
        <v>1879</v>
      </c>
    </row>
    <row r="1422" spans="1:11" ht="30" customHeight="1">
      <c r="A1422" s="12" t="s">
        <v>262</v>
      </c>
      <c r="B1422" s="12" t="s">
        <v>259</v>
      </c>
      <c r="C1422" s="12" t="s">
        <v>207</v>
      </c>
      <c r="D1422" s="12" t="s">
        <v>564</v>
      </c>
      <c r="E1422" s="17">
        <v>398.5561</v>
      </c>
      <c r="F1422" s="12" t="s">
        <v>54</v>
      </c>
      <c r="G1422" s="12" t="s">
        <v>261</v>
      </c>
      <c r="H1422" s="12" t="s">
        <v>1880</v>
      </c>
      <c r="I1422" s="12" t="s">
        <v>261</v>
      </c>
      <c r="J1422" s="12" t="s">
        <v>1881</v>
      </c>
      <c r="K1422" s="12" t="s">
        <v>1882</v>
      </c>
    </row>
    <row r="1423" spans="1:11" ht="30" customHeight="1">
      <c r="A1423" s="12" t="s">
        <v>272</v>
      </c>
      <c r="B1423" s="12" t="s">
        <v>269</v>
      </c>
      <c r="C1423" s="12" t="s">
        <v>207</v>
      </c>
      <c r="D1423" s="12" t="s">
        <v>558</v>
      </c>
      <c r="E1423" s="17">
        <v>2332.5262</v>
      </c>
      <c r="F1423" s="12" t="s">
        <v>32</v>
      </c>
      <c r="G1423" s="12" t="s">
        <v>271</v>
      </c>
      <c r="H1423" s="12" t="s">
        <v>1883</v>
      </c>
      <c r="I1423" s="12" t="s">
        <v>271</v>
      </c>
      <c r="J1423" s="12" t="s">
        <v>1884</v>
      </c>
      <c r="K1423" s="12" t="s">
        <v>1885</v>
      </c>
    </row>
    <row r="1424" spans="1:11" ht="30" customHeight="1">
      <c r="A1424" s="12" t="s">
        <v>272</v>
      </c>
      <c r="B1424" s="12" t="s">
        <v>269</v>
      </c>
      <c r="C1424" s="12" t="s">
        <v>207</v>
      </c>
      <c r="D1424" s="12" t="s">
        <v>561</v>
      </c>
      <c r="E1424" s="17">
        <v>722.6721</v>
      </c>
      <c r="F1424" s="12" t="s">
        <v>32</v>
      </c>
      <c r="G1424" s="12" t="s">
        <v>271</v>
      </c>
      <c r="H1424" s="12" t="s">
        <v>1883</v>
      </c>
      <c r="I1424" s="12" t="s">
        <v>271</v>
      </c>
      <c r="J1424" s="12" t="s">
        <v>1884</v>
      </c>
      <c r="K1424" s="12" t="s">
        <v>1885</v>
      </c>
    </row>
    <row r="1425" spans="1:11" ht="30" customHeight="1">
      <c r="A1425" s="12" t="s">
        <v>272</v>
      </c>
      <c r="B1425" s="12" t="s">
        <v>269</v>
      </c>
      <c r="C1425" s="12" t="s">
        <v>207</v>
      </c>
      <c r="D1425" s="12" t="s">
        <v>1793</v>
      </c>
      <c r="E1425" s="17">
        <v>1019.4473</v>
      </c>
      <c r="F1425" s="12" t="s">
        <v>32</v>
      </c>
      <c r="G1425" s="12" t="s">
        <v>271</v>
      </c>
      <c r="H1425" s="12" t="s">
        <v>1883</v>
      </c>
      <c r="I1425" s="12" t="s">
        <v>271</v>
      </c>
      <c r="J1425" s="12" t="s">
        <v>1884</v>
      </c>
      <c r="K1425" s="12" t="s">
        <v>1885</v>
      </c>
    </row>
    <row r="1426" spans="1:11" ht="30" customHeight="1">
      <c r="A1426" s="12" t="s">
        <v>272</v>
      </c>
      <c r="B1426" s="12" t="s">
        <v>269</v>
      </c>
      <c r="C1426" s="12" t="s">
        <v>207</v>
      </c>
      <c r="D1426" s="12" t="s">
        <v>557</v>
      </c>
      <c r="E1426" s="17">
        <v>3331.8959</v>
      </c>
      <c r="F1426" s="12" t="s">
        <v>32</v>
      </c>
      <c r="G1426" s="12" t="s">
        <v>271</v>
      </c>
      <c r="H1426" s="12" t="s">
        <v>1886</v>
      </c>
      <c r="I1426" s="12" t="s">
        <v>271</v>
      </c>
      <c r="J1426" s="12" t="s">
        <v>1887</v>
      </c>
      <c r="K1426" s="12" t="s">
        <v>1888</v>
      </c>
    </row>
    <row r="1427" spans="1:11" ht="30" customHeight="1">
      <c r="A1427" s="12" t="s">
        <v>272</v>
      </c>
      <c r="B1427" s="12" t="s">
        <v>269</v>
      </c>
      <c r="C1427" s="12" t="s">
        <v>207</v>
      </c>
      <c r="D1427" s="12" t="s">
        <v>559</v>
      </c>
      <c r="E1427" s="17">
        <v>143.7127</v>
      </c>
      <c r="F1427" s="12" t="s">
        <v>32</v>
      </c>
      <c r="G1427" s="12" t="s">
        <v>271</v>
      </c>
      <c r="H1427" s="12" t="s">
        <v>1886</v>
      </c>
      <c r="I1427" s="12" t="s">
        <v>271</v>
      </c>
      <c r="J1427" s="12" t="s">
        <v>1887</v>
      </c>
      <c r="K1427" s="12" t="s">
        <v>1888</v>
      </c>
    </row>
    <row r="1428" spans="1:11" ht="30" customHeight="1">
      <c r="A1428" s="12" t="s">
        <v>272</v>
      </c>
      <c r="B1428" s="12" t="s">
        <v>269</v>
      </c>
      <c r="C1428" s="12" t="s">
        <v>207</v>
      </c>
      <c r="D1428" s="12" t="s">
        <v>562</v>
      </c>
      <c r="E1428" s="17">
        <v>76.39579999999999</v>
      </c>
      <c r="F1428" s="12" t="s">
        <v>32</v>
      </c>
      <c r="G1428" s="12" t="s">
        <v>271</v>
      </c>
      <c r="H1428" s="12" t="s">
        <v>1886</v>
      </c>
      <c r="I1428" s="12" t="s">
        <v>271</v>
      </c>
      <c r="J1428" s="12" t="s">
        <v>1887</v>
      </c>
      <c r="K1428" s="12" t="s">
        <v>1888</v>
      </c>
    </row>
    <row r="1429" spans="1:11" ht="30" customHeight="1">
      <c r="A1429" s="12" t="s">
        <v>272</v>
      </c>
      <c r="B1429" s="12" t="s">
        <v>269</v>
      </c>
      <c r="C1429" s="12" t="s">
        <v>207</v>
      </c>
      <c r="D1429" s="12" t="s">
        <v>564</v>
      </c>
      <c r="E1429" s="17">
        <v>88.9798</v>
      </c>
      <c r="F1429" s="12" t="s">
        <v>32</v>
      </c>
      <c r="G1429" s="12" t="s">
        <v>271</v>
      </c>
      <c r="H1429" s="12" t="s">
        <v>1889</v>
      </c>
      <c r="I1429" s="12" t="s">
        <v>271</v>
      </c>
      <c r="J1429" s="12" t="s">
        <v>1890</v>
      </c>
      <c r="K1429" s="12" t="s">
        <v>1891</v>
      </c>
    </row>
    <row r="1430" spans="1:11" ht="30" customHeight="1">
      <c r="A1430" s="12" t="s">
        <v>267</v>
      </c>
      <c r="B1430" s="12" t="s">
        <v>264</v>
      </c>
      <c r="C1430" s="12" t="s">
        <v>207</v>
      </c>
      <c r="D1430" s="12" t="s">
        <v>558</v>
      </c>
      <c r="E1430" s="17">
        <v>2332.55</v>
      </c>
      <c r="F1430" s="12" t="s">
        <v>54</v>
      </c>
      <c r="G1430" s="12" t="s">
        <v>266</v>
      </c>
      <c r="H1430" s="12" t="s">
        <v>1892</v>
      </c>
      <c r="I1430" s="12" t="s">
        <v>266</v>
      </c>
      <c r="J1430" s="12" t="s">
        <v>1893</v>
      </c>
      <c r="K1430" s="12" t="s">
        <v>1894</v>
      </c>
    </row>
    <row r="1431" spans="1:11" ht="30" customHeight="1">
      <c r="A1431" s="12" t="s">
        <v>267</v>
      </c>
      <c r="B1431" s="12" t="s">
        <v>264</v>
      </c>
      <c r="C1431" s="12" t="s">
        <v>207</v>
      </c>
      <c r="D1431" s="12" t="s">
        <v>561</v>
      </c>
      <c r="E1431" s="17">
        <v>634.24</v>
      </c>
      <c r="F1431" s="12" t="s">
        <v>54</v>
      </c>
      <c r="G1431" s="12" t="s">
        <v>266</v>
      </c>
      <c r="H1431" s="12" t="s">
        <v>1892</v>
      </c>
      <c r="I1431" s="12" t="s">
        <v>266</v>
      </c>
      <c r="J1431" s="12" t="s">
        <v>1893</v>
      </c>
      <c r="K1431" s="12" t="s">
        <v>1894</v>
      </c>
    </row>
    <row r="1432" spans="1:11" ht="30" customHeight="1">
      <c r="A1432" s="12" t="s">
        <v>267</v>
      </c>
      <c r="B1432" s="12" t="s">
        <v>264</v>
      </c>
      <c r="C1432" s="12" t="s">
        <v>207</v>
      </c>
      <c r="D1432" s="12" t="s">
        <v>1793</v>
      </c>
      <c r="E1432" s="17">
        <v>664.16</v>
      </c>
      <c r="F1432" s="12" t="s">
        <v>54</v>
      </c>
      <c r="G1432" s="12" t="s">
        <v>266</v>
      </c>
      <c r="H1432" s="12" t="s">
        <v>1892</v>
      </c>
      <c r="I1432" s="12" t="s">
        <v>266</v>
      </c>
      <c r="J1432" s="12" t="s">
        <v>1893</v>
      </c>
      <c r="K1432" s="12" t="s">
        <v>1894</v>
      </c>
    </row>
    <row r="1433" spans="1:11" ht="30" customHeight="1">
      <c r="A1433" s="12" t="s">
        <v>267</v>
      </c>
      <c r="B1433" s="12" t="s">
        <v>264</v>
      </c>
      <c r="C1433" s="12" t="s">
        <v>207</v>
      </c>
      <c r="D1433" s="12" t="s">
        <v>557</v>
      </c>
      <c r="E1433" s="17">
        <v>2300.35</v>
      </c>
      <c r="F1433" s="12" t="s">
        <v>54</v>
      </c>
      <c r="G1433" s="12" t="s">
        <v>266</v>
      </c>
      <c r="H1433" s="12" t="s">
        <v>1874</v>
      </c>
      <c r="I1433" s="12" t="s">
        <v>266</v>
      </c>
      <c r="J1433" s="12" t="s">
        <v>1895</v>
      </c>
      <c r="K1433" s="12" t="s">
        <v>1896</v>
      </c>
    </row>
    <row r="1434" spans="1:11" ht="30" customHeight="1">
      <c r="A1434" s="12" t="s">
        <v>267</v>
      </c>
      <c r="B1434" s="12" t="s">
        <v>264</v>
      </c>
      <c r="C1434" s="12" t="s">
        <v>207</v>
      </c>
      <c r="D1434" s="12" t="s">
        <v>559</v>
      </c>
      <c r="E1434" s="17">
        <v>80.42</v>
      </c>
      <c r="F1434" s="12" t="s">
        <v>54</v>
      </c>
      <c r="G1434" s="12" t="s">
        <v>266</v>
      </c>
      <c r="H1434" s="12" t="s">
        <v>1874</v>
      </c>
      <c r="I1434" s="12" t="s">
        <v>266</v>
      </c>
      <c r="J1434" s="12" t="s">
        <v>1895</v>
      </c>
      <c r="K1434" s="12" t="s">
        <v>1896</v>
      </c>
    </row>
    <row r="1435" spans="1:11" ht="30" customHeight="1">
      <c r="A1435" s="12" t="s">
        <v>267</v>
      </c>
      <c r="B1435" s="12" t="s">
        <v>264</v>
      </c>
      <c r="C1435" s="12" t="s">
        <v>207</v>
      </c>
      <c r="D1435" s="12" t="s">
        <v>562</v>
      </c>
      <c r="E1435" s="17">
        <v>58.85</v>
      </c>
      <c r="F1435" s="12" t="s">
        <v>54</v>
      </c>
      <c r="G1435" s="12" t="s">
        <v>266</v>
      </c>
      <c r="H1435" s="12" t="s">
        <v>1874</v>
      </c>
      <c r="I1435" s="12" t="s">
        <v>266</v>
      </c>
      <c r="J1435" s="12" t="s">
        <v>1895</v>
      </c>
      <c r="K1435" s="12" t="s">
        <v>1896</v>
      </c>
    </row>
    <row r="1436" spans="1:11" ht="30" customHeight="1">
      <c r="A1436" s="12" t="s">
        <v>267</v>
      </c>
      <c r="B1436" s="12" t="s">
        <v>264</v>
      </c>
      <c r="C1436" s="12" t="s">
        <v>207</v>
      </c>
      <c r="D1436" s="12" t="s">
        <v>564</v>
      </c>
      <c r="E1436" s="17">
        <v>16.66</v>
      </c>
      <c r="F1436" s="12" t="s">
        <v>54</v>
      </c>
      <c r="G1436" s="12" t="s">
        <v>266</v>
      </c>
      <c r="H1436" s="12" t="s">
        <v>1880</v>
      </c>
      <c r="I1436" s="12" t="s">
        <v>266</v>
      </c>
      <c r="J1436" s="12" t="s">
        <v>1897</v>
      </c>
      <c r="K1436" s="12" t="s">
        <v>1898</v>
      </c>
    </row>
    <row r="1437" spans="1:11" ht="30" customHeight="1">
      <c r="A1437" s="12" t="s">
        <v>300</v>
      </c>
      <c r="B1437" s="12" t="s">
        <v>296</v>
      </c>
      <c r="C1437" s="12" t="s">
        <v>207</v>
      </c>
      <c r="D1437" s="12" t="s">
        <v>558</v>
      </c>
      <c r="E1437" s="17">
        <v>24146.67</v>
      </c>
      <c r="F1437" s="12" t="s">
        <v>54</v>
      </c>
      <c r="G1437" s="12" t="s">
        <v>299</v>
      </c>
      <c r="H1437" s="12" t="s">
        <v>1899</v>
      </c>
      <c r="I1437" s="12" t="s">
        <v>299</v>
      </c>
      <c r="J1437" s="12" t="s">
        <v>1900</v>
      </c>
      <c r="K1437" s="12" t="s">
        <v>1901</v>
      </c>
    </row>
    <row r="1438" spans="1:11" ht="30" customHeight="1">
      <c r="A1438" s="12" t="s">
        <v>300</v>
      </c>
      <c r="B1438" s="12" t="s">
        <v>296</v>
      </c>
      <c r="C1438" s="12" t="s">
        <v>207</v>
      </c>
      <c r="D1438" s="12" t="s">
        <v>561</v>
      </c>
      <c r="E1438" s="17">
        <v>5004.33</v>
      </c>
      <c r="F1438" s="12" t="s">
        <v>54</v>
      </c>
      <c r="G1438" s="12" t="s">
        <v>299</v>
      </c>
      <c r="H1438" s="12" t="s">
        <v>1899</v>
      </c>
      <c r="I1438" s="12" t="s">
        <v>299</v>
      </c>
      <c r="J1438" s="12" t="s">
        <v>1900</v>
      </c>
      <c r="K1438" s="12" t="s">
        <v>1901</v>
      </c>
    </row>
    <row r="1439" spans="1:11" ht="30" customHeight="1">
      <c r="A1439" s="12" t="s">
        <v>300</v>
      </c>
      <c r="B1439" s="12" t="s">
        <v>296</v>
      </c>
      <c r="C1439" s="12" t="s">
        <v>207</v>
      </c>
      <c r="D1439" s="12" t="s">
        <v>1793</v>
      </c>
      <c r="E1439" s="17">
        <v>4641.24</v>
      </c>
      <c r="F1439" s="12" t="s">
        <v>54</v>
      </c>
      <c r="G1439" s="12" t="s">
        <v>299</v>
      </c>
      <c r="H1439" s="12" t="s">
        <v>1899</v>
      </c>
      <c r="I1439" s="12" t="s">
        <v>299</v>
      </c>
      <c r="J1439" s="12" t="s">
        <v>1900</v>
      </c>
      <c r="K1439" s="12" t="s">
        <v>1901</v>
      </c>
    </row>
    <row r="1440" spans="1:11" ht="30" customHeight="1">
      <c r="A1440" s="12" t="s">
        <v>300</v>
      </c>
      <c r="B1440" s="12" t="s">
        <v>296</v>
      </c>
      <c r="C1440" s="12" t="s">
        <v>207</v>
      </c>
      <c r="D1440" s="12" t="s">
        <v>557</v>
      </c>
      <c r="E1440" s="17">
        <v>15786.51</v>
      </c>
      <c r="F1440" s="12" t="s">
        <v>54</v>
      </c>
      <c r="G1440" s="12" t="s">
        <v>299</v>
      </c>
      <c r="H1440" s="12" t="s">
        <v>1797</v>
      </c>
      <c r="I1440" s="12" t="s">
        <v>299</v>
      </c>
      <c r="J1440" s="12" t="s">
        <v>1902</v>
      </c>
      <c r="K1440" s="12" t="s">
        <v>1903</v>
      </c>
    </row>
    <row r="1441" spans="1:11" ht="30" customHeight="1">
      <c r="A1441" s="12" t="s">
        <v>300</v>
      </c>
      <c r="B1441" s="12" t="s">
        <v>296</v>
      </c>
      <c r="C1441" s="12" t="s">
        <v>207</v>
      </c>
      <c r="D1441" s="12" t="s">
        <v>559</v>
      </c>
      <c r="E1441" s="17">
        <v>1835.18</v>
      </c>
      <c r="F1441" s="12" t="s">
        <v>54</v>
      </c>
      <c r="G1441" s="12" t="s">
        <v>299</v>
      </c>
      <c r="H1441" s="12" t="s">
        <v>1797</v>
      </c>
      <c r="I1441" s="12" t="s">
        <v>299</v>
      </c>
      <c r="J1441" s="12" t="s">
        <v>1902</v>
      </c>
      <c r="K1441" s="12" t="s">
        <v>1903</v>
      </c>
    </row>
    <row r="1442" spans="1:11" ht="30" customHeight="1">
      <c r="A1442" s="12" t="s">
        <v>300</v>
      </c>
      <c r="B1442" s="12" t="s">
        <v>296</v>
      </c>
      <c r="C1442" s="12" t="s">
        <v>207</v>
      </c>
      <c r="D1442" s="12" t="s">
        <v>562</v>
      </c>
      <c r="E1442" s="17">
        <v>278.04</v>
      </c>
      <c r="F1442" s="12" t="s">
        <v>54</v>
      </c>
      <c r="G1442" s="12" t="s">
        <v>299</v>
      </c>
      <c r="H1442" s="12" t="s">
        <v>1797</v>
      </c>
      <c r="I1442" s="12" t="s">
        <v>299</v>
      </c>
      <c r="J1442" s="12" t="s">
        <v>1902</v>
      </c>
      <c r="K1442" s="12" t="s">
        <v>1903</v>
      </c>
    </row>
    <row r="1443" spans="1:11" ht="30" customHeight="1">
      <c r="A1443" s="12" t="s">
        <v>300</v>
      </c>
      <c r="B1443" s="12" t="s">
        <v>296</v>
      </c>
      <c r="C1443" s="12" t="s">
        <v>207</v>
      </c>
      <c r="D1443" s="12" t="s">
        <v>564</v>
      </c>
      <c r="E1443" s="17">
        <v>1815.31</v>
      </c>
      <c r="F1443" s="12" t="s">
        <v>54</v>
      </c>
      <c r="G1443" s="12" t="s">
        <v>299</v>
      </c>
      <c r="H1443" s="12" t="s">
        <v>1904</v>
      </c>
      <c r="I1443" s="12" t="s">
        <v>299</v>
      </c>
      <c r="J1443" s="12" t="s">
        <v>1905</v>
      </c>
      <c r="K1443" s="12" t="s">
        <v>1906</v>
      </c>
    </row>
    <row r="1444" spans="1:11" ht="30" customHeight="1">
      <c r="A1444" s="12" t="s">
        <v>227</v>
      </c>
      <c r="B1444" s="12" t="s">
        <v>223</v>
      </c>
      <c r="C1444" s="12" t="s">
        <v>207</v>
      </c>
      <c r="D1444" s="12" t="s">
        <v>558</v>
      </c>
      <c r="E1444" s="17">
        <v>12732.23</v>
      </c>
      <c r="F1444" s="12" t="s">
        <v>32</v>
      </c>
      <c r="G1444" s="12" t="s">
        <v>226</v>
      </c>
      <c r="H1444" s="12" t="s">
        <v>1800</v>
      </c>
      <c r="I1444" s="12" t="s">
        <v>226</v>
      </c>
      <c r="J1444" s="12" t="s">
        <v>1907</v>
      </c>
      <c r="K1444" s="12" t="s">
        <v>1908</v>
      </c>
    </row>
    <row r="1445" spans="1:11" ht="30" customHeight="1">
      <c r="A1445" s="12" t="s">
        <v>227</v>
      </c>
      <c r="B1445" s="12" t="s">
        <v>223</v>
      </c>
      <c r="C1445" s="12" t="s">
        <v>207</v>
      </c>
      <c r="D1445" s="12" t="s">
        <v>561</v>
      </c>
      <c r="E1445" s="17">
        <v>2408.19</v>
      </c>
      <c r="F1445" s="12" t="s">
        <v>32</v>
      </c>
      <c r="G1445" s="12" t="s">
        <v>226</v>
      </c>
      <c r="H1445" s="12" t="s">
        <v>1800</v>
      </c>
      <c r="I1445" s="12" t="s">
        <v>226</v>
      </c>
      <c r="J1445" s="12" t="s">
        <v>1907</v>
      </c>
      <c r="K1445" s="12" t="s">
        <v>1908</v>
      </c>
    </row>
    <row r="1446" spans="1:11" ht="30" customHeight="1">
      <c r="A1446" s="12" t="s">
        <v>227</v>
      </c>
      <c r="B1446" s="12" t="s">
        <v>223</v>
      </c>
      <c r="C1446" s="12" t="s">
        <v>207</v>
      </c>
      <c r="D1446" s="12" t="s">
        <v>1793</v>
      </c>
      <c r="E1446" s="17">
        <v>2082.63</v>
      </c>
      <c r="F1446" s="12" t="s">
        <v>32</v>
      </c>
      <c r="G1446" s="12" t="s">
        <v>226</v>
      </c>
      <c r="H1446" s="12" t="s">
        <v>1800</v>
      </c>
      <c r="I1446" s="12" t="s">
        <v>226</v>
      </c>
      <c r="J1446" s="12" t="s">
        <v>1907</v>
      </c>
      <c r="K1446" s="12" t="s">
        <v>1908</v>
      </c>
    </row>
    <row r="1447" spans="1:11" ht="30" customHeight="1">
      <c r="A1447" s="12" t="s">
        <v>227</v>
      </c>
      <c r="B1447" s="12" t="s">
        <v>223</v>
      </c>
      <c r="C1447" s="12" t="s">
        <v>207</v>
      </c>
      <c r="D1447" s="12" t="s">
        <v>557</v>
      </c>
      <c r="E1447" s="17">
        <v>12741.32</v>
      </c>
      <c r="F1447" s="12" t="s">
        <v>32</v>
      </c>
      <c r="G1447" s="12" t="s">
        <v>226</v>
      </c>
      <c r="H1447" s="12" t="s">
        <v>1803</v>
      </c>
      <c r="I1447" s="12" t="s">
        <v>226</v>
      </c>
      <c r="J1447" s="12" t="s">
        <v>1909</v>
      </c>
      <c r="K1447" s="12" t="s">
        <v>1910</v>
      </c>
    </row>
    <row r="1448" spans="1:11" ht="30" customHeight="1">
      <c r="A1448" s="12" t="s">
        <v>227</v>
      </c>
      <c r="B1448" s="12" t="s">
        <v>223</v>
      </c>
      <c r="C1448" s="12" t="s">
        <v>207</v>
      </c>
      <c r="D1448" s="12" t="s">
        <v>559</v>
      </c>
      <c r="E1448" s="17">
        <v>604.27</v>
      </c>
      <c r="F1448" s="12" t="s">
        <v>32</v>
      </c>
      <c r="G1448" s="12" t="s">
        <v>226</v>
      </c>
      <c r="H1448" s="12" t="s">
        <v>1803</v>
      </c>
      <c r="I1448" s="12" t="s">
        <v>226</v>
      </c>
      <c r="J1448" s="12" t="s">
        <v>1909</v>
      </c>
      <c r="K1448" s="12" t="s">
        <v>1910</v>
      </c>
    </row>
    <row r="1449" spans="1:11" ht="30" customHeight="1">
      <c r="A1449" s="12" t="s">
        <v>227</v>
      </c>
      <c r="B1449" s="12" t="s">
        <v>223</v>
      </c>
      <c r="C1449" s="12" t="s">
        <v>207</v>
      </c>
      <c r="D1449" s="12" t="s">
        <v>562</v>
      </c>
      <c r="E1449" s="17">
        <v>152.82</v>
      </c>
      <c r="F1449" s="12" t="s">
        <v>32</v>
      </c>
      <c r="G1449" s="12" t="s">
        <v>226</v>
      </c>
      <c r="H1449" s="12" t="s">
        <v>1803</v>
      </c>
      <c r="I1449" s="12" t="s">
        <v>226</v>
      </c>
      <c r="J1449" s="12" t="s">
        <v>1909</v>
      </c>
      <c r="K1449" s="12" t="s">
        <v>1910</v>
      </c>
    </row>
    <row r="1450" spans="1:11" ht="30" customHeight="1">
      <c r="A1450" s="12" t="s">
        <v>227</v>
      </c>
      <c r="B1450" s="12" t="s">
        <v>223</v>
      </c>
      <c r="C1450" s="12" t="s">
        <v>207</v>
      </c>
      <c r="D1450" s="12" t="s">
        <v>564</v>
      </c>
      <c r="E1450" s="17">
        <v>858.78</v>
      </c>
      <c r="F1450" s="12" t="s">
        <v>32</v>
      </c>
      <c r="G1450" s="12" t="s">
        <v>226</v>
      </c>
      <c r="H1450" s="12" t="s">
        <v>1806</v>
      </c>
      <c r="I1450" s="12" t="s">
        <v>226</v>
      </c>
      <c r="J1450" s="12" t="s">
        <v>1911</v>
      </c>
      <c r="K1450" s="12" t="s">
        <v>1912</v>
      </c>
    </row>
    <row r="1451" spans="1:11" ht="30" customHeight="1">
      <c r="A1451" s="12" t="s">
        <v>248</v>
      </c>
      <c r="B1451" s="12" t="s">
        <v>244</v>
      </c>
      <c r="C1451" s="12" t="s">
        <v>207</v>
      </c>
      <c r="D1451" s="12" t="s">
        <v>558</v>
      </c>
      <c r="E1451" s="17">
        <v>619.5029</v>
      </c>
      <c r="F1451" s="12" t="s">
        <v>32</v>
      </c>
      <c r="G1451" s="12" t="s">
        <v>247</v>
      </c>
      <c r="H1451" s="12" t="s">
        <v>1913</v>
      </c>
      <c r="I1451" s="12" t="s">
        <v>247</v>
      </c>
      <c r="J1451" s="12" t="s">
        <v>1914</v>
      </c>
      <c r="K1451" s="12" t="s">
        <v>1915</v>
      </c>
    </row>
    <row r="1452" spans="1:11" ht="30" customHeight="1">
      <c r="A1452" s="12" t="s">
        <v>248</v>
      </c>
      <c r="B1452" s="12" t="s">
        <v>244</v>
      </c>
      <c r="C1452" s="12" t="s">
        <v>207</v>
      </c>
      <c r="D1452" s="12" t="s">
        <v>561</v>
      </c>
      <c r="E1452" s="17">
        <v>312.8013</v>
      </c>
      <c r="F1452" s="12" t="s">
        <v>32</v>
      </c>
      <c r="G1452" s="12" t="s">
        <v>247</v>
      </c>
      <c r="H1452" s="12" t="s">
        <v>1913</v>
      </c>
      <c r="I1452" s="12" t="s">
        <v>247</v>
      </c>
      <c r="J1452" s="12" t="s">
        <v>1914</v>
      </c>
      <c r="K1452" s="12" t="s">
        <v>1915</v>
      </c>
    </row>
    <row r="1453" spans="1:11" ht="30" customHeight="1">
      <c r="A1453" s="12" t="s">
        <v>248</v>
      </c>
      <c r="B1453" s="12" t="s">
        <v>244</v>
      </c>
      <c r="C1453" s="12" t="s">
        <v>207</v>
      </c>
      <c r="D1453" s="12" t="s">
        <v>1793</v>
      </c>
      <c r="E1453" s="17">
        <v>309.0579</v>
      </c>
      <c r="F1453" s="12" t="s">
        <v>32</v>
      </c>
      <c r="G1453" s="12" t="s">
        <v>247</v>
      </c>
      <c r="H1453" s="12" t="s">
        <v>1913</v>
      </c>
      <c r="I1453" s="12" t="s">
        <v>247</v>
      </c>
      <c r="J1453" s="12" t="s">
        <v>1914</v>
      </c>
      <c r="K1453" s="12" t="s">
        <v>1915</v>
      </c>
    </row>
    <row r="1454" spans="1:11" ht="30" customHeight="1">
      <c r="A1454" s="12" t="s">
        <v>248</v>
      </c>
      <c r="B1454" s="12" t="s">
        <v>244</v>
      </c>
      <c r="C1454" s="12" t="s">
        <v>207</v>
      </c>
      <c r="D1454" s="12" t="s">
        <v>557</v>
      </c>
      <c r="E1454" s="17">
        <v>720.1677</v>
      </c>
      <c r="F1454" s="12" t="s">
        <v>32</v>
      </c>
      <c r="G1454" s="12" t="s">
        <v>247</v>
      </c>
      <c r="H1454" s="12" t="s">
        <v>1916</v>
      </c>
      <c r="I1454" s="12" t="s">
        <v>247</v>
      </c>
      <c r="J1454" s="12" t="s">
        <v>1917</v>
      </c>
      <c r="K1454" s="12" t="s">
        <v>1918</v>
      </c>
    </row>
    <row r="1455" spans="1:11" ht="30" customHeight="1">
      <c r="A1455" s="12" t="s">
        <v>248</v>
      </c>
      <c r="B1455" s="12" t="s">
        <v>244</v>
      </c>
      <c r="C1455" s="12" t="s">
        <v>207</v>
      </c>
      <c r="D1455" s="12" t="s">
        <v>559</v>
      </c>
      <c r="E1455" s="17">
        <v>1.3991</v>
      </c>
      <c r="F1455" s="12" t="s">
        <v>32</v>
      </c>
      <c r="G1455" s="12" t="s">
        <v>247</v>
      </c>
      <c r="H1455" s="12" t="s">
        <v>1916</v>
      </c>
      <c r="I1455" s="12" t="s">
        <v>247</v>
      </c>
      <c r="J1455" s="12" t="s">
        <v>1917</v>
      </c>
      <c r="K1455" s="12" t="s">
        <v>1918</v>
      </c>
    </row>
    <row r="1456" spans="1:11" ht="30" customHeight="1">
      <c r="A1456" s="12" t="s">
        <v>248</v>
      </c>
      <c r="B1456" s="12" t="s">
        <v>244</v>
      </c>
      <c r="C1456" s="12" t="s">
        <v>207</v>
      </c>
      <c r="D1456" s="12" t="s">
        <v>562</v>
      </c>
      <c r="E1456" s="17">
        <v>29.807</v>
      </c>
      <c r="F1456" s="12" t="s">
        <v>32</v>
      </c>
      <c r="G1456" s="12" t="s">
        <v>247</v>
      </c>
      <c r="H1456" s="12" t="s">
        <v>1916</v>
      </c>
      <c r="I1456" s="12" t="s">
        <v>247</v>
      </c>
      <c r="J1456" s="12" t="s">
        <v>1917</v>
      </c>
      <c r="K1456" s="12" t="s">
        <v>1918</v>
      </c>
    </row>
    <row r="1457" spans="1:11" ht="30" customHeight="1">
      <c r="A1457" s="12" t="s">
        <v>248</v>
      </c>
      <c r="B1457" s="12" t="s">
        <v>244</v>
      </c>
      <c r="C1457" s="12" t="s">
        <v>207</v>
      </c>
      <c r="D1457" s="12" t="s">
        <v>564</v>
      </c>
      <c r="E1457" s="17">
        <v>4.7881</v>
      </c>
      <c r="F1457" s="12" t="s">
        <v>32</v>
      </c>
      <c r="G1457" s="12" t="s">
        <v>247</v>
      </c>
      <c r="H1457" s="12" t="s">
        <v>1919</v>
      </c>
      <c r="I1457" s="12" t="s">
        <v>247</v>
      </c>
      <c r="J1457" s="12" t="s">
        <v>1920</v>
      </c>
      <c r="K1457" s="12" t="s">
        <v>1921</v>
      </c>
    </row>
    <row r="1458" spans="1:11" ht="30" customHeight="1">
      <c r="A1458" s="12" t="s">
        <v>278</v>
      </c>
      <c r="B1458" s="12" t="s">
        <v>274</v>
      </c>
      <c r="C1458" s="12" t="s">
        <v>207</v>
      </c>
      <c r="D1458" s="12" t="s">
        <v>558</v>
      </c>
      <c r="E1458" s="17">
        <v>9310.870000000001</v>
      </c>
      <c r="F1458" s="12" t="s">
        <v>32</v>
      </c>
      <c r="G1458" s="12" t="s">
        <v>277</v>
      </c>
      <c r="H1458" s="12" t="s">
        <v>1922</v>
      </c>
      <c r="I1458" s="12" t="s">
        <v>277</v>
      </c>
      <c r="J1458" s="12" t="s">
        <v>1923</v>
      </c>
      <c r="K1458" s="12" t="s">
        <v>1924</v>
      </c>
    </row>
    <row r="1459" spans="1:11" ht="30" customHeight="1">
      <c r="A1459" s="12" t="s">
        <v>278</v>
      </c>
      <c r="B1459" s="12" t="s">
        <v>274</v>
      </c>
      <c r="C1459" s="12" t="s">
        <v>207</v>
      </c>
      <c r="D1459" s="12" t="s">
        <v>561</v>
      </c>
      <c r="E1459" s="17">
        <v>1995.77</v>
      </c>
      <c r="F1459" s="12" t="s">
        <v>32</v>
      </c>
      <c r="G1459" s="12" t="s">
        <v>277</v>
      </c>
      <c r="H1459" s="12" t="s">
        <v>1922</v>
      </c>
      <c r="I1459" s="12" t="s">
        <v>277</v>
      </c>
      <c r="J1459" s="12" t="s">
        <v>1923</v>
      </c>
      <c r="K1459" s="12" t="s">
        <v>1924</v>
      </c>
    </row>
    <row r="1460" spans="1:11" ht="30" customHeight="1">
      <c r="A1460" s="12" t="s">
        <v>278</v>
      </c>
      <c r="B1460" s="12" t="s">
        <v>274</v>
      </c>
      <c r="C1460" s="12" t="s">
        <v>207</v>
      </c>
      <c r="D1460" s="12" t="s">
        <v>1793</v>
      </c>
      <c r="E1460" s="17">
        <v>4088.33</v>
      </c>
      <c r="F1460" s="12" t="s">
        <v>32</v>
      </c>
      <c r="G1460" s="12" t="s">
        <v>277</v>
      </c>
      <c r="H1460" s="12" t="s">
        <v>1922</v>
      </c>
      <c r="I1460" s="12" t="s">
        <v>277</v>
      </c>
      <c r="J1460" s="12" t="s">
        <v>1923</v>
      </c>
      <c r="K1460" s="12" t="s">
        <v>1924</v>
      </c>
    </row>
    <row r="1461" spans="1:11" ht="30" customHeight="1">
      <c r="A1461" s="12" t="s">
        <v>278</v>
      </c>
      <c r="B1461" s="12" t="s">
        <v>274</v>
      </c>
      <c r="C1461" s="12" t="s">
        <v>207</v>
      </c>
      <c r="D1461" s="12" t="s">
        <v>557</v>
      </c>
      <c r="E1461" s="17">
        <v>19794.5</v>
      </c>
      <c r="F1461" s="12" t="s">
        <v>32</v>
      </c>
      <c r="G1461" s="12" t="s">
        <v>277</v>
      </c>
      <c r="H1461" s="12" t="s">
        <v>1925</v>
      </c>
      <c r="I1461" s="12" t="s">
        <v>277</v>
      </c>
      <c r="J1461" s="12" t="s">
        <v>1926</v>
      </c>
      <c r="K1461" s="12" t="s">
        <v>1927</v>
      </c>
    </row>
    <row r="1462" spans="1:11" ht="30" customHeight="1">
      <c r="A1462" s="12" t="s">
        <v>278</v>
      </c>
      <c r="B1462" s="12" t="s">
        <v>274</v>
      </c>
      <c r="C1462" s="12" t="s">
        <v>207</v>
      </c>
      <c r="D1462" s="12" t="s">
        <v>559</v>
      </c>
      <c r="E1462" s="17">
        <v>183.98</v>
      </c>
      <c r="F1462" s="12" t="s">
        <v>32</v>
      </c>
      <c r="G1462" s="12" t="s">
        <v>277</v>
      </c>
      <c r="H1462" s="12" t="s">
        <v>1925</v>
      </c>
      <c r="I1462" s="12" t="s">
        <v>277</v>
      </c>
      <c r="J1462" s="12" t="s">
        <v>1926</v>
      </c>
      <c r="K1462" s="12" t="s">
        <v>1927</v>
      </c>
    </row>
    <row r="1463" spans="1:11" ht="30" customHeight="1">
      <c r="A1463" s="12" t="s">
        <v>278</v>
      </c>
      <c r="B1463" s="12" t="s">
        <v>274</v>
      </c>
      <c r="C1463" s="12" t="s">
        <v>207</v>
      </c>
      <c r="D1463" s="12" t="s">
        <v>562</v>
      </c>
      <c r="E1463" s="17">
        <v>225.68</v>
      </c>
      <c r="F1463" s="12" t="s">
        <v>32</v>
      </c>
      <c r="G1463" s="12" t="s">
        <v>277</v>
      </c>
      <c r="H1463" s="12" t="s">
        <v>1925</v>
      </c>
      <c r="I1463" s="12" t="s">
        <v>277</v>
      </c>
      <c r="J1463" s="12" t="s">
        <v>1926</v>
      </c>
      <c r="K1463" s="12" t="s">
        <v>1927</v>
      </c>
    </row>
    <row r="1464" spans="1:11" ht="30" customHeight="1">
      <c r="A1464" s="12" t="s">
        <v>278</v>
      </c>
      <c r="B1464" s="12" t="s">
        <v>274</v>
      </c>
      <c r="C1464" s="12" t="s">
        <v>207</v>
      </c>
      <c r="D1464" s="12" t="s">
        <v>564</v>
      </c>
      <c r="E1464" s="17">
        <v>204.03</v>
      </c>
      <c r="F1464" s="12" t="s">
        <v>32</v>
      </c>
      <c r="G1464" s="12" t="s">
        <v>277</v>
      </c>
      <c r="H1464" s="12" t="s">
        <v>1928</v>
      </c>
      <c r="I1464" s="12" t="s">
        <v>277</v>
      </c>
      <c r="J1464" s="12" t="s">
        <v>1929</v>
      </c>
      <c r="K1464" s="12" t="s">
        <v>1930</v>
      </c>
    </row>
    <row r="1465" spans="1:11" ht="30" customHeight="1">
      <c r="A1465" s="12" t="s">
        <v>300</v>
      </c>
      <c r="B1465" s="12" t="s">
        <v>296</v>
      </c>
      <c r="C1465" s="12" t="s">
        <v>207</v>
      </c>
      <c r="D1465" s="12" t="s">
        <v>558</v>
      </c>
      <c r="E1465" s="17">
        <v>21557.12</v>
      </c>
      <c r="F1465" s="12" t="s">
        <v>32</v>
      </c>
      <c r="G1465" s="12" t="s">
        <v>299</v>
      </c>
      <c r="H1465" s="12" t="s">
        <v>1899</v>
      </c>
      <c r="I1465" s="12" t="s">
        <v>299</v>
      </c>
      <c r="J1465" s="12" t="s">
        <v>1900</v>
      </c>
      <c r="K1465" s="12" t="s">
        <v>1931</v>
      </c>
    </row>
    <row r="1466" spans="1:11" ht="30" customHeight="1">
      <c r="A1466" s="12" t="s">
        <v>300</v>
      </c>
      <c r="B1466" s="12" t="s">
        <v>296</v>
      </c>
      <c r="C1466" s="12" t="s">
        <v>207</v>
      </c>
      <c r="D1466" s="12" t="s">
        <v>561</v>
      </c>
      <c r="E1466" s="17">
        <v>4641.24</v>
      </c>
      <c r="F1466" s="12" t="s">
        <v>32</v>
      </c>
      <c r="G1466" s="12" t="s">
        <v>299</v>
      </c>
      <c r="H1466" s="12" t="s">
        <v>1899</v>
      </c>
      <c r="I1466" s="12" t="s">
        <v>299</v>
      </c>
      <c r="J1466" s="12" t="s">
        <v>1900</v>
      </c>
      <c r="K1466" s="12" t="s">
        <v>1931</v>
      </c>
    </row>
    <row r="1467" spans="1:11" ht="30" customHeight="1">
      <c r="A1467" s="12" t="s">
        <v>300</v>
      </c>
      <c r="B1467" s="12" t="s">
        <v>296</v>
      </c>
      <c r="C1467" s="12" t="s">
        <v>207</v>
      </c>
      <c r="D1467" s="12" t="s">
        <v>557</v>
      </c>
      <c r="E1467" s="17">
        <v>14693.07</v>
      </c>
      <c r="F1467" s="12" t="s">
        <v>32</v>
      </c>
      <c r="G1467" s="12" t="s">
        <v>299</v>
      </c>
      <c r="H1467" s="12" t="s">
        <v>1797</v>
      </c>
      <c r="I1467" s="12" t="s">
        <v>299</v>
      </c>
      <c r="J1467" s="12" t="s">
        <v>1902</v>
      </c>
      <c r="K1467" s="12" t="s">
        <v>1932</v>
      </c>
    </row>
    <row r="1468" spans="1:11" ht="30" customHeight="1">
      <c r="A1468" s="12" t="s">
        <v>300</v>
      </c>
      <c r="B1468" s="12" t="s">
        <v>296</v>
      </c>
      <c r="C1468" s="12" t="s">
        <v>207</v>
      </c>
      <c r="D1468" s="12" t="s">
        <v>559</v>
      </c>
      <c r="E1468" s="17">
        <v>1250.78</v>
      </c>
      <c r="F1468" s="12" t="s">
        <v>32</v>
      </c>
      <c r="G1468" s="12" t="s">
        <v>299</v>
      </c>
      <c r="H1468" s="12" t="s">
        <v>1797</v>
      </c>
      <c r="I1468" s="12" t="s">
        <v>299</v>
      </c>
      <c r="J1468" s="12" t="s">
        <v>1902</v>
      </c>
      <c r="K1468" s="12" t="s">
        <v>1932</v>
      </c>
    </row>
    <row r="1469" spans="1:11" ht="30" customHeight="1">
      <c r="A1469" s="12" t="s">
        <v>300</v>
      </c>
      <c r="B1469" s="12" t="s">
        <v>296</v>
      </c>
      <c r="C1469" s="12" t="s">
        <v>207</v>
      </c>
      <c r="D1469" s="12" t="s">
        <v>562</v>
      </c>
      <c r="E1469" s="17">
        <v>375.96</v>
      </c>
      <c r="F1469" s="12" t="s">
        <v>32</v>
      </c>
      <c r="G1469" s="12" t="s">
        <v>299</v>
      </c>
      <c r="H1469" s="12" t="s">
        <v>1797</v>
      </c>
      <c r="I1469" s="12" t="s">
        <v>299</v>
      </c>
      <c r="J1469" s="12" t="s">
        <v>1902</v>
      </c>
      <c r="K1469" s="12" t="s">
        <v>1932</v>
      </c>
    </row>
    <row r="1470" spans="1:11" ht="30" customHeight="1">
      <c r="A1470" s="12" t="s">
        <v>300</v>
      </c>
      <c r="B1470" s="12" t="s">
        <v>296</v>
      </c>
      <c r="C1470" s="12" t="s">
        <v>207</v>
      </c>
      <c r="D1470" s="12" t="s">
        <v>1793</v>
      </c>
      <c r="E1470" s="17">
        <v>4920.24</v>
      </c>
      <c r="F1470" s="12" t="s">
        <v>32</v>
      </c>
      <c r="G1470" s="12" t="s">
        <v>299</v>
      </c>
      <c r="H1470" s="12" t="s">
        <v>1904</v>
      </c>
      <c r="I1470" s="12" t="s">
        <v>299</v>
      </c>
      <c r="J1470" s="12" t="s">
        <v>1933</v>
      </c>
      <c r="K1470" s="12" t="s">
        <v>1934</v>
      </c>
    </row>
    <row r="1471" spans="1:11" ht="30" customHeight="1">
      <c r="A1471" s="12" t="s">
        <v>300</v>
      </c>
      <c r="B1471" s="12" t="s">
        <v>296</v>
      </c>
      <c r="C1471" s="12" t="s">
        <v>207</v>
      </c>
      <c r="D1471" s="12" t="s">
        <v>564</v>
      </c>
      <c r="E1471" s="17">
        <v>1231.45</v>
      </c>
      <c r="F1471" s="12" t="s">
        <v>32</v>
      </c>
      <c r="G1471" s="12" t="s">
        <v>299</v>
      </c>
      <c r="H1471" s="12" t="s">
        <v>1904</v>
      </c>
      <c r="I1471" s="12" t="s">
        <v>299</v>
      </c>
      <c r="J1471" s="12" t="s">
        <v>1933</v>
      </c>
      <c r="K1471" s="12" t="s">
        <v>1934</v>
      </c>
    </row>
    <row r="1472" spans="1:11" ht="30" customHeight="1">
      <c r="A1472" s="12" t="s">
        <v>510</v>
      </c>
      <c r="B1472" s="12" t="s">
        <v>506</v>
      </c>
      <c r="C1472" s="12" t="s">
        <v>484</v>
      </c>
      <c r="D1472" s="12" t="s">
        <v>557</v>
      </c>
      <c r="E1472" s="17">
        <v>81612.78</v>
      </c>
      <c r="F1472" s="12" t="s">
        <v>32</v>
      </c>
      <c r="G1472" s="12" t="s">
        <v>509</v>
      </c>
      <c r="H1472" s="12" t="s">
        <v>1935</v>
      </c>
      <c r="I1472" s="12" t="s">
        <v>509</v>
      </c>
      <c r="J1472" s="12" t="s">
        <v>1936</v>
      </c>
      <c r="K1472" s="12" t="s">
        <v>1937</v>
      </c>
    </row>
    <row r="1473" spans="1:11" ht="30" customHeight="1">
      <c r="A1473" s="12" t="s">
        <v>510</v>
      </c>
      <c r="B1473" s="12" t="s">
        <v>506</v>
      </c>
      <c r="C1473" s="12" t="s">
        <v>484</v>
      </c>
      <c r="D1473" s="12" t="s">
        <v>558</v>
      </c>
      <c r="E1473" s="17">
        <v>88090.67999999999</v>
      </c>
      <c r="F1473" s="12" t="s">
        <v>32</v>
      </c>
      <c r="G1473" s="12" t="s">
        <v>509</v>
      </c>
      <c r="H1473" s="12" t="s">
        <v>1935</v>
      </c>
      <c r="I1473" s="12" t="s">
        <v>509</v>
      </c>
      <c r="J1473" s="12" t="s">
        <v>1936</v>
      </c>
      <c r="K1473" s="12" t="s">
        <v>1937</v>
      </c>
    </row>
    <row r="1474" spans="1:11" ht="30" customHeight="1">
      <c r="A1474" s="12" t="s">
        <v>510</v>
      </c>
      <c r="B1474" s="12" t="s">
        <v>506</v>
      </c>
      <c r="C1474" s="12" t="s">
        <v>484</v>
      </c>
      <c r="D1474" s="12" t="s">
        <v>559</v>
      </c>
      <c r="E1474" s="17">
        <v>35052.48</v>
      </c>
      <c r="F1474" s="12" t="s">
        <v>32</v>
      </c>
      <c r="G1474" s="12" t="s">
        <v>509</v>
      </c>
      <c r="H1474" s="12" t="s">
        <v>1935</v>
      </c>
      <c r="I1474" s="12" t="s">
        <v>509</v>
      </c>
      <c r="J1474" s="12" t="s">
        <v>1936</v>
      </c>
      <c r="K1474" s="12" t="s">
        <v>1937</v>
      </c>
    </row>
    <row r="1475" spans="1:11" ht="30" customHeight="1">
      <c r="A1475" s="12" t="s">
        <v>510</v>
      </c>
      <c r="B1475" s="12" t="s">
        <v>506</v>
      </c>
      <c r="C1475" s="12" t="s">
        <v>484</v>
      </c>
      <c r="D1475" s="12" t="s">
        <v>561</v>
      </c>
      <c r="E1475" s="17">
        <v>91.26000000000001</v>
      </c>
      <c r="F1475" s="12" t="s">
        <v>32</v>
      </c>
      <c r="G1475" s="12" t="s">
        <v>509</v>
      </c>
      <c r="H1475" s="12" t="s">
        <v>1935</v>
      </c>
      <c r="I1475" s="12" t="s">
        <v>509</v>
      </c>
      <c r="J1475" s="12" t="s">
        <v>1936</v>
      </c>
      <c r="K1475" s="12" t="s">
        <v>1937</v>
      </c>
    </row>
    <row r="1476" spans="1:11" ht="30" customHeight="1">
      <c r="A1476" s="12" t="s">
        <v>510</v>
      </c>
      <c r="B1476" s="12" t="s">
        <v>506</v>
      </c>
      <c r="C1476" s="12" t="s">
        <v>484</v>
      </c>
      <c r="D1476" s="12" t="s">
        <v>562</v>
      </c>
      <c r="E1476" s="17">
        <v>45.06</v>
      </c>
      <c r="F1476" s="12" t="s">
        <v>32</v>
      </c>
      <c r="G1476" s="12" t="s">
        <v>509</v>
      </c>
      <c r="H1476" s="12" t="s">
        <v>1935</v>
      </c>
      <c r="I1476" s="12" t="s">
        <v>509</v>
      </c>
      <c r="J1476" s="12" t="s">
        <v>1936</v>
      </c>
      <c r="K1476" s="12" t="s">
        <v>1937</v>
      </c>
    </row>
    <row r="1477" spans="1:11" ht="30" customHeight="1">
      <c r="A1477" s="12" t="s">
        <v>510</v>
      </c>
      <c r="B1477" s="12" t="s">
        <v>506</v>
      </c>
      <c r="C1477" s="12" t="s">
        <v>484</v>
      </c>
      <c r="D1477" s="12" t="s">
        <v>1793</v>
      </c>
      <c r="E1477" s="17">
        <v>11.28</v>
      </c>
      <c r="F1477" s="12" t="s">
        <v>32</v>
      </c>
      <c r="G1477" s="12" t="s">
        <v>509</v>
      </c>
      <c r="H1477" s="12" t="s">
        <v>1935</v>
      </c>
      <c r="I1477" s="12" t="s">
        <v>509</v>
      </c>
      <c r="J1477" s="12" t="s">
        <v>1936</v>
      </c>
      <c r="K1477" s="12" t="s">
        <v>1937</v>
      </c>
    </row>
    <row r="1478" spans="1:11" ht="30" customHeight="1">
      <c r="A1478" s="12" t="s">
        <v>510</v>
      </c>
      <c r="B1478" s="12" t="s">
        <v>506</v>
      </c>
      <c r="C1478" s="12" t="s">
        <v>484</v>
      </c>
      <c r="D1478" s="12" t="s">
        <v>1938</v>
      </c>
      <c r="E1478" s="17">
        <v>0</v>
      </c>
      <c r="F1478" s="12" t="s">
        <v>32</v>
      </c>
      <c r="G1478" s="12" t="s">
        <v>509</v>
      </c>
      <c r="H1478" s="12" t="s">
        <v>1935</v>
      </c>
      <c r="I1478" s="12" t="s">
        <v>509</v>
      </c>
      <c r="J1478" s="12" t="s">
        <v>1936</v>
      </c>
      <c r="K1478" s="12" t="s">
        <v>1937</v>
      </c>
    </row>
    <row r="1479" spans="1:11" ht="30" customHeight="1">
      <c r="A1479" s="12" t="s">
        <v>510</v>
      </c>
      <c r="B1479" s="12" t="s">
        <v>506</v>
      </c>
      <c r="C1479" s="12" t="s">
        <v>484</v>
      </c>
      <c r="D1479" s="12" t="s">
        <v>1939</v>
      </c>
      <c r="E1479" s="17">
        <v>91.26000000000001</v>
      </c>
      <c r="F1479" s="12" t="s">
        <v>32</v>
      </c>
      <c r="G1479" s="12" t="s">
        <v>509</v>
      </c>
      <c r="H1479" s="12" t="s">
        <v>1935</v>
      </c>
      <c r="I1479" s="12" t="s">
        <v>509</v>
      </c>
      <c r="J1479" s="12" t="s">
        <v>1936</v>
      </c>
      <c r="K1479" s="12" t="s">
        <v>1937</v>
      </c>
    </row>
    <row r="1480" spans="1:11" ht="30" customHeight="1">
      <c r="A1480" s="12" t="s">
        <v>510</v>
      </c>
      <c r="B1480" s="12" t="s">
        <v>506</v>
      </c>
      <c r="C1480" s="12" t="s">
        <v>484</v>
      </c>
      <c r="D1480" s="12" t="s">
        <v>1940</v>
      </c>
      <c r="E1480" s="17">
        <v>1.76</v>
      </c>
      <c r="F1480" s="12" t="s">
        <v>32</v>
      </c>
      <c r="G1480" s="12" t="s">
        <v>509</v>
      </c>
      <c r="H1480" s="12" t="s">
        <v>1935</v>
      </c>
      <c r="I1480" s="12" t="s">
        <v>509</v>
      </c>
      <c r="J1480" s="12" t="s">
        <v>1936</v>
      </c>
      <c r="K1480" s="12" t="s">
        <v>1937</v>
      </c>
    </row>
    <row r="1481" spans="1:11" ht="30" customHeight="1">
      <c r="A1481" s="12" t="s">
        <v>510</v>
      </c>
      <c r="B1481" s="12" t="s">
        <v>506</v>
      </c>
      <c r="C1481" s="12" t="s">
        <v>484</v>
      </c>
      <c r="D1481" s="12" t="s">
        <v>1941</v>
      </c>
      <c r="E1481" s="17">
        <v>9.52</v>
      </c>
      <c r="F1481" s="12" t="s">
        <v>32</v>
      </c>
      <c r="G1481" s="12" t="s">
        <v>509</v>
      </c>
      <c r="H1481" s="12" t="s">
        <v>1935</v>
      </c>
      <c r="I1481" s="12" t="s">
        <v>509</v>
      </c>
      <c r="J1481" s="12" t="s">
        <v>1936</v>
      </c>
      <c r="K1481" s="12" t="s">
        <v>1937</v>
      </c>
    </row>
    <row r="1482" spans="1:11" ht="30" customHeight="1">
      <c r="A1482" s="12" t="s">
        <v>510</v>
      </c>
      <c r="B1482" s="12" t="s">
        <v>506</v>
      </c>
      <c r="C1482" s="12" t="s">
        <v>484</v>
      </c>
      <c r="D1482" s="12" t="s">
        <v>564</v>
      </c>
      <c r="E1482" s="17">
        <v>2278.7</v>
      </c>
      <c r="F1482" s="12" t="s">
        <v>32</v>
      </c>
      <c r="G1482" s="12" t="s">
        <v>509</v>
      </c>
      <c r="H1482" s="12" t="s">
        <v>1935</v>
      </c>
      <c r="I1482" s="12" t="s">
        <v>509</v>
      </c>
      <c r="J1482" s="12" t="s">
        <v>1936</v>
      </c>
      <c r="K1482" s="12" t="s">
        <v>1937</v>
      </c>
    </row>
    <row r="1483" spans="1:11" ht="30" customHeight="1">
      <c r="A1483" s="12" t="s">
        <v>510</v>
      </c>
      <c r="B1483" s="12" t="s">
        <v>506</v>
      </c>
      <c r="C1483" s="12" t="s">
        <v>484</v>
      </c>
      <c r="D1483" s="12" t="s">
        <v>1942</v>
      </c>
      <c r="E1483" s="17">
        <v>20036.47</v>
      </c>
      <c r="F1483" s="12" t="s">
        <v>32</v>
      </c>
      <c r="G1483" s="12" t="s">
        <v>509</v>
      </c>
      <c r="H1483" s="12" t="s">
        <v>1935</v>
      </c>
      <c r="I1483" s="12" t="s">
        <v>509</v>
      </c>
      <c r="J1483" s="12" t="s">
        <v>1936</v>
      </c>
      <c r="K1483" s="12" t="s">
        <v>1937</v>
      </c>
    </row>
    <row r="1484" spans="1:11" ht="30" customHeight="1">
      <c r="A1484" s="12" t="s">
        <v>510</v>
      </c>
      <c r="B1484" s="12" t="s">
        <v>506</v>
      </c>
      <c r="C1484" s="12" t="s">
        <v>484</v>
      </c>
      <c r="D1484" s="12" t="s">
        <v>1943</v>
      </c>
      <c r="E1484" s="17">
        <v>34746.63</v>
      </c>
      <c r="F1484" s="12" t="s">
        <v>32</v>
      </c>
      <c r="G1484" s="12" t="s">
        <v>509</v>
      </c>
      <c r="H1484" s="12" t="s">
        <v>1935</v>
      </c>
      <c r="I1484" s="12" t="s">
        <v>509</v>
      </c>
      <c r="J1484" s="12" t="s">
        <v>1936</v>
      </c>
      <c r="K1484" s="12" t="s">
        <v>1937</v>
      </c>
    </row>
    <row r="1485" spans="1:11" ht="30" customHeight="1">
      <c r="A1485" s="12" t="s">
        <v>525</v>
      </c>
      <c r="B1485" s="12" t="s">
        <v>521</v>
      </c>
      <c r="C1485" s="12" t="s">
        <v>484</v>
      </c>
      <c r="D1485" s="12" t="s">
        <v>557</v>
      </c>
      <c r="E1485" s="17">
        <v>17618.3</v>
      </c>
      <c r="F1485" s="12" t="s">
        <v>32</v>
      </c>
      <c r="G1485" s="12" t="s">
        <v>524</v>
      </c>
      <c r="H1485" s="12" t="s">
        <v>1944</v>
      </c>
      <c r="I1485" s="12" t="s">
        <v>524</v>
      </c>
      <c r="J1485" s="12" t="s">
        <v>1945</v>
      </c>
      <c r="K1485" s="12" t="s">
        <v>1946</v>
      </c>
    </row>
    <row r="1486" spans="1:11" ht="30" customHeight="1">
      <c r="A1486" s="12" t="s">
        <v>525</v>
      </c>
      <c r="B1486" s="12" t="s">
        <v>521</v>
      </c>
      <c r="C1486" s="12" t="s">
        <v>484</v>
      </c>
      <c r="D1486" s="12" t="s">
        <v>558</v>
      </c>
      <c r="E1486" s="17">
        <v>31977.68</v>
      </c>
      <c r="F1486" s="12" t="s">
        <v>32</v>
      </c>
      <c r="G1486" s="12" t="s">
        <v>524</v>
      </c>
      <c r="H1486" s="12" t="s">
        <v>1944</v>
      </c>
      <c r="I1486" s="12" t="s">
        <v>524</v>
      </c>
      <c r="J1486" s="12" t="s">
        <v>1945</v>
      </c>
      <c r="K1486" s="12" t="s">
        <v>1946</v>
      </c>
    </row>
    <row r="1487" spans="1:11" ht="30" customHeight="1">
      <c r="A1487" s="12" t="s">
        <v>525</v>
      </c>
      <c r="B1487" s="12" t="s">
        <v>521</v>
      </c>
      <c r="C1487" s="12" t="s">
        <v>484</v>
      </c>
      <c r="D1487" s="12" t="s">
        <v>559</v>
      </c>
      <c r="E1487" s="17">
        <v>1287.1</v>
      </c>
      <c r="F1487" s="12" t="s">
        <v>32</v>
      </c>
      <c r="G1487" s="12" t="s">
        <v>524</v>
      </c>
      <c r="H1487" s="12" t="s">
        <v>1944</v>
      </c>
      <c r="I1487" s="12" t="s">
        <v>524</v>
      </c>
      <c r="J1487" s="12" t="s">
        <v>1945</v>
      </c>
      <c r="K1487" s="12" t="s">
        <v>1946</v>
      </c>
    </row>
    <row r="1488" spans="1:11" ht="30" customHeight="1">
      <c r="A1488" s="12" t="s">
        <v>525</v>
      </c>
      <c r="B1488" s="12" t="s">
        <v>521</v>
      </c>
      <c r="C1488" s="12" t="s">
        <v>484</v>
      </c>
      <c r="D1488" s="12" t="s">
        <v>561</v>
      </c>
      <c r="E1488" s="17">
        <v>1848.65</v>
      </c>
      <c r="F1488" s="12" t="s">
        <v>32</v>
      </c>
      <c r="G1488" s="12" t="s">
        <v>524</v>
      </c>
      <c r="H1488" s="12" t="s">
        <v>1944</v>
      </c>
      <c r="I1488" s="12" t="s">
        <v>524</v>
      </c>
      <c r="J1488" s="12" t="s">
        <v>1945</v>
      </c>
      <c r="K1488" s="12" t="s">
        <v>1946</v>
      </c>
    </row>
    <row r="1489" spans="1:11" ht="30" customHeight="1">
      <c r="A1489" s="12" t="s">
        <v>525</v>
      </c>
      <c r="B1489" s="12" t="s">
        <v>521</v>
      </c>
      <c r="C1489" s="12" t="s">
        <v>484</v>
      </c>
      <c r="D1489" s="12" t="s">
        <v>562</v>
      </c>
      <c r="E1489" s="17">
        <v>290.2</v>
      </c>
      <c r="F1489" s="12" t="s">
        <v>32</v>
      </c>
      <c r="G1489" s="12" t="s">
        <v>524</v>
      </c>
      <c r="H1489" s="12" t="s">
        <v>1944</v>
      </c>
      <c r="I1489" s="12" t="s">
        <v>524</v>
      </c>
      <c r="J1489" s="12" t="s">
        <v>1945</v>
      </c>
      <c r="K1489" s="12" t="s">
        <v>1946</v>
      </c>
    </row>
    <row r="1490" spans="1:11" ht="30" customHeight="1">
      <c r="A1490" s="12" t="s">
        <v>525</v>
      </c>
      <c r="B1490" s="12" t="s">
        <v>521</v>
      </c>
      <c r="C1490" s="12" t="s">
        <v>484</v>
      </c>
      <c r="D1490" s="12" t="s">
        <v>1793</v>
      </c>
      <c r="E1490" s="17">
        <v>2953.85</v>
      </c>
      <c r="F1490" s="12" t="s">
        <v>32</v>
      </c>
      <c r="G1490" s="12" t="s">
        <v>524</v>
      </c>
      <c r="H1490" s="12" t="s">
        <v>1944</v>
      </c>
      <c r="I1490" s="12" t="s">
        <v>524</v>
      </c>
      <c r="J1490" s="12" t="s">
        <v>1945</v>
      </c>
      <c r="K1490" s="12" t="s">
        <v>1946</v>
      </c>
    </row>
    <row r="1491" spans="1:11" ht="30" customHeight="1">
      <c r="A1491" s="12" t="s">
        <v>525</v>
      </c>
      <c r="B1491" s="12" t="s">
        <v>521</v>
      </c>
      <c r="C1491" s="12" t="s">
        <v>484</v>
      </c>
      <c r="D1491" s="12" t="s">
        <v>1938</v>
      </c>
      <c r="E1491" s="17">
        <v>190.68</v>
      </c>
      <c r="F1491" s="12" t="s">
        <v>32</v>
      </c>
      <c r="G1491" s="12" t="s">
        <v>524</v>
      </c>
      <c r="H1491" s="12" t="s">
        <v>1944</v>
      </c>
      <c r="I1491" s="12" t="s">
        <v>524</v>
      </c>
      <c r="J1491" s="12" t="s">
        <v>1945</v>
      </c>
      <c r="K1491" s="12" t="s">
        <v>1946</v>
      </c>
    </row>
    <row r="1492" spans="1:11" ht="30" customHeight="1">
      <c r="A1492" s="12" t="s">
        <v>525</v>
      </c>
      <c r="B1492" s="12" t="s">
        <v>521</v>
      </c>
      <c r="C1492" s="12" t="s">
        <v>484</v>
      </c>
      <c r="D1492" s="12" t="s">
        <v>1939</v>
      </c>
      <c r="E1492" s="17">
        <v>1657.97</v>
      </c>
      <c r="F1492" s="12" t="s">
        <v>32</v>
      </c>
      <c r="G1492" s="12" t="s">
        <v>524</v>
      </c>
      <c r="H1492" s="12" t="s">
        <v>1944</v>
      </c>
      <c r="I1492" s="12" t="s">
        <v>524</v>
      </c>
      <c r="J1492" s="12" t="s">
        <v>1945</v>
      </c>
      <c r="K1492" s="12" t="s">
        <v>1946</v>
      </c>
    </row>
    <row r="1493" spans="1:11" ht="30" customHeight="1">
      <c r="A1493" s="12" t="s">
        <v>525</v>
      </c>
      <c r="B1493" s="12" t="s">
        <v>521</v>
      </c>
      <c r="C1493" s="12" t="s">
        <v>484</v>
      </c>
      <c r="D1493" s="12" t="s">
        <v>1940</v>
      </c>
      <c r="E1493" s="17">
        <v>168.35</v>
      </c>
      <c r="F1493" s="12" t="s">
        <v>32</v>
      </c>
      <c r="G1493" s="12" t="s">
        <v>524</v>
      </c>
      <c r="H1493" s="12" t="s">
        <v>1944</v>
      </c>
      <c r="I1493" s="12" t="s">
        <v>524</v>
      </c>
      <c r="J1493" s="12" t="s">
        <v>1945</v>
      </c>
      <c r="K1493" s="12" t="s">
        <v>1946</v>
      </c>
    </row>
    <row r="1494" spans="1:11" ht="30" customHeight="1">
      <c r="A1494" s="12" t="s">
        <v>525</v>
      </c>
      <c r="B1494" s="12" t="s">
        <v>521</v>
      </c>
      <c r="C1494" s="12" t="s">
        <v>484</v>
      </c>
      <c r="D1494" s="12" t="s">
        <v>1941</v>
      </c>
      <c r="E1494" s="17">
        <v>2785.5</v>
      </c>
      <c r="F1494" s="12" t="s">
        <v>32</v>
      </c>
      <c r="G1494" s="12" t="s">
        <v>524</v>
      </c>
      <c r="H1494" s="12" t="s">
        <v>1944</v>
      </c>
      <c r="I1494" s="12" t="s">
        <v>524</v>
      </c>
      <c r="J1494" s="12" t="s">
        <v>1945</v>
      </c>
      <c r="K1494" s="12" t="s">
        <v>1946</v>
      </c>
    </row>
    <row r="1495" spans="1:11" ht="30" customHeight="1">
      <c r="A1495" s="12" t="s">
        <v>525</v>
      </c>
      <c r="B1495" s="12" t="s">
        <v>521</v>
      </c>
      <c r="C1495" s="12" t="s">
        <v>484</v>
      </c>
      <c r="D1495" s="12" t="s">
        <v>564</v>
      </c>
      <c r="E1495" s="17">
        <v>459.54</v>
      </c>
      <c r="F1495" s="12" t="s">
        <v>32</v>
      </c>
      <c r="G1495" s="12" t="s">
        <v>524</v>
      </c>
      <c r="H1495" s="12" t="s">
        <v>1944</v>
      </c>
      <c r="I1495" s="12" t="s">
        <v>524</v>
      </c>
      <c r="J1495" s="12" t="s">
        <v>1945</v>
      </c>
      <c r="K1495" s="12" t="s">
        <v>1946</v>
      </c>
    </row>
    <row r="1496" spans="1:11" ht="30" customHeight="1">
      <c r="A1496" s="12" t="s">
        <v>516</v>
      </c>
      <c r="B1496" s="12" t="s">
        <v>512</v>
      </c>
      <c r="C1496" s="12" t="s">
        <v>484</v>
      </c>
      <c r="D1496" s="12" t="s">
        <v>557</v>
      </c>
      <c r="E1496" s="17">
        <v>10831</v>
      </c>
      <c r="F1496" s="12" t="s">
        <v>32</v>
      </c>
      <c r="G1496" s="12" t="s">
        <v>515</v>
      </c>
      <c r="H1496" s="12" t="s">
        <v>1947</v>
      </c>
      <c r="I1496" s="12" t="s">
        <v>515</v>
      </c>
      <c r="J1496" s="12" t="s">
        <v>1948</v>
      </c>
      <c r="K1496" s="12" t="s">
        <v>1949</v>
      </c>
    </row>
    <row r="1497" spans="1:11" ht="30" customHeight="1">
      <c r="A1497" s="12" t="s">
        <v>516</v>
      </c>
      <c r="B1497" s="12" t="s">
        <v>512</v>
      </c>
      <c r="C1497" s="12" t="s">
        <v>484</v>
      </c>
      <c r="D1497" s="12" t="s">
        <v>558</v>
      </c>
      <c r="E1497" s="17">
        <v>8338</v>
      </c>
      <c r="F1497" s="12" t="s">
        <v>32</v>
      </c>
      <c r="G1497" s="12" t="s">
        <v>515</v>
      </c>
      <c r="H1497" s="12" t="s">
        <v>1947</v>
      </c>
      <c r="I1497" s="12" t="s">
        <v>515</v>
      </c>
      <c r="J1497" s="12" t="s">
        <v>1948</v>
      </c>
      <c r="K1497" s="12" t="s">
        <v>1949</v>
      </c>
    </row>
    <row r="1498" spans="1:11" ht="30" customHeight="1">
      <c r="A1498" s="12" t="s">
        <v>516</v>
      </c>
      <c r="B1498" s="12" t="s">
        <v>512</v>
      </c>
      <c r="C1498" s="12" t="s">
        <v>484</v>
      </c>
      <c r="D1498" s="12" t="s">
        <v>559</v>
      </c>
      <c r="E1498" s="17">
        <v>1658</v>
      </c>
      <c r="F1498" s="12" t="s">
        <v>32</v>
      </c>
      <c r="G1498" s="12" t="s">
        <v>515</v>
      </c>
      <c r="H1498" s="12" t="s">
        <v>1947</v>
      </c>
      <c r="I1498" s="12" t="s">
        <v>515</v>
      </c>
      <c r="J1498" s="12" t="s">
        <v>1948</v>
      </c>
      <c r="K1498" s="12" t="s">
        <v>1949</v>
      </c>
    </row>
    <row r="1499" spans="1:11" ht="30" customHeight="1">
      <c r="A1499" s="12" t="s">
        <v>516</v>
      </c>
      <c r="B1499" s="12" t="s">
        <v>512</v>
      </c>
      <c r="C1499" s="12" t="s">
        <v>484</v>
      </c>
      <c r="D1499" s="12" t="s">
        <v>561</v>
      </c>
      <c r="E1499" s="17">
        <v>379</v>
      </c>
      <c r="F1499" s="12" t="s">
        <v>32</v>
      </c>
      <c r="G1499" s="12" t="s">
        <v>515</v>
      </c>
      <c r="H1499" s="12" t="s">
        <v>1947</v>
      </c>
      <c r="I1499" s="12" t="s">
        <v>515</v>
      </c>
      <c r="J1499" s="12" t="s">
        <v>1948</v>
      </c>
      <c r="K1499" s="12" t="s">
        <v>1949</v>
      </c>
    </row>
    <row r="1500" spans="1:11" ht="30" customHeight="1">
      <c r="A1500" s="12" t="s">
        <v>516</v>
      </c>
      <c r="B1500" s="12" t="s">
        <v>512</v>
      </c>
      <c r="C1500" s="12" t="s">
        <v>484</v>
      </c>
      <c r="D1500" s="12" t="s">
        <v>562</v>
      </c>
      <c r="E1500" s="17">
        <v>53</v>
      </c>
      <c r="F1500" s="12" t="s">
        <v>32</v>
      </c>
      <c r="G1500" s="12" t="s">
        <v>515</v>
      </c>
      <c r="H1500" s="12" t="s">
        <v>1947</v>
      </c>
      <c r="I1500" s="12" t="s">
        <v>515</v>
      </c>
      <c r="J1500" s="12" t="s">
        <v>1948</v>
      </c>
      <c r="K1500" s="12" t="s">
        <v>1949</v>
      </c>
    </row>
    <row r="1501" spans="1:11" ht="30" customHeight="1">
      <c r="A1501" s="12" t="s">
        <v>516</v>
      </c>
      <c r="B1501" s="12" t="s">
        <v>512</v>
      </c>
      <c r="C1501" s="12" t="s">
        <v>484</v>
      </c>
      <c r="D1501" s="12" t="s">
        <v>1793</v>
      </c>
      <c r="E1501" s="17">
        <v>383</v>
      </c>
      <c r="F1501" s="12" t="s">
        <v>32</v>
      </c>
      <c r="G1501" s="12" t="s">
        <v>515</v>
      </c>
      <c r="H1501" s="12" t="s">
        <v>1947</v>
      </c>
      <c r="I1501" s="12" t="s">
        <v>515</v>
      </c>
      <c r="J1501" s="12" t="s">
        <v>1948</v>
      </c>
      <c r="K1501" s="12" t="s">
        <v>1949</v>
      </c>
    </row>
    <row r="1502" spans="1:11" ht="30" customHeight="1">
      <c r="A1502" s="12" t="s">
        <v>516</v>
      </c>
      <c r="B1502" s="12" t="s">
        <v>512</v>
      </c>
      <c r="C1502" s="12" t="s">
        <v>484</v>
      </c>
      <c r="D1502" s="12" t="s">
        <v>1938</v>
      </c>
      <c r="E1502" s="17">
        <v>0</v>
      </c>
      <c r="F1502" s="12" t="s">
        <v>32</v>
      </c>
      <c r="G1502" s="12" t="s">
        <v>515</v>
      </c>
      <c r="H1502" s="12" t="s">
        <v>1947</v>
      </c>
      <c r="I1502" s="12" t="s">
        <v>515</v>
      </c>
      <c r="J1502" s="12" t="s">
        <v>1948</v>
      </c>
      <c r="K1502" s="12" t="s">
        <v>1949</v>
      </c>
    </row>
    <row r="1503" spans="1:11" ht="30" customHeight="1">
      <c r="A1503" s="12" t="s">
        <v>516</v>
      </c>
      <c r="B1503" s="12" t="s">
        <v>512</v>
      </c>
      <c r="C1503" s="12" t="s">
        <v>484</v>
      </c>
      <c r="D1503" s="12" t="s">
        <v>1939</v>
      </c>
      <c r="E1503" s="17">
        <v>379</v>
      </c>
      <c r="F1503" s="12" t="s">
        <v>32</v>
      </c>
      <c r="G1503" s="12" t="s">
        <v>515</v>
      </c>
      <c r="H1503" s="12" t="s">
        <v>1947</v>
      </c>
      <c r="I1503" s="12" t="s">
        <v>515</v>
      </c>
      <c r="J1503" s="12" t="s">
        <v>1948</v>
      </c>
      <c r="K1503" s="12" t="s">
        <v>1949</v>
      </c>
    </row>
    <row r="1504" spans="1:11" ht="30" customHeight="1">
      <c r="A1504" s="12" t="s">
        <v>516</v>
      </c>
      <c r="B1504" s="12" t="s">
        <v>512</v>
      </c>
      <c r="C1504" s="12" t="s">
        <v>484</v>
      </c>
      <c r="D1504" s="12" t="s">
        <v>1940</v>
      </c>
      <c r="E1504" s="17">
        <v>0</v>
      </c>
      <c r="F1504" s="12" t="s">
        <v>32</v>
      </c>
      <c r="G1504" s="12" t="s">
        <v>515</v>
      </c>
      <c r="H1504" s="12" t="s">
        <v>1947</v>
      </c>
      <c r="I1504" s="12" t="s">
        <v>515</v>
      </c>
      <c r="J1504" s="12" t="s">
        <v>1948</v>
      </c>
      <c r="K1504" s="12" t="s">
        <v>1949</v>
      </c>
    </row>
    <row r="1505" spans="1:11" ht="30" customHeight="1">
      <c r="A1505" s="12" t="s">
        <v>516</v>
      </c>
      <c r="B1505" s="12" t="s">
        <v>512</v>
      </c>
      <c r="C1505" s="12" t="s">
        <v>484</v>
      </c>
      <c r="D1505" s="12" t="s">
        <v>1941</v>
      </c>
      <c r="E1505" s="17">
        <v>383</v>
      </c>
      <c r="F1505" s="12" t="s">
        <v>32</v>
      </c>
      <c r="G1505" s="12" t="s">
        <v>515</v>
      </c>
      <c r="H1505" s="12" t="s">
        <v>1947</v>
      </c>
      <c r="I1505" s="12" t="s">
        <v>515</v>
      </c>
      <c r="J1505" s="12" t="s">
        <v>1948</v>
      </c>
      <c r="K1505" s="12" t="s">
        <v>1949</v>
      </c>
    </row>
    <row r="1506" spans="1:11" ht="30" customHeight="1">
      <c r="A1506" s="12" t="s">
        <v>516</v>
      </c>
      <c r="B1506" s="12" t="s">
        <v>512</v>
      </c>
      <c r="C1506" s="12" t="s">
        <v>484</v>
      </c>
      <c r="D1506" s="12" t="s">
        <v>564</v>
      </c>
      <c r="E1506" s="17">
        <v>161</v>
      </c>
      <c r="F1506" s="12" t="s">
        <v>32</v>
      </c>
      <c r="G1506" s="12" t="s">
        <v>515</v>
      </c>
      <c r="H1506" s="12" t="s">
        <v>1947</v>
      </c>
      <c r="I1506" s="12" t="s">
        <v>515</v>
      </c>
      <c r="J1506" s="12" t="s">
        <v>1948</v>
      </c>
      <c r="K1506" s="12" t="s">
        <v>1949</v>
      </c>
    </row>
    <row r="1507" spans="1:11" ht="30" customHeight="1">
      <c r="A1507" s="12" t="s">
        <v>516</v>
      </c>
      <c r="B1507" s="12" t="s">
        <v>512</v>
      </c>
      <c r="C1507" s="12" t="s">
        <v>484</v>
      </c>
      <c r="D1507" s="12" t="s">
        <v>1943</v>
      </c>
      <c r="E1507" s="17">
        <v>1629</v>
      </c>
      <c r="F1507" s="12" t="s">
        <v>32</v>
      </c>
      <c r="G1507" s="12" t="s">
        <v>515</v>
      </c>
      <c r="H1507" s="12" t="s">
        <v>1947</v>
      </c>
      <c r="I1507" s="12" t="s">
        <v>515</v>
      </c>
      <c r="J1507" s="12" t="s">
        <v>1948</v>
      </c>
      <c r="K1507" s="12" t="s">
        <v>1949</v>
      </c>
    </row>
    <row r="1508" spans="1:11" ht="30" customHeight="1">
      <c r="A1508" s="12" t="s">
        <v>284</v>
      </c>
      <c r="B1508" s="12" t="s">
        <v>280</v>
      </c>
      <c r="C1508" s="12" t="s">
        <v>484</v>
      </c>
      <c r="D1508" s="12" t="s">
        <v>557</v>
      </c>
      <c r="E1508" s="17">
        <v>7977.8</v>
      </c>
      <c r="F1508" s="12" t="s">
        <v>32</v>
      </c>
      <c r="G1508" s="12" t="s">
        <v>283</v>
      </c>
      <c r="H1508" s="12" t="s">
        <v>1950</v>
      </c>
      <c r="I1508" s="12" t="s">
        <v>283</v>
      </c>
      <c r="J1508" s="12" t="s">
        <v>1951</v>
      </c>
      <c r="K1508" s="12" t="s">
        <v>1952</v>
      </c>
    </row>
    <row r="1509" spans="1:11" ht="30" customHeight="1">
      <c r="A1509" s="12" t="s">
        <v>284</v>
      </c>
      <c r="B1509" s="12" t="s">
        <v>280</v>
      </c>
      <c r="C1509" s="12" t="s">
        <v>484</v>
      </c>
      <c r="D1509" s="12" t="s">
        <v>558</v>
      </c>
      <c r="E1509" s="17">
        <v>12276.7</v>
      </c>
      <c r="F1509" s="12" t="s">
        <v>32</v>
      </c>
      <c r="G1509" s="12" t="s">
        <v>283</v>
      </c>
      <c r="H1509" s="12" t="s">
        <v>1950</v>
      </c>
      <c r="I1509" s="12" t="s">
        <v>283</v>
      </c>
      <c r="J1509" s="12" t="s">
        <v>1951</v>
      </c>
      <c r="K1509" s="12" t="s">
        <v>1952</v>
      </c>
    </row>
    <row r="1510" spans="1:11" ht="30" customHeight="1">
      <c r="A1510" s="12" t="s">
        <v>284</v>
      </c>
      <c r="B1510" s="12" t="s">
        <v>280</v>
      </c>
      <c r="C1510" s="12" t="s">
        <v>484</v>
      </c>
      <c r="D1510" s="12" t="s">
        <v>559</v>
      </c>
      <c r="E1510" s="17">
        <v>1660.2</v>
      </c>
      <c r="F1510" s="12" t="s">
        <v>32</v>
      </c>
      <c r="G1510" s="12" t="s">
        <v>283</v>
      </c>
      <c r="H1510" s="12" t="s">
        <v>1950</v>
      </c>
      <c r="I1510" s="12" t="s">
        <v>283</v>
      </c>
      <c r="J1510" s="12" t="s">
        <v>1951</v>
      </c>
      <c r="K1510" s="12" t="s">
        <v>1952</v>
      </c>
    </row>
    <row r="1511" spans="1:11" ht="30" customHeight="1">
      <c r="A1511" s="12" t="s">
        <v>284</v>
      </c>
      <c r="B1511" s="12" t="s">
        <v>280</v>
      </c>
      <c r="C1511" s="12" t="s">
        <v>484</v>
      </c>
      <c r="D1511" s="12" t="s">
        <v>561</v>
      </c>
      <c r="E1511" s="17">
        <v>111.7</v>
      </c>
      <c r="F1511" s="12" t="s">
        <v>32</v>
      </c>
      <c r="G1511" s="12" t="s">
        <v>283</v>
      </c>
      <c r="H1511" s="12" t="s">
        <v>1950</v>
      </c>
      <c r="I1511" s="12" t="s">
        <v>283</v>
      </c>
      <c r="J1511" s="12" t="s">
        <v>1951</v>
      </c>
      <c r="K1511" s="12" t="s">
        <v>1952</v>
      </c>
    </row>
    <row r="1512" spans="1:11" ht="30" customHeight="1">
      <c r="A1512" s="12" t="s">
        <v>284</v>
      </c>
      <c r="B1512" s="12" t="s">
        <v>280</v>
      </c>
      <c r="C1512" s="12" t="s">
        <v>484</v>
      </c>
      <c r="D1512" s="12" t="s">
        <v>562</v>
      </c>
      <c r="E1512" s="17">
        <v>33</v>
      </c>
      <c r="F1512" s="12" t="s">
        <v>32</v>
      </c>
      <c r="G1512" s="12" t="s">
        <v>283</v>
      </c>
      <c r="H1512" s="12" t="s">
        <v>1950</v>
      </c>
      <c r="I1512" s="12" t="s">
        <v>283</v>
      </c>
      <c r="J1512" s="12" t="s">
        <v>1951</v>
      </c>
      <c r="K1512" s="12" t="s">
        <v>1952</v>
      </c>
    </row>
    <row r="1513" spans="1:11" ht="30" customHeight="1">
      <c r="A1513" s="12" t="s">
        <v>284</v>
      </c>
      <c r="B1513" s="12" t="s">
        <v>280</v>
      </c>
      <c r="C1513" s="12" t="s">
        <v>484</v>
      </c>
      <c r="D1513" s="12" t="s">
        <v>1793</v>
      </c>
      <c r="E1513" s="17">
        <v>127.9</v>
      </c>
      <c r="F1513" s="12" t="s">
        <v>32</v>
      </c>
      <c r="G1513" s="12" t="s">
        <v>283</v>
      </c>
      <c r="H1513" s="12" t="s">
        <v>1950</v>
      </c>
      <c r="I1513" s="12" t="s">
        <v>283</v>
      </c>
      <c r="J1513" s="12" t="s">
        <v>1951</v>
      </c>
      <c r="K1513" s="12" t="s">
        <v>1952</v>
      </c>
    </row>
    <row r="1514" spans="1:11" ht="30" customHeight="1">
      <c r="A1514" s="12" t="s">
        <v>284</v>
      </c>
      <c r="B1514" s="12" t="s">
        <v>280</v>
      </c>
      <c r="C1514" s="12" t="s">
        <v>484</v>
      </c>
      <c r="D1514" s="12" t="s">
        <v>1938</v>
      </c>
      <c r="E1514" s="17">
        <v>78</v>
      </c>
      <c r="F1514" s="12" t="s">
        <v>32</v>
      </c>
      <c r="G1514" s="12" t="s">
        <v>283</v>
      </c>
      <c r="H1514" s="12" t="s">
        <v>1950</v>
      </c>
      <c r="I1514" s="12" t="s">
        <v>283</v>
      </c>
      <c r="J1514" s="12" t="s">
        <v>1951</v>
      </c>
      <c r="K1514" s="12" t="s">
        <v>1952</v>
      </c>
    </row>
    <row r="1515" spans="1:11" ht="30" customHeight="1">
      <c r="A1515" s="12" t="s">
        <v>284</v>
      </c>
      <c r="B1515" s="12" t="s">
        <v>280</v>
      </c>
      <c r="C1515" s="12" t="s">
        <v>484</v>
      </c>
      <c r="D1515" s="12" t="s">
        <v>1939</v>
      </c>
      <c r="E1515" s="17">
        <v>33.7</v>
      </c>
      <c r="F1515" s="12" t="s">
        <v>32</v>
      </c>
      <c r="G1515" s="12" t="s">
        <v>283</v>
      </c>
      <c r="H1515" s="12" t="s">
        <v>1950</v>
      </c>
      <c r="I1515" s="12" t="s">
        <v>283</v>
      </c>
      <c r="J1515" s="12" t="s">
        <v>1951</v>
      </c>
      <c r="K1515" s="12" t="s">
        <v>1952</v>
      </c>
    </row>
    <row r="1516" spans="1:11" ht="30" customHeight="1">
      <c r="A1516" s="12" t="s">
        <v>284</v>
      </c>
      <c r="B1516" s="12" t="s">
        <v>280</v>
      </c>
      <c r="C1516" s="12" t="s">
        <v>484</v>
      </c>
      <c r="D1516" s="12" t="s">
        <v>1940</v>
      </c>
      <c r="E1516" s="17">
        <v>61.7</v>
      </c>
      <c r="F1516" s="12" t="s">
        <v>32</v>
      </c>
      <c r="G1516" s="12" t="s">
        <v>283</v>
      </c>
      <c r="H1516" s="12" t="s">
        <v>1950</v>
      </c>
      <c r="I1516" s="12" t="s">
        <v>283</v>
      </c>
      <c r="J1516" s="12" t="s">
        <v>1951</v>
      </c>
      <c r="K1516" s="12" t="s">
        <v>1952</v>
      </c>
    </row>
    <row r="1517" spans="1:11" ht="30" customHeight="1">
      <c r="A1517" s="12" t="s">
        <v>284</v>
      </c>
      <c r="B1517" s="12" t="s">
        <v>280</v>
      </c>
      <c r="C1517" s="12" t="s">
        <v>484</v>
      </c>
      <c r="D1517" s="12" t="s">
        <v>1941</v>
      </c>
      <c r="E1517" s="17">
        <v>66.2</v>
      </c>
      <c r="F1517" s="12" t="s">
        <v>32</v>
      </c>
      <c r="G1517" s="12" t="s">
        <v>283</v>
      </c>
      <c r="H1517" s="12" t="s">
        <v>1950</v>
      </c>
      <c r="I1517" s="12" t="s">
        <v>283</v>
      </c>
      <c r="J1517" s="12" t="s">
        <v>1951</v>
      </c>
      <c r="K1517" s="12" t="s">
        <v>1952</v>
      </c>
    </row>
    <row r="1518" spans="1:11" ht="30" customHeight="1">
      <c r="A1518" s="12" t="s">
        <v>284</v>
      </c>
      <c r="B1518" s="12" t="s">
        <v>280</v>
      </c>
      <c r="C1518" s="12" t="s">
        <v>484</v>
      </c>
      <c r="D1518" s="12" t="s">
        <v>564</v>
      </c>
      <c r="E1518" s="17">
        <v>850</v>
      </c>
      <c r="F1518" s="12" t="s">
        <v>32</v>
      </c>
      <c r="G1518" s="12" t="s">
        <v>283</v>
      </c>
      <c r="H1518" s="12" t="s">
        <v>1950</v>
      </c>
      <c r="I1518" s="12" t="s">
        <v>283</v>
      </c>
      <c r="J1518" s="12" t="s">
        <v>1951</v>
      </c>
      <c r="K1518" s="12" t="s">
        <v>1952</v>
      </c>
    </row>
    <row r="1519" spans="1:11" ht="30" customHeight="1">
      <c r="A1519" s="12" t="s">
        <v>504</v>
      </c>
      <c r="B1519" s="12" t="s">
        <v>500</v>
      </c>
      <c r="C1519" s="12" t="s">
        <v>484</v>
      </c>
      <c r="D1519" s="12" t="s">
        <v>557</v>
      </c>
      <c r="E1519" s="17">
        <v>10232.68</v>
      </c>
      <c r="F1519" s="12" t="s">
        <v>54</v>
      </c>
      <c r="G1519" s="12" t="s">
        <v>503</v>
      </c>
      <c r="H1519" s="12" t="s">
        <v>1953</v>
      </c>
      <c r="I1519" s="12" t="s">
        <v>503</v>
      </c>
      <c r="J1519" s="12" t="s">
        <v>1954</v>
      </c>
      <c r="K1519" s="12" t="s">
        <v>1955</v>
      </c>
    </row>
    <row r="1520" spans="1:11" ht="30" customHeight="1">
      <c r="A1520" s="12" t="s">
        <v>504</v>
      </c>
      <c r="B1520" s="12" t="s">
        <v>500</v>
      </c>
      <c r="C1520" s="12" t="s">
        <v>484</v>
      </c>
      <c r="D1520" s="12" t="s">
        <v>558</v>
      </c>
      <c r="E1520" s="17">
        <v>6170.19</v>
      </c>
      <c r="F1520" s="12" t="s">
        <v>54</v>
      </c>
      <c r="G1520" s="12" t="s">
        <v>503</v>
      </c>
      <c r="H1520" s="12" t="s">
        <v>1953</v>
      </c>
      <c r="I1520" s="12" t="s">
        <v>503</v>
      </c>
      <c r="J1520" s="12" t="s">
        <v>1954</v>
      </c>
      <c r="K1520" s="12" t="s">
        <v>1955</v>
      </c>
    </row>
    <row r="1521" spans="1:11" ht="30" customHeight="1">
      <c r="A1521" s="12" t="s">
        <v>504</v>
      </c>
      <c r="B1521" s="12" t="s">
        <v>500</v>
      </c>
      <c r="C1521" s="12" t="s">
        <v>484</v>
      </c>
      <c r="D1521" s="12" t="s">
        <v>559</v>
      </c>
      <c r="E1521" s="17">
        <v>445.18</v>
      </c>
      <c r="F1521" s="12" t="s">
        <v>54</v>
      </c>
      <c r="G1521" s="12" t="s">
        <v>503</v>
      </c>
      <c r="H1521" s="12" t="s">
        <v>1953</v>
      </c>
      <c r="I1521" s="12" t="s">
        <v>503</v>
      </c>
      <c r="J1521" s="12" t="s">
        <v>1954</v>
      </c>
      <c r="K1521" s="12" t="s">
        <v>1955</v>
      </c>
    </row>
    <row r="1522" spans="1:11" ht="30" customHeight="1">
      <c r="A1522" s="12" t="s">
        <v>504</v>
      </c>
      <c r="B1522" s="12" t="s">
        <v>500</v>
      </c>
      <c r="C1522" s="12" t="s">
        <v>484</v>
      </c>
      <c r="D1522" s="12" t="s">
        <v>561</v>
      </c>
      <c r="E1522" s="17">
        <v>1468.43</v>
      </c>
      <c r="F1522" s="12" t="s">
        <v>54</v>
      </c>
      <c r="G1522" s="12" t="s">
        <v>503</v>
      </c>
      <c r="H1522" s="12" t="s">
        <v>1953</v>
      </c>
      <c r="I1522" s="12" t="s">
        <v>503</v>
      </c>
      <c r="J1522" s="12" t="s">
        <v>1954</v>
      </c>
      <c r="K1522" s="12" t="s">
        <v>1955</v>
      </c>
    </row>
    <row r="1523" spans="1:11" ht="30" customHeight="1">
      <c r="A1523" s="12" t="s">
        <v>504</v>
      </c>
      <c r="B1523" s="12" t="s">
        <v>500</v>
      </c>
      <c r="C1523" s="12" t="s">
        <v>484</v>
      </c>
      <c r="D1523" s="12" t="s">
        <v>562</v>
      </c>
      <c r="E1523" s="17">
        <v>138.27</v>
      </c>
      <c r="F1523" s="12" t="s">
        <v>54</v>
      </c>
      <c r="G1523" s="12" t="s">
        <v>503</v>
      </c>
      <c r="H1523" s="12" t="s">
        <v>1953</v>
      </c>
      <c r="I1523" s="12" t="s">
        <v>503</v>
      </c>
      <c r="J1523" s="12" t="s">
        <v>1954</v>
      </c>
      <c r="K1523" s="12" t="s">
        <v>1955</v>
      </c>
    </row>
    <row r="1524" spans="1:11" ht="30" customHeight="1">
      <c r="A1524" s="12" t="s">
        <v>504</v>
      </c>
      <c r="B1524" s="12" t="s">
        <v>500</v>
      </c>
      <c r="C1524" s="12" t="s">
        <v>484</v>
      </c>
      <c r="D1524" s="12" t="s">
        <v>1793</v>
      </c>
      <c r="E1524" s="17">
        <v>1281.07</v>
      </c>
      <c r="F1524" s="12" t="s">
        <v>54</v>
      </c>
      <c r="G1524" s="12" t="s">
        <v>503</v>
      </c>
      <c r="H1524" s="12" t="s">
        <v>1953</v>
      </c>
      <c r="I1524" s="12" t="s">
        <v>503</v>
      </c>
      <c r="J1524" s="12" t="s">
        <v>1954</v>
      </c>
      <c r="K1524" s="12" t="s">
        <v>1955</v>
      </c>
    </row>
    <row r="1525" spans="1:11" ht="30" customHeight="1">
      <c r="A1525" s="12" t="s">
        <v>504</v>
      </c>
      <c r="B1525" s="12" t="s">
        <v>500</v>
      </c>
      <c r="C1525" s="12" t="s">
        <v>484</v>
      </c>
      <c r="D1525" s="12" t="s">
        <v>1938</v>
      </c>
      <c r="E1525" s="17">
        <v>816.65</v>
      </c>
      <c r="F1525" s="12" t="s">
        <v>54</v>
      </c>
      <c r="G1525" s="12" t="s">
        <v>503</v>
      </c>
      <c r="H1525" s="12" t="s">
        <v>1953</v>
      </c>
      <c r="I1525" s="12" t="s">
        <v>503</v>
      </c>
      <c r="J1525" s="12" t="s">
        <v>1954</v>
      </c>
      <c r="K1525" s="12" t="s">
        <v>1955</v>
      </c>
    </row>
    <row r="1526" spans="1:11" ht="30" customHeight="1">
      <c r="A1526" s="12" t="s">
        <v>504</v>
      </c>
      <c r="B1526" s="12" t="s">
        <v>500</v>
      </c>
      <c r="C1526" s="12" t="s">
        <v>484</v>
      </c>
      <c r="D1526" s="12" t="s">
        <v>1939</v>
      </c>
      <c r="E1526" s="17">
        <v>651.78</v>
      </c>
      <c r="F1526" s="12" t="s">
        <v>54</v>
      </c>
      <c r="G1526" s="12" t="s">
        <v>503</v>
      </c>
      <c r="H1526" s="12" t="s">
        <v>1953</v>
      </c>
      <c r="I1526" s="12" t="s">
        <v>503</v>
      </c>
      <c r="J1526" s="12" t="s">
        <v>1954</v>
      </c>
      <c r="K1526" s="12" t="s">
        <v>1955</v>
      </c>
    </row>
    <row r="1527" spans="1:11" ht="30" customHeight="1">
      <c r="A1527" s="12" t="s">
        <v>504</v>
      </c>
      <c r="B1527" s="12" t="s">
        <v>500</v>
      </c>
      <c r="C1527" s="12" t="s">
        <v>484</v>
      </c>
      <c r="D1527" s="12" t="s">
        <v>1940</v>
      </c>
      <c r="E1527" s="17">
        <v>455.59</v>
      </c>
      <c r="F1527" s="12" t="s">
        <v>54</v>
      </c>
      <c r="G1527" s="12" t="s">
        <v>503</v>
      </c>
      <c r="H1527" s="12" t="s">
        <v>1953</v>
      </c>
      <c r="I1527" s="12" t="s">
        <v>503</v>
      </c>
      <c r="J1527" s="12" t="s">
        <v>1954</v>
      </c>
      <c r="K1527" s="12" t="s">
        <v>1955</v>
      </c>
    </row>
    <row r="1528" spans="1:11" ht="30" customHeight="1">
      <c r="A1528" s="12" t="s">
        <v>504</v>
      </c>
      <c r="B1528" s="12" t="s">
        <v>500</v>
      </c>
      <c r="C1528" s="12" t="s">
        <v>484</v>
      </c>
      <c r="D1528" s="12" t="s">
        <v>1941</v>
      </c>
      <c r="E1528" s="17">
        <v>825.48</v>
      </c>
      <c r="F1528" s="12" t="s">
        <v>54</v>
      </c>
      <c r="G1528" s="12" t="s">
        <v>503</v>
      </c>
      <c r="H1528" s="12" t="s">
        <v>1953</v>
      </c>
      <c r="I1528" s="12" t="s">
        <v>503</v>
      </c>
      <c r="J1528" s="12" t="s">
        <v>1954</v>
      </c>
      <c r="K1528" s="12" t="s">
        <v>1955</v>
      </c>
    </row>
    <row r="1529" spans="1:11" ht="30" customHeight="1">
      <c r="A1529" s="12" t="s">
        <v>504</v>
      </c>
      <c r="B1529" s="12" t="s">
        <v>500</v>
      </c>
      <c r="C1529" s="12" t="s">
        <v>484</v>
      </c>
      <c r="D1529" s="12" t="s">
        <v>564</v>
      </c>
      <c r="E1529" s="17">
        <v>296.68</v>
      </c>
      <c r="F1529" s="12" t="s">
        <v>54</v>
      </c>
      <c r="G1529" s="12" t="s">
        <v>503</v>
      </c>
      <c r="H1529" s="12" t="s">
        <v>1953</v>
      </c>
      <c r="I1529" s="12" t="s">
        <v>503</v>
      </c>
      <c r="J1529" s="12" t="s">
        <v>1954</v>
      </c>
      <c r="K1529" s="12" t="s">
        <v>1955</v>
      </c>
    </row>
    <row r="1530" spans="1:11" ht="30" customHeight="1">
      <c r="A1530" s="12" t="s">
        <v>504</v>
      </c>
      <c r="B1530" s="12" t="s">
        <v>500</v>
      </c>
      <c r="C1530" s="12" t="s">
        <v>484</v>
      </c>
      <c r="D1530" s="12" t="s">
        <v>1943</v>
      </c>
      <c r="E1530" s="17">
        <v>472.78</v>
      </c>
      <c r="F1530" s="12" t="s">
        <v>54</v>
      </c>
      <c r="G1530" s="12" t="s">
        <v>503</v>
      </c>
      <c r="H1530" s="12" t="s">
        <v>1953</v>
      </c>
      <c r="I1530" s="12" t="s">
        <v>503</v>
      </c>
      <c r="J1530" s="12" t="s">
        <v>1954</v>
      </c>
      <c r="K1530" s="12" t="s">
        <v>1955</v>
      </c>
    </row>
    <row r="1531" spans="1:11" ht="30" customHeight="1">
      <c r="A1531" s="12" t="s">
        <v>175</v>
      </c>
      <c r="B1531" s="12" t="s">
        <v>171</v>
      </c>
      <c r="C1531" s="12" t="s">
        <v>142</v>
      </c>
      <c r="D1531" s="12" t="s">
        <v>557</v>
      </c>
      <c r="E1531" s="17">
        <v>238496</v>
      </c>
      <c r="F1531" s="12" t="s">
        <v>32</v>
      </c>
      <c r="G1531" s="12" t="s">
        <v>174</v>
      </c>
      <c r="H1531" s="12" t="s">
        <v>1956</v>
      </c>
      <c r="I1531" s="12" t="s">
        <v>174</v>
      </c>
      <c r="J1531" s="12" t="s">
        <v>1957</v>
      </c>
      <c r="K1531" s="12" t="s">
        <v>1958</v>
      </c>
    </row>
    <row r="1532" spans="1:11" ht="30" customHeight="1">
      <c r="A1532" s="12" t="s">
        <v>175</v>
      </c>
      <c r="B1532" s="12" t="s">
        <v>171</v>
      </c>
      <c r="C1532" s="12" t="s">
        <v>142</v>
      </c>
      <c r="D1532" s="12" t="s">
        <v>558</v>
      </c>
      <c r="E1532" s="17">
        <v>265991</v>
      </c>
      <c r="F1532" s="12" t="s">
        <v>32</v>
      </c>
      <c r="G1532" s="12" t="s">
        <v>174</v>
      </c>
      <c r="H1532" s="12" t="s">
        <v>1956</v>
      </c>
      <c r="I1532" s="12" t="s">
        <v>174</v>
      </c>
      <c r="J1532" s="12" t="s">
        <v>1957</v>
      </c>
      <c r="K1532" s="12" t="s">
        <v>1958</v>
      </c>
    </row>
    <row r="1533" spans="1:11" ht="30" customHeight="1">
      <c r="A1533" s="12" t="s">
        <v>175</v>
      </c>
      <c r="B1533" s="12" t="s">
        <v>171</v>
      </c>
      <c r="C1533" s="12" t="s">
        <v>142</v>
      </c>
      <c r="D1533" s="12" t="s">
        <v>559</v>
      </c>
      <c r="E1533" s="17">
        <v>16002</v>
      </c>
      <c r="F1533" s="12" t="s">
        <v>32</v>
      </c>
      <c r="G1533" s="12" t="s">
        <v>174</v>
      </c>
      <c r="H1533" s="12" t="s">
        <v>1956</v>
      </c>
      <c r="I1533" s="12" t="s">
        <v>174</v>
      </c>
      <c r="J1533" s="12" t="s">
        <v>1957</v>
      </c>
      <c r="K1533" s="12" t="s">
        <v>1958</v>
      </c>
    </row>
    <row r="1534" spans="1:11" ht="30" customHeight="1">
      <c r="A1534" s="12" t="s">
        <v>175</v>
      </c>
      <c r="B1534" s="12" t="s">
        <v>171</v>
      </c>
      <c r="C1534" s="12" t="s">
        <v>142</v>
      </c>
      <c r="D1534" s="12" t="s">
        <v>561</v>
      </c>
      <c r="E1534" s="17">
        <v>61931</v>
      </c>
      <c r="F1534" s="12" t="s">
        <v>32</v>
      </c>
      <c r="G1534" s="12" t="s">
        <v>174</v>
      </c>
      <c r="H1534" s="12" t="s">
        <v>1956</v>
      </c>
      <c r="I1534" s="12" t="s">
        <v>174</v>
      </c>
      <c r="J1534" s="12" t="s">
        <v>1957</v>
      </c>
      <c r="K1534" s="12" t="s">
        <v>1958</v>
      </c>
    </row>
    <row r="1535" spans="1:11" ht="30" customHeight="1">
      <c r="A1535" s="12" t="s">
        <v>175</v>
      </c>
      <c r="B1535" s="12" t="s">
        <v>171</v>
      </c>
      <c r="C1535" s="12" t="s">
        <v>142</v>
      </c>
      <c r="D1535" s="12" t="s">
        <v>562</v>
      </c>
      <c r="E1535" s="17">
        <v>3419</v>
      </c>
      <c r="F1535" s="12" t="s">
        <v>32</v>
      </c>
      <c r="G1535" s="12" t="s">
        <v>174</v>
      </c>
      <c r="H1535" s="12" t="s">
        <v>1956</v>
      </c>
      <c r="I1535" s="12" t="s">
        <v>174</v>
      </c>
      <c r="J1535" s="12" t="s">
        <v>1957</v>
      </c>
      <c r="K1535" s="12" t="s">
        <v>1958</v>
      </c>
    </row>
    <row r="1536" spans="1:11" ht="30" customHeight="1">
      <c r="A1536" s="12" t="s">
        <v>175</v>
      </c>
      <c r="B1536" s="12" t="s">
        <v>171</v>
      </c>
      <c r="C1536" s="12" t="s">
        <v>142</v>
      </c>
      <c r="D1536" s="12" t="s">
        <v>1793</v>
      </c>
      <c r="E1536" s="17">
        <v>54501</v>
      </c>
      <c r="F1536" s="12" t="s">
        <v>32</v>
      </c>
      <c r="G1536" s="12" t="s">
        <v>174</v>
      </c>
      <c r="H1536" s="12" t="s">
        <v>1956</v>
      </c>
      <c r="I1536" s="12" t="s">
        <v>174</v>
      </c>
      <c r="J1536" s="12" t="s">
        <v>1957</v>
      </c>
      <c r="K1536" s="12" t="s">
        <v>1958</v>
      </c>
    </row>
    <row r="1537" spans="1:11" ht="30" customHeight="1">
      <c r="A1537" s="12" t="s">
        <v>175</v>
      </c>
      <c r="B1537" s="12" t="s">
        <v>171</v>
      </c>
      <c r="C1537" s="12" t="s">
        <v>142</v>
      </c>
      <c r="D1537" s="12" t="s">
        <v>1938</v>
      </c>
      <c r="E1537" s="17">
        <v>56217</v>
      </c>
      <c r="F1537" s="12" t="s">
        <v>32</v>
      </c>
      <c r="G1537" s="12" t="s">
        <v>174</v>
      </c>
      <c r="H1537" s="12" t="s">
        <v>1956</v>
      </c>
      <c r="I1537" s="12" t="s">
        <v>174</v>
      </c>
      <c r="J1537" s="12" t="s">
        <v>1957</v>
      </c>
      <c r="K1537" s="12" t="s">
        <v>1958</v>
      </c>
    </row>
    <row r="1538" spans="1:11" ht="30" customHeight="1">
      <c r="A1538" s="12" t="s">
        <v>175</v>
      </c>
      <c r="B1538" s="12" t="s">
        <v>171</v>
      </c>
      <c r="C1538" s="12" t="s">
        <v>142</v>
      </c>
      <c r="D1538" s="12" t="s">
        <v>1939</v>
      </c>
      <c r="E1538" s="17">
        <v>5714</v>
      </c>
      <c r="F1538" s="12" t="s">
        <v>32</v>
      </c>
      <c r="G1538" s="12" t="s">
        <v>174</v>
      </c>
      <c r="H1538" s="12" t="s">
        <v>1956</v>
      </c>
      <c r="I1538" s="12" t="s">
        <v>174</v>
      </c>
      <c r="J1538" s="12" t="s">
        <v>1957</v>
      </c>
      <c r="K1538" s="12" t="s">
        <v>1958</v>
      </c>
    </row>
    <row r="1539" spans="1:11" ht="30" customHeight="1">
      <c r="A1539" s="12" t="s">
        <v>175</v>
      </c>
      <c r="B1539" s="12" t="s">
        <v>171</v>
      </c>
      <c r="C1539" s="12" t="s">
        <v>142</v>
      </c>
      <c r="D1539" s="12" t="s">
        <v>1940</v>
      </c>
      <c r="E1539" s="17">
        <v>47395</v>
      </c>
      <c r="F1539" s="12" t="s">
        <v>32</v>
      </c>
      <c r="G1539" s="12" t="s">
        <v>174</v>
      </c>
      <c r="H1539" s="12" t="s">
        <v>1956</v>
      </c>
      <c r="I1539" s="12" t="s">
        <v>174</v>
      </c>
      <c r="J1539" s="12" t="s">
        <v>1957</v>
      </c>
      <c r="K1539" s="12" t="s">
        <v>1958</v>
      </c>
    </row>
    <row r="1540" spans="1:11" ht="30" customHeight="1">
      <c r="A1540" s="12" t="s">
        <v>175</v>
      </c>
      <c r="B1540" s="12" t="s">
        <v>171</v>
      </c>
      <c r="C1540" s="12" t="s">
        <v>142</v>
      </c>
      <c r="D1540" s="12" t="s">
        <v>1941</v>
      </c>
      <c r="E1540" s="17">
        <v>7106</v>
      </c>
      <c r="F1540" s="12" t="s">
        <v>32</v>
      </c>
      <c r="G1540" s="12" t="s">
        <v>174</v>
      </c>
      <c r="H1540" s="12" t="s">
        <v>1956</v>
      </c>
      <c r="I1540" s="12" t="s">
        <v>174</v>
      </c>
      <c r="J1540" s="12" t="s">
        <v>1957</v>
      </c>
      <c r="K1540" s="12" t="s">
        <v>1958</v>
      </c>
    </row>
    <row r="1541" spans="1:11" ht="30" customHeight="1">
      <c r="A1541" s="12" t="s">
        <v>175</v>
      </c>
      <c r="B1541" s="12" t="s">
        <v>171</v>
      </c>
      <c r="C1541" s="12" t="s">
        <v>142</v>
      </c>
      <c r="D1541" s="12" t="s">
        <v>564</v>
      </c>
      <c r="E1541" s="17">
        <v>20649</v>
      </c>
      <c r="F1541" s="12" t="s">
        <v>32</v>
      </c>
      <c r="G1541" s="12" t="s">
        <v>174</v>
      </c>
      <c r="H1541" s="12" t="s">
        <v>1956</v>
      </c>
      <c r="I1541" s="12" t="s">
        <v>174</v>
      </c>
      <c r="J1541" s="12" t="s">
        <v>1957</v>
      </c>
      <c r="K1541" s="12" t="s">
        <v>1958</v>
      </c>
    </row>
    <row r="1542" spans="1:11" ht="30" customHeight="1">
      <c r="A1542" s="12" t="s">
        <v>204</v>
      </c>
      <c r="B1542" s="12" t="s">
        <v>200</v>
      </c>
      <c r="C1542" s="12" t="s">
        <v>142</v>
      </c>
      <c r="D1542" s="12" t="s">
        <v>557</v>
      </c>
      <c r="E1542" s="17">
        <v>152968</v>
      </c>
      <c r="F1542" s="12" t="s">
        <v>32</v>
      </c>
      <c r="G1542" s="12" t="s">
        <v>203</v>
      </c>
      <c r="H1542" s="12" t="s">
        <v>1959</v>
      </c>
      <c r="I1542" s="12" t="s">
        <v>203</v>
      </c>
      <c r="J1542" s="12" t="s">
        <v>1960</v>
      </c>
      <c r="K1542" s="12" t="s">
        <v>1961</v>
      </c>
    </row>
    <row r="1543" spans="1:11" ht="30" customHeight="1">
      <c r="A1543" s="12" t="s">
        <v>204</v>
      </c>
      <c r="B1543" s="12" t="s">
        <v>200</v>
      </c>
      <c r="C1543" s="12" t="s">
        <v>142</v>
      </c>
      <c r="D1543" s="12" t="s">
        <v>558</v>
      </c>
      <c r="E1543" s="17">
        <v>203293</v>
      </c>
      <c r="F1543" s="12" t="s">
        <v>32</v>
      </c>
      <c r="G1543" s="12" t="s">
        <v>203</v>
      </c>
      <c r="H1543" s="12" t="s">
        <v>1959</v>
      </c>
      <c r="I1543" s="12" t="s">
        <v>203</v>
      </c>
      <c r="J1543" s="12" t="s">
        <v>1960</v>
      </c>
      <c r="K1543" s="12" t="s">
        <v>1961</v>
      </c>
    </row>
    <row r="1544" spans="1:11" ht="30" customHeight="1">
      <c r="A1544" s="12" t="s">
        <v>204</v>
      </c>
      <c r="B1544" s="12" t="s">
        <v>200</v>
      </c>
      <c r="C1544" s="12" t="s">
        <v>142</v>
      </c>
      <c r="D1544" s="12" t="s">
        <v>559</v>
      </c>
      <c r="E1544" s="17">
        <v>20535</v>
      </c>
      <c r="F1544" s="12" t="s">
        <v>32</v>
      </c>
      <c r="G1544" s="12" t="s">
        <v>203</v>
      </c>
      <c r="H1544" s="12" t="s">
        <v>1959</v>
      </c>
      <c r="I1544" s="12" t="s">
        <v>203</v>
      </c>
      <c r="J1544" s="12" t="s">
        <v>1960</v>
      </c>
      <c r="K1544" s="12" t="s">
        <v>1961</v>
      </c>
    </row>
    <row r="1545" spans="1:11" ht="30" customHeight="1">
      <c r="A1545" s="12" t="s">
        <v>204</v>
      </c>
      <c r="B1545" s="12" t="s">
        <v>200</v>
      </c>
      <c r="C1545" s="12" t="s">
        <v>142</v>
      </c>
      <c r="D1545" s="12" t="s">
        <v>561</v>
      </c>
      <c r="E1545" s="17">
        <v>73853</v>
      </c>
      <c r="F1545" s="12" t="s">
        <v>32</v>
      </c>
      <c r="G1545" s="12" t="s">
        <v>203</v>
      </c>
      <c r="H1545" s="12" t="s">
        <v>1959</v>
      </c>
      <c r="I1545" s="12" t="s">
        <v>203</v>
      </c>
      <c r="J1545" s="12" t="s">
        <v>1960</v>
      </c>
      <c r="K1545" s="12" t="s">
        <v>1961</v>
      </c>
    </row>
    <row r="1546" spans="1:11" ht="30" customHeight="1">
      <c r="A1546" s="12" t="s">
        <v>204</v>
      </c>
      <c r="B1546" s="12" t="s">
        <v>200</v>
      </c>
      <c r="C1546" s="12" t="s">
        <v>142</v>
      </c>
      <c r="D1546" s="12" t="s">
        <v>562</v>
      </c>
      <c r="E1546" s="17">
        <v>9914</v>
      </c>
      <c r="F1546" s="12" t="s">
        <v>32</v>
      </c>
      <c r="G1546" s="12" t="s">
        <v>203</v>
      </c>
      <c r="H1546" s="12" t="s">
        <v>1959</v>
      </c>
      <c r="I1546" s="12" t="s">
        <v>203</v>
      </c>
      <c r="J1546" s="12" t="s">
        <v>1960</v>
      </c>
      <c r="K1546" s="12" t="s">
        <v>1961</v>
      </c>
    </row>
    <row r="1547" spans="1:11" ht="30" customHeight="1">
      <c r="A1547" s="12" t="s">
        <v>204</v>
      </c>
      <c r="B1547" s="12" t="s">
        <v>200</v>
      </c>
      <c r="C1547" s="12" t="s">
        <v>142</v>
      </c>
      <c r="D1547" s="12" t="s">
        <v>1793</v>
      </c>
      <c r="E1547" s="17">
        <v>71758</v>
      </c>
      <c r="F1547" s="12" t="s">
        <v>32</v>
      </c>
      <c r="G1547" s="12" t="s">
        <v>203</v>
      </c>
      <c r="H1547" s="12" t="s">
        <v>1959</v>
      </c>
      <c r="I1547" s="12" t="s">
        <v>203</v>
      </c>
      <c r="J1547" s="12" t="s">
        <v>1960</v>
      </c>
      <c r="K1547" s="12" t="s">
        <v>1961</v>
      </c>
    </row>
    <row r="1548" spans="1:11" ht="30" customHeight="1">
      <c r="A1548" s="12" t="s">
        <v>204</v>
      </c>
      <c r="B1548" s="12" t="s">
        <v>200</v>
      </c>
      <c r="C1548" s="12" t="s">
        <v>142</v>
      </c>
      <c r="D1548" s="12" t="s">
        <v>1938</v>
      </c>
      <c r="E1548" s="17">
        <v>52712</v>
      </c>
      <c r="F1548" s="12" t="s">
        <v>32</v>
      </c>
      <c r="G1548" s="12" t="s">
        <v>203</v>
      </c>
      <c r="H1548" s="12" t="s">
        <v>1959</v>
      </c>
      <c r="I1548" s="12" t="s">
        <v>203</v>
      </c>
      <c r="J1548" s="12" t="s">
        <v>1960</v>
      </c>
      <c r="K1548" s="12" t="s">
        <v>1961</v>
      </c>
    </row>
    <row r="1549" spans="1:11" ht="30" customHeight="1">
      <c r="A1549" s="12" t="s">
        <v>204</v>
      </c>
      <c r="B1549" s="12" t="s">
        <v>200</v>
      </c>
      <c r="C1549" s="12" t="s">
        <v>142</v>
      </c>
      <c r="D1549" s="12" t="s">
        <v>1939</v>
      </c>
      <c r="E1549" s="17">
        <v>21141</v>
      </c>
      <c r="F1549" s="12" t="s">
        <v>32</v>
      </c>
      <c r="G1549" s="12" t="s">
        <v>203</v>
      </c>
      <c r="H1549" s="12" t="s">
        <v>1959</v>
      </c>
      <c r="I1549" s="12" t="s">
        <v>203</v>
      </c>
      <c r="J1549" s="12" t="s">
        <v>1960</v>
      </c>
      <c r="K1549" s="12" t="s">
        <v>1961</v>
      </c>
    </row>
    <row r="1550" spans="1:11" ht="30" customHeight="1">
      <c r="A1550" s="12" t="s">
        <v>204</v>
      </c>
      <c r="B1550" s="12" t="s">
        <v>200</v>
      </c>
      <c r="C1550" s="12" t="s">
        <v>142</v>
      </c>
      <c r="D1550" s="12" t="s">
        <v>1940</v>
      </c>
      <c r="E1550" s="17">
        <v>50633</v>
      </c>
      <c r="F1550" s="12" t="s">
        <v>32</v>
      </c>
      <c r="G1550" s="12" t="s">
        <v>203</v>
      </c>
      <c r="H1550" s="12" t="s">
        <v>1959</v>
      </c>
      <c r="I1550" s="12" t="s">
        <v>203</v>
      </c>
      <c r="J1550" s="12" t="s">
        <v>1960</v>
      </c>
      <c r="K1550" s="12" t="s">
        <v>1961</v>
      </c>
    </row>
    <row r="1551" spans="1:11" ht="30" customHeight="1">
      <c r="A1551" s="12" t="s">
        <v>204</v>
      </c>
      <c r="B1551" s="12" t="s">
        <v>200</v>
      </c>
      <c r="C1551" s="12" t="s">
        <v>142</v>
      </c>
      <c r="D1551" s="12" t="s">
        <v>1941</v>
      </c>
      <c r="E1551" s="17">
        <v>21125</v>
      </c>
      <c r="F1551" s="12" t="s">
        <v>32</v>
      </c>
      <c r="G1551" s="12" t="s">
        <v>203</v>
      </c>
      <c r="H1551" s="12" t="s">
        <v>1959</v>
      </c>
      <c r="I1551" s="12" t="s">
        <v>203</v>
      </c>
      <c r="J1551" s="12" t="s">
        <v>1960</v>
      </c>
      <c r="K1551" s="12" t="s">
        <v>1961</v>
      </c>
    </row>
    <row r="1552" spans="1:11" ht="30" customHeight="1">
      <c r="A1552" s="12" t="s">
        <v>204</v>
      </c>
      <c r="B1552" s="12" t="s">
        <v>200</v>
      </c>
      <c r="C1552" s="12" t="s">
        <v>142</v>
      </c>
      <c r="D1552" s="12" t="s">
        <v>564</v>
      </c>
      <c r="E1552" s="17">
        <v>17005</v>
      </c>
      <c r="F1552" s="12" t="s">
        <v>32</v>
      </c>
      <c r="G1552" s="12" t="s">
        <v>203</v>
      </c>
      <c r="H1552" s="12" t="s">
        <v>1959</v>
      </c>
      <c r="I1552" s="12" t="s">
        <v>203</v>
      </c>
      <c r="J1552" s="12" t="s">
        <v>1960</v>
      </c>
      <c r="K1552" s="12" t="s">
        <v>1961</v>
      </c>
    </row>
    <row r="1553" spans="1:11" ht="30" customHeight="1">
      <c r="A1553" s="12" t="s">
        <v>204</v>
      </c>
      <c r="B1553" s="12" t="s">
        <v>200</v>
      </c>
      <c r="C1553" s="12" t="s">
        <v>142</v>
      </c>
      <c r="D1553" s="12" t="s">
        <v>1943</v>
      </c>
      <c r="E1553" s="17">
        <v>14988</v>
      </c>
      <c r="F1553" s="12" t="s">
        <v>32</v>
      </c>
      <c r="G1553" s="12" t="s">
        <v>203</v>
      </c>
      <c r="H1553" s="12" t="s">
        <v>1959</v>
      </c>
      <c r="I1553" s="12" t="s">
        <v>203</v>
      </c>
      <c r="J1553" s="12" t="s">
        <v>1960</v>
      </c>
      <c r="K1553" s="12" t="s">
        <v>1961</v>
      </c>
    </row>
    <row r="1554" spans="1:11" ht="30" customHeight="1">
      <c r="A1554" s="12" t="s">
        <v>193</v>
      </c>
      <c r="B1554" s="12" t="s">
        <v>189</v>
      </c>
      <c r="C1554" s="12" t="s">
        <v>142</v>
      </c>
      <c r="D1554" s="12" t="s">
        <v>557</v>
      </c>
      <c r="E1554" s="17">
        <v>16787.63</v>
      </c>
      <c r="F1554" s="12" t="s">
        <v>32</v>
      </c>
      <c r="G1554" s="12" t="s">
        <v>192</v>
      </c>
      <c r="H1554" s="12" t="s">
        <v>1962</v>
      </c>
      <c r="I1554" s="12" t="s">
        <v>192</v>
      </c>
      <c r="J1554" s="12" t="s">
        <v>1963</v>
      </c>
      <c r="K1554" s="12" t="s">
        <v>1964</v>
      </c>
    </row>
    <row r="1555" spans="1:11" ht="30" customHeight="1">
      <c r="A1555" s="12" t="s">
        <v>193</v>
      </c>
      <c r="B1555" s="12" t="s">
        <v>189</v>
      </c>
      <c r="C1555" s="12" t="s">
        <v>142</v>
      </c>
      <c r="D1555" s="12" t="s">
        <v>558</v>
      </c>
      <c r="E1555" s="17">
        <v>22882.16</v>
      </c>
      <c r="F1555" s="12" t="s">
        <v>32</v>
      </c>
      <c r="G1555" s="12" t="s">
        <v>192</v>
      </c>
      <c r="H1555" s="12" t="s">
        <v>1962</v>
      </c>
      <c r="I1555" s="12" t="s">
        <v>192</v>
      </c>
      <c r="J1555" s="12" t="s">
        <v>1963</v>
      </c>
      <c r="K1555" s="12" t="s">
        <v>1964</v>
      </c>
    </row>
    <row r="1556" spans="1:11" ht="30" customHeight="1">
      <c r="A1556" s="12" t="s">
        <v>193</v>
      </c>
      <c r="B1556" s="12" t="s">
        <v>189</v>
      </c>
      <c r="C1556" s="12" t="s">
        <v>142</v>
      </c>
      <c r="D1556" s="12" t="s">
        <v>559</v>
      </c>
      <c r="E1556" s="17">
        <v>5267.94</v>
      </c>
      <c r="F1556" s="12" t="s">
        <v>32</v>
      </c>
      <c r="G1556" s="12" t="s">
        <v>192</v>
      </c>
      <c r="H1556" s="12" t="s">
        <v>1962</v>
      </c>
      <c r="I1556" s="12" t="s">
        <v>192</v>
      </c>
      <c r="J1556" s="12" t="s">
        <v>1963</v>
      </c>
      <c r="K1556" s="12" t="s">
        <v>1964</v>
      </c>
    </row>
    <row r="1557" spans="1:11" ht="30" customHeight="1">
      <c r="A1557" s="12" t="s">
        <v>193</v>
      </c>
      <c r="B1557" s="12" t="s">
        <v>189</v>
      </c>
      <c r="C1557" s="12" t="s">
        <v>142</v>
      </c>
      <c r="D1557" s="12" t="s">
        <v>561</v>
      </c>
      <c r="E1557" s="17">
        <v>124.22</v>
      </c>
      <c r="F1557" s="12" t="s">
        <v>32</v>
      </c>
      <c r="G1557" s="12" t="s">
        <v>192</v>
      </c>
      <c r="H1557" s="12" t="s">
        <v>1962</v>
      </c>
      <c r="I1557" s="12" t="s">
        <v>192</v>
      </c>
      <c r="J1557" s="12" t="s">
        <v>1963</v>
      </c>
      <c r="K1557" s="12" t="s">
        <v>1964</v>
      </c>
    </row>
    <row r="1558" spans="1:11" ht="30" customHeight="1">
      <c r="A1558" s="12" t="s">
        <v>193</v>
      </c>
      <c r="B1558" s="12" t="s">
        <v>189</v>
      </c>
      <c r="C1558" s="12" t="s">
        <v>142</v>
      </c>
      <c r="D1558" s="12" t="s">
        <v>562</v>
      </c>
      <c r="E1558" s="17">
        <v>58.97</v>
      </c>
      <c r="F1558" s="12" t="s">
        <v>32</v>
      </c>
      <c r="G1558" s="12" t="s">
        <v>192</v>
      </c>
      <c r="H1558" s="12" t="s">
        <v>1962</v>
      </c>
      <c r="I1558" s="12" t="s">
        <v>192</v>
      </c>
      <c r="J1558" s="12" t="s">
        <v>1963</v>
      </c>
      <c r="K1558" s="12" t="s">
        <v>1964</v>
      </c>
    </row>
    <row r="1559" spans="1:11" ht="30" customHeight="1">
      <c r="A1559" s="12" t="s">
        <v>193</v>
      </c>
      <c r="B1559" s="12" t="s">
        <v>189</v>
      </c>
      <c r="C1559" s="12" t="s">
        <v>142</v>
      </c>
      <c r="D1559" s="12" t="s">
        <v>1793</v>
      </c>
      <c r="E1559" s="17">
        <v>39.16</v>
      </c>
      <c r="F1559" s="12" t="s">
        <v>32</v>
      </c>
      <c r="G1559" s="12" t="s">
        <v>192</v>
      </c>
      <c r="H1559" s="12" t="s">
        <v>1962</v>
      </c>
      <c r="I1559" s="12" t="s">
        <v>192</v>
      </c>
      <c r="J1559" s="12" t="s">
        <v>1963</v>
      </c>
      <c r="K1559" s="12" t="s">
        <v>1964</v>
      </c>
    </row>
    <row r="1560" spans="1:11" ht="30" customHeight="1">
      <c r="A1560" s="12" t="s">
        <v>193</v>
      </c>
      <c r="B1560" s="12" t="s">
        <v>189</v>
      </c>
      <c r="C1560" s="12" t="s">
        <v>142</v>
      </c>
      <c r="D1560" s="12" t="s">
        <v>1938</v>
      </c>
      <c r="E1560" s="17">
        <v>0</v>
      </c>
      <c r="F1560" s="12" t="s">
        <v>32</v>
      </c>
      <c r="G1560" s="12" t="s">
        <v>192</v>
      </c>
      <c r="H1560" s="12" t="s">
        <v>1962</v>
      </c>
      <c r="I1560" s="12" t="s">
        <v>192</v>
      </c>
      <c r="J1560" s="12" t="s">
        <v>1963</v>
      </c>
      <c r="K1560" s="12" t="s">
        <v>1964</v>
      </c>
    </row>
    <row r="1561" spans="1:11" ht="30" customHeight="1">
      <c r="A1561" s="12" t="s">
        <v>193</v>
      </c>
      <c r="B1561" s="12" t="s">
        <v>189</v>
      </c>
      <c r="C1561" s="12" t="s">
        <v>142</v>
      </c>
      <c r="D1561" s="12" t="s">
        <v>1939</v>
      </c>
      <c r="E1561" s="17">
        <v>124.22</v>
      </c>
      <c r="F1561" s="12" t="s">
        <v>32</v>
      </c>
      <c r="G1561" s="12" t="s">
        <v>192</v>
      </c>
      <c r="H1561" s="12" t="s">
        <v>1962</v>
      </c>
      <c r="I1561" s="12" t="s">
        <v>192</v>
      </c>
      <c r="J1561" s="12" t="s">
        <v>1963</v>
      </c>
      <c r="K1561" s="12" t="s">
        <v>1964</v>
      </c>
    </row>
    <row r="1562" spans="1:11" ht="30" customHeight="1">
      <c r="A1562" s="12" t="s">
        <v>193</v>
      </c>
      <c r="B1562" s="12" t="s">
        <v>189</v>
      </c>
      <c r="C1562" s="12" t="s">
        <v>142</v>
      </c>
      <c r="D1562" s="12" t="s">
        <v>1940</v>
      </c>
      <c r="E1562" s="17">
        <v>0</v>
      </c>
      <c r="F1562" s="12" t="s">
        <v>32</v>
      </c>
      <c r="G1562" s="12" t="s">
        <v>192</v>
      </c>
      <c r="H1562" s="12" t="s">
        <v>1962</v>
      </c>
      <c r="I1562" s="12" t="s">
        <v>192</v>
      </c>
      <c r="J1562" s="12" t="s">
        <v>1963</v>
      </c>
      <c r="K1562" s="12" t="s">
        <v>1964</v>
      </c>
    </row>
    <row r="1563" spans="1:11" ht="30" customHeight="1">
      <c r="A1563" s="12" t="s">
        <v>193</v>
      </c>
      <c r="B1563" s="12" t="s">
        <v>189</v>
      </c>
      <c r="C1563" s="12" t="s">
        <v>142</v>
      </c>
      <c r="D1563" s="12" t="s">
        <v>1941</v>
      </c>
      <c r="E1563" s="17">
        <v>39.16</v>
      </c>
      <c r="F1563" s="12" t="s">
        <v>32</v>
      </c>
      <c r="G1563" s="12" t="s">
        <v>192</v>
      </c>
      <c r="H1563" s="12" t="s">
        <v>1962</v>
      </c>
      <c r="I1563" s="12" t="s">
        <v>192</v>
      </c>
      <c r="J1563" s="12" t="s">
        <v>1963</v>
      </c>
      <c r="K1563" s="12" t="s">
        <v>1964</v>
      </c>
    </row>
    <row r="1564" spans="1:11" ht="30" customHeight="1">
      <c r="A1564" s="12" t="s">
        <v>193</v>
      </c>
      <c r="B1564" s="12" t="s">
        <v>189</v>
      </c>
      <c r="C1564" s="12" t="s">
        <v>142</v>
      </c>
      <c r="D1564" s="12" t="s">
        <v>564</v>
      </c>
      <c r="E1564" s="17">
        <v>1175.58</v>
      </c>
      <c r="F1564" s="12" t="s">
        <v>32</v>
      </c>
      <c r="G1564" s="12" t="s">
        <v>192</v>
      </c>
      <c r="H1564" s="12" t="s">
        <v>1962</v>
      </c>
      <c r="I1564" s="12" t="s">
        <v>192</v>
      </c>
      <c r="J1564" s="12" t="s">
        <v>1963</v>
      </c>
      <c r="K1564" s="12" t="s">
        <v>1964</v>
      </c>
    </row>
    <row r="1565" spans="1:11" ht="30" customHeight="1">
      <c r="A1565" s="12" t="s">
        <v>181</v>
      </c>
      <c r="B1565" s="12" t="s">
        <v>178</v>
      </c>
      <c r="C1565" s="12" t="s">
        <v>142</v>
      </c>
      <c r="D1565" s="12" t="s">
        <v>557</v>
      </c>
      <c r="E1565" s="17">
        <v>810.1662</v>
      </c>
      <c r="F1565" s="12" t="s">
        <v>32</v>
      </c>
      <c r="G1565" s="12" t="s">
        <v>180</v>
      </c>
      <c r="H1565" s="12" t="s">
        <v>1965</v>
      </c>
      <c r="I1565" s="12" t="s">
        <v>180</v>
      </c>
      <c r="J1565" s="12" t="s">
        <v>1966</v>
      </c>
      <c r="K1565" s="12" t="s">
        <v>1967</v>
      </c>
    </row>
    <row r="1566" spans="1:11" ht="30" customHeight="1">
      <c r="A1566" s="12" t="s">
        <v>181</v>
      </c>
      <c r="B1566" s="12" t="s">
        <v>178</v>
      </c>
      <c r="C1566" s="12" t="s">
        <v>142</v>
      </c>
      <c r="D1566" s="12" t="s">
        <v>558</v>
      </c>
      <c r="E1566" s="17">
        <v>299.6316</v>
      </c>
      <c r="F1566" s="12" t="s">
        <v>32</v>
      </c>
      <c r="G1566" s="12" t="s">
        <v>180</v>
      </c>
      <c r="H1566" s="12" t="s">
        <v>1965</v>
      </c>
      <c r="I1566" s="12" t="s">
        <v>180</v>
      </c>
      <c r="J1566" s="12" t="s">
        <v>1966</v>
      </c>
      <c r="K1566" s="12" t="s">
        <v>1967</v>
      </c>
    </row>
    <row r="1567" spans="1:11" ht="30" customHeight="1">
      <c r="A1567" s="12" t="s">
        <v>181</v>
      </c>
      <c r="B1567" s="12" t="s">
        <v>178</v>
      </c>
      <c r="C1567" s="12" t="s">
        <v>142</v>
      </c>
      <c r="D1567" s="12" t="s">
        <v>559</v>
      </c>
      <c r="E1567" s="17">
        <v>15.507</v>
      </c>
      <c r="F1567" s="12" t="s">
        <v>32</v>
      </c>
      <c r="G1567" s="12" t="s">
        <v>180</v>
      </c>
      <c r="H1567" s="12" t="s">
        <v>1965</v>
      </c>
      <c r="I1567" s="12" t="s">
        <v>180</v>
      </c>
      <c r="J1567" s="12" t="s">
        <v>1966</v>
      </c>
      <c r="K1567" s="12" t="s">
        <v>1967</v>
      </c>
    </row>
    <row r="1568" spans="1:11" ht="30" customHeight="1">
      <c r="A1568" s="12" t="s">
        <v>181</v>
      </c>
      <c r="B1568" s="12" t="s">
        <v>178</v>
      </c>
      <c r="C1568" s="12" t="s">
        <v>142</v>
      </c>
      <c r="D1568" s="12" t="s">
        <v>561</v>
      </c>
      <c r="E1568" s="17">
        <v>89.5771</v>
      </c>
      <c r="F1568" s="12" t="s">
        <v>32</v>
      </c>
      <c r="G1568" s="12" t="s">
        <v>180</v>
      </c>
      <c r="H1568" s="12" t="s">
        <v>1965</v>
      </c>
      <c r="I1568" s="12" t="s">
        <v>180</v>
      </c>
      <c r="J1568" s="12" t="s">
        <v>1966</v>
      </c>
      <c r="K1568" s="12" t="s">
        <v>1967</v>
      </c>
    </row>
    <row r="1569" spans="1:11" ht="30" customHeight="1">
      <c r="A1569" s="12" t="s">
        <v>181</v>
      </c>
      <c r="B1569" s="12" t="s">
        <v>178</v>
      </c>
      <c r="C1569" s="12" t="s">
        <v>142</v>
      </c>
      <c r="D1569" s="12" t="s">
        <v>562</v>
      </c>
      <c r="E1569" s="17">
        <v>3.2533</v>
      </c>
      <c r="F1569" s="12" t="s">
        <v>32</v>
      </c>
      <c r="G1569" s="12" t="s">
        <v>180</v>
      </c>
      <c r="H1569" s="12" t="s">
        <v>1965</v>
      </c>
      <c r="I1569" s="12" t="s">
        <v>180</v>
      </c>
      <c r="J1569" s="12" t="s">
        <v>1966</v>
      </c>
      <c r="K1569" s="12" t="s">
        <v>1967</v>
      </c>
    </row>
    <row r="1570" spans="1:11" ht="30" customHeight="1">
      <c r="A1570" s="12" t="s">
        <v>181</v>
      </c>
      <c r="B1570" s="12" t="s">
        <v>178</v>
      </c>
      <c r="C1570" s="12" t="s">
        <v>142</v>
      </c>
      <c r="D1570" s="12" t="s">
        <v>1793</v>
      </c>
      <c r="E1570" s="17">
        <v>31.9228</v>
      </c>
      <c r="F1570" s="12" t="s">
        <v>32</v>
      </c>
      <c r="G1570" s="12" t="s">
        <v>180</v>
      </c>
      <c r="H1570" s="12" t="s">
        <v>1965</v>
      </c>
      <c r="I1570" s="12" t="s">
        <v>180</v>
      </c>
      <c r="J1570" s="12" t="s">
        <v>1966</v>
      </c>
      <c r="K1570" s="12" t="s">
        <v>1967</v>
      </c>
    </row>
    <row r="1571" spans="1:11" ht="30" customHeight="1">
      <c r="A1571" s="12" t="s">
        <v>181</v>
      </c>
      <c r="B1571" s="12" t="s">
        <v>178</v>
      </c>
      <c r="C1571" s="12" t="s">
        <v>142</v>
      </c>
      <c r="D1571" s="12" t="s">
        <v>1938</v>
      </c>
      <c r="E1571" s="17">
        <v>12.3628</v>
      </c>
      <c r="F1571" s="12" t="s">
        <v>32</v>
      </c>
      <c r="G1571" s="12" t="s">
        <v>180</v>
      </c>
      <c r="H1571" s="12" t="s">
        <v>1965</v>
      </c>
      <c r="I1571" s="12" t="s">
        <v>180</v>
      </c>
      <c r="J1571" s="12" t="s">
        <v>1966</v>
      </c>
      <c r="K1571" s="12" t="s">
        <v>1967</v>
      </c>
    </row>
    <row r="1572" spans="1:11" ht="30" customHeight="1">
      <c r="A1572" s="12" t="s">
        <v>181</v>
      </c>
      <c r="B1572" s="12" t="s">
        <v>178</v>
      </c>
      <c r="C1572" s="12" t="s">
        <v>142</v>
      </c>
      <c r="D1572" s="12" t="s">
        <v>1939</v>
      </c>
      <c r="E1572" s="17">
        <v>77.21430000000001</v>
      </c>
      <c r="F1572" s="12" t="s">
        <v>32</v>
      </c>
      <c r="G1572" s="12" t="s">
        <v>180</v>
      </c>
      <c r="H1572" s="12" t="s">
        <v>1965</v>
      </c>
      <c r="I1572" s="12" t="s">
        <v>180</v>
      </c>
      <c r="J1572" s="12" t="s">
        <v>1966</v>
      </c>
      <c r="K1572" s="12" t="s">
        <v>1967</v>
      </c>
    </row>
    <row r="1573" spans="1:11" ht="30" customHeight="1">
      <c r="A1573" s="12" t="s">
        <v>181</v>
      </c>
      <c r="B1573" s="12" t="s">
        <v>178</v>
      </c>
      <c r="C1573" s="12" t="s">
        <v>142</v>
      </c>
      <c r="D1573" s="12" t="s">
        <v>1940</v>
      </c>
      <c r="E1573" s="17">
        <v>0.4293</v>
      </c>
      <c r="F1573" s="12" t="s">
        <v>32</v>
      </c>
      <c r="G1573" s="12" t="s">
        <v>180</v>
      </c>
      <c r="H1573" s="12" t="s">
        <v>1965</v>
      </c>
      <c r="I1573" s="12" t="s">
        <v>180</v>
      </c>
      <c r="J1573" s="12" t="s">
        <v>1966</v>
      </c>
      <c r="K1573" s="12" t="s">
        <v>1967</v>
      </c>
    </row>
    <row r="1574" spans="1:11" ht="30" customHeight="1">
      <c r="A1574" s="12" t="s">
        <v>181</v>
      </c>
      <c r="B1574" s="12" t="s">
        <v>178</v>
      </c>
      <c r="C1574" s="12" t="s">
        <v>142</v>
      </c>
      <c r="D1574" s="12" t="s">
        <v>1941</v>
      </c>
      <c r="E1574" s="17">
        <v>31.4935</v>
      </c>
      <c r="F1574" s="12" t="s">
        <v>32</v>
      </c>
      <c r="G1574" s="12" t="s">
        <v>180</v>
      </c>
      <c r="H1574" s="12" t="s">
        <v>1965</v>
      </c>
      <c r="I1574" s="12" t="s">
        <v>180</v>
      </c>
      <c r="J1574" s="12" t="s">
        <v>1966</v>
      </c>
      <c r="K1574" s="12" t="s">
        <v>1967</v>
      </c>
    </row>
    <row r="1575" spans="1:11" ht="30" customHeight="1">
      <c r="A1575" s="12" t="s">
        <v>181</v>
      </c>
      <c r="B1575" s="12" t="s">
        <v>178</v>
      </c>
      <c r="C1575" s="12" t="s">
        <v>142</v>
      </c>
      <c r="D1575" s="12" t="s">
        <v>564</v>
      </c>
      <c r="E1575" s="17">
        <v>55.8029</v>
      </c>
      <c r="F1575" s="12" t="s">
        <v>32</v>
      </c>
      <c r="G1575" s="12" t="s">
        <v>180</v>
      </c>
      <c r="H1575" s="12" t="s">
        <v>1965</v>
      </c>
      <c r="I1575" s="12" t="s">
        <v>180</v>
      </c>
      <c r="J1575" s="12" t="s">
        <v>1966</v>
      </c>
      <c r="K1575" s="12" t="s">
        <v>1967</v>
      </c>
    </row>
    <row r="1576" spans="1:11" ht="30" customHeight="1">
      <c r="A1576" s="12" t="s">
        <v>162</v>
      </c>
      <c r="B1576" s="12" t="s">
        <v>158</v>
      </c>
      <c r="C1576" s="12" t="s">
        <v>142</v>
      </c>
      <c r="D1576" s="12" t="s">
        <v>557</v>
      </c>
      <c r="E1576" s="17">
        <v>431.25</v>
      </c>
      <c r="F1576" s="12" t="s">
        <v>32</v>
      </c>
      <c r="G1576" s="12" t="s">
        <v>161</v>
      </c>
      <c r="H1576" s="12" t="s">
        <v>1968</v>
      </c>
      <c r="I1576" s="12" t="s">
        <v>161</v>
      </c>
      <c r="J1576" s="12" t="s">
        <v>1969</v>
      </c>
      <c r="K1576" s="12" t="s">
        <v>1970</v>
      </c>
    </row>
    <row r="1577" spans="1:11" ht="30" customHeight="1">
      <c r="A1577" s="12" t="s">
        <v>162</v>
      </c>
      <c r="B1577" s="12" t="s">
        <v>158</v>
      </c>
      <c r="C1577" s="12" t="s">
        <v>142</v>
      </c>
      <c r="D1577" s="12" t="s">
        <v>558</v>
      </c>
      <c r="E1577" s="17">
        <v>170.83</v>
      </c>
      <c r="F1577" s="12" t="s">
        <v>32</v>
      </c>
      <c r="G1577" s="12" t="s">
        <v>161</v>
      </c>
      <c r="H1577" s="12" t="s">
        <v>1968</v>
      </c>
      <c r="I1577" s="12" t="s">
        <v>161</v>
      </c>
      <c r="J1577" s="12" t="s">
        <v>1969</v>
      </c>
      <c r="K1577" s="12" t="s">
        <v>1970</v>
      </c>
    </row>
    <row r="1578" spans="1:11" ht="30" customHeight="1">
      <c r="A1578" s="12" t="s">
        <v>162</v>
      </c>
      <c r="B1578" s="12" t="s">
        <v>158</v>
      </c>
      <c r="C1578" s="12" t="s">
        <v>142</v>
      </c>
      <c r="D1578" s="12" t="s">
        <v>559</v>
      </c>
      <c r="E1578" s="17">
        <v>9.94</v>
      </c>
      <c r="F1578" s="12" t="s">
        <v>32</v>
      </c>
      <c r="G1578" s="12" t="s">
        <v>161</v>
      </c>
      <c r="H1578" s="12" t="s">
        <v>1968</v>
      </c>
      <c r="I1578" s="12" t="s">
        <v>161</v>
      </c>
      <c r="J1578" s="12" t="s">
        <v>1969</v>
      </c>
      <c r="K1578" s="12" t="s">
        <v>1970</v>
      </c>
    </row>
    <row r="1579" spans="1:11" ht="30" customHeight="1">
      <c r="A1579" s="12" t="s">
        <v>162</v>
      </c>
      <c r="B1579" s="12" t="s">
        <v>158</v>
      </c>
      <c r="C1579" s="12" t="s">
        <v>142</v>
      </c>
      <c r="D1579" s="12" t="s">
        <v>561</v>
      </c>
      <c r="E1579" s="17">
        <v>49.18</v>
      </c>
      <c r="F1579" s="12" t="s">
        <v>32</v>
      </c>
      <c r="G1579" s="12" t="s">
        <v>161</v>
      </c>
      <c r="H1579" s="12" t="s">
        <v>1968</v>
      </c>
      <c r="I1579" s="12" t="s">
        <v>161</v>
      </c>
      <c r="J1579" s="12" t="s">
        <v>1969</v>
      </c>
      <c r="K1579" s="12" t="s">
        <v>1970</v>
      </c>
    </row>
    <row r="1580" spans="1:11" ht="30" customHeight="1">
      <c r="A1580" s="12" t="s">
        <v>162</v>
      </c>
      <c r="B1580" s="12" t="s">
        <v>158</v>
      </c>
      <c r="C1580" s="12" t="s">
        <v>142</v>
      </c>
      <c r="D1580" s="12" t="s">
        <v>562</v>
      </c>
      <c r="E1580" s="17">
        <v>10.37</v>
      </c>
      <c r="F1580" s="12" t="s">
        <v>32</v>
      </c>
      <c r="G1580" s="12" t="s">
        <v>161</v>
      </c>
      <c r="H1580" s="12" t="s">
        <v>1968</v>
      </c>
      <c r="I1580" s="12" t="s">
        <v>161</v>
      </c>
      <c r="J1580" s="12" t="s">
        <v>1969</v>
      </c>
      <c r="K1580" s="12" t="s">
        <v>1970</v>
      </c>
    </row>
    <row r="1581" spans="1:11" ht="30" customHeight="1">
      <c r="A1581" s="12" t="s">
        <v>162</v>
      </c>
      <c r="B1581" s="12" t="s">
        <v>158</v>
      </c>
      <c r="C1581" s="12" t="s">
        <v>142</v>
      </c>
      <c r="D1581" s="12" t="s">
        <v>1793</v>
      </c>
      <c r="E1581" s="17">
        <v>48.07</v>
      </c>
      <c r="F1581" s="12" t="s">
        <v>32</v>
      </c>
      <c r="G1581" s="12" t="s">
        <v>161</v>
      </c>
      <c r="H1581" s="12" t="s">
        <v>1968</v>
      </c>
      <c r="I1581" s="12" t="s">
        <v>161</v>
      </c>
      <c r="J1581" s="12" t="s">
        <v>1969</v>
      </c>
      <c r="K1581" s="12" t="s">
        <v>1970</v>
      </c>
    </row>
    <row r="1582" spans="1:11" ht="30" customHeight="1">
      <c r="A1582" s="12" t="s">
        <v>162</v>
      </c>
      <c r="B1582" s="12" t="s">
        <v>158</v>
      </c>
      <c r="C1582" s="12" t="s">
        <v>142</v>
      </c>
      <c r="D1582" s="12" t="s">
        <v>1938</v>
      </c>
      <c r="E1582" s="17">
        <v>1.86</v>
      </c>
      <c r="F1582" s="12" t="s">
        <v>32</v>
      </c>
      <c r="G1582" s="12" t="s">
        <v>161</v>
      </c>
      <c r="H1582" s="12" t="s">
        <v>1968</v>
      </c>
      <c r="I1582" s="12" t="s">
        <v>161</v>
      </c>
      <c r="J1582" s="12" t="s">
        <v>1969</v>
      </c>
      <c r="K1582" s="12" t="s">
        <v>1970</v>
      </c>
    </row>
    <row r="1583" spans="1:11" ht="30" customHeight="1">
      <c r="A1583" s="12" t="s">
        <v>162</v>
      </c>
      <c r="B1583" s="12" t="s">
        <v>158</v>
      </c>
      <c r="C1583" s="12" t="s">
        <v>142</v>
      </c>
      <c r="D1583" s="12" t="s">
        <v>1939</v>
      </c>
      <c r="E1583" s="17">
        <v>47.32</v>
      </c>
      <c r="F1583" s="12" t="s">
        <v>32</v>
      </c>
      <c r="G1583" s="12" t="s">
        <v>161</v>
      </c>
      <c r="H1583" s="12" t="s">
        <v>1968</v>
      </c>
      <c r="I1583" s="12" t="s">
        <v>161</v>
      </c>
      <c r="J1583" s="12" t="s">
        <v>1969</v>
      </c>
      <c r="K1583" s="12" t="s">
        <v>1970</v>
      </c>
    </row>
    <row r="1584" spans="1:11" ht="30" customHeight="1">
      <c r="A1584" s="12" t="s">
        <v>162</v>
      </c>
      <c r="B1584" s="12" t="s">
        <v>158</v>
      </c>
      <c r="C1584" s="12" t="s">
        <v>142</v>
      </c>
      <c r="D1584" s="12" t="s">
        <v>1940</v>
      </c>
      <c r="E1584" s="17">
        <v>4.3</v>
      </c>
      <c r="F1584" s="12" t="s">
        <v>32</v>
      </c>
      <c r="G1584" s="12" t="s">
        <v>161</v>
      </c>
      <c r="H1584" s="12" t="s">
        <v>1968</v>
      </c>
      <c r="I1584" s="12" t="s">
        <v>161</v>
      </c>
      <c r="J1584" s="12" t="s">
        <v>1969</v>
      </c>
      <c r="K1584" s="12" t="s">
        <v>1970</v>
      </c>
    </row>
    <row r="1585" spans="1:11" ht="30" customHeight="1">
      <c r="A1585" s="12" t="s">
        <v>162</v>
      </c>
      <c r="B1585" s="12" t="s">
        <v>158</v>
      </c>
      <c r="C1585" s="12" t="s">
        <v>142</v>
      </c>
      <c r="D1585" s="12" t="s">
        <v>1941</v>
      </c>
      <c r="E1585" s="17">
        <v>43.77</v>
      </c>
      <c r="F1585" s="12" t="s">
        <v>32</v>
      </c>
      <c r="G1585" s="12" t="s">
        <v>161</v>
      </c>
      <c r="H1585" s="12" t="s">
        <v>1968</v>
      </c>
      <c r="I1585" s="12" t="s">
        <v>161</v>
      </c>
      <c r="J1585" s="12" t="s">
        <v>1969</v>
      </c>
      <c r="K1585" s="12" t="s">
        <v>1970</v>
      </c>
    </row>
    <row r="1586" spans="1:11" ht="30" customHeight="1">
      <c r="A1586" s="12" t="s">
        <v>168</v>
      </c>
      <c r="B1586" s="12" t="s">
        <v>165</v>
      </c>
      <c r="C1586" s="12" t="s">
        <v>142</v>
      </c>
      <c r="D1586" s="12" t="s">
        <v>557</v>
      </c>
      <c r="E1586" s="17">
        <v>423.1855</v>
      </c>
      <c r="F1586" s="12" t="s">
        <v>32</v>
      </c>
      <c r="G1586" s="12" t="s">
        <v>167</v>
      </c>
      <c r="H1586" s="12" t="s">
        <v>1971</v>
      </c>
      <c r="I1586" s="12" t="s">
        <v>167</v>
      </c>
      <c r="J1586" s="12" t="s">
        <v>1972</v>
      </c>
      <c r="K1586" s="12" t="s">
        <v>1973</v>
      </c>
    </row>
    <row r="1587" spans="1:11" ht="30" customHeight="1">
      <c r="A1587" s="12" t="s">
        <v>168</v>
      </c>
      <c r="B1587" s="12" t="s">
        <v>165</v>
      </c>
      <c r="C1587" s="12" t="s">
        <v>142</v>
      </c>
      <c r="D1587" s="12" t="s">
        <v>558</v>
      </c>
      <c r="E1587" s="17">
        <v>310.1309</v>
      </c>
      <c r="F1587" s="12" t="s">
        <v>32</v>
      </c>
      <c r="G1587" s="12" t="s">
        <v>167</v>
      </c>
      <c r="H1587" s="12" t="s">
        <v>1971</v>
      </c>
      <c r="I1587" s="12" t="s">
        <v>167</v>
      </c>
      <c r="J1587" s="12" t="s">
        <v>1972</v>
      </c>
      <c r="K1587" s="12" t="s">
        <v>1973</v>
      </c>
    </row>
    <row r="1588" spans="1:11" ht="30" customHeight="1">
      <c r="A1588" s="12" t="s">
        <v>168</v>
      </c>
      <c r="B1588" s="12" t="s">
        <v>165</v>
      </c>
      <c r="C1588" s="12" t="s">
        <v>142</v>
      </c>
      <c r="D1588" s="12" t="s">
        <v>559</v>
      </c>
      <c r="E1588" s="17">
        <v>18.4307</v>
      </c>
      <c r="F1588" s="12" t="s">
        <v>32</v>
      </c>
      <c r="G1588" s="12" t="s">
        <v>167</v>
      </c>
      <c r="H1588" s="12" t="s">
        <v>1971</v>
      </c>
      <c r="I1588" s="12" t="s">
        <v>167</v>
      </c>
      <c r="J1588" s="12" t="s">
        <v>1972</v>
      </c>
      <c r="K1588" s="12" t="s">
        <v>1973</v>
      </c>
    </row>
    <row r="1589" spans="1:11" ht="30" customHeight="1">
      <c r="A1589" s="12" t="s">
        <v>168</v>
      </c>
      <c r="B1589" s="12" t="s">
        <v>165</v>
      </c>
      <c r="C1589" s="12" t="s">
        <v>142</v>
      </c>
      <c r="D1589" s="12" t="s">
        <v>561</v>
      </c>
      <c r="E1589" s="17">
        <v>111.7343</v>
      </c>
      <c r="F1589" s="12" t="s">
        <v>32</v>
      </c>
      <c r="G1589" s="12" t="s">
        <v>167</v>
      </c>
      <c r="H1589" s="12" t="s">
        <v>1971</v>
      </c>
      <c r="I1589" s="12" t="s">
        <v>167</v>
      </c>
      <c r="J1589" s="12" t="s">
        <v>1972</v>
      </c>
      <c r="K1589" s="12" t="s">
        <v>1973</v>
      </c>
    </row>
    <row r="1590" spans="1:11" ht="30" customHeight="1">
      <c r="A1590" s="12" t="s">
        <v>168</v>
      </c>
      <c r="B1590" s="12" t="s">
        <v>165</v>
      </c>
      <c r="C1590" s="12" t="s">
        <v>142</v>
      </c>
      <c r="D1590" s="12" t="s">
        <v>562</v>
      </c>
      <c r="E1590" s="17">
        <v>11.3291</v>
      </c>
      <c r="F1590" s="12" t="s">
        <v>32</v>
      </c>
      <c r="G1590" s="12" t="s">
        <v>167</v>
      </c>
      <c r="H1590" s="12" t="s">
        <v>1971</v>
      </c>
      <c r="I1590" s="12" t="s">
        <v>167</v>
      </c>
      <c r="J1590" s="12" t="s">
        <v>1972</v>
      </c>
      <c r="K1590" s="12" t="s">
        <v>1973</v>
      </c>
    </row>
    <row r="1591" spans="1:11" ht="30" customHeight="1">
      <c r="A1591" s="12" t="s">
        <v>168</v>
      </c>
      <c r="B1591" s="12" t="s">
        <v>165</v>
      </c>
      <c r="C1591" s="12" t="s">
        <v>142</v>
      </c>
      <c r="D1591" s="12" t="s">
        <v>1793</v>
      </c>
      <c r="E1591" s="17">
        <v>87.5231</v>
      </c>
      <c r="F1591" s="12" t="s">
        <v>32</v>
      </c>
      <c r="G1591" s="12" t="s">
        <v>167</v>
      </c>
      <c r="H1591" s="12" t="s">
        <v>1971</v>
      </c>
      <c r="I1591" s="12" t="s">
        <v>167</v>
      </c>
      <c r="J1591" s="12" t="s">
        <v>1972</v>
      </c>
      <c r="K1591" s="12" t="s">
        <v>1973</v>
      </c>
    </row>
    <row r="1592" spans="1:11" ht="30" customHeight="1">
      <c r="A1592" s="12" t="s">
        <v>168</v>
      </c>
      <c r="B1592" s="12" t="s">
        <v>165</v>
      </c>
      <c r="C1592" s="12" t="s">
        <v>142</v>
      </c>
      <c r="D1592" s="12" t="s">
        <v>1938</v>
      </c>
      <c r="E1592" s="17">
        <v>17.1354</v>
      </c>
      <c r="F1592" s="12" t="s">
        <v>32</v>
      </c>
      <c r="G1592" s="12" t="s">
        <v>167</v>
      </c>
      <c r="H1592" s="12" t="s">
        <v>1971</v>
      </c>
      <c r="I1592" s="12" t="s">
        <v>167</v>
      </c>
      <c r="J1592" s="12" t="s">
        <v>1972</v>
      </c>
      <c r="K1592" s="12" t="s">
        <v>1973</v>
      </c>
    </row>
    <row r="1593" spans="1:11" ht="30" customHeight="1">
      <c r="A1593" s="12" t="s">
        <v>168</v>
      </c>
      <c r="B1593" s="12" t="s">
        <v>165</v>
      </c>
      <c r="C1593" s="12" t="s">
        <v>142</v>
      </c>
      <c r="D1593" s="12" t="s">
        <v>1939</v>
      </c>
      <c r="E1593" s="17">
        <v>94.5989</v>
      </c>
      <c r="F1593" s="12" t="s">
        <v>32</v>
      </c>
      <c r="G1593" s="12" t="s">
        <v>167</v>
      </c>
      <c r="H1593" s="12" t="s">
        <v>1971</v>
      </c>
      <c r="I1593" s="12" t="s">
        <v>167</v>
      </c>
      <c r="J1593" s="12" t="s">
        <v>1972</v>
      </c>
      <c r="K1593" s="12" t="s">
        <v>1973</v>
      </c>
    </row>
    <row r="1594" spans="1:11" ht="30" customHeight="1">
      <c r="A1594" s="12" t="s">
        <v>168</v>
      </c>
      <c r="B1594" s="12" t="s">
        <v>165</v>
      </c>
      <c r="C1594" s="12" t="s">
        <v>142</v>
      </c>
      <c r="D1594" s="12" t="s">
        <v>1940</v>
      </c>
      <c r="E1594" s="17">
        <v>17.5927</v>
      </c>
      <c r="F1594" s="12" t="s">
        <v>32</v>
      </c>
      <c r="G1594" s="12" t="s">
        <v>167</v>
      </c>
      <c r="H1594" s="12" t="s">
        <v>1971</v>
      </c>
      <c r="I1594" s="12" t="s">
        <v>167</v>
      </c>
      <c r="J1594" s="12" t="s">
        <v>1972</v>
      </c>
      <c r="K1594" s="12" t="s">
        <v>1973</v>
      </c>
    </row>
    <row r="1595" spans="1:11" ht="30" customHeight="1">
      <c r="A1595" s="12" t="s">
        <v>168</v>
      </c>
      <c r="B1595" s="12" t="s">
        <v>165</v>
      </c>
      <c r="C1595" s="12" t="s">
        <v>142</v>
      </c>
      <c r="D1595" s="12" t="s">
        <v>1941</v>
      </c>
      <c r="E1595" s="17">
        <v>69.93040000000001</v>
      </c>
      <c r="F1595" s="12" t="s">
        <v>32</v>
      </c>
      <c r="G1595" s="12" t="s">
        <v>167</v>
      </c>
      <c r="H1595" s="12" t="s">
        <v>1971</v>
      </c>
      <c r="I1595" s="12" t="s">
        <v>167</v>
      </c>
      <c r="J1595" s="12" t="s">
        <v>1972</v>
      </c>
      <c r="K1595" s="12" t="s">
        <v>1973</v>
      </c>
    </row>
    <row r="1596" spans="1:11" ht="30" customHeight="1">
      <c r="A1596" s="12" t="s">
        <v>168</v>
      </c>
      <c r="B1596" s="12" t="s">
        <v>165</v>
      </c>
      <c r="C1596" s="12" t="s">
        <v>142</v>
      </c>
      <c r="D1596" s="12" t="s">
        <v>564</v>
      </c>
      <c r="E1596" s="17">
        <v>21.6696</v>
      </c>
      <c r="F1596" s="12" t="s">
        <v>32</v>
      </c>
      <c r="G1596" s="12" t="s">
        <v>167</v>
      </c>
      <c r="H1596" s="12" t="s">
        <v>1971</v>
      </c>
      <c r="I1596" s="12" t="s">
        <v>167</v>
      </c>
      <c r="J1596" s="12" t="s">
        <v>1972</v>
      </c>
      <c r="K1596" s="12" t="s">
        <v>1973</v>
      </c>
    </row>
    <row r="1597" spans="1:11" ht="30" customHeight="1">
      <c r="A1597" s="12" t="s">
        <v>187</v>
      </c>
      <c r="B1597" s="12" t="s">
        <v>184</v>
      </c>
      <c r="C1597" s="12" t="s">
        <v>142</v>
      </c>
      <c r="D1597" s="12" t="s">
        <v>557</v>
      </c>
      <c r="E1597" s="17">
        <v>509.1475</v>
      </c>
      <c r="F1597" s="12" t="s">
        <v>32</v>
      </c>
      <c r="G1597" s="12" t="s">
        <v>186</v>
      </c>
      <c r="H1597" s="12" t="s">
        <v>1974</v>
      </c>
      <c r="I1597" s="12" t="s">
        <v>186</v>
      </c>
      <c r="J1597" s="12" t="s">
        <v>1975</v>
      </c>
      <c r="K1597" s="12" t="s">
        <v>1976</v>
      </c>
    </row>
    <row r="1598" spans="1:11" ht="30" customHeight="1">
      <c r="A1598" s="12" t="s">
        <v>187</v>
      </c>
      <c r="B1598" s="12" t="s">
        <v>184</v>
      </c>
      <c r="C1598" s="12" t="s">
        <v>142</v>
      </c>
      <c r="D1598" s="12" t="s">
        <v>558</v>
      </c>
      <c r="E1598" s="17">
        <v>504.2564</v>
      </c>
      <c r="F1598" s="12" t="s">
        <v>32</v>
      </c>
      <c r="G1598" s="12" t="s">
        <v>186</v>
      </c>
      <c r="H1598" s="12" t="s">
        <v>1974</v>
      </c>
      <c r="I1598" s="12" t="s">
        <v>186</v>
      </c>
      <c r="J1598" s="12" t="s">
        <v>1975</v>
      </c>
      <c r="K1598" s="12" t="s">
        <v>1976</v>
      </c>
    </row>
    <row r="1599" spans="1:11" ht="30" customHeight="1">
      <c r="A1599" s="12" t="s">
        <v>187</v>
      </c>
      <c r="B1599" s="12" t="s">
        <v>184</v>
      </c>
      <c r="C1599" s="12" t="s">
        <v>142</v>
      </c>
      <c r="D1599" s="12" t="s">
        <v>559</v>
      </c>
      <c r="E1599" s="17">
        <v>6.0458</v>
      </c>
      <c r="F1599" s="12" t="s">
        <v>32</v>
      </c>
      <c r="G1599" s="12" t="s">
        <v>186</v>
      </c>
      <c r="H1599" s="12" t="s">
        <v>1974</v>
      </c>
      <c r="I1599" s="12" t="s">
        <v>186</v>
      </c>
      <c r="J1599" s="12" t="s">
        <v>1975</v>
      </c>
      <c r="K1599" s="12" t="s">
        <v>1976</v>
      </c>
    </row>
    <row r="1600" spans="1:11" ht="30" customHeight="1">
      <c r="A1600" s="12" t="s">
        <v>187</v>
      </c>
      <c r="B1600" s="12" t="s">
        <v>184</v>
      </c>
      <c r="C1600" s="12" t="s">
        <v>142</v>
      </c>
      <c r="D1600" s="12" t="s">
        <v>561</v>
      </c>
      <c r="E1600" s="17">
        <v>239.0223</v>
      </c>
      <c r="F1600" s="12" t="s">
        <v>32</v>
      </c>
      <c r="G1600" s="12" t="s">
        <v>186</v>
      </c>
      <c r="H1600" s="12" t="s">
        <v>1974</v>
      </c>
      <c r="I1600" s="12" t="s">
        <v>186</v>
      </c>
      <c r="J1600" s="12" t="s">
        <v>1975</v>
      </c>
      <c r="K1600" s="12" t="s">
        <v>1976</v>
      </c>
    </row>
    <row r="1601" spans="1:11" ht="30" customHeight="1">
      <c r="A1601" s="12" t="s">
        <v>187</v>
      </c>
      <c r="B1601" s="12" t="s">
        <v>184</v>
      </c>
      <c r="C1601" s="12" t="s">
        <v>142</v>
      </c>
      <c r="D1601" s="12" t="s">
        <v>562</v>
      </c>
      <c r="E1601" s="17">
        <v>27.5268</v>
      </c>
      <c r="F1601" s="12" t="s">
        <v>32</v>
      </c>
      <c r="G1601" s="12" t="s">
        <v>186</v>
      </c>
      <c r="H1601" s="12" t="s">
        <v>1974</v>
      </c>
      <c r="I1601" s="12" t="s">
        <v>186</v>
      </c>
      <c r="J1601" s="12" t="s">
        <v>1975</v>
      </c>
      <c r="K1601" s="12" t="s">
        <v>1976</v>
      </c>
    </row>
    <row r="1602" spans="1:11" ht="30" customHeight="1">
      <c r="A1602" s="12" t="s">
        <v>187</v>
      </c>
      <c r="B1602" s="12" t="s">
        <v>184</v>
      </c>
      <c r="C1602" s="12" t="s">
        <v>142</v>
      </c>
      <c r="D1602" s="12" t="s">
        <v>1793</v>
      </c>
      <c r="E1602" s="17">
        <v>172.2267</v>
      </c>
      <c r="F1602" s="12" t="s">
        <v>32</v>
      </c>
      <c r="G1602" s="12" t="s">
        <v>186</v>
      </c>
      <c r="H1602" s="12" t="s">
        <v>1974</v>
      </c>
      <c r="I1602" s="12" t="s">
        <v>186</v>
      </c>
      <c r="J1602" s="12" t="s">
        <v>1975</v>
      </c>
      <c r="K1602" s="12" t="s">
        <v>1976</v>
      </c>
    </row>
    <row r="1603" spans="1:11" ht="30" customHeight="1">
      <c r="A1603" s="12" t="s">
        <v>187</v>
      </c>
      <c r="B1603" s="12" t="s">
        <v>184</v>
      </c>
      <c r="C1603" s="12" t="s">
        <v>142</v>
      </c>
      <c r="D1603" s="12" t="s">
        <v>1938</v>
      </c>
      <c r="E1603" s="17">
        <v>48.6339</v>
      </c>
      <c r="F1603" s="12" t="s">
        <v>32</v>
      </c>
      <c r="G1603" s="12" t="s">
        <v>186</v>
      </c>
      <c r="H1603" s="12" t="s">
        <v>1974</v>
      </c>
      <c r="I1603" s="12" t="s">
        <v>186</v>
      </c>
      <c r="J1603" s="12" t="s">
        <v>1975</v>
      </c>
      <c r="K1603" s="12" t="s">
        <v>1976</v>
      </c>
    </row>
    <row r="1604" spans="1:11" ht="30" customHeight="1">
      <c r="A1604" s="12" t="s">
        <v>187</v>
      </c>
      <c r="B1604" s="12" t="s">
        <v>184</v>
      </c>
      <c r="C1604" s="12" t="s">
        <v>142</v>
      </c>
      <c r="D1604" s="12" t="s">
        <v>1939</v>
      </c>
      <c r="E1604" s="17">
        <v>190.3884</v>
      </c>
      <c r="F1604" s="12" t="s">
        <v>32</v>
      </c>
      <c r="G1604" s="12" t="s">
        <v>186</v>
      </c>
      <c r="H1604" s="12" t="s">
        <v>1974</v>
      </c>
      <c r="I1604" s="12" t="s">
        <v>186</v>
      </c>
      <c r="J1604" s="12" t="s">
        <v>1975</v>
      </c>
      <c r="K1604" s="12" t="s">
        <v>1976</v>
      </c>
    </row>
    <row r="1605" spans="1:11" ht="30" customHeight="1">
      <c r="A1605" s="12" t="s">
        <v>187</v>
      </c>
      <c r="B1605" s="12" t="s">
        <v>184</v>
      </c>
      <c r="C1605" s="12" t="s">
        <v>142</v>
      </c>
      <c r="D1605" s="12" t="s">
        <v>1940</v>
      </c>
      <c r="E1605" s="17">
        <v>32.4728</v>
      </c>
      <c r="F1605" s="12" t="s">
        <v>32</v>
      </c>
      <c r="G1605" s="12" t="s">
        <v>186</v>
      </c>
      <c r="H1605" s="12" t="s">
        <v>1974</v>
      </c>
      <c r="I1605" s="12" t="s">
        <v>186</v>
      </c>
      <c r="J1605" s="12" t="s">
        <v>1975</v>
      </c>
      <c r="K1605" s="12" t="s">
        <v>1976</v>
      </c>
    </row>
    <row r="1606" spans="1:11" ht="30" customHeight="1">
      <c r="A1606" s="12" t="s">
        <v>187</v>
      </c>
      <c r="B1606" s="12" t="s">
        <v>184</v>
      </c>
      <c r="C1606" s="12" t="s">
        <v>142</v>
      </c>
      <c r="D1606" s="12" t="s">
        <v>1941</v>
      </c>
      <c r="E1606" s="17">
        <v>139.7539</v>
      </c>
      <c r="F1606" s="12" t="s">
        <v>32</v>
      </c>
      <c r="G1606" s="12" t="s">
        <v>186</v>
      </c>
      <c r="H1606" s="12" t="s">
        <v>1974</v>
      </c>
      <c r="I1606" s="12" t="s">
        <v>186</v>
      </c>
      <c r="J1606" s="12" t="s">
        <v>1975</v>
      </c>
      <c r="K1606" s="12" t="s">
        <v>1976</v>
      </c>
    </row>
    <row r="1607" spans="1:11" ht="30" customHeight="1">
      <c r="A1607" s="12" t="s">
        <v>187</v>
      </c>
      <c r="B1607" s="12" t="s">
        <v>184</v>
      </c>
      <c r="C1607" s="12" t="s">
        <v>142</v>
      </c>
      <c r="D1607" s="12" t="s">
        <v>564</v>
      </c>
      <c r="E1607" s="17">
        <v>31.6567</v>
      </c>
      <c r="F1607" s="12" t="s">
        <v>32</v>
      </c>
      <c r="G1607" s="12" t="s">
        <v>186</v>
      </c>
      <c r="H1607" s="12" t="s">
        <v>1974</v>
      </c>
      <c r="I1607" s="12" t="s">
        <v>186</v>
      </c>
      <c r="J1607" s="12" t="s">
        <v>1975</v>
      </c>
      <c r="K1607" s="12" t="s">
        <v>1976</v>
      </c>
    </row>
    <row r="1608" spans="1:11" ht="30" customHeight="1">
      <c r="A1608" s="12" t="s">
        <v>444</v>
      </c>
      <c r="B1608" s="12" t="s">
        <v>441</v>
      </c>
      <c r="C1608" s="12" t="s">
        <v>430</v>
      </c>
      <c r="D1608" s="12" t="s">
        <v>557</v>
      </c>
      <c r="E1608" s="17">
        <v>5720.18</v>
      </c>
      <c r="F1608" s="12" t="s">
        <v>32</v>
      </c>
      <c r="G1608" s="12" t="s">
        <v>443</v>
      </c>
      <c r="H1608" s="12" t="s">
        <v>1977</v>
      </c>
      <c r="I1608" s="12" t="s">
        <v>443</v>
      </c>
      <c r="J1608" s="12" t="s">
        <v>1978</v>
      </c>
      <c r="K1608" s="12" t="s">
        <v>1979</v>
      </c>
    </row>
    <row r="1609" spans="1:11" ht="30" customHeight="1">
      <c r="A1609" s="12" t="s">
        <v>444</v>
      </c>
      <c r="B1609" s="12" t="s">
        <v>441</v>
      </c>
      <c r="C1609" s="12" t="s">
        <v>430</v>
      </c>
      <c r="D1609" s="12" t="s">
        <v>558</v>
      </c>
      <c r="E1609" s="17">
        <v>3662.76</v>
      </c>
      <c r="F1609" s="12" t="s">
        <v>32</v>
      </c>
      <c r="G1609" s="12" t="s">
        <v>443</v>
      </c>
      <c r="H1609" s="12" t="s">
        <v>1977</v>
      </c>
      <c r="I1609" s="12" t="s">
        <v>443</v>
      </c>
      <c r="J1609" s="12" t="s">
        <v>1978</v>
      </c>
      <c r="K1609" s="12" t="s">
        <v>1979</v>
      </c>
    </row>
    <row r="1610" spans="1:11" ht="30" customHeight="1">
      <c r="A1610" s="12" t="s">
        <v>444</v>
      </c>
      <c r="B1610" s="12" t="s">
        <v>441</v>
      </c>
      <c r="C1610" s="12" t="s">
        <v>430</v>
      </c>
      <c r="D1610" s="12" t="s">
        <v>559</v>
      </c>
      <c r="E1610" s="17">
        <v>252.42</v>
      </c>
      <c r="F1610" s="12" t="s">
        <v>32</v>
      </c>
      <c r="G1610" s="12" t="s">
        <v>443</v>
      </c>
      <c r="H1610" s="12" t="s">
        <v>1977</v>
      </c>
      <c r="I1610" s="12" t="s">
        <v>443</v>
      </c>
      <c r="J1610" s="12" t="s">
        <v>1978</v>
      </c>
      <c r="K1610" s="12" t="s">
        <v>1979</v>
      </c>
    </row>
    <row r="1611" spans="1:11" ht="30" customHeight="1">
      <c r="A1611" s="12" t="s">
        <v>444</v>
      </c>
      <c r="B1611" s="12" t="s">
        <v>441</v>
      </c>
      <c r="C1611" s="12" t="s">
        <v>430</v>
      </c>
      <c r="D1611" s="12" t="s">
        <v>561</v>
      </c>
      <c r="E1611" s="17">
        <v>200</v>
      </c>
      <c r="F1611" s="12" t="s">
        <v>32</v>
      </c>
      <c r="G1611" s="12" t="s">
        <v>443</v>
      </c>
      <c r="H1611" s="12" t="s">
        <v>1977</v>
      </c>
      <c r="I1611" s="12" t="s">
        <v>443</v>
      </c>
      <c r="J1611" s="12" t="s">
        <v>1978</v>
      </c>
      <c r="K1611" s="12" t="s">
        <v>1979</v>
      </c>
    </row>
    <row r="1612" spans="1:11" ht="30" customHeight="1">
      <c r="A1612" s="12" t="s">
        <v>444</v>
      </c>
      <c r="B1612" s="12" t="s">
        <v>441</v>
      </c>
      <c r="C1612" s="12" t="s">
        <v>430</v>
      </c>
      <c r="D1612" s="12" t="s">
        <v>779</v>
      </c>
      <c r="E1612" s="17">
        <v>254.69</v>
      </c>
      <c r="F1612" s="12" t="s">
        <v>32</v>
      </c>
      <c r="G1612" s="12" t="s">
        <v>443</v>
      </c>
      <c r="H1612" s="12" t="s">
        <v>1977</v>
      </c>
      <c r="I1612" s="12" t="s">
        <v>443</v>
      </c>
      <c r="J1612" s="12" t="s">
        <v>1978</v>
      </c>
      <c r="K1612" s="12" t="s">
        <v>1979</v>
      </c>
    </row>
    <row r="1613" spans="1:11" ht="30" customHeight="1">
      <c r="A1613" s="12" t="s">
        <v>444</v>
      </c>
      <c r="B1613" s="12" t="s">
        <v>441</v>
      </c>
      <c r="C1613" s="12" t="s">
        <v>430</v>
      </c>
      <c r="D1613" s="12" t="s">
        <v>562</v>
      </c>
      <c r="E1613" s="17">
        <v>82.39</v>
      </c>
      <c r="F1613" s="12" t="s">
        <v>32</v>
      </c>
      <c r="G1613" s="12" t="s">
        <v>443</v>
      </c>
      <c r="H1613" s="12" t="s">
        <v>1977</v>
      </c>
      <c r="I1613" s="12" t="s">
        <v>443</v>
      </c>
      <c r="J1613" s="12" t="s">
        <v>1978</v>
      </c>
      <c r="K1613" s="12" t="s">
        <v>1979</v>
      </c>
    </row>
    <row r="1614" spans="1:11" ht="30" customHeight="1">
      <c r="A1614" s="12" t="s">
        <v>444</v>
      </c>
      <c r="B1614" s="12" t="s">
        <v>441</v>
      </c>
      <c r="C1614" s="12" t="s">
        <v>430</v>
      </c>
      <c r="D1614" s="12" t="s">
        <v>564</v>
      </c>
      <c r="E1614" s="17">
        <v>253.89</v>
      </c>
      <c r="F1614" s="12" t="s">
        <v>32</v>
      </c>
      <c r="G1614" s="12" t="s">
        <v>443</v>
      </c>
      <c r="H1614" s="12" t="s">
        <v>1977</v>
      </c>
      <c r="I1614" s="12" t="s">
        <v>443</v>
      </c>
      <c r="J1614" s="12" t="s">
        <v>1978</v>
      </c>
      <c r="K1614" s="12" t="s">
        <v>1979</v>
      </c>
    </row>
    <row r="1615" spans="1:11" ht="30" customHeight="1">
      <c r="A1615" s="12" t="s">
        <v>449</v>
      </c>
      <c r="B1615" s="12" t="s">
        <v>446</v>
      </c>
      <c r="C1615" s="12" t="s">
        <v>430</v>
      </c>
      <c r="D1615" s="12" t="s">
        <v>557</v>
      </c>
      <c r="E1615" s="17">
        <v>8887.02</v>
      </c>
      <c r="F1615" s="12" t="s">
        <v>32</v>
      </c>
      <c r="G1615" s="12" t="s">
        <v>448</v>
      </c>
      <c r="H1615" s="12" t="s">
        <v>1980</v>
      </c>
      <c r="I1615" s="12" t="s">
        <v>448</v>
      </c>
      <c r="J1615" s="12" t="s">
        <v>1981</v>
      </c>
      <c r="K1615" s="12" t="s">
        <v>1982</v>
      </c>
    </row>
    <row r="1616" spans="1:11" ht="30" customHeight="1">
      <c r="A1616" s="12" t="s">
        <v>449</v>
      </c>
      <c r="B1616" s="12" t="s">
        <v>446</v>
      </c>
      <c r="C1616" s="12" t="s">
        <v>430</v>
      </c>
      <c r="D1616" s="12" t="s">
        <v>558</v>
      </c>
      <c r="E1616" s="17">
        <v>14475.87</v>
      </c>
      <c r="F1616" s="12" t="s">
        <v>32</v>
      </c>
      <c r="G1616" s="12" t="s">
        <v>448</v>
      </c>
      <c r="H1616" s="12" t="s">
        <v>1980</v>
      </c>
      <c r="I1616" s="12" t="s">
        <v>448</v>
      </c>
      <c r="J1616" s="12" t="s">
        <v>1981</v>
      </c>
      <c r="K1616" s="12" t="s">
        <v>1982</v>
      </c>
    </row>
    <row r="1617" spans="1:11" ht="30" customHeight="1">
      <c r="A1617" s="12" t="s">
        <v>449</v>
      </c>
      <c r="B1617" s="12" t="s">
        <v>446</v>
      </c>
      <c r="C1617" s="12" t="s">
        <v>430</v>
      </c>
      <c r="D1617" s="12" t="s">
        <v>559</v>
      </c>
      <c r="E1617" s="17">
        <v>1291.84</v>
      </c>
      <c r="F1617" s="12" t="s">
        <v>32</v>
      </c>
      <c r="G1617" s="12" t="s">
        <v>448</v>
      </c>
      <c r="H1617" s="12" t="s">
        <v>1980</v>
      </c>
      <c r="I1617" s="12" t="s">
        <v>448</v>
      </c>
      <c r="J1617" s="12" t="s">
        <v>1981</v>
      </c>
      <c r="K1617" s="12" t="s">
        <v>1982</v>
      </c>
    </row>
    <row r="1618" spans="1:11" ht="30" customHeight="1">
      <c r="A1618" s="12" t="s">
        <v>449</v>
      </c>
      <c r="B1618" s="12" t="s">
        <v>446</v>
      </c>
      <c r="C1618" s="12" t="s">
        <v>430</v>
      </c>
      <c r="D1618" s="12" t="s">
        <v>561</v>
      </c>
      <c r="E1618" s="17">
        <v>24.25</v>
      </c>
      <c r="F1618" s="12" t="s">
        <v>32</v>
      </c>
      <c r="G1618" s="12" t="s">
        <v>448</v>
      </c>
      <c r="H1618" s="12" t="s">
        <v>1980</v>
      </c>
      <c r="I1618" s="12" t="s">
        <v>448</v>
      </c>
      <c r="J1618" s="12" t="s">
        <v>1981</v>
      </c>
      <c r="K1618" s="12" t="s">
        <v>1982</v>
      </c>
    </row>
    <row r="1619" spans="1:11" ht="30" customHeight="1">
      <c r="A1619" s="12" t="s">
        <v>449</v>
      </c>
      <c r="B1619" s="12" t="s">
        <v>446</v>
      </c>
      <c r="C1619" s="12" t="s">
        <v>430</v>
      </c>
      <c r="D1619" s="12" t="s">
        <v>779</v>
      </c>
      <c r="E1619" s="17">
        <v>26.23</v>
      </c>
      <c r="F1619" s="12" t="s">
        <v>32</v>
      </c>
      <c r="G1619" s="12" t="s">
        <v>448</v>
      </c>
      <c r="H1619" s="12" t="s">
        <v>1980</v>
      </c>
      <c r="I1619" s="12" t="s">
        <v>448</v>
      </c>
      <c r="J1619" s="12" t="s">
        <v>1981</v>
      </c>
      <c r="K1619" s="12" t="s">
        <v>1982</v>
      </c>
    </row>
    <row r="1620" spans="1:11" ht="30" customHeight="1">
      <c r="A1620" s="12" t="s">
        <v>449</v>
      </c>
      <c r="B1620" s="12" t="s">
        <v>446</v>
      </c>
      <c r="C1620" s="12" t="s">
        <v>430</v>
      </c>
      <c r="D1620" s="12" t="s">
        <v>562</v>
      </c>
      <c r="E1620" s="17">
        <v>72.90000000000001</v>
      </c>
      <c r="F1620" s="12" t="s">
        <v>32</v>
      </c>
      <c r="G1620" s="12" t="s">
        <v>448</v>
      </c>
      <c r="H1620" s="12" t="s">
        <v>1980</v>
      </c>
      <c r="I1620" s="12" t="s">
        <v>448</v>
      </c>
      <c r="J1620" s="12" t="s">
        <v>1981</v>
      </c>
      <c r="K1620" s="12" t="s">
        <v>1982</v>
      </c>
    </row>
    <row r="1621" spans="1:11" ht="30" customHeight="1">
      <c r="A1621" s="12" t="s">
        <v>449</v>
      </c>
      <c r="B1621" s="12" t="s">
        <v>446</v>
      </c>
      <c r="C1621" s="12" t="s">
        <v>430</v>
      </c>
      <c r="D1621" s="12" t="s">
        <v>564</v>
      </c>
      <c r="E1621" s="17">
        <v>916.34</v>
      </c>
      <c r="F1621" s="12" t="s">
        <v>32</v>
      </c>
      <c r="G1621" s="12" t="s">
        <v>448</v>
      </c>
      <c r="H1621" s="12" t="s">
        <v>1980</v>
      </c>
      <c r="I1621" s="12" t="s">
        <v>448</v>
      </c>
      <c r="J1621" s="12" t="s">
        <v>1981</v>
      </c>
      <c r="K1621" s="12" t="s">
        <v>1982</v>
      </c>
    </row>
    <row r="1622" spans="1:11" ht="30" customHeight="1">
      <c r="A1622" s="12" t="s">
        <v>454</v>
      </c>
      <c r="B1622" s="12" t="s">
        <v>451</v>
      </c>
      <c r="C1622" s="12" t="s">
        <v>430</v>
      </c>
      <c r="D1622" s="12" t="s">
        <v>557</v>
      </c>
      <c r="E1622" s="17">
        <v>8931.901</v>
      </c>
      <c r="F1622" s="12" t="s">
        <v>32</v>
      </c>
      <c r="G1622" s="12" t="s">
        <v>453</v>
      </c>
      <c r="H1622" s="12" t="s">
        <v>1983</v>
      </c>
      <c r="I1622" s="12" t="s">
        <v>453</v>
      </c>
      <c r="J1622" s="12" t="s">
        <v>1984</v>
      </c>
      <c r="K1622" s="12" t="s">
        <v>1985</v>
      </c>
    </row>
    <row r="1623" spans="1:11" ht="30" customHeight="1">
      <c r="A1623" s="12" t="s">
        <v>454</v>
      </c>
      <c r="B1623" s="12" t="s">
        <v>451</v>
      </c>
      <c r="C1623" s="12" t="s">
        <v>430</v>
      </c>
      <c r="D1623" s="12" t="s">
        <v>558</v>
      </c>
      <c r="E1623" s="17">
        <v>12063.135</v>
      </c>
      <c r="F1623" s="12" t="s">
        <v>32</v>
      </c>
      <c r="G1623" s="12" t="s">
        <v>453</v>
      </c>
      <c r="H1623" s="12" t="s">
        <v>1983</v>
      </c>
      <c r="I1623" s="12" t="s">
        <v>453</v>
      </c>
      <c r="J1623" s="12" t="s">
        <v>1984</v>
      </c>
      <c r="K1623" s="12" t="s">
        <v>1985</v>
      </c>
    </row>
    <row r="1624" spans="1:11" ht="30" customHeight="1">
      <c r="A1624" s="12" t="s">
        <v>454</v>
      </c>
      <c r="B1624" s="12" t="s">
        <v>451</v>
      </c>
      <c r="C1624" s="12" t="s">
        <v>430</v>
      </c>
      <c r="D1624" s="12" t="s">
        <v>559</v>
      </c>
      <c r="E1624" s="17">
        <v>162.11</v>
      </c>
      <c r="F1624" s="12" t="s">
        <v>32</v>
      </c>
      <c r="G1624" s="12" t="s">
        <v>453</v>
      </c>
      <c r="H1624" s="12" t="s">
        <v>1983</v>
      </c>
      <c r="I1624" s="12" t="s">
        <v>453</v>
      </c>
      <c r="J1624" s="12" t="s">
        <v>1984</v>
      </c>
      <c r="K1624" s="12" t="s">
        <v>1985</v>
      </c>
    </row>
    <row r="1625" spans="1:11" ht="30" customHeight="1">
      <c r="A1625" s="12" t="s">
        <v>454</v>
      </c>
      <c r="B1625" s="12" t="s">
        <v>451</v>
      </c>
      <c r="C1625" s="12" t="s">
        <v>430</v>
      </c>
      <c r="D1625" s="12" t="s">
        <v>561</v>
      </c>
      <c r="E1625" s="17">
        <v>39.669</v>
      </c>
      <c r="F1625" s="12" t="s">
        <v>32</v>
      </c>
      <c r="G1625" s="12" t="s">
        <v>453</v>
      </c>
      <c r="H1625" s="12" t="s">
        <v>1983</v>
      </c>
      <c r="I1625" s="12" t="s">
        <v>453</v>
      </c>
      <c r="J1625" s="12" t="s">
        <v>1984</v>
      </c>
      <c r="K1625" s="12" t="s">
        <v>1985</v>
      </c>
    </row>
    <row r="1626" spans="1:11" ht="30" customHeight="1">
      <c r="A1626" s="12" t="s">
        <v>454</v>
      </c>
      <c r="B1626" s="12" t="s">
        <v>451</v>
      </c>
      <c r="C1626" s="12" t="s">
        <v>430</v>
      </c>
      <c r="D1626" s="12" t="s">
        <v>779</v>
      </c>
      <c r="E1626" s="17">
        <v>125.598</v>
      </c>
      <c r="F1626" s="12" t="s">
        <v>32</v>
      </c>
      <c r="G1626" s="12" t="s">
        <v>453</v>
      </c>
      <c r="H1626" s="12" t="s">
        <v>1983</v>
      </c>
      <c r="I1626" s="12" t="s">
        <v>453</v>
      </c>
      <c r="J1626" s="12" t="s">
        <v>1984</v>
      </c>
      <c r="K1626" s="12" t="s">
        <v>1985</v>
      </c>
    </row>
    <row r="1627" spans="1:11" ht="30" customHeight="1">
      <c r="A1627" s="12" t="s">
        <v>454</v>
      </c>
      <c r="B1627" s="12" t="s">
        <v>451</v>
      </c>
      <c r="C1627" s="12" t="s">
        <v>430</v>
      </c>
      <c r="D1627" s="12" t="s">
        <v>562</v>
      </c>
      <c r="E1627" s="17">
        <v>125.787</v>
      </c>
      <c r="F1627" s="12" t="s">
        <v>32</v>
      </c>
      <c r="G1627" s="12" t="s">
        <v>453</v>
      </c>
      <c r="H1627" s="12" t="s">
        <v>1983</v>
      </c>
      <c r="I1627" s="12" t="s">
        <v>453</v>
      </c>
      <c r="J1627" s="12" t="s">
        <v>1984</v>
      </c>
      <c r="K1627" s="12" t="s">
        <v>1985</v>
      </c>
    </row>
    <row r="1628" spans="1:11" ht="30" customHeight="1">
      <c r="A1628" s="12" t="s">
        <v>454</v>
      </c>
      <c r="B1628" s="12" t="s">
        <v>451</v>
      </c>
      <c r="C1628" s="12" t="s">
        <v>430</v>
      </c>
      <c r="D1628" s="12" t="s">
        <v>564</v>
      </c>
      <c r="E1628" s="17">
        <v>483.181</v>
      </c>
      <c r="F1628" s="12" t="s">
        <v>32</v>
      </c>
      <c r="G1628" s="12" t="s">
        <v>453</v>
      </c>
      <c r="H1628" s="12" t="s">
        <v>1983</v>
      </c>
      <c r="I1628" s="12" t="s">
        <v>453</v>
      </c>
      <c r="J1628" s="12" t="s">
        <v>1984</v>
      </c>
      <c r="K1628" s="12" t="s">
        <v>1985</v>
      </c>
    </row>
    <row r="1629" spans="1:11" ht="30" customHeight="1">
      <c r="A1629" s="12" t="s">
        <v>459</v>
      </c>
      <c r="B1629" s="12" t="s">
        <v>456</v>
      </c>
      <c r="C1629" s="12" t="s">
        <v>430</v>
      </c>
      <c r="D1629" s="12" t="s">
        <v>557</v>
      </c>
      <c r="E1629" s="17">
        <v>1680.5553</v>
      </c>
      <c r="F1629" s="12" t="s">
        <v>32</v>
      </c>
      <c r="G1629" s="12" t="s">
        <v>458</v>
      </c>
      <c r="H1629" s="12" t="s">
        <v>1986</v>
      </c>
      <c r="I1629" s="12" t="s">
        <v>458</v>
      </c>
      <c r="J1629" s="12" t="s">
        <v>1987</v>
      </c>
      <c r="K1629" s="12" t="s">
        <v>1988</v>
      </c>
    </row>
    <row r="1630" spans="1:11" ht="30" customHeight="1">
      <c r="A1630" s="12" t="s">
        <v>459</v>
      </c>
      <c r="B1630" s="12" t="s">
        <v>456</v>
      </c>
      <c r="C1630" s="12" t="s">
        <v>430</v>
      </c>
      <c r="D1630" s="12" t="s">
        <v>558</v>
      </c>
      <c r="E1630" s="17">
        <v>3456.9261</v>
      </c>
      <c r="F1630" s="12" t="s">
        <v>32</v>
      </c>
      <c r="G1630" s="12" t="s">
        <v>458</v>
      </c>
      <c r="H1630" s="12" t="s">
        <v>1986</v>
      </c>
      <c r="I1630" s="12" t="s">
        <v>458</v>
      </c>
      <c r="J1630" s="12" t="s">
        <v>1987</v>
      </c>
      <c r="K1630" s="12" t="s">
        <v>1988</v>
      </c>
    </row>
    <row r="1631" spans="1:11" ht="30" customHeight="1">
      <c r="A1631" s="12" t="s">
        <v>459</v>
      </c>
      <c r="B1631" s="12" t="s">
        <v>456</v>
      </c>
      <c r="C1631" s="12" t="s">
        <v>430</v>
      </c>
      <c r="D1631" s="12" t="s">
        <v>559</v>
      </c>
      <c r="E1631" s="17">
        <v>373.756</v>
      </c>
      <c r="F1631" s="12" t="s">
        <v>32</v>
      </c>
      <c r="G1631" s="12" t="s">
        <v>458</v>
      </c>
      <c r="H1631" s="12" t="s">
        <v>1986</v>
      </c>
      <c r="I1631" s="12" t="s">
        <v>458</v>
      </c>
      <c r="J1631" s="12" t="s">
        <v>1987</v>
      </c>
      <c r="K1631" s="12" t="s">
        <v>1988</v>
      </c>
    </row>
    <row r="1632" spans="1:11" ht="30" customHeight="1">
      <c r="A1632" s="12" t="s">
        <v>459</v>
      </c>
      <c r="B1632" s="12" t="s">
        <v>456</v>
      </c>
      <c r="C1632" s="12" t="s">
        <v>430</v>
      </c>
      <c r="D1632" s="12" t="s">
        <v>561</v>
      </c>
      <c r="E1632" s="17">
        <v>370.5991</v>
      </c>
      <c r="F1632" s="12" t="s">
        <v>32</v>
      </c>
      <c r="G1632" s="12" t="s">
        <v>458</v>
      </c>
      <c r="H1632" s="12" t="s">
        <v>1986</v>
      </c>
      <c r="I1632" s="12" t="s">
        <v>458</v>
      </c>
      <c r="J1632" s="12" t="s">
        <v>1987</v>
      </c>
      <c r="K1632" s="12" t="s">
        <v>1988</v>
      </c>
    </row>
    <row r="1633" spans="1:11" ht="30" customHeight="1">
      <c r="A1633" s="12" t="s">
        <v>459</v>
      </c>
      <c r="B1633" s="12" t="s">
        <v>456</v>
      </c>
      <c r="C1633" s="12" t="s">
        <v>430</v>
      </c>
      <c r="D1633" s="12" t="s">
        <v>779</v>
      </c>
      <c r="E1633" s="17">
        <v>327.84</v>
      </c>
      <c r="F1633" s="12" t="s">
        <v>32</v>
      </c>
      <c r="G1633" s="12" t="s">
        <v>458</v>
      </c>
      <c r="H1633" s="12" t="s">
        <v>1986</v>
      </c>
      <c r="I1633" s="12" t="s">
        <v>458</v>
      </c>
      <c r="J1633" s="12" t="s">
        <v>1987</v>
      </c>
      <c r="K1633" s="12" t="s">
        <v>1988</v>
      </c>
    </row>
    <row r="1634" spans="1:11" ht="30" customHeight="1">
      <c r="A1634" s="12" t="s">
        <v>459</v>
      </c>
      <c r="B1634" s="12" t="s">
        <v>456</v>
      </c>
      <c r="C1634" s="12" t="s">
        <v>430</v>
      </c>
      <c r="D1634" s="12" t="s">
        <v>562</v>
      </c>
      <c r="E1634" s="17">
        <v>47.7698</v>
      </c>
      <c r="F1634" s="12" t="s">
        <v>32</v>
      </c>
      <c r="G1634" s="12" t="s">
        <v>458</v>
      </c>
      <c r="H1634" s="12" t="s">
        <v>1986</v>
      </c>
      <c r="I1634" s="12" t="s">
        <v>458</v>
      </c>
      <c r="J1634" s="12" t="s">
        <v>1987</v>
      </c>
      <c r="K1634" s="12" t="s">
        <v>1988</v>
      </c>
    </row>
    <row r="1635" spans="1:11" ht="30" customHeight="1">
      <c r="A1635" s="12" t="s">
        <v>459</v>
      </c>
      <c r="B1635" s="12" t="s">
        <v>456</v>
      </c>
      <c r="C1635" s="12" t="s">
        <v>430</v>
      </c>
      <c r="D1635" s="12" t="s">
        <v>564</v>
      </c>
      <c r="E1635" s="17">
        <v>16.092</v>
      </c>
      <c r="F1635" s="12" t="s">
        <v>32</v>
      </c>
      <c r="G1635" s="12" t="s">
        <v>458</v>
      </c>
      <c r="H1635" s="12" t="s">
        <v>1986</v>
      </c>
      <c r="I1635" s="12" t="s">
        <v>458</v>
      </c>
      <c r="J1635" s="12" t="s">
        <v>1987</v>
      </c>
      <c r="K1635" s="12" t="s">
        <v>1988</v>
      </c>
    </row>
    <row r="1636" spans="1:11" ht="30" customHeight="1">
      <c r="A1636" s="12" t="s">
        <v>480</v>
      </c>
      <c r="B1636" s="12" t="s">
        <v>477</v>
      </c>
      <c r="C1636" s="12" t="s">
        <v>430</v>
      </c>
      <c r="D1636" s="12" t="s">
        <v>557</v>
      </c>
      <c r="E1636" s="17">
        <v>3160.948</v>
      </c>
      <c r="F1636" s="12" t="s">
        <v>32</v>
      </c>
      <c r="G1636" s="12" t="s">
        <v>479</v>
      </c>
      <c r="H1636" s="12" t="s">
        <v>1989</v>
      </c>
      <c r="I1636" s="12" t="s">
        <v>479</v>
      </c>
      <c r="J1636" s="12" t="s">
        <v>1990</v>
      </c>
      <c r="K1636" s="12" t="s">
        <v>1991</v>
      </c>
    </row>
    <row r="1637" spans="1:11" ht="30" customHeight="1">
      <c r="A1637" s="12" t="s">
        <v>480</v>
      </c>
      <c r="B1637" s="12" t="s">
        <v>477</v>
      </c>
      <c r="C1637" s="12" t="s">
        <v>430</v>
      </c>
      <c r="D1637" s="12" t="s">
        <v>558</v>
      </c>
      <c r="E1637" s="17">
        <v>2585.68</v>
      </c>
      <c r="F1637" s="12" t="s">
        <v>32</v>
      </c>
      <c r="G1637" s="12" t="s">
        <v>479</v>
      </c>
      <c r="H1637" s="12" t="s">
        <v>1989</v>
      </c>
      <c r="I1637" s="12" t="s">
        <v>479</v>
      </c>
      <c r="J1637" s="12" t="s">
        <v>1990</v>
      </c>
      <c r="K1637" s="12" t="s">
        <v>1991</v>
      </c>
    </row>
    <row r="1638" spans="1:11" ht="30" customHeight="1">
      <c r="A1638" s="12" t="s">
        <v>480</v>
      </c>
      <c r="B1638" s="12" t="s">
        <v>477</v>
      </c>
      <c r="C1638" s="12" t="s">
        <v>430</v>
      </c>
      <c r="D1638" s="12" t="s">
        <v>559</v>
      </c>
      <c r="E1638" s="17">
        <v>182.9329</v>
      </c>
      <c r="F1638" s="12" t="s">
        <v>32</v>
      </c>
      <c r="G1638" s="12" t="s">
        <v>479</v>
      </c>
      <c r="H1638" s="12" t="s">
        <v>1989</v>
      </c>
      <c r="I1638" s="12" t="s">
        <v>479</v>
      </c>
      <c r="J1638" s="12" t="s">
        <v>1990</v>
      </c>
      <c r="K1638" s="12" t="s">
        <v>1991</v>
      </c>
    </row>
    <row r="1639" spans="1:11" ht="30" customHeight="1">
      <c r="A1639" s="12" t="s">
        <v>480</v>
      </c>
      <c r="B1639" s="12" t="s">
        <v>477</v>
      </c>
      <c r="C1639" s="12" t="s">
        <v>430</v>
      </c>
      <c r="D1639" s="12" t="s">
        <v>561</v>
      </c>
      <c r="E1639" s="17">
        <v>447.1176</v>
      </c>
      <c r="F1639" s="12" t="s">
        <v>32</v>
      </c>
      <c r="G1639" s="12" t="s">
        <v>479</v>
      </c>
      <c r="H1639" s="12" t="s">
        <v>1989</v>
      </c>
      <c r="I1639" s="12" t="s">
        <v>479</v>
      </c>
      <c r="J1639" s="12" t="s">
        <v>1990</v>
      </c>
      <c r="K1639" s="12" t="s">
        <v>1991</v>
      </c>
    </row>
    <row r="1640" spans="1:11" ht="30" customHeight="1">
      <c r="A1640" s="12" t="s">
        <v>480</v>
      </c>
      <c r="B1640" s="12" t="s">
        <v>477</v>
      </c>
      <c r="C1640" s="12" t="s">
        <v>430</v>
      </c>
      <c r="D1640" s="12" t="s">
        <v>779</v>
      </c>
      <c r="E1640" s="17">
        <v>279.279</v>
      </c>
      <c r="F1640" s="12" t="s">
        <v>32</v>
      </c>
      <c r="G1640" s="12" t="s">
        <v>479</v>
      </c>
      <c r="H1640" s="12" t="s">
        <v>1989</v>
      </c>
      <c r="I1640" s="12" t="s">
        <v>479</v>
      </c>
      <c r="J1640" s="12" t="s">
        <v>1990</v>
      </c>
      <c r="K1640" s="12" t="s">
        <v>1991</v>
      </c>
    </row>
    <row r="1641" spans="1:11" ht="30" customHeight="1">
      <c r="A1641" s="12" t="s">
        <v>480</v>
      </c>
      <c r="B1641" s="12" t="s">
        <v>477</v>
      </c>
      <c r="C1641" s="12" t="s">
        <v>430</v>
      </c>
      <c r="D1641" s="12" t="s">
        <v>562</v>
      </c>
      <c r="E1641" s="17">
        <v>94.83750000000001</v>
      </c>
      <c r="F1641" s="12" t="s">
        <v>32</v>
      </c>
      <c r="G1641" s="12" t="s">
        <v>479</v>
      </c>
      <c r="H1641" s="12" t="s">
        <v>1989</v>
      </c>
      <c r="I1641" s="12" t="s">
        <v>479</v>
      </c>
      <c r="J1641" s="12" t="s">
        <v>1990</v>
      </c>
      <c r="K1641" s="12" t="s">
        <v>1991</v>
      </c>
    </row>
    <row r="1642" spans="1:11" ht="30" customHeight="1">
      <c r="A1642" s="12" t="s">
        <v>480</v>
      </c>
      <c r="B1642" s="12" t="s">
        <v>477</v>
      </c>
      <c r="C1642" s="12" t="s">
        <v>430</v>
      </c>
      <c r="D1642" s="12" t="s">
        <v>564</v>
      </c>
      <c r="E1642" s="17">
        <v>448.857</v>
      </c>
      <c r="F1642" s="12" t="s">
        <v>32</v>
      </c>
      <c r="G1642" s="12" t="s">
        <v>479</v>
      </c>
      <c r="H1642" s="12" t="s">
        <v>1989</v>
      </c>
      <c r="I1642" s="12" t="s">
        <v>479</v>
      </c>
      <c r="J1642" s="12" t="s">
        <v>1990</v>
      </c>
      <c r="K1642" s="12" t="s">
        <v>1991</v>
      </c>
    </row>
    <row r="1643" spans="1:11" ht="30" customHeight="1">
      <c r="A1643" s="12" t="s">
        <v>475</v>
      </c>
      <c r="B1643" s="12" t="s">
        <v>472</v>
      </c>
      <c r="C1643" s="12" t="s">
        <v>430</v>
      </c>
      <c r="D1643" s="12" t="s">
        <v>557</v>
      </c>
      <c r="E1643" s="17">
        <v>4491.776</v>
      </c>
      <c r="F1643" s="12" t="s">
        <v>32</v>
      </c>
      <c r="G1643" s="12" t="s">
        <v>474</v>
      </c>
      <c r="H1643" s="12" t="s">
        <v>1992</v>
      </c>
      <c r="I1643" s="12" t="s">
        <v>474</v>
      </c>
      <c r="J1643" s="12" t="s">
        <v>1993</v>
      </c>
      <c r="K1643" s="12" t="s">
        <v>1994</v>
      </c>
    </row>
    <row r="1644" spans="1:11" ht="30" customHeight="1">
      <c r="A1644" s="12" t="s">
        <v>475</v>
      </c>
      <c r="B1644" s="12" t="s">
        <v>472</v>
      </c>
      <c r="C1644" s="12" t="s">
        <v>430</v>
      </c>
      <c r="D1644" s="12" t="s">
        <v>558</v>
      </c>
      <c r="E1644" s="17">
        <v>2779.649</v>
      </c>
      <c r="F1644" s="12" t="s">
        <v>32</v>
      </c>
      <c r="G1644" s="12" t="s">
        <v>474</v>
      </c>
      <c r="H1644" s="12" t="s">
        <v>1992</v>
      </c>
      <c r="I1644" s="12" t="s">
        <v>474</v>
      </c>
      <c r="J1644" s="12" t="s">
        <v>1993</v>
      </c>
      <c r="K1644" s="12" t="s">
        <v>1994</v>
      </c>
    </row>
    <row r="1645" spans="1:11" ht="30" customHeight="1">
      <c r="A1645" s="12" t="s">
        <v>475</v>
      </c>
      <c r="B1645" s="12" t="s">
        <v>472</v>
      </c>
      <c r="C1645" s="12" t="s">
        <v>430</v>
      </c>
      <c r="D1645" s="12" t="s">
        <v>559</v>
      </c>
      <c r="E1645" s="17">
        <v>416.011</v>
      </c>
      <c r="F1645" s="12" t="s">
        <v>32</v>
      </c>
      <c r="G1645" s="12" t="s">
        <v>474</v>
      </c>
      <c r="H1645" s="12" t="s">
        <v>1992</v>
      </c>
      <c r="I1645" s="12" t="s">
        <v>474</v>
      </c>
      <c r="J1645" s="12" t="s">
        <v>1993</v>
      </c>
      <c r="K1645" s="12" t="s">
        <v>1994</v>
      </c>
    </row>
    <row r="1646" spans="1:11" ht="30" customHeight="1">
      <c r="A1646" s="12" t="s">
        <v>475</v>
      </c>
      <c r="B1646" s="12" t="s">
        <v>472</v>
      </c>
      <c r="C1646" s="12" t="s">
        <v>430</v>
      </c>
      <c r="D1646" s="12" t="s">
        <v>561</v>
      </c>
      <c r="E1646" s="17">
        <v>155.249</v>
      </c>
      <c r="F1646" s="12" t="s">
        <v>32</v>
      </c>
      <c r="G1646" s="12" t="s">
        <v>474</v>
      </c>
      <c r="H1646" s="12" t="s">
        <v>1992</v>
      </c>
      <c r="I1646" s="12" t="s">
        <v>474</v>
      </c>
      <c r="J1646" s="12" t="s">
        <v>1993</v>
      </c>
      <c r="K1646" s="12" t="s">
        <v>1994</v>
      </c>
    </row>
    <row r="1647" spans="1:11" ht="30" customHeight="1">
      <c r="A1647" s="12" t="s">
        <v>475</v>
      </c>
      <c r="B1647" s="12" t="s">
        <v>472</v>
      </c>
      <c r="C1647" s="12" t="s">
        <v>430</v>
      </c>
      <c r="D1647" s="12" t="s">
        <v>779</v>
      </c>
      <c r="E1647" s="17">
        <v>150.335</v>
      </c>
      <c r="F1647" s="12" t="s">
        <v>32</v>
      </c>
      <c r="G1647" s="12" t="s">
        <v>474</v>
      </c>
      <c r="H1647" s="12" t="s">
        <v>1992</v>
      </c>
      <c r="I1647" s="12" t="s">
        <v>474</v>
      </c>
      <c r="J1647" s="12" t="s">
        <v>1993</v>
      </c>
      <c r="K1647" s="12" t="s">
        <v>1994</v>
      </c>
    </row>
    <row r="1648" spans="1:11" ht="30" customHeight="1">
      <c r="A1648" s="12" t="s">
        <v>475</v>
      </c>
      <c r="B1648" s="12" t="s">
        <v>472</v>
      </c>
      <c r="C1648" s="12" t="s">
        <v>430</v>
      </c>
      <c r="D1648" s="12" t="s">
        <v>562</v>
      </c>
      <c r="E1648" s="17">
        <v>20.156</v>
      </c>
      <c r="F1648" s="12" t="s">
        <v>32</v>
      </c>
      <c r="G1648" s="12" t="s">
        <v>474</v>
      </c>
      <c r="H1648" s="12" t="s">
        <v>1992</v>
      </c>
      <c r="I1648" s="12" t="s">
        <v>474</v>
      </c>
      <c r="J1648" s="12" t="s">
        <v>1993</v>
      </c>
      <c r="K1648" s="12" t="s">
        <v>1994</v>
      </c>
    </row>
    <row r="1649" spans="1:11" ht="30" customHeight="1">
      <c r="A1649" s="12" t="s">
        <v>475</v>
      </c>
      <c r="B1649" s="12" t="s">
        <v>472</v>
      </c>
      <c r="C1649" s="12" t="s">
        <v>430</v>
      </c>
      <c r="D1649" s="12" t="s">
        <v>564</v>
      </c>
      <c r="E1649" s="17">
        <v>354.031</v>
      </c>
      <c r="F1649" s="12" t="s">
        <v>32</v>
      </c>
      <c r="G1649" s="12" t="s">
        <v>474</v>
      </c>
      <c r="H1649" s="12" t="s">
        <v>1992</v>
      </c>
      <c r="I1649" s="12" t="s">
        <v>474</v>
      </c>
      <c r="J1649" s="12" t="s">
        <v>1993</v>
      </c>
      <c r="K1649" s="12" t="s">
        <v>1994</v>
      </c>
    </row>
    <row r="1650" spans="1:11" ht="30" customHeight="1">
      <c r="A1650" s="12" t="s">
        <v>434</v>
      </c>
      <c r="B1650" s="12" t="s">
        <v>429</v>
      </c>
      <c r="C1650" s="12" t="s">
        <v>430</v>
      </c>
      <c r="D1650" s="12" t="s">
        <v>557</v>
      </c>
      <c r="E1650" s="17">
        <v>30475.33</v>
      </c>
      <c r="F1650" s="12" t="s">
        <v>32</v>
      </c>
      <c r="G1650" s="12" t="s">
        <v>433</v>
      </c>
      <c r="H1650" s="12" t="s">
        <v>1995</v>
      </c>
      <c r="I1650" s="12" t="s">
        <v>433</v>
      </c>
      <c r="J1650" s="12" t="s">
        <v>1996</v>
      </c>
      <c r="K1650" s="12" t="s">
        <v>1997</v>
      </c>
    </row>
    <row r="1651" spans="1:11" ht="30" customHeight="1">
      <c r="A1651" s="12" t="s">
        <v>434</v>
      </c>
      <c r="B1651" s="12" t="s">
        <v>429</v>
      </c>
      <c r="C1651" s="12" t="s">
        <v>430</v>
      </c>
      <c r="D1651" s="12" t="s">
        <v>558</v>
      </c>
      <c r="E1651" s="17">
        <v>135332.23</v>
      </c>
      <c r="F1651" s="12" t="s">
        <v>32</v>
      </c>
      <c r="G1651" s="12" t="s">
        <v>433</v>
      </c>
      <c r="H1651" s="12" t="s">
        <v>1995</v>
      </c>
      <c r="I1651" s="12" t="s">
        <v>433</v>
      </c>
      <c r="J1651" s="12" t="s">
        <v>1996</v>
      </c>
      <c r="K1651" s="12" t="s">
        <v>1997</v>
      </c>
    </row>
    <row r="1652" spans="1:11" ht="30" customHeight="1">
      <c r="A1652" s="12" t="s">
        <v>434</v>
      </c>
      <c r="B1652" s="12" t="s">
        <v>429</v>
      </c>
      <c r="C1652" s="12" t="s">
        <v>430</v>
      </c>
      <c r="D1652" s="12" t="s">
        <v>559</v>
      </c>
      <c r="E1652" s="17">
        <v>11061.26</v>
      </c>
      <c r="F1652" s="12" t="s">
        <v>32</v>
      </c>
      <c r="G1652" s="12" t="s">
        <v>433</v>
      </c>
      <c r="H1652" s="12" t="s">
        <v>1995</v>
      </c>
      <c r="I1652" s="12" t="s">
        <v>433</v>
      </c>
      <c r="J1652" s="12" t="s">
        <v>1996</v>
      </c>
      <c r="K1652" s="12" t="s">
        <v>1997</v>
      </c>
    </row>
    <row r="1653" spans="1:11" ht="30" customHeight="1">
      <c r="A1653" s="12" t="s">
        <v>434</v>
      </c>
      <c r="B1653" s="12" t="s">
        <v>429</v>
      </c>
      <c r="C1653" s="12" t="s">
        <v>430</v>
      </c>
      <c r="D1653" s="12" t="s">
        <v>561</v>
      </c>
      <c r="E1653" s="17">
        <v>45810.03</v>
      </c>
      <c r="F1653" s="12" t="s">
        <v>32</v>
      </c>
      <c r="G1653" s="12" t="s">
        <v>433</v>
      </c>
      <c r="H1653" s="12" t="s">
        <v>1995</v>
      </c>
      <c r="I1653" s="12" t="s">
        <v>433</v>
      </c>
      <c r="J1653" s="12" t="s">
        <v>1996</v>
      </c>
      <c r="K1653" s="12" t="s">
        <v>1997</v>
      </c>
    </row>
    <row r="1654" spans="1:11" ht="30" customHeight="1">
      <c r="A1654" s="12" t="s">
        <v>434</v>
      </c>
      <c r="B1654" s="12" t="s">
        <v>429</v>
      </c>
      <c r="C1654" s="12" t="s">
        <v>430</v>
      </c>
      <c r="D1654" s="12" t="s">
        <v>779</v>
      </c>
      <c r="E1654" s="17">
        <v>46279.23</v>
      </c>
      <c r="F1654" s="12" t="s">
        <v>32</v>
      </c>
      <c r="G1654" s="12" t="s">
        <v>433</v>
      </c>
      <c r="H1654" s="12" t="s">
        <v>1995</v>
      </c>
      <c r="I1654" s="12" t="s">
        <v>433</v>
      </c>
      <c r="J1654" s="12" t="s">
        <v>1996</v>
      </c>
      <c r="K1654" s="12" t="s">
        <v>1997</v>
      </c>
    </row>
    <row r="1655" spans="1:11" ht="30" customHeight="1">
      <c r="A1655" s="12" t="s">
        <v>434</v>
      </c>
      <c r="B1655" s="12" t="s">
        <v>429</v>
      </c>
      <c r="C1655" s="12" t="s">
        <v>430</v>
      </c>
      <c r="D1655" s="12" t="s">
        <v>562</v>
      </c>
      <c r="E1655" s="17">
        <v>2812.67</v>
      </c>
      <c r="F1655" s="12" t="s">
        <v>32</v>
      </c>
      <c r="G1655" s="12" t="s">
        <v>433</v>
      </c>
      <c r="H1655" s="12" t="s">
        <v>1995</v>
      </c>
      <c r="I1655" s="12" t="s">
        <v>433</v>
      </c>
      <c r="J1655" s="12" t="s">
        <v>1996</v>
      </c>
      <c r="K1655" s="12" t="s">
        <v>1997</v>
      </c>
    </row>
    <row r="1656" spans="1:11" ht="30" customHeight="1">
      <c r="A1656" s="12" t="s">
        <v>434</v>
      </c>
      <c r="B1656" s="12" t="s">
        <v>429</v>
      </c>
      <c r="C1656" s="12" t="s">
        <v>430</v>
      </c>
      <c r="D1656" s="12" t="s">
        <v>564</v>
      </c>
      <c r="E1656" s="17">
        <v>8048.92</v>
      </c>
      <c r="F1656" s="12" t="s">
        <v>32</v>
      </c>
      <c r="G1656" s="12" t="s">
        <v>433</v>
      </c>
      <c r="H1656" s="12" t="s">
        <v>1995</v>
      </c>
      <c r="I1656" s="12" t="s">
        <v>433</v>
      </c>
      <c r="J1656" s="12" t="s">
        <v>1996</v>
      </c>
      <c r="K1656" s="12" t="s">
        <v>1997</v>
      </c>
    </row>
    <row r="1657" spans="1:11" ht="30" customHeight="1">
      <c r="A1657" s="12" t="s">
        <v>439</v>
      </c>
      <c r="B1657" s="12" t="s">
        <v>436</v>
      </c>
      <c r="C1657" s="12" t="s">
        <v>430</v>
      </c>
      <c r="D1657" s="12" t="s">
        <v>557</v>
      </c>
      <c r="E1657" s="17">
        <v>42333.28</v>
      </c>
      <c r="F1657" s="12" t="s">
        <v>32</v>
      </c>
      <c r="G1657" s="12" t="s">
        <v>438</v>
      </c>
      <c r="H1657" s="12" t="s">
        <v>1998</v>
      </c>
      <c r="I1657" s="12" t="s">
        <v>438</v>
      </c>
      <c r="J1657" s="12" t="s">
        <v>1999</v>
      </c>
      <c r="K1657" s="12" t="s">
        <v>2000</v>
      </c>
    </row>
    <row r="1658" spans="1:11" ht="30" customHeight="1">
      <c r="A1658" s="12" t="s">
        <v>439</v>
      </c>
      <c r="B1658" s="12" t="s">
        <v>436</v>
      </c>
      <c r="C1658" s="12" t="s">
        <v>430</v>
      </c>
      <c r="D1658" s="12" t="s">
        <v>558</v>
      </c>
      <c r="E1658" s="17">
        <v>81714.64</v>
      </c>
      <c r="F1658" s="12" t="s">
        <v>32</v>
      </c>
      <c r="G1658" s="12" t="s">
        <v>438</v>
      </c>
      <c r="H1658" s="12" t="s">
        <v>1998</v>
      </c>
      <c r="I1658" s="12" t="s">
        <v>438</v>
      </c>
      <c r="J1658" s="12" t="s">
        <v>1999</v>
      </c>
      <c r="K1658" s="12" t="s">
        <v>2000</v>
      </c>
    </row>
    <row r="1659" spans="1:11" ht="30" customHeight="1">
      <c r="A1659" s="12" t="s">
        <v>439</v>
      </c>
      <c r="B1659" s="12" t="s">
        <v>436</v>
      </c>
      <c r="C1659" s="12" t="s">
        <v>430</v>
      </c>
      <c r="D1659" s="12" t="s">
        <v>559</v>
      </c>
      <c r="E1659" s="17">
        <v>3382.79</v>
      </c>
      <c r="F1659" s="12" t="s">
        <v>32</v>
      </c>
      <c r="G1659" s="12" t="s">
        <v>438</v>
      </c>
      <c r="H1659" s="12" t="s">
        <v>1998</v>
      </c>
      <c r="I1659" s="12" t="s">
        <v>438</v>
      </c>
      <c r="J1659" s="12" t="s">
        <v>1999</v>
      </c>
      <c r="K1659" s="12" t="s">
        <v>2000</v>
      </c>
    </row>
    <row r="1660" spans="1:11" ht="30" customHeight="1">
      <c r="A1660" s="12" t="s">
        <v>439</v>
      </c>
      <c r="B1660" s="12" t="s">
        <v>436</v>
      </c>
      <c r="C1660" s="12" t="s">
        <v>430</v>
      </c>
      <c r="D1660" s="12" t="s">
        <v>561</v>
      </c>
      <c r="E1660" s="17">
        <v>49701.1</v>
      </c>
      <c r="F1660" s="12" t="s">
        <v>32</v>
      </c>
      <c r="G1660" s="12" t="s">
        <v>438</v>
      </c>
      <c r="H1660" s="12" t="s">
        <v>1998</v>
      </c>
      <c r="I1660" s="12" t="s">
        <v>438</v>
      </c>
      <c r="J1660" s="12" t="s">
        <v>1999</v>
      </c>
      <c r="K1660" s="12" t="s">
        <v>2000</v>
      </c>
    </row>
    <row r="1661" spans="1:11" ht="30" customHeight="1">
      <c r="A1661" s="12" t="s">
        <v>439</v>
      </c>
      <c r="B1661" s="12" t="s">
        <v>436</v>
      </c>
      <c r="C1661" s="12" t="s">
        <v>430</v>
      </c>
      <c r="D1661" s="12" t="s">
        <v>779</v>
      </c>
      <c r="E1661" s="17">
        <v>40564.34</v>
      </c>
      <c r="F1661" s="12" t="s">
        <v>32</v>
      </c>
      <c r="G1661" s="12" t="s">
        <v>438</v>
      </c>
      <c r="H1661" s="12" t="s">
        <v>1998</v>
      </c>
      <c r="I1661" s="12" t="s">
        <v>438</v>
      </c>
      <c r="J1661" s="12" t="s">
        <v>1999</v>
      </c>
      <c r="K1661" s="12" t="s">
        <v>2000</v>
      </c>
    </row>
    <row r="1662" spans="1:11" ht="30" customHeight="1">
      <c r="A1662" s="12" t="s">
        <v>439</v>
      </c>
      <c r="B1662" s="12" t="s">
        <v>436</v>
      </c>
      <c r="C1662" s="12" t="s">
        <v>430</v>
      </c>
      <c r="D1662" s="12" t="s">
        <v>562</v>
      </c>
      <c r="E1662" s="17">
        <v>3930.21</v>
      </c>
      <c r="F1662" s="12" t="s">
        <v>32</v>
      </c>
      <c r="G1662" s="12" t="s">
        <v>438</v>
      </c>
      <c r="H1662" s="12" t="s">
        <v>1998</v>
      </c>
      <c r="I1662" s="12" t="s">
        <v>438</v>
      </c>
      <c r="J1662" s="12" t="s">
        <v>1999</v>
      </c>
      <c r="K1662" s="12" t="s">
        <v>2000</v>
      </c>
    </row>
    <row r="1663" spans="1:11" ht="30" customHeight="1">
      <c r="A1663" s="12" t="s">
        <v>439</v>
      </c>
      <c r="B1663" s="12" t="s">
        <v>436</v>
      </c>
      <c r="C1663" s="12" t="s">
        <v>430</v>
      </c>
      <c r="D1663" s="12" t="s">
        <v>564</v>
      </c>
      <c r="E1663" s="17">
        <v>1648.08</v>
      </c>
      <c r="F1663" s="12" t="s">
        <v>32</v>
      </c>
      <c r="G1663" s="12" t="s">
        <v>438</v>
      </c>
      <c r="H1663" s="12" t="s">
        <v>1998</v>
      </c>
      <c r="I1663" s="12" t="s">
        <v>438</v>
      </c>
      <c r="J1663" s="12" t="s">
        <v>1999</v>
      </c>
      <c r="K1663" s="12" t="s">
        <v>2000</v>
      </c>
    </row>
    <row r="1664" spans="1:11" ht="30" customHeight="1">
      <c r="A1664" s="12" t="s">
        <v>464</v>
      </c>
      <c r="B1664" s="12" t="s">
        <v>461</v>
      </c>
      <c r="C1664" s="12" t="s">
        <v>430</v>
      </c>
      <c r="D1664" s="12" t="s">
        <v>557</v>
      </c>
      <c r="E1664" s="17">
        <v>152913</v>
      </c>
      <c r="F1664" s="12" t="s">
        <v>32</v>
      </c>
      <c r="G1664" s="12" t="s">
        <v>463</v>
      </c>
      <c r="H1664" s="12" t="s">
        <v>2001</v>
      </c>
      <c r="I1664" s="12" t="s">
        <v>463</v>
      </c>
      <c r="J1664" s="12" t="s">
        <v>2002</v>
      </c>
      <c r="K1664" s="12" t="s">
        <v>2003</v>
      </c>
    </row>
    <row r="1665" spans="1:11" ht="30" customHeight="1">
      <c r="A1665" s="12" t="s">
        <v>464</v>
      </c>
      <c r="B1665" s="12" t="s">
        <v>461</v>
      </c>
      <c r="C1665" s="12" t="s">
        <v>430</v>
      </c>
      <c r="D1665" s="12" t="s">
        <v>558</v>
      </c>
      <c r="E1665" s="17">
        <v>131971.8</v>
      </c>
      <c r="F1665" s="12" t="s">
        <v>32</v>
      </c>
      <c r="G1665" s="12" t="s">
        <v>463</v>
      </c>
      <c r="H1665" s="12" t="s">
        <v>2001</v>
      </c>
      <c r="I1665" s="12" t="s">
        <v>463</v>
      </c>
      <c r="J1665" s="12" t="s">
        <v>2002</v>
      </c>
      <c r="K1665" s="12" t="s">
        <v>2003</v>
      </c>
    </row>
    <row r="1666" spans="1:11" ht="30" customHeight="1">
      <c r="A1666" s="12" t="s">
        <v>464</v>
      </c>
      <c r="B1666" s="12" t="s">
        <v>461</v>
      </c>
      <c r="C1666" s="12" t="s">
        <v>430</v>
      </c>
      <c r="D1666" s="12" t="s">
        <v>559</v>
      </c>
      <c r="E1666" s="17">
        <v>14500.2</v>
      </c>
      <c r="F1666" s="12" t="s">
        <v>32</v>
      </c>
      <c r="G1666" s="12" t="s">
        <v>463</v>
      </c>
      <c r="H1666" s="12" t="s">
        <v>2001</v>
      </c>
      <c r="I1666" s="12" t="s">
        <v>463</v>
      </c>
      <c r="J1666" s="12" t="s">
        <v>2002</v>
      </c>
      <c r="K1666" s="12" t="s">
        <v>2003</v>
      </c>
    </row>
    <row r="1667" spans="1:11" ht="30" customHeight="1">
      <c r="A1667" s="12" t="s">
        <v>464</v>
      </c>
      <c r="B1667" s="12" t="s">
        <v>461</v>
      </c>
      <c r="C1667" s="12" t="s">
        <v>430</v>
      </c>
      <c r="D1667" s="12" t="s">
        <v>561</v>
      </c>
      <c r="E1667" s="17">
        <v>0</v>
      </c>
      <c r="F1667" s="12" t="s">
        <v>32</v>
      </c>
      <c r="G1667" s="12" t="s">
        <v>463</v>
      </c>
      <c r="H1667" s="12" t="s">
        <v>2001</v>
      </c>
      <c r="I1667" s="12" t="s">
        <v>463</v>
      </c>
      <c r="J1667" s="12" t="s">
        <v>2002</v>
      </c>
      <c r="K1667" s="12" t="s">
        <v>2003</v>
      </c>
    </row>
    <row r="1668" spans="1:11" ht="30" customHeight="1">
      <c r="A1668" s="12" t="s">
        <v>464</v>
      </c>
      <c r="B1668" s="12" t="s">
        <v>461</v>
      </c>
      <c r="C1668" s="12" t="s">
        <v>430</v>
      </c>
      <c r="D1668" s="12" t="s">
        <v>779</v>
      </c>
      <c r="E1668" s="17">
        <v>33.1</v>
      </c>
      <c r="F1668" s="12" t="s">
        <v>32</v>
      </c>
      <c r="G1668" s="12" t="s">
        <v>463</v>
      </c>
      <c r="H1668" s="12" t="s">
        <v>2001</v>
      </c>
      <c r="I1668" s="12" t="s">
        <v>463</v>
      </c>
      <c r="J1668" s="12" t="s">
        <v>2002</v>
      </c>
      <c r="K1668" s="12" t="s">
        <v>2003</v>
      </c>
    </row>
    <row r="1669" spans="1:11" ht="30" customHeight="1">
      <c r="A1669" s="12" t="s">
        <v>464</v>
      </c>
      <c r="B1669" s="12" t="s">
        <v>461</v>
      </c>
      <c r="C1669" s="12" t="s">
        <v>430</v>
      </c>
      <c r="D1669" s="12" t="s">
        <v>562</v>
      </c>
      <c r="E1669" s="17">
        <v>194.2</v>
      </c>
      <c r="F1669" s="12" t="s">
        <v>32</v>
      </c>
      <c r="G1669" s="12" t="s">
        <v>463</v>
      </c>
      <c r="H1669" s="12" t="s">
        <v>2001</v>
      </c>
      <c r="I1669" s="12" t="s">
        <v>463</v>
      </c>
      <c r="J1669" s="12" t="s">
        <v>2002</v>
      </c>
      <c r="K1669" s="12" t="s">
        <v>2003</v>
      </c>
    </row>
    <row r="1670" spans="1:11" ht="30" customHeight="1">
      <c r="A1670" s="12" t="s">
        <v>464</v>
      </c>
      <c r="B1670" s="12" t="s">
        <v>461</v>
      </c>
      <c r="C1670" s="12" t="s">
        <v>430</v>
      </c>
      <c r="D1670" s="12" t="s">
        <v>564</v>
      </c>
      <c r="E1670" s="17">
        <v>10640.6</v>
      </c>
      <c r="F1670" s="12" t="s">
        <v>32</v>
      </c>
      <c r="G1670" s="12" t="s">
        <v>463</v>
      </c>
      <c r="H1670" s="12" t="s">
        <v>2001</v>
      </c>
      <c r="I1670" s="12" t="s">
        <v>463</v>
      </c>
      <c r="J1670" s="12" t="s">
        <v>2002</v>
      </c>
      <c r="K1670" s="12" t="s">
        <v>2003</v>
      </c>
    </row>
    <row r="1671" spans="1:11" ht="30" customHeight="1">
      <c r="A1671" s="12" t="s">
        <v>469</v>
      </c>
      <c r="B1671" s="12" t="s">
        <v>466</v>
      </c>
      <c r="C1671" s="12" t="s">
        <v>430</v>
      </c>
      <c r="D1671" s="12" t="s">
        <v>557</v>
      </c>
      <c r="E1671" s="17">
        <v>439695</v>
      </c>
      <c r="F1671" s="12" t="s">
        <v>32</v>
      </c>
      <c r="G1671" s="12" t="s">
        <v>468</v>
      </c>
      <c r="H1671" s="12" t="s">
        <v>2004</v>
      </c>
      <c r="I1671" s="12" t="s">
        <v>468</v>
      </c>
      <c r="J1671" s="12" t="s">
        <v>2005</v>
      </c>
      <c r="K1671" s="12" t="s">
        <v>2006</v>
      </c>
    </row>
    <row r="1672" spans="1:11" ht="30" customHeight="1">
      <c r="A1672" s="12" t="s">
        <v>469</v>
      </c>
      <c r="B1672" s="12" t="s">
        <v>466</v>
      </c>
      <c r="C1672" s="12" t="s">
        <v>430</v>
      </c>
      <c r="D1672" s="12" t="s">
        <v>558</v>
      </c>
      <c r="E1672" s="17">
        <v>378642</v>
      </c>
      <c r="F1672" s="12" t="s">
        <v>32</v>
      </c>
      <c r="G1672" s="12" t="s">
        <v>468</v>
      </c>
      <c r="H1672" s="12" t="s">
        <v>2004</v>
      </c>
      <c r="I1672" s="12" t="s">
        <v>468</v>
      </c>
      <c r="J1672" s="12" t="s">
        <v>2005</v>
      </c>
      <c r="K1672" s="12" t="s">
        <v>2006</v>
      </c>
    </row>
    <row r="1673" spans="1:11" ht="30" customHeight="1">
      <c r="A1673" s="12" t="s">
        <v>469</v>
      </c>
      <c r="B1673" s="12" t="s">
        <v>466</v>
      </c>
      <c r="C1673" s="12" t="s">
        <v>430</v>
      </c>
      <c r="D1673" s="12" t="s">
        <v>559</v>
      </c>
      <c r="E1673" s="17">
        <v>23278</v>
      </c>
      <c r="F1673" s="12" t="s">
        <v>32</v>
      </c>
      <c r="G1673" s="12" t="s">
        <v>468</v>
      </c>
      <c r="H1673" s="12" t="s">
        <v>2004</v>
      </c>
      <c r="I1673" s="12" t="s">
        <v>468</v>
      </c>
      <c r="J1673" s="12" t="s">
        <v>2005</v>
      </c>
      <c r="K1673" s="12" t="s">
        <v>2006</v>
      </c>
    </row>
    <row r="1674" spans="1:11" ht="30" customHeight="1">
      <c r="A1674" s="12" t="s">
        <v>469</v>
      </c>
      <c r="B1674" s="12" t="s">
        <v>466</v>
      </c>
      <c r="C1674" s="12" t="s">
        <v>430</v>
      </c>
      <c r="D1674" s="12" t="s">
        <v>2007</v>
      </c>
      <c r="E1674" s="17">
        <v>28149</v>
      </c>
      <c r="F1674" s="12" t="s">
        <v>32</v>
      </c>
      <c r="G1674" s="12" t="s">
        <v>468</v>
      </c>
      <c r="H1674" s="12" t="s">
        <v>2004</v>
      </c>
      <c r="I1674" s="12" t="s">
        <v>468</v>
      </c>
      <c r="J1674" s="12" t="s">
        <v>2005</v>
      </c>
      <c r="K1674" s="12" t="s">
        <v>2006</v>
      </c>
    </row>
    <row r="1675" spans="1:11" ht="30" customHeight="1">
      <c r="A1675" s="12" t="s">
        <v>469</v>
      </c>
      <c r="B1675" s="12" t="s">
        <v>466</v>
      </c>
      <c r="C1675" s="12" t="s">
        <v>430</v>
      </c>
      <c r="D1675" s="12" t="s">
        <v>2008</v>
      </c>
      <c r="E1675" s="17">
        <v>4871</v>
      </c>
      <c r="F1675" s="12" t="s">
        <v>32</v>
      </c>
      <c r="G1675" s="12" t="s">
        <v>468</v>
      </c>
      <c r="H1675" s="12" t="s">
        <v>2004</v>
      </c>
      <c r="I1675" s="12" t="s">
        <v>468</v>
      </c>
      <c r="J1675" s="12" t="s">
        <v>2005</v>
      </c>
      <c r="K1675" s="12" t="s">
        <v>2006</v>
      </c>
    </row>
    <row r="1676" spans="1:11" ht="30" customHeight="1">
      <c r="A1676" s="12" t="s">
        <v>469</v>
      </c>
      <c r="B1676" s="12" t="s">
        <v>466</v>
      </c>
      <c r="C1676" s="12" t="s">
        <v>430</v>
      </c>
      <c r="D1676" s="12" t="s">
        <v>561</v>
      </c>
      <c r="E1676" s="17">
        <v>62499</v>
      </c>
      <c r="F1676" s="12" t="s">
        <v>32</v>
      </c>
      <c r="G1676" s="12" t="s">
        <v>468</v>
      </c>
      <c r="H1676" s="12" t="s">
        <v>2004</v>
      </c>
      <c r="I1676" s="12" t="s">
        <v>468</v>
      </c>
      <c r="J1676" s="12" t="s">
        <v>2005</v>
      </c>
      <c r="K1676" s="12" t="s">
        <v>2006</v>
      </c>
    </row>
    <row r="1677" spans="1:11" ht="30" customHeight="1">
      <c r="A1677" s="12" t="s">
        <v>469</v>
      </c>
      <c r="B1677" s="12" t="s">
        <v>466</v>
      </c>
      <c r="C1677" s="12" t="s">
        <v>430</v>
      </c>
      <c r="D1677" s="12" t="s">
        <v>779</v>
      </c>
      <c r="E1677" s="17">
        <v>98501</v>
      </c>
      <c r="F1677" s="12" t="s">
        <v>32</v>
      </c>
      <c r="G1677" s="12" t="s">
        <v>468</v>
      </c>
      <c r="H1677" s="12" t="s">
        <v>2004</v>
      </c>
      <c r="I1677" s="12" t="s">
        <v>468</v>
      </c>
      <c r="J1677" s="12" t="s">
        <v>2005</v>
      </c>
      <c r="K1677" s="12" t="s">
        <v>2006</v>
      </c>
    </row>
    <row r="1678" spans="1:11" ht="30" customHeight="1">
      <c r="A1678" s="12" t="s">
        <v>469</v>
      </c>
      <c r="B1678" s="12" t="s">
        <v>466</v>
      </c>
      <c r="C1678" s="12" t="s">
        <v>430</v>
      </c>
      <c r="D1678" s="12" t="s">
        <v>562</v>
      </c>
      <c r="E1678" s="17">
        <v>5083</v>
      </c>
      <c r="F1678" s="12" t="s">
        <v>32</v>
      </c>
      <c r="G1678" s="12" t="s">
        <v>468</v>
      </c>
      <c r="H1678" s="12" t="s">
        <v>2004</v>
      </c>
      <c r="I1678" s="12" t="s">
        <v>468</v>
      </c>
      <c r="J1678" s="12" t="s">
        <v>2005</v>
      </c>
      <c r="K1678" s="12" t="s">
        <v>2006</v>
      </c>
    </row>
    <row r="1679" spans="1:11" ht="30" customHeight="1">
      <c r="A1679" s="12" t="s">
        <v>469</v>
      </c>
      <c r="B1679" s="12" t="s">
        <v>466</v>
      </c>
      <c r="C1679" s="12" t="s">
        <v>430</v>
      </c>
      <c r="D1679" s="12" t="s">
        <v>564</v>
      </c>
      <c r="E1679" s="17">
        <v>38042</v>
      </c>
      <c r="F1679" s="12" t="s">
        <v>32</v>
      </c>
      <c r="G1679" s="12" t="s">
        <v>468</v>
      </c>
      <c r="H1679" s="12" t="s">
        <v>2004</v>
      </c>
      <c r="I1679" s="12" t="s">
        <v>468</v>
      </c>
      <c r="J1679" s="12" t="s">
        <v>2005</v>
      </c>
      <c r="K1679" s="12" t="s">
        <v>2006</v>
      </c>
    </row>
    <row r="1680" spans="1:11" ht="30" customHeight="1">
      <c r="A1680" s="12" t="s">
        <v>307</v>
      </c>
      <c r="B1680" s="12" t="s">
        <v>302</v>
      </c>
      <c r="C1680" s="12" t="s">
        <v>303</v>
      </c>
      <c r="D1680" s="12" t="s">
        <v>557</v>
      </c>
      <c r="E1680" s="17">
        <v>8328.809999999999</v>
      </c>
      <c r="F1680" s="12" t="s">
        <v>32</v>
      </c>
      <c r="G1680" s="12" t="s">
        <v>306</v>
      </c>
      <c r="H1680" s="12" t="s">
        <v>2009</v>
      </c>
      <c r="I1680" s="12" t="s">
        <v>306</v>
      </c>
      <c r="J1680" s="12" t="s">
        <v>2010</v>
      </c>
      <c r="K1680" s="12" t="s">
        <v>2011</v>
      </c>
    </row>
    <row r="1681" spans="1:11" ht="30" customHeight="1">
      <c r="A1681" s="12" t="s">
        <v>307</v>
      </c>
      <c r="B1681" s="12" t="s">
        <v>302</v>
      </c>
      <c r="C1681" s="12" t="s">
        <v>303</v>
      </c>
      <c r="D1681" s="12" t="s">
        <v>558</v>
      </c>
      <c r="E1681" s="17">
        <v>8098.95</v>
      </c>
      <c r="F1681" s="12" t="s">
        <v>32</v>
      </c>
      <c r="G1681" s="12" t="s">
        <v>306</v>
      </c>
      <c r="H1681" s="12" t="s">
        <v>2009</v>
      </c>
      <c r="I1681" s="12" t="s">
        <v>306</v>
      </c>
      <c r="J1681" s="12" t="s">
        <v>2010</v>
      </c>
      <c r="K1681" s="12" t="s">
        <v>2011</v>
      </c>
    </row>
    <row r="1682" spans="1:11" ht="30" customHeight="1">
      <c r="A1682" s="12" t="s">
        <v>307</v>
      </c>
      <c r="B1682" s="12" t="s">
        <v>302</v>
      </c>
      <c r="C1682" s="12" t="s">
        <v>303</v>
      </c>
      <c r="D1682" s="12" t="s">
        <v>559</v>
      </c>
      <c r="E1682" s="17">
        <v>367.38</v>
      </c>
      <c r="F1682" s="12" t="s">
        <v>32</v>
      </c>
      <c r="G1682" s="12" t="s">
        <v>306</v>
      </c>
      <c r="H1682" s="12" t="s">
        <v>2009</v>
      </c>
      <c r="I1682" s="12" t="s">
        <v>306</v>
      </c>
      <c r="J1682" s="12" t="s">
        <v>2010</v>
      </c>
      <c r="K1682" s="12" t="s">
        <v>2011</v>
      </c>
    </row>
    <row r="1683" spans="1:11" ht="30" customHeight="1">
      <c r="A1683" s="12" t="s">
        <v>307</v>
      </c>
      <c r="B1683" s="12" t="s">
        <v>302</v>
      </c>
      <c r="C1683" s="12" t="s">
        <v>303</v>
      </c>
      <c r="D1683" s="12" t="s">
        <v>561</v>
      </c>
      <c r="E1683" s="17">
        <v>1375.96</v>
      </c>
      <c r="F1683" s="12" t="s">
        <v>32</v>
      </c>
      <c r="G1683" s="12" t="s">
        <v>306</v>
      </c>
      <c r="H1683" s="12" t="s">
        <v>2009</v>
      </c>
      <c r="I1683" s="12" t="s">
        <v>306</v>
      </c>
      <c r="J1683" s="12" t="s">
        <v>2010</v>
      </c>
      <c r="K1683" s="12" t="s">
        <v>2011</v>
      </c>
    </row>
    <row r="1684" spans="1:11" ht="30" customHeight="1">
      <c r="A1684" s="12" t="s">
        <v>307</v>
      </c>
      <c r="B1684" s="12" t="s">
        <v>302</v>
      </c>
      <c r="C1684" s="12" t="s">
        <v>303</v>
      </c>
      <c r="D1684" s="12" t="s">
        <v>779</v>
      </c>
      <c r="E1684" s="17">
        <v>1325.38</v>
      </c>
      <c r="F1684" s="12" t="s">
        <v>32</v>
      </c>
      <c r="G1684" s="12" t="s">
        <v>306</v>
      </c>
      <c r="H1684" s="12" t="s">
        <v>2009</v>
      </c>
      <c r="I1684" s="12" t="s">
        <v>306</v>
      </c>
      <c r="J1684" s="12" t="s">
        <v>2010</v>
      </c>
      <c r="K1684" s="12" t="s">
        <v>2011</v>
      </c>
    </row>
    <row r="1685" spans="1:11" ht="30" customHeight="1">
      <c r="A1685" s="12" t="s">
        <v>307</v>
      </c>
      <c r="B1685" s="12" t="s">
        <v>302</v>
      </c>
      <c r="C1685" s="12" t="s">
        <v>303</v>
      </c>
      <c r="D1685" s="12" t="s">
        <v>562</v>
      </c>
      <c r="E1685" s="17">
        <v>165.77</v>
      </c>
      <c r="F1685" s="12" t="s">
        <v>32</v>
      </c>
      <c r="G1685" s="12" t="s">
        <v>306</v>
      </c>
      <c r="H1685" s="12" t="s">
        <v>2009</v>
      </c>
      <c r="I1685" s="12" t="s">
        <v>306</v>
      </c>
      <c r="J1685" s="12" t="s">
        <v>2010</v>
      </c>
      <c r="K1685" s="12" t="s">
        <v>2011</v>
      </c>
    </row>
    <row r="1686" spans="1:11" ht="30" customHeight="1">
      <c r="A1686" s="12" t="s">
        <v>307</v>
      </c>
      <c r="B1686" s="12" t="s">
        <v>302</v>
      </c>
      <c r="C1686" s="12" t="s">
        <v>303</v>
      </c>
      <c r="D1686" s="12" t="s">
        <v>564</v>
      </c>
      <c r="E1686" s="17">
        <v>535.12</v>
      </c>
      <c r="F1686" s="12" t="s">
        <v>32</v>
      </c>
      <c r="G1686" s="12" t="s">
        <v>306</v>
      </c>
      <c r="H1686" s="12" t="s">
        <v>2009</v>
      </c>
      <c r="I1686" s="12" t="s">
        <v>306</v>
      </c>
      <c r="J1686" s="12" t="s">
        <v>2010</v>
      </c>
      <c r="K1686" s="12" t="s">
        <v>2011</v>
      </c>
    </row>
    <row r="1687" spans="1:11" ht="30" customHeight="1">
      <c r="A1687" s="12" t="s">
        <v>315</v>
      </c>
      <c r="B1687" s="12" t="s">
        <v>312</v>
      </c>
      <c r="C1687" s="12" t="s">
        <v>303</v>
      </c>
      <c r="D1687" s="12" t="s">
        <v>557</v>
      </c>
      <c r="E1687" s="17">
        <v>3864.2396</v>
      </c>
      <c r="F1687" s="12" t="s">
        <v>32</v>
      </c>
      <c r="G1687" s="12" t="s">
        <v>314</v>
      </c>
      <c r="H1687" s="12" t="s">
        <v>2012</v>
      </c>
      <c r="I1687" s="12" t="s">
        <v>314</v>
      </c>
      <c r="J1687" s="12" t="s">
        <v>2013</v>
      </c>
      <c r="K1687" s="12" t="s">
        <v>2014</v>
      </c>
    </row>
    <row r="1688" spans="1:11" ht="30" customHeight="1">
      <c r="A1688" s="12" t="s">
        <v>315</v>
      </c>
      <c r="B1688" s="12" t="s">
        <v>312</v>
      </c>
      <c r="C1688" s="12" t="s">
        <v>303</v>
      </c>
      <c r="D1688" s="12" t="s">
        <v>558</v>
      </c>
      <c r="E1688" s="17">
        <v>3537.1693</v>
      </c>
      <c r="F1688" s="12" t="s">
        <v>32</v>
      </c>
      <c r="G1688" s="12" t="s">
        <v>314</v>
      </c>
      <c r="H1688" s="12" t="s">
        <v>2012</v>
      </c>
      <c r="I1688" s="12" t="s">
        <v>314</v>
      </c>
      <c r="J1688" s="12" t="s">
        <v>2013</v>
      </c>
      <c r="K1688" s="12" t="s">
        <v>2014</v>
      </c>
    </row>
    <row r="1689" spans="1:11" ht="30" customHeight="1">
      <c r="A1689" s="12" t="s">
        <v>315</v>
      </c>
      <c r="B1689" s="12" t="s">
        <v>312</v>
      </c>
      <c r="C1689" s="12" t="s">
        <v>303</v>
      </c>
      <c r="D1689" s="12" t="s">
        <v>559</v>
      </c>
      <c r="E1689" s="17">
        <v>158.5409</v>
      </c>
      <c r="F1689" s="12" t="s">
        <v>32</v>
      </c>
      <c r="G1689" s="12" t="s">
        <v>314</v>
      </c>
      <c r="H1689" s="12" t="s">
        <v>2012</v>
      </c>
      <c r="I1689" s="12" t="s">
        <v>314</v>
      </c>
      <c r="J1689" s="12" t="s">
        <v>2013</v>
      </c>
      <c r="K1689" s="12" t="s">
        <v>2014</v>
      </c>
    </row>
    <row r="1690" spans="1:11" ht="30" customHeight="1">
      <c r="A1690" s="12" t="s">
        <v>315</v>
      </c>
      <c r="B1690" s="12" t="s">
        <v>312</v>
      </c>
      <c r="C1690" s="12" t="s">
        <v>303</v>
      </c>
      <c r="D1690" s="12" t="s">
        <v>561</v>
      </c>
      <c r="E1690" s="17">
        <v>643.3257</v>
      </c>
      <c r="F1690" s="12" t="s">
        <v>32</v>
      </c>
      <c r="G1690" s="12" t="s">
        <v>314</v>
      </c>
      <c r="H1690" s="12" t="s">
        <v>2012</v>
      </c>
      <c r="I1690" s="12" t="s">
        <v>314</v>
      </c>
      <c r="J1690" s="12" t="s">
        <v>2013</v>
      </c>
      <c r="K1690" s="12" t="s">
        <v>2014</v>
      </c>
    </row>
    <row r="1691" spans="1:11" ht="30" customHeight="1">
      <c r="A1691" s="12" t="s">
        <v>315</v>
      </c>
      <c r="B1691" s="12" t="s">
        <v>312</v>
      </c>
      <c r="C1691" s="12" t="s">
        <v>303</v>
      </c>
      <c r="D1691" s="12" t="s">
        <v>779</v>
      </c>
      <c r="E1691" s="17">
        <v>619.5592</v>
      </c>
      <c r="F1691" s="12" t="s">
        <v>32</v>
      </c>
      <c r="G1691" s="12" t="s">
        <v>314</v>
      </c>
      <c r="H1691" s="12" t="s">
        <v>2012</v>
      </c>
      <c r="I1691" s="12" t="s">
        <v>314</v>
      </c>
      <c r="J1691" s="12" t="s">
        <v>2013</v>
      </c>
      <c r="K1691" s="12" t="s">
        <v>2014</v>
      </c>
    </row>
    <row r="1692" spans="1:11" ht="30" customHeight="1">
      <c r="A1692" s="12" t="s">
        <v>315</v>
      </c>
      <c r="B1692" s="12" t="s">
        <v>312</v>
      </c>
      <c r="C1692" s="12" t="s">
        <v>303</v>
      </c>
      <c r="D1692" s="12" t="s">
        <v>562</v>
      </c>
      <c r="E1692" s="17">
        <v>77.4341</v>
      </c>
      <c r="F1692" s="12" t="s">
        <v>32</v>
      </c>
      <c r="G1692" s="12" t="s">
        <v>314</v>
      </c>
      <c r="H1692" s="12" t="s">
        <v>2012</v>
      </c>
      <c r="I1692" s="12" t="s">
        <v>314</v>
      </c>
      <c r="J1692" s="12" t="s">
        <v>2013</v>
      </c>
      <c r="K1692" s="12" t="s">
        <v>2014</v>
      </c>
    </row>
    <row r="1693" spans="1:11" ht="30" customHeight="1">
      <c r="A1693" s="12" t="s">
        <v>315</v>
      </c>
      <c r="B1693" s="12" t="s">
        <v>312</v>
      </c>
      <c r="C1693" s="12" t="s">
        <v>303</v>
      </c>
      <c r="D1693" s="12" t="s">
        <v>2015</v>
      </c>
      <c r="E1693" s="17">
        <v>190.9246</v>
      </c>
      <c r="F1693" s="12" t="s">
        <v>32</v>
      </c>
      <c r="G1693" s="12" t="s">
        <v>314</v>
      </c>
      <c r="H1693" s="12" t="s">
        <v>2012</v>
      </c>
      <c r="I1693" s="12" t="s">
        <v>314</v>
      </c>
      <c r="J1693" s="12" t="s">
        <v>2013</v>
      </c>
      <c r="K1693" s="12" t="s">
        <v>2014</v>
      </c>
    </row>
    <row r="1694" spans="1:11" ht="30" customHeight="1">
      <c r="A1694" s="12" t="s">
        <v>320</v>
      </c>
      <c r="B1694" s="12" t="s">
        <v>317</v>
      </c>
      <c r="C1694" s="12" t="s">
        <v>303</v>
      </c>
      <c r="D1694" s="12" t="s">
        <v>557</v>
      </c>
      <c r="E1694" s="17">
        <v>148477.89</v>
      </c>
      <c r="F1694" s="12" t="s">
        <v>32</v>
      </c>
      <c r="G1694" s="12" t="s">
        <v>319</v>
      </c>
      <c r="H1694" s="12" t="s">
        <v>2016</v>
      </c>
      <c r="I1694" s="12" t="s">
        <v>319</v>
      </c>
      <c r="J1694" s="12" t="s">
        <v>2017</v>
      </c>
      <c r="K1694" s="12" t="s">
        <v>2018</v>
      </c>
    </row>
    <row r="1695" spans="1:11" ht="30" customHeight="1">
      <c r="A1695" s="12" t="s">
        <v>320</v>
      </c>
      <c r="B1695" s="12" t="s">
        <v>317</v>
      </c>
      <c r="C1695" s="12" t="s">
        <v>303</v>
      </c>
      <c r="D1695" s="12" t="s">
        <v>558</v>
      </c>
      <c r="E1695" s="17">
        <v>500535.7</v>
      </c>
      <c r="F1695" s="12" t="s">
        <v>32</v>
      </c>
      <c r="G1695" s="12" t="s">
        <v>319</v>
      </c>
      <c r="H1695" s="12" t="s">
        <v>2016</v>
      </c>
      <c r="I1695" s="12" t="s">
        <v>319</v>
      </c>
      <c r="J1695" s="12" t="s">
        <v>2017</v>
      </c>
      <c r="K1695" s="12" t="s">
        <v>2018</v>
      </c>
    </row>
    <row r="1696" spans="1:11" ht="30" customHeight="1">
      <c r="A1696" s="12" t="s">
        <v>320</v>
      </c>
      <c r="B1696" s="12" t="s">
        <v>317</v>
      </c>
      <c r="C1696" s="12" t="s">
        <v>303</v>
      </c>
      <c r="D1696" s="12" t="s">
        <v>559</v>
      </c>
      <c r="E1696" s="17">
        <v>7756.33</v>
      </c>
      <c r="F1696" s="12" t="s">
        <v>32</v>
      </c>
      <c r="G1696" s="12" t="s">
        <v>319</v>
      </c>
      <c r="H1696" s="12" t="s">
        <v>2016</v>
      </c>
      <c r="I1696" s="12" t="s">
        <v>319</v>
      </c>
      <c r="J1696" s="12" t="s">
        <v>2017</v>
      </c>
      <c r="K1696" s="12" t="s">
        <v>2018</v>
      </c>
    </row>
    <row r="1697" spans="1:11" ht="30" customHeight="1">
      <c r="A1697" s="12" t="s">
        <v>320</v>
      </c>
      <c r="B1697" s="12" t="s">
        <v>317</v>
      </c>
      <c r="C1697" s="12" t="s">
        <v>303</v>
      </c>
      <c r="D1697" s="12" t="s">
        <v>561</v>
      </c>
      <c r="E1697" s="17">
        <v>183648.69</v>
      </c>
      <c r="F1697" s="12" t="s">
        <v>32</v>
      </c>
      <c r="G1697" s="12" t="s">
        <v>319</v>
      </c>
      <c r="H1697" s="12" t="s">
        <v>2016</v>
      </c>
      <c r="I1697" s="12" t="s">
        <v>319</v>
      </c>
      <c r="J1697" s="12" t="s">
        <v>2017</v>
      </c>
      <c r="K1697" s="12" t="s">
        <v>2018</v>
      </c>
    </row>
    <row r="1698" spans="1:11" ht="30" customHeight="1">
      <c r="A1698" s="12" t="s">
        <v>320</v>
      </c>
      <c r="B1698" s="12" t="s">
        <v>317</v>
      </c>
      <c r="C1698" s="12" t="s">
        <v>303</v>
      </c>
      <c r="D1698" s="12" t="s">
        <v>779</v>
      </c>
      <c r="E1698" s="17">
        <v>135102.21</v>
      </c>
      <c r="F1698" s="12" t="s">
        <v>32</v>
      </c>
      <c r="G1698" s="12" t="s">
        <v>319</v>
      </c>
      <c r="H1698" s="12" t="s">
        <v>2016</v>
      </c>
      <c r="I1698" s="12" t="s">
        <v>319</v>
      </c>
      <c r="J1698" s="12" t="s">
        <v>2017</v>
      </c>
      <c r="K1698" s="12" t="s">
        <v>2018</v>
      </c>
    </row>
    <row r="1699" spans="1:11" ht="30" customHeight="1">
      <c r="A1699" s="12" t="s">
        <v>320</v>
      </c>
      <c r="B1699" s="12" t="s">
        <v>317</v>
      </c>
      <c r="C1699" s="12" t="s">
        <v>303</v>
      </c>
      <c r="D1699" s="12" t="s">
        <v>562</v>
      </c>
      <c r="E1699" s="17">
        <v>12500.38</v>
      </c>
      <c r="F1699" s="12" t="s">
        <v>32</v>
      </c>
      <c r="G1699" s="12" t="s">
        <v>319</v>
      </c>
      <c r="H1699" s="12" t="s">
        <v>2016</v>
      </c>
      <c r="I1699" s="12" t="s">
        <v>319</v>
      </c>
      <c r="J1699" s="12" t="s">
        <v>2017</v>
      </c>
      <c r="K1699" s="12" t="s">
        <v>2018</v>
      </c>
    </row>
    <row r="1700" spans="1:11" ht="30" customHeight="1">
      <c r="A1700" s="12" t="s">
        <v>320</v>
      </c>
      <c r="B1700" s="12" t="s">
        <v>317</v>
      </c>
      <c r="C1700" s="12" t="s">
        <v>303</v>
      </c>
      <c r="D1700" s="12" t="s">
        <v>564</v>
      </c>
      <c r="E1700" s="17">
        <v>17181.34</v>
      </c>
      <c r="F1700" s="12" t="s">
        <v>32</v>
      </c>
      <c r="G1700" s="12" t="s">
        <v>319</v>
      </c>
      <c r="H1700" s="12" t="s">
        <v>2016</v>
      </c>
      <c r="I1700" s="12" t="s">
        <v>319</v>
      </c>
      <c r="J1700" s="12" t="s">
        <v>2017</v>
      </c>
      <c r="K1700" s="12" t="s">
        <v>2018</v>
      </c>
    </row>
    <row r="1701" spans="1:11" ht="30" customHeight="1">
      <c r="A1701" s="12" t="s">
        <v>325</v>
      </c>
      <c r="B1701" s="12" t="s">
        <v>322</v>
      </c>
      <c r="C1701" s="12" t="s">
        <v>303</v>
      </c>
      <c r="D1701" s="12" t="s">
        <v>557</v>
      </c>
      <c r="E1701" s="17">
        <v>4151.3913</v>
      </c>
      <c r="F1701" s="12" t="s">
        <v>32</v>
      </c>
      <c r="G1701" s="12" t="s">
        <v>324</v>
      </c>
      <c r="H1701" s="12" t="s">
        <v>2019</v>
      </c>
      <c r="I1701" s="12" t="s">
        <v>324</v>
      </c>
      <c r="J1701" s="12" t="s">
        <v>2020</v>
      </c>
      <c r="K1701" s="12" t="s">
        <v>2021</v>
      </c>
    </row>
    <row r="1702" spans="1:11" ht="30" customHeight="1">
      <c r="A1702" s="12" t="s">
        <v>325</v>
      </c>
      <c r="B1702" s="12" t="s">
        <v>322</v>
      </c>
      <c r="C1702" s="12" t="s">
        <v>303</v>
      </c>
      <c r="D1702" s="12" t="s">
        <v>558</v>
      </c>
      <c r="E1702" s="17">
        <v>4259.6188</v>
      </c>
      <c r="F1702" s="12" t="s">
        <v>32</v>
      </c>
      <c r="G1702" s="12" t="s">
        <v>324</v>
      </c>
      <c r="H1702" s="12" t="s">
        <v>2019</v>
      </c>
      <c r="I1702" s="12" t="s">
        <v>324</v>
      </c>
      <c r="J1702" s="12" t="s">
        <v>2020</v>
      </c>
      <c r="K1702" s="12" t="s">
        <v>2021</v>
      </c>
    </row>
    <row r="1703" spans="1:11" ht="30" customHeight="1">
      <c r="A1703" s="12" t="s">
        <v>325</v>
      </c>
      <c r="B1703" s="12" t="s">
        <v>322</v>
      </c>
      <c r="C1703" s="12" t="s">
        <v>303</v>
      </c>
      <c r="D1703" s="12" t="s">
        <v>559</v>
      </c>
      <c r="E1703" s="17">
        <v>246.004</v>
      </c>
      <c r="F1703" s="12" t="s">
        <v>32</v>
      </c>
      <c r="G1703" s="12" t="s">
        <v>324</v>
      </c>
      <c r="H1703" s="12" t="s">
        <v>2019</v>
      </c>
      <c r="I1703" s="12" t="s">
        <v>324</v>
      </c>
      <c r="J1703" s="12" t="s">
        <v>2020</v>
      </c>
      <c r="K1703" s="12" t="s">
        <v>2021</v>
      </c>
    </row>
    <row r="1704" spans="1:11" ht="30" customHeight="1">
      <c r="A1704" s="12" t="s">
        <v>325</v>
      </c>
      <c r="B1704" s="12" t="s">
        <v>322</v>
      </c>
      <c r="C1704" s="12" t="s">
        <v>303</v>
      </c>
      <c r="D1704" s="12" t="s">
        <v>561</v>
      </c>
      <c r="E1704" s="17">
        <v>1217.5799</v>
      </c>
      <c r="F1704" s="12" t="s">
        <v>32</v>
      </c>
      <c r="G1704" s="12" t="s">
        <v>324</v>
      </c>
      <c r="H1704" s="12" t="s">
        <v>2019</v>
      </c>
      <c r="I1704" s="12" t="s">
        <v>324</v>
      </c>
      <c r="J1704" s="12" t="s">
        <v>2020</v>
      </c>
      <c r="K1704" s="12" t="s">
        <v>2021</v>
      </c>
    </row>
    <row r="1705" spans="1:11" ht="30" customHeight="1">
      <c r="A1705" s="12" t="s">
        <v>325</v>
      </c>
      <c r="B1705" s="12" t="s">
        <v>322</v>
      </c>
      <c r="C1705" s="12" t="s">
        <v>303</v>
      </c>
      <c r="D1705" s="12" t="s">
        <v>779</v>
      </c>
      <c r="E1705" s="17">
        <v>914.0854</v>
      </c>
      <c r="F1705" s="12" t="s">
        <v>32</v>
      </c>
      <c r="G1705" s="12" t="s">
        <v>324</v>
      </c>
      <c r="H1705" s="12" t="s">
        <v>2019</v>
      </c>
      <c r="I1705" s="12" t="s">
        <v>324</v>
      </c>
      <c r="J1705" s="12" t="s">
        <v>2020</v>
      </c>
      <c r="K1705" s="12" t="s">
        <v>2021</v>
      </c>
    </row>
    <row r="1706" spans="1:11" ht="30" customHeight="1">
      <c r="A1706" s="12" t="s">
        <v>325</v>
      </c>
      <c r="B1706" s="12" t="s">
        <v>322</v>
      </c>
      <c r="C1706" s="12" t="s">
        <v>303</v>
      </c>
      <c r="D1706" s="12" t="s">
        <v>562</v>
      </c>
      <c r="E1706" s="17">
        <v>123.1571</v>
      </c>
      <c r="F1706" s="12" t="s">
        <v>32</v>
      </c>
      <c r="G1706" s="12" t="s">
        <v>324</v>
      </c>
      <c r="H1706" s="12" t="s">
        <v>2019</v>
      </c>
      <c r="I1706" s="12" t="s">
        <v>324</v>
      </c>
      <c r="J1706" s="12" t="s">
        <v>2020</v>
      </c>
      <c r="K1706" s="12" t="s">
        <v>2021</v>
      </c>
    </row>
    <row r="1707" spans="1:11" ht="30" customHeight="1">
      <c r="A1707" s="12" t="s">
        <v>325</v>
      </c>
      <c r="B1707" s="12" t="s">
        <v>322</v>
      </c>
      <c r="C1707" s="12" t="s">
        <v>303</v>
      </c>
      <c r="D1707" s="12" t="s">
        <v>564</v>
      </c>
      <c r="E1707" s="17">
        <v>251.5786</v>
      </c>
      <c r="F1707" s="12" t="s">
        <v>32</v>
      </c>
      <c r="G1707" s="12" t="s">
        <v>324</v>
      </c>
      <c r="H1707" s="12" t="s">
        <v>2019</v>
      </c>
      <c r="I1707" s="12" t="s">
        <v>324</v>
      </c>
      <c r="J1707" s="12" t="s">
        <v>2020</v>
      </c>
      <c r="K1707" s="12" t="s">
        <v>2021</v>
      </c>
    </row>
    <row r="1708" spans="1:11" ht="30" customHeight="1">
      <c r="A1708" s="12" t="s">
        <v>330</v>
      </c>
      <c r="B1708" s="12" t="s">
        <v>327</v>
      </c>
      <c r="C1708" s="12" t="s">
        <v>303</v>
      </c>
      <c r="D1708" s="12" t="s">
        <v>557</v>
      </c>
      <c r="E1708" s="17">
        <v>6387.88</v>
      </c>
      <c r="F1708" s="12" t="s">
        <v>32</v>
      </c>
      <c r="G1708" s="12" t="s">
        <v>329</v>
      </c>
      <c r="H1708" s="12" t="s">
        <v>2022</v>
      </c>
      <c r="I1708" s="12" t="s">
        <v>329</v>
      </c>
      <c r="J1708" s="12" t="s">
        <v>2023</v>
      </c>
      <c r="K1708" s="12" t="s">
        <v>2024</v>
      </c>
    </row>
    <row r="1709" spans="1:11" ht="30" customHeight="1">
      <c r="A1709" s="12" t="s">
        <v>330</v>
      </c>
      <c r="B1709" s="12" t="s">
        <v>327</v>
      </c>
      <c r="C1709" s="12" t="s">
        <v>303</v>
      </c>
      <c r="D1709" s="12" t="s">
        <v>558</v>
      </c>
      <c r="E1709" s="17">
        <v>5961.52</v>
      </c>
      <c r="F1709" s="12" t="s">
        <v>32</v>
      </c>
      <c r="G1709" s="12" t="s">
        <v>329</v>
      </c>
      <c r="H1709" s="12" t="s">
        <v>2022</v>
      </c>
      <c r="I1709" s="12" t="s">
        <v>329</v>
      </c>
      <c r="J1709" s="12" t="s">
        <v>2023</v>
      </c>
      <c r="K1709" s="12" t="s">
        <v>2024</v>
      </c>
    </row>
    <row r="1710" spans="1:11" ht="30" customHeight="1">
      <c r="A1710" s="12" t="s">
        <v>330</v>
      </c>
      <c r="B1710" s="12" t="s">
        <v>327</v>
      </c>
      <c r="C1710" s="12" t="s">
        <v>303</v>
      </c>
      <c r="D1710" s="12" t="s">
        <v>559</v>
      </c>
      <c r="E1710" s="17">
        <v>815.11</v>
      </c>
      <c r="F1710" s="12" t="s">
        <v>32</v>
      </c>
      <c r="G1710" s="12" t="s">
        <v>329</v>
      </c>
      <c r="H1710" s="12" t="s">
        <v>2022</v>
      </c>
      <c r="I1710" s="12" t="s">
        <v>329</v>
      </c>
      <c r="J1710" s="12" t="s">
        <v>2023</v>
      </c>
      <c r="K1710" s="12" t="s">
        <v>2024</v>
      </c>
    </row>
    <row r="1711" spans="1:11" ht="30" customHeight="1">
      <c r="A1711" s="12" t="s">
        <v>330</v>
      </c>
      <c r="B1711" s="12" t="s">
        <v>327</v>
      </c>
      <c r="C1711" s="12" t="s">
        <v>303</v>
      </c>
      <c r="D1711" s="12" t="s">
        <v>561</v>
      </c>
      <c r="E1711" s="17">
        <v>465.96</v>
      </c>
      <c r="F1711" s="12" t="s">
        <v>32</v>
      </c>
      <c r="G1711" s="12" t="s">
        <v>329</v>
      </c>
      <c r="H1711" s="12" t="s">
        <v>2022</v>
      </c>
      <c r="I1711" s="12" t="s">
        <v>329</v>
      </c>
      <c r="J1711" s="12" t="s">
        <v>2023</v>
      </c>
      <c r="K1711" s="12" t="s">
        <v>2024</v>
      </c>
    </row>
    <row r="1712" spans="1:11" ht="30" customHeight="1">
      <c r="A1712" s="12" t="s">
        <v>330</v>
      </c>
      <c r="B1712" s="12" t="s">
        <v>327</v>
      </c>
      <c r="C1712" s="12" t="s">
        <v>303</v>
      </c>
      <c r="D1712" s="12" t="s">
        <v>779</v>
      </c>
      <c r="E1712" s="17">
        <v>1158.42</v>
      </c>
      <c r="F1712" s="12" t="s">
        <v>32</v>
      </c>
      <c r="G1712" s="12" t="s">
        <v>329</v>
      </c>
      <c r="H1712" s="12" t="s">
        <v>2022</v>
      </c>
      <c r="I1712" s="12" t="s">
        <v>329</v>
      </c>
      <c r="J1712" s="12" t="s">
        <v>2023</v>
      </c>
      <c r="K1712" s="12" t="s">
        <v>2024</v>
      </c>
    </row>
    <row r="1713" spans="1:11" ht="30" customHeight="1">
      <c r="A1713" s="12" t="s">
        <v>330</v>
      </c>
      <c r="B1713" s="12" t="s">
        <v>327</v>
      </c>
      <c r="C1713" s="12" t="s">
        <v>303</v>
      </c>
      <c r="D1713" s="12" t="s">
        <v>562</v>
      </c>
      <c r="E1713" s="17">
        <v>49.77</v>
      </c>
      <c r="F1713" s="12" t="s">
        <v>32</v>
      </c>
      <c r="G1713" s="12" t="s">
        <v>329</v>
      </c>
      <c r="H1713" s="12" t="s">
        <v>2022</v>
      </c>
      <c r="I1713" s="12" t="s">
        <v>329</v>
      </c>
      <c r="J1713" s="12" t="s">
        <v>2023</v>
      </c>
      <c r="K1713" s="12" t="s">
        <v>2024</v>
      </c>
    </row>
    <row r="1714" spans="1:11" ht="30" customHeight="1">
      <c r="A1714" s="12" t="s">
        <v>330</v>
      </c>
      <c r="B1714" s="12" t="s">
        <v>327</v>
      </c>
      <c r="C1714" s="12" t="s">
        <v>303</v>
      </c>
      <c r="D1714" s="12" t="s">
        <v>564</v>
      </c>
      <c r="E1714" s="17">
        <v>168.69</v>
      </c>
      <c r="F1714" s="12" t="s">
        <v>32</v>
      </c>
      <c r="G1714" s="12" t="s">
        <v>329</v>
      </c>
      <c r="H1714" s="12" t="s">
        <v>2022</v>
      </c>
      <c r="I1714" s="12" t="s">
        <v>329</v>
      </c>
      <c r="J1714" s="12" t="s">
        <v>2023</v>
      </c>
      <c r="K1714" s="12" t="s">
        <v>2024</v>
      </c>
    </row>
    <row r="1715" spans="1:11" ht="30" customHeight="1">
      <c r="A1715" s="12" t="s">
        <v>335</v>
      </c>
      <c r="B1715" s="12" t="s">
        <v>332</v>
      </c>
      <c r="C1715" s="12" t="s">
        <v>303</v>
      </c>
      <c r="D1715" s="12" t="s">
        <v>557</v>
      </c>
      <c r="E1715" s="17">
        <v>2583.06</v>
      </c>
      <c r="F1715" s="12" t="s">
        <v>32</v>
      </c>
      <c r="G1715" s="12" t="s">
        <v>334</v>
      </c>
      <c r="H1715" s="12" t="s">
        <v>1652</v>
      </c>
      <c r="I1715" s="12" t="s">
        <v>334</v>
      </c>
      <c r="J1715" s="12" t="s">
        <v>2025</v>
      </c>
      <c r="K1715" s="12" t="s">
        <v>2026</v>
      </c>
    </row>
    <row r="1716" spans="1:11" ht="30" customHeight="1">
      <c r="A1716" s="12" t="s">
        <v>335</v>
      </c>
      <c r="B1716" s="12" t="s">
        <v>332</v>
      </c>
      <c r="C1716" s="12" t="s">
        <v>303</v>
      </c>
      <c r="D1716" s="12" t="s">
        <v>558</v>
      </c>
      <c r="E1716" s="17">
        <v>2563.71</v>
      </c>
      <c r="F1716" s="12" t="s">
        <v>32</v>
      </c>
      <c r="G1716" s="12" t="s">
        <v>334</v>
      </c>
      <c r="H1716" s="12" t="s">
        <v>1652</v>
      </c>
      <c r="I1716" s="12" t="s">
        <v>334</v>
      </c>
      <c r="J1716" s="12" t="s">
        <v>2025</v>
      </c>
      <c r="K1716" s="12" t="s">
        <v>2026</v>
      </c>
    </row>
    <row r="1717" spans="1:11" ht="30" customHeight="1">
      <c r="A1717" s="12" t="s">
        <v>335</v>
      </c>
      <c r="B1717" s="12" t="s">
        <v>332</v>
      </c>
      <c r="C1717" s="12" t="s">
        <v>303</v>
      </c>
      <c r="D1717" s="12" t="s">
        <v>559</v>
      </c>
      <c r="E1717" s="17">
        <v>164.54</v>
      </c>
      <c r="F1717" s="12" t="s">
        <v>32</v>
      </c>
      <c r="G1717" s="12" t="s">
        <v>334</v>
      </c>
      <c r="H1717" s="12" t="s">
        <v>1652</v>
      </c>
      <c r="I1717" s="12" t="s">
        <v>334</v>
      </c>
      <c r="J1717" s="12" t="s">
        <v>2025</v>
      </c>
      <c r="K1717" s="12" t="s">
        <v>2026</v>
      </c>
    </row>
    <row r="1718" spans="1:11" ht="30" customHeight="1">
      <c r="A1718" s="12" t="s">
        <v>335</v>
      </c>
      <c r="B1718" s="12" t="s">
        <v>332</v>
      </c>
      <c r="C1718" s="12" t="s">
        <v>303</v>
      </c>
      <c r="D1718" s="12" t="s">
        <v>561</v>
      </c>
      <c r="E1718" s="17">
        <v>287.29</v>
      </c>
      <c r="F1718" s="12" t="s">
        <v>32</v>
      </c>
      <c r="G1718" s="12" t="s">
        <v>334</v>
      </c>
      <c r="H1718" s="12" t="s">
        <v>1652</v>
      </c>
      <c r="I1718" s="12" t="s">
        <v>334</v>
      </c>
      <c r="J1718" s="12" t="s">
        <v>2025</v>
      </c>
      <c r="K1718" s="12" t="s">
        <v>2026</v>
      </c>
    </row>
    <row r="1719" spans="1:11" ht="30" customHeight="1">
      <c r="A1719" s="12" t="s">
        <v>335</v>
      </c>
      <c r="B1719" s="12" t="s">
        <v>332</v>
      </c>
      <c r="C1719" s="12" t="s">
        <v>303</v>
      </c>
      <c r="D1719" s="12" t="s">
        <v>779</v>
      </c>
      <c r="E1719" s="17">
        <v>188.75</v>
      </c>
      <c r="F1719" s="12" t="s">
        <v>32</v>
      </c>
      <c r="G1719" s="12" t="s">
        <v>334</v>
      </c>
      <c r="H1719" s="12" t="s">
        <v>1652</v>
      </c>
      <c r="I1719" s="12" t="s">
        <v>334</v>
      </c>
      <c r="J1719" s="12" t="s">
        <v>2025</v>
      </c>
      <c r="K1719" s="12" t="s">
        <v>2026</v>
      </c>
    </row>
    <row r="1720" spans="1:11" ht="30" customHeight="1">
      <c r="A1720" s="12" t="s">
        <v>335</v>
      </c>
      <c r="B1720" s="12" t="s">
        <v>332</v>
      </c>
      <c r="C1720" s="12" t="s">
        <v>303</v>
      </c>
      <c r="D1720" s="12" t="s">
        <v>562</v>
      </c>
      <c r="E1720" s="17">
        <v>20.87</v>
      </c>
      <c r="F1720" s="12" t="s">
        <v>32</v>
      </c>
      <c r="G1720" s="12" t="s">
        <v>334</v>
      </c>
      <c r="H1720" s="12" t="s">
        <v>1652</v>
      </c>
      <c r="I1720" s="12" t="s">
        <v>334</v>
      </c>
      <c r="J1720" s="12" t="s">
        <v>2025</v>
      </c>
      <c r="K1720" s="12" t="s">
        <v>2026</v>
      </c>
    </row>
    <row r="1721" spans="1:11" ht="30" customHeight="1">
      <c r="A1721" s="12" t="s">
        <v>335</v>
      </c>
      <c r="B1721" s="12" t="s">
        <v>332</v>
      </c>
      <c r="C1721" s="12" t="s">
        <v>303</v>
      </c>
      <c r="D1721" s="12" t="s">
        <v>564</v>
      </c>
      <c r="E1721" s="17">
        <v>36.8</v>
      </c>
      <c r="F1721" s="12" t="s">
        <v>32</v>
      </c>
      <c r="G1721" s="12" t="s">
        <v>334</v>
      </c>
      <c r="H1721" s="12" t="s">
        <v>1652</v>
      </c>
      <c r="I1721" s="12" t="s">
        <v>334</v>
      </c>
      <c r="J1721" s="12" t="s">
        <v>2025</v>
      </c>
      <c r="K1721" s="12" t="s">
        <v>2026</v>
      </c>
    </row>
    <row r="1722" spans="1:11" ht="30" customHeight="1">
      <c r="A1722" s="12" t="s">
        <v>340</v>
      </c>
      <c r="B1722" s="12" t="s">
        <v>337</v>
      </c>
      <c r="C1722" s="12" t="s">
        <v>303</v>
      </c>
      <c r="D1722" s="12" t="s">
        <v>557</v>
      </c>
      <c r="E1722" s="17">
        <v>3284.558</v>
      </c>
      <c r="F1722" s="12" t="s">
        <v>32</v>
      </c>
      <c r="G1722" s="12" t="s">
        <v>339</v>
      </c>
      <c r="H1722" s="12" t="s">
        <v>2027</v>
      </c>
      <c r="I1722" s="12" t="s">
        <v>339</v>
      </c>
      <c r="J1722" s="12" t="s">
        <v>2028</v>
      </c>
      <c r="K1722" s="12" t="s">
        <v>2029</v>
      </c>
    </row>
    <row r="1723" spans="1:11" ht="30" customHeight="1">
      <c r="A1723" s="12" t="s">
        <v>340</v>
      </c>
      <c r="B1723" s="12" t="s">
        <v>337</v>
      </c>
      <c r="C1723" s="12" t="s">
        <v>303</v>
      </c>
      <c r="D1723" s="12" t="s">
        <v>558</v>
      </c>
      <c r="E1723" s="17">
        <v>2749.7702</v>
      </c>
      <c r="F1723" s="12" t="s">
        <v>32</v>
      </c>
      <c r="G1723" s="12" t="s">
        <v>339</v>
      </c>
      <c r="H1723" s="12" t="s">
        <v>2027</v>
      </c>
      <c r="I1723" s="12" t="s">
        <v>339</v>
      </c>
      <c r="J1723" s="12" t="s">
        <v>2028</v>
      </c>
      <c r="K1723" s="12" t="s">
        <v>2029</v>
      </c>
    </row>
    <row r="1724" spans="1:11" ht="30" customHeight="1">
      <c r="A1724" s="12" t="s">
        <v>340</v>
      </c>
      <c r="B1724" s="12" t="s">
        <v>337</v>
      </c>
      <c r="C1724" s="12" t="s">
        <v>303</v>
      </c>
      <c r="D1724" s="12" t="s">
        <v>559</v>
      </c>
      <c r="E1724" s="17">
        <v>12.3525</v>
      </c>
      <c r="F1724" s="12" t="s">
        <v>32</v>
      </c>
      <c r="G1724" s="12" t="s">
        <v>339</v>
      </c>
      <c r="H1724" s="12" t="s">
        <v>2027</v>
      </c>
      <c r="I1724" s="12" t="s">
        <v>339</v>
      </c>
      <c r="J1724" s="12" t="s">
        <v>2028</v>
      </c>
      <c r="K1724" s="12" t="s">
        <v>2029</v>
      </c>
    </row>
    <row r="1725" spans="1:11" ht="30" customHeight="1">
      <c r="A1725" s="12" t="s">
        <v>340</v>
      </c>
      <c r="B1725" s="12" t="s">
        <v>337</v>
      </c>
      <c r="C1725" s="12" t="s">
        <v>303</v>
      </c>
      <c r="D1725" s="12" t="s">
        <v>561</v>
      </c>
      <c r="E1725" s="17">
        <v>1100.8794</v>
      </c>
      <c r="F1725" s="12" t="s">
        <v>32</v>
      </c>
      <c r="G1725" s="12" t="s">
        <v>339</v>
      </c>
      <c r="H1725" s="12" t="s">
        <v>2027</v>
      </c>
      <c r="I1725" s="12" t="s">
        <v>339</v>
      </c>
      <c r="J1725" s="12" t="s">
        <v>2028</v>
      </c>
      <c r="K1725" s="12" t="s">
        <v>2029</v>
      </c>
    </row>
    <row r="1726" spans="1:11" ht="30" customHeight="1">
      <c r="A1726" s="12" t="s">
        <v>340</v>
      </c>
      <c r="B1726" s="12" t="s">
        <v>337</v>
      </c>
      <c r="C1726" s="12" t="s">
        <v>303</v>
      </c>
      <c r="D1726" s="12" t="s">
        <v>779</v>
      </c>
      <c r="E1726" s="17">
        <v>1151.0147</v>
      </c>
      <c r="F1726" s="12" t="s">
        <v>32</v>
      </c>
      <c r="G1726" s="12" t="s">
        <v>339</v>
      </c>
      <c r="H1726" s="12" t="s">
        <v>2027</v>
      </c>
      <c r="I1726" s="12" t="s">
        <v>339</v>
      </c>
      <c r="J1726" s="12" t="s">
        <v>2028</v>
      </c>
      <c r="K1726" s="12" t="s">
        <v>2029</v>
      </c>
    </row>
    <row r="1727" spans="1:11" ht="30" customHeight="1">
      <c r="A1727" s="12" t="s">
        <v>340</v>
      </c>
      <c r="B1727" s="12" t="s">
        <v>337</v>
      </c>
      <c r="C1727" s="12" t="s">
        <v>303</v>
      </c>
      <c r="D1727" s="12" t="s">
        <v>562</v>
      </c>
      <c r="E1727" s="17">
        <v>74.2013</v>
      </c>
      <c r="F1727" s="12" t="s">
        <v>32</v>
      </c>
      <c r="G1727" s="12" t="s">
        <v>339</v>
      </c>
      <c r="H1727" s="12" t="s">
        <v>2027</v>
      </c>
      <c r="I1727" s="12" t="s">
        <v>339</v>
      </c>
      <c r="J1727" s="12" t="s">
        <v>2028</v>
      </c>
      <c r="K1727" s="12" t="s">
        <v>2029</v>
      </c>
    </row>
    <row r="1728" spans="1:11" ht="30" customHeight="1">
      <c r="A1728" s="12" t="s">
        <v>340</v>
      </c>
      <c r="B1728" s="12" t="s">
        <v>337</v>
      </c>
      <c r="C1728" s="12" t="s">
        <v>303</v>
      </c>
      <c r="D1728" s="12" t="s">
        <v>564</v>
      </c>
      <c r="E1728" s="17">
        <v>42.5733</v>
      </c>
      <c r="F1728" s="12" t="s">
        <v>32</v>
      </c>
      <c r="G1728" s="12" t="s">
        <v>339</v>
      </c>
      <c r="H1728" s="12" t="s">
        <v>2027</v>
      </c>
      <c r="I1728" s="12" t="s">
        <v>339</v>
      </c>
      <c r="J1728" s="12" t="s">
        <v>2028</v>
      </c>
      <c r="K1728" s="12" t="s">
        <v>2029</v>
      </c>
    </row>
    <row r="1729" spans="1:11" ht="30" customHeight="1">
      <c r="A1729" s="12" t="s">
        <v>346</v>
      </c>
      <c r="B1729" s="12" t="s">
        <v>343</v>
      </c>
      <c r="C1729" s="12" t="s">
        <v>303</v>
      </c>
      <c r="D1729" s="12" t="s">
        <v>557</v>
      </c>
      <c r="E1729" s="17">
        <v>4934.909</v>
      </c>
      <c r="F1729" s="12" t="s">
        <v>32</v>
      </c>
      <c r="G1729" s="12" t="s">
        <v>345</v>
      </c>
      <c r="H1729" s="12" t="s">
        <v>2030</v>
      </c>
      <c r="I1729" s="12" t="s">
        <v>345</v>
      </c>
      <c r="J1729" s="12" t="s">
        <v>2031</v>
      </c>
      <c r="K1729" s="12" t="s">
        <v>2032</v>
      </c>
    </row>
    <row r="1730" spans="1:11" ht="30" customHeight="1">
      <c r="A1730" s="12" t="s">
        <v>346</v>
      </c>
      <c r="B1730" s="12" t="s">
        <v>343</v>
      </c>
      <c r="C1730" s="12" t="s">
        <v>303</v>
      </c>
      <c r="D1730" s="12" t="s">
        <v>558</v>
      </c>
      <c r="E1730" s="17">
        <v>2643.011</v>
      </c>
      <c r="F1730" s="12" t="s">
        <v>32</v>
      </c>
      <c r="G1730" s="12" t="s">
        <v>345</v>
      </c>
      <c r="H1730" s="12" t="s">
        <v>2030</v>
      </c>
      <c r="I1730" s="12" t="s">
        <v>345</v>
      </c>
      <c r="J1730" s="12" t="s">
        <v>2031</v>
      </c>
      <c r="K1730" s="12" t="s">
        <v>2032</v>
      </c>
    </row>
    <row r="1731" spans="1:11" ht="30" customHeight="1">
      <c r="A1731" s="12" t="s">
        <v>346</v>
      </c>
      <c r="B1731" s="12" t="s">
        <v>343</v>
      </c>
      <c r="C1731" s="12" t="s">
        <v>303</v>
      </c>
      <c r="D1731" s="12" t="s">
        <v>559</v>
      </c>
      <c r="E1731" s="17">
        <v>729.1420000000001</v>
      </c>
      <c r="F1731" s="12" t="s">
        <v>32</v>
      </c>
      <c r="G1731" s="12" t="s">
        <v>345</v>
      </c>
      <c r="H1731" s="12" t="s">
        <v>2030</v>
      </c>
      <c r="I1731" s="12" t="s">
        <v>345</v>
      </c>
      <c r="J1731" s="12" t="s">
        <v>2031</v>
      </c>
      <c r="K1731" s="12" t="s">
        <v>2032</v>
      </c>
    </row>
    <row r="1732" spans="1:11" ht="30" customHeight="1">
      <c r="A1732" s="12" t="s">
        <v>346</v>
      </c>
      <c r="B1732" s="12" t="s">
        <v>343</v>
      </c>
      <c r="C1732" s="12" t="s">
        <v>303</v>
      </c>
      <c r="D1732" s="12" t="s">
        <v>561</v>
      </c>
      <c r="E1732" s="17">
        <v>0</v>
      </c>
      <c r="F1732" s="12" t="s">
        <v>32</v>
      </c>
      <c r="G1732" s="12" t="s">
        <v>345</v>
      </c>
      <c r="H1732" s="12" t="s">
        <v>2030</v>
      </c>
      <c r="I1732" s="12" t="s">
        <v>345</v>
      </c>
      <c r="J1732" s="12" t="s">
        <v>2031</v>
      </c>
      <c r="K1732" s="12" t="s">
        <v>2032</v>
      </c>
    </row>
    <row r="1733" spans="1:11" ht="30" customHeight="1">
      <c r="A1733" s="12" t="s">
        <v>346</v>
      </c>
      <c r="B1733" s="12" t="s">
        <v>343</v>
      </c>
      <c r="C1733" s="12" t="s">
        <v>303</v>
      </c>
      <c r="D1733" s="12" t="s">
        <v>779</v>
      </c>
      <c r="E1733" s="17">
        <v>0</v>
      </c>
      <c r="F1733" s="12" t="s">
        <v>32</v>
      </c>
      <c r="G1733" s="12" t="s">
        <v>345</v>
      </c>
      <c r="H1733" s="12" t="s">
        <v>2030</v>
      </c>
      <c r="I1733" s="12" t="s">
        <v>345</v>
      </c>
      <c r="J1733" s="12" t="s">
        <v>2031</v>
      </c>
      <c r="K1733" s="12" t="s">
        <v>2032</v>
      </c>
    </row>
    <row r="1734" spans="1:11" ht="30" customHeight="1">
      <c r="A1734" s="12" t="s">
        <v>346</v>
      </c>
      <c r="B1734" s="12" t="s">
        <v>343</v>
      </c>
      <c r="C1734" s="12" t="s">
        <v>303</v>
      </c>
      <c r="D1734" s="12" t="s">
        <v>562</v>
      </c>
      <c r="E1734" s="17">
        <v>46.378</v>
      </c>
      <c r="F1734" s="12" t="s">
        <v>32</v>
      </c>
      <c r="G1734" s="12" t="s">
        <v>345</v>
      </c>
      <c r="H1734" s="12" t="s">
        <v>2030</v>
      </c>
      <c r="I1734" s="12" t="s">
        <v>345</v>
      </c>
      <c r="J1734" s="12" t="s">
        <v>2031</v>
      </c>
      <c r="K1734" s="12" t="s">
        <v>2032</v>
      </c>
    </row>
    <row r="1735" spans="1:11" ht="30" customHeight="1">
      <c r="A1735" s="12" t="s">
        <v>346</v>
      </c>
      <c r="B1735" s="12" t="s">
        <v>343</v>
      </c>
      <c r="C1735" s="12" t="s">
        <v>303</v>
      </c>
      <c r="D1735" s="12" t="s">
        <v>564</v>
      </c>
      <c r="E1735" s="17">
        <v>79.566</v>
      </c>
      <c r="F1735" s="12" t="s">
        <v>32</v>
      </c>
      <c r="G1735" s="12" t="s">
        <v>345</v>
      </c>
      <c r="H1735" s="12" t="s">
        <v>2030</v>
      </c>
      <c r="I1735" s="12" t="s">
        <v>345</v>
      </c>
      <c r="J1735" s="12" t="s">
        <v>2031</v>
      </c>
      <c r="K1735" s="12" t="s">
        <v>2032</v>
      </c>
    </row>
    <row r="1736" spans="1:11" ht="30" customHeight="1">
      <c r="A1736" s="12" t="s">
        <v>356</v>
      </c>
      <c r="B1736" s="12" t="s">
        <v>353</v>
      </c>
      <c r="C1736" s="12" t="s">
        <v>303</v>
      </c>
      <c r="D1736" s="12" t="s">
        <v>557</v>
      </c>
      <c r="E1736" s="17">
        <v>4825.8286</v>
      </c>
      <c r="F1736" s="12" t="s">
        <v>32</v>
      </c>
      <c r="G1736" s="12" t="s">
        <v>355</v>
      </c>
      <c r="H1736" s="12" t="s">
        <v>2033</v>
      </c>
      <c r="I1736" s="12" t="s">
        <v>355</v>
      </c>
      <c r="J1736" s="12" t="s">
        <v>2034</v>
      </c>
      <c r="K1736" s="12" t="s">
        <v>2035</v>
      </c>
    </row>
    <row r="1737" spans="1:11" ht="30" customHeight="1">
      <c r="A1737" s="12" t="s">
        <v>356</v>
      </c>
      <c r="B1737" s="12" t="s">
        <v>353</v>
      </c>
      <c r="C1737" s="12" t="s">
        <v>303</v>
      </c>
      <c r="D1737" s="12" t="s">
        <v>558</v>
      </c>
      <c r="E1737" s="17">
        <v>3610.7671</v>
      </c>
      <c r="F1737" s="12" t="s">
        <v>32</v>
      </c>
      <c r="G1737" s="12" t="s">
        <v>355</v>
      </c>
      <c r="H1737" s="12" t="s">
        <v>2033</v>
      </c>
      <c r="I1737" s="12" t="s">
        <v>355</v>
      </c>
      <c r="J1737" s="12" t="s">
        <v>2034</v>
      </c>
      <c r="K1737" s="12" t="s">
        <v>2035</v>
      </c>
    </row>
    <row r="1738" spans="1:11" ht="30" customHeight="1">
      <c r="A1738" s="12" t="s">
        <v>356</v>
      </c>
      <c r="B1738" s="12" t="s">
        <v>353</v>
      </c>
      <c r="C1738" s="12" t="s">
        <v>303</v>
      </c>
      <c r="D1738" s="12" t="s">
        <v>559</v>
      </c>
      <c r="E1738" s="17">
        <v>-40.0268</v>
      </c>
      <c r="F1738" s="12" t="s">
        <v>32</v>
      </c>
      <c r="G1738" s="12" t="s">
        <v>355</v>
      </c>
      <c r="H1738" s="12" t="s">
        <v>2033</v>
      </c>
      <c r="I1738" s="12" t="s">
        <v>355</v>
      </c>
      <c r="J1738" s="12" t="s">
        <v>2034</v>
      </c>
      <c r="K1738" s="12" t="s">
        <v>2035</v>
      </c>
    </row>
    <row r="1739" spans="1:11" ht="30" customHeight="1">
      <c r="A1739" s="12" t="s">
        <v>356</v>
      </c>
      <c r="B1739" s="12" t="s">
        <v>353</v>
      </c>
      <c r="C1739" s="12" t="s">
        <v>303</v>
      </c>
      <c r="D1739" s="12" t="s">
        <v>561</v>
      </c>
      <c r="E1739" s="17">
        <v>1711.8752</v>
      </c>
      <c r="F1739" s="12" t="s">
        <v>32</v>
      </c>
      <c r="G1739" s="12" t="s">
        <v>355</v>
      </c>
      <c r="H1739" s="12" t="s">
        <v>2033</v>
      </c>
      <c r="I1739" s="12" t="s">
        <v>355</v>
      </c>
      <c r="J1739" s="12" t="s">
        <v>2034</v>
      </c>
      <c r="K1739" s="12" t="s">
        <v>2035</v>
      </c>
    </row>
    <row r="1740" spans="1:11" ht="30" customHeight="1">
      <c r="A1740" s="12" t="s">
        <v>356</v>
      </c>
      <c r="B1740" s="12" t="s">
        <v>353</v>
      </c>
      <c r="C1740" s="12" t="s">
        <v>303</v>
      </c>
      <c r="D1740" s="12" t="s">
        <v>779</v>
      </c>
      <c r="E1740" s="17">
        <v>1884.4025</v>
      </c>
      <c r="F1740" s="12" t="s">
        <v>32</v>
      </c>
      <c r="G1740" s="12" t="s">
        <v>355</v>
      </c>
      <c r="H1740" s="12" t="s">
        <v>2033</v>
      </c>
      <c r="I1740" s="12" t="s">
        <v>355</v>
      </c>
      <c r="J1740" s="12" t="s">
        <v>2034</v>
      </c>
      <c r="K1740" s="12" t="s">
        <v>2035</v>
      </c>
    </row>
    <row r="1741" spans="1:11" ht="30" customHeight="1">
      <c r="A1741" s="12" t="s">
        <v>356</v>
      </c>
      <c r="B1741" s="12" t="s">
        <v>353</v>
      </c>
      <c r="C1741" s="12" t="s">
        <v>303</v>
      </c>
      <c r="D1741" s="12" t="s">
        <v>562</v>
      </c>
      <c r="E1741" s="17">
        <v>140.0702</v>
      </c>
      <c r="F1741" s="12" t="s">
        <v>32</v>
      </c>
      <c r="G1741" s="12" t="s">
        <v>355</v>
      </c>
      <c r="H1741" s="12" t="s">
        <v>2033</v>
      </c>
      <c r="I1741" s="12" t="s">
        <v>355</v>
      </c>
      <c r="J1741" s="12" t="s">
        <v>2034</v>
      </c>
      <c r="K1741" s="12" t="s">
        <v>2035</v>
      </c>
    </row>
    <row r="1742" spans="1:11" ht="30" customHeight="1">
      <c r="A1742" s="12" t="s">
        <v>356</v>
      </c>
      <c r="B1742" s="12" t="s">
        <v>353</v>
      </c>
      <c r="C1742" s="12" t="s">
        <v>303</v>
      </c>
      <c r="D1742" s="12" t="s">
        <v>564</v>
      </c>
      <c r="E1742" s="17">
        <v>127.9604</v>
      </c>
      <c r="F1742" s="12" t="s">
        <v>32</v>
      </c>
      <c r="G1742" s="12" t="s">
        <v>355</v>
      </c>
      <c r="H1742" s="12" t="s">
        <v>2033</v>
      </c>
      <c r="I1742" s="12" t="s">
        <v>355</v>
      </c>
      <c r="J1742" s="12" t="s">
        <v>2034</v>
      </c>
      <c r="K1742" s="12" t="s">
        <v>2035</v>
      </c>
    </row>
    <row r="1743" spans="1:11" ht="30" customHeight="1">
      <c r="A1743" s="12" t="s">
        <v>351</v>
      </c>
      <c r="B1743" s="12" t="s">
        <v>348</v>
      </c>
      <c r="C1743" s="12" t="s">
        <v>303</v>
      </c>
      <c r="D1743" s="12" t="s">
        <v>557</v>
      </c>
      <c r="E1743" s="17">
        <v>6176.74</v>
      </c>
      <c r="F1743" s="12" t="s">
        <v>32</v>
      </c>
      <c r="G1743" s="12" t="s">
        <v>350</v>
      </c>
      <c r="H1743" s="12" t="s">
        <v>2036</v>
      </c>
      <c r="I1743" s="12" t="s">
        <v>350</v>
      </c>
      <c r="J1743" s="12" t="s">
        <v>2037</v>
      </c>
      <c r="K1743" s="12" t="s">
        <v>2038</v>
      </c>
    </row>
    <row r="1744" spans="1:11" ht="30" customHeight="1">
      <c r="A1744" s="12" t="s">
        <v>351</v>
      </c>
      <c r="B1744" s="12" t="s">
        <v>348</v>
      </c>
      <c r="C1744" s="12" t="s">
        <v>303</v>
      </c>
      <c r="D1744" s="12" t="s">
        <v>558</v>
      </c>
      <c r="E1744" s="17">
        <v>13836</v>
      </c>
      <c r="F1744" s="12" t="s">
        <v>32</v>
      </c>
      <c r="G1744" s="12" t="s">
        <v>350</v>
      </c>
      <c r="H1744" s="12" t="s">
        <v>2036</v>
      </c>
      <c r="I1744" s="12" t="s">
        <v>350</v>
      </c>
      <c r="J1744" s="12" t="s">
        <v>2037</v>
      </c>
      <c r="K1744" s="12" t="s">
        <v>2038</v>
      </c>
    </row>
    <row r="1745" spans="1:11" ht="30" customHeight="1">
      <c r="A1745" s="12" t="s">
        <v>351</v>
      </c>
      <c r="B1745" s="12" t="s">
        <v>348</v>
      </c>
      <c r="C1745" s="12" t="s">
        <v>303</v>
      </c>
      <c r="D1745" s="12" t="s">
        <v>559</v>
      </c>
      <c r="E1745" s="17">
        <v>38.19</v>
      </c>
      <c r="F1745" s="12" t="s">
        <v>32</v>
      </c>
      <c r="G1745" s="12" t="s">
        <v>350</v>
      </c>
      <c r="H1745" s="12" t="s">
        <v>2036</v>
      </c>
      <c r="I1745" s="12" t="s">
        <v>350</v>
      </c>
      <c r="J1745" s="12" t="s">
        <v>2037</v>
      </c>
      <c r="K1745" s="12" t="s">
        <v>2038</v>
      </c>
    </row>
    <row r="1746" spans="1:11" ht="30" customHeight="1">
      <c r="A1746" s="12" t="s">
        <v>351</v>
      </c>
      <c r="B1746" s="12" t="s">
        <v>348</v>
      </c>
      <c r="C1746" s="12" t="s">
        <v>303</v>
      </c>
      <c r="D1746" s="12" t="s">
        <v>561</v>
      </c>
      <c r="E1746" s="17">
        <v>1269.57</v>
      </c>
      <c r="F1746" s="12" t="s">
        <v>32</v>
      </c>
      <c r="G1746" s="12" t="s">
        <v>350</v>
      </c>
      <c r="H1746" s="12" t="s">
        <v>2036</v>
      </c>
      <c r="I1746" s="12" t="s">
        <v>350</v>
      </c>
      <c r="J1746" s="12" t="s">
        <v>2037</v>
      </c>
      <c r="K1746" s="12" t="s">
        <v>2038</v>
      </c>
    </row>
    <row r="1747" spans="1:11" ht="30" customHeight="1">
      <c r="A1747" s="12" t="s">
        <v>351</v>
      </c>
      <c r="B1747" s="12" t="s">
        <v>348</v>
      </c>
      <c r="C1747" s="12" t="s">
        <v>303</v>
      </c>
      <c r="D1747" s="12" t="s">
        <v>779</v>
      </c>
      <c r="E1747" s="17">
        <v>825.41</v>
      </c>
      <c r="F1747" s="12" t="s">
        <v>32</v>
      </c>
      <c r="G1747" s="12" t="s">
        <v>350</v>
      </c>
      <c r="H1747" s="12" t="s">
        <v>2036</v>
      </c>
      <c r="I1747" s="12" t="s">
        <v>350</v>
      </c>
      <c r="J1747" s="12" t="s">
        <v>2037</v>
      </c>
      <c r="K1747" s="12" t="s">
        <v>2038</v>
      </c>
    </row>
    <row r="1748" spans="1:11" ht="30" customHeight="1">
      <c r="A1748" s="12" t="s">
        <v>351</v>
      </c>
      <c r="B1748" s="12" t="s">
        <v>348</v>
      </c>
      <c r="C1748" s="12" t="s">
        <v>303</v>
      </c>
      <c r="D1748" s="12" t="s">
        <v>562</v>
      </c>
      <c r="E1748" s="17">
        <v>207.35</v>
      </c>
      <c r="F1748" s="12" t="s">
        <v>32</v>
      </c>
      <c r="G1748" s="12" t="s">
        <v>350</v>
      </c>
      <c r="H1748" s="12" t="s">
        <v>2036</v>
      </c>
      <c r="I1748" s="12" t="s">
        <v>350</v>
      </c>
      <c r="J1748" s="12" t="s">
        <v>2037</v>
      </c>
      <c r="K1748" s="12" t="s">
        <v>2038</v>
      </c>
    </row>
    <row r="1749" spans="1:11" ht="30" customHeight="1">
      <c r="A1749" s="12" t="s">
        <v>351</v>
      </c>
      <c r="B1749" s="12" t="s">
        <v>348</v>
      </c>
      <c r="C1749" s="12" t="s">
        <v>303</v>
      </c>
      <c r="D1749" s="12" t="s">
        <v>564</v>
      </c>
      <c r="E1749" s="17">
        <v>219.2</v>
      </c>
      <c r="F1749" s="12" t="s">
        <v>32</v>
      </c>
      <c r="G1749" s="12" t="s">
        <v>350</v>
      </c>
      <c r="H1749" s="12" t="s">
        <v>2036</v>
      </c>
      <c r="I1749" s="12" t="s">
        <v>350</v>
      </c>
      <c r="J1749" s="12" t="s">
        <v>2037</v>
      </c>
      <c r="K1749" s="12" t="s">
        <v>2038</v>
      </c>
    </row>
    <row r="1750" spans="1:11" ht="30" customHeight="1">
      <c r="A1750" s="12" t="s">
        <v>361</v>
      </c>
      <c r="B1750" s="12" t="s">
        <v>358</v>
      </c>
      <c r="C1750" s="12" t="s">
        <v>303</v>
      </c>
      <c r="D1750" s="12" t="s">
        <v>557</v>
      </c>
      <c r="E1750" s="17">
        <v>6987.08</v>
      </c>
      <c r="F1750" s="12" t="s">
        <v>32</v>
      </c>
      <c r="G1750" s="12" t="s">
        <v>360</v>
      </c>
      <c r="H1750" s="12" t="s">
        <v>2039</v>
      </c>
      <c r="I1750" s="12" t="s">
        <v>360</v>
      </c>
      <c r="J1750" s="12" t="s">
        <v>2040</v>
      </c>
      <c r="K1750" s="12" t="s">
        <v>2041</v>
      </c>
    </row>
    <row r="1751" spans="1:11" ht="30" customHeight="1">
      <c r="A1751" s="12" t="s">
        <v>361</v>
      </c>
      <c r="B1751" s="12" t="s">
        <v>358</v>
      </c>
      <c r="C1751" s="12" t="s">
        <v>303</v>
      </c>
      <c r="D1751" s="12" t="s">
        <v>558</v>
      </c>
      <c r="E1751" s="17">
        <v>7160.72</v>
      </c>
      <c r="F1751" s="12" t="s">
        <v>32</v>
      </c>
      <c r="G1751" s="12" t="s">
        <v>360</v>
      </c>
      <c r="H1751" s="12" t="s">
        <v>2039</v>
      </c>
      <c r="I1751" s="12" t="s">
        <v>360</v>
      </c>
      <c r="J1751" s="12" t="s">
        <v>2040</v>
      </c>
      <c r="K1751" s="12" t="s">
        <v>2041</v>
      </c>
    </row>
    <row r="1752" spans="1:11" ht="30" customHeight="1">
      <c r="A1752" s="12" t="s">
        <v>361</v>
      </c>
      <c r="B1752" s="12" t="s">
        <v>358</v>
      </c>
      <c r="C1752" s="12" t="s">
        <v>303</v>
      </c>
      <c r="D1752" s="12" t="s">
        <v>559</v>
      </c>
      <c r="E1752" s="17">
        <v>370.73</v>
      </c>
      <c r="F1752" s="12" t="s">
        <v>32</v>
      </c>
      <c r="G1752" s="12" t="s">
        <v>360</v>
      </c>
      <c r="H1752" s="12" t="s">
        <v>2039</v>
      </c>
      <c r="I1752" s="12" t="s">
        <v>360</v>
      </c>
      <c r="J1752" s="12" t="s">
        <v>2040</v>
      </c>
      <c r="K1752" s="12" t="s">
        <v>2041</v>
      </c>
    </row>
    <row r="1753" spans="1:11" ht="30" customHeight="1">
      <c r="A1753" s="12" t="s">
        <v>361</v>
      </c>
      <c r="B1753" s="12" t="s">
        <v>358</v>
      </c>
      <c r="C1753" s="12" t="s">
        <v>303</v>
      </c>
      <c r="D1753" s="12" t="s">
        <v>561</v>
      </c>
      <c r="E1753" s="17">
        <v>1575.78</v>
      </c>
      <c r="F1753" s="12" t="s">
        <v>32</v>
      </c>
      <c r="G1753" s="12" t="s">
        <v>360</v>
      </c>
      <c r="H1753" s="12" t="s">
        <v>2039</v>
      </c>
      <c r="I1753" s="12" t="s">
        <v>360</v>
      </c>
      <c r="J1753" s="12" t="s">
        <v>2040</v>
      </c>
      <c r="K1753" s="12" t="s">
        <v>2041</v>
      </c>
    </row>
    <row r="1754" spans="1:11" ht="30" customHeight="1">
      <c r="A1754" s="12" t="s">
        <v>361</v>
      </c>
      <c r="B1754" s="12" t="s">
        <v>358</v>
      </c>
      <c r="C1754" s="12" t="s">
        <v>303</v>
      </c>
      <c r="D1754" s="12" t="s">
        <v>779</v>
      </c>
      <c r="E1754" s="17">
        <v>2060.81</v>
      </c>
      <c r="F1754" s="12" t="s">
        <v>32</v>
      </c>
      <c r="G1754" s="12" t="s">
        <v>360</v>
      </c>
      <c r="H1754" s="12" t="s">
        <v>2039</v>
      </c>
      <c r="I1754" s="12" t="s">
        <v>360</v>
      </c>
      <c r="J1754" s="12" t="s">
        <v>2040</v>
      </c>
      <c r="K1754" s="12" t="s">
        <v>2041</v>
      </c>
    </row>
    <row r="1755" spans="1:11" ht="30" customHeight="1">
      <c r="A1755" s="12" t="s">
        <v>361</v>
      </c>
      <c r="B1755" s="12" t="s">
        <v>358</v>
      </c>
      <c r="C1755" s="12" t="s">
        <v>303</v>
      </c>
      <c r="D1755" s="12" t="s">
        <v>562</v>
      </c>
      <c r="E1755" s="17">
        <v>130.18</v>
      </c>
      <c r="F1755" s="12" t="s">
        <v>32</v>
      </c>
      <c r="G1755" s="12" t="s">
        <v>360</v>
      </c>
      <c r="H1755" s="12" t="s">
        <v>2039</v>
      </c>
      <c r="I1755" s="12" t="s">
        <v>360</v>
      </c>
      <c r="J1755" s="12" t="s">
        <v>2040</v>
      </c>
      <c r="K1755" s="12" t="s">
        <v>2041</v>
      </c>
    </row>
    <row r="1756" spans="1:11" ht="30" customHeight="1">
      <c r="A1756" s="12" t="s">
        <v>361</v>
      </c>
      <c r="B1756" s="12" t="s">
        <v>358</v>
      </c>
      <c r="C1756" s="12" t="s">
        <v>303</v>
      </c>
      <c r="D1756" s="12" t="s">
        <v>564</v>
      </c>
      <c r="E1756" s="17">
        <v>229.64</v>
      </c>
      <c r="F1756" s="12" t="s">
        <v>32</v>
      </c>
      <c r="G1756" s="12" t="s">
        <v>360</v>
      </c>
      <c r="H1756" s="12" t="s">
        <v>2039</v>
      </c>
      <c r="I1756" s="12" t="s">
        <v>360</v>
      </c>
      <c r="J1756" s="12" t="s">
        <v>2040</v>
      </c>
      <c r="K1756" s="12" t="s">
        <v>2041</v>
      </c>
    </row>
    <row r="1757" spans="1:11" ht="30" customHeight="1">
      <c r="A1757" s="12" t="s">
        <v>366</v>
      </c>
      <c r="B1757" s="12" t="s">
        <v>363</v>
      </c>
      <c r="C1757" s="12" t="s">
        <v>303</v>
      </c>
      <c r="D1757" s="12" t="s">
        <v>557</v>
      </c>
      <c r="E1757" s="17">
        <v>9784.879999999999</v>
      </c>
      <c r="F1757" s="12" t="s">
        <v>32</v>
      </c>
      <c r="G1757" s="12" t="s">
        <v>365</v>
      </c>
      <c r="H1757" s="12" t="s">
        <v>2042</v>
      </c>
      <c r="I1757" s="12" t="s">
        <v>365</v>
      </c>
      <c r="J1757" s="12" t="s">
        <v>2043</v>
      </c>
      <c r="K1757" s="12" t="s">
        <v>2044</v>
      </c>
    </row>
    <row r="1758" spans="1:11" ht="30" customHeight="1">
      <c r="A1758" s="12" t="s">
        <v>366</v>
      </c>
      <c r="B1758" s="12" t="s">
        <v>363</v>
      </c>
      <c r="C1758" s="12" t="s">
        <v>303</v>
      </c>
      <c r="D1758" s="12" t="s">
        <v>558</v>
      </c>
      <c r="E1758" s="17">
        <v>12432.1</v>
      </c>
      <c r="F1758" s="12" t="s">
        <v>32</v>
      </c>
      <c r="G1758" s="12" t="s">
        <v>365</v>
      </c>
      <c r="H1758" s="12" t="s">
        <v>2042</v>
      </c>
      <c r="I1758" s="12" t="s">
        <v>365</v>
      </c>
      <c r="J1758" s="12" t="s">
        <v>2043</v>
      </c>
      <c r="K1758" s="12" t="s">
        <v>2044</v>
      </c>
    </row>
    <row r="1759" spans="1:11" ht="30" customHeight="1">
      <c r="A1759" s="12" t="s">
        <v>366</v>
      </c>
      <c r="B1759" s="12" t="s">
        <v>363</v>
      </c>
      <c r="C1759" s="12" t="s">
        <v>303</v>
      </c>
      <c r="D1759" s="12" t="s">
        <v>559</v>
      </c>
      <c r="E1759" s="17">
        <v>886.72</v>
      </c>
      <c r="F1759" s="12" t="s">
        <v>32</v>
      </c>
      <c r="G1759" s="12" t="s">
        <v>365</v>
      </c>
      <c r="H1759" s="12" t="s">
        <v>2042</v>
      </c>
      <c r="I1759" s="12" t="s">
        <v>365</v>
      </c>
      <c r="J1759" s="12" t="s">
        <v>2043</v>
      </c>
      <c r="K1759" s="12" t="s">
        <v>2044</v>
      </c>
    </row>
    <row r="1760" spans="1:11" ht="30" customHeight="1">
      <c r="A1760" s="12" t="s">
        <v>366</v>
      </c>
      <c r="B1760" s="12" t="s">
        <v>363</v>
      </c>
      <c r="C1760" s="12" t="s">
        <v>303</v>
      </c>
      <c r="D1760" s="12" t="s">
        <v>561</v>
      </c>
      <c r="E1760" s="17">
        <v>1238.07</v>
      </c>
      <c r="F1760" s="12" t="s">
        <v>32</v>
      </c>
      <c r="G1760" s="12" t="s">
        <v>365</v>
      </c>
      <c r="H1760" s="12" t="s">
        <v>2042</v>
      </c>
      <c r="I1760" s="12" t="s">
        <v>365</v>
      </c>
      <c r="J1760" s="12" t="s">
        <v>2043</v>
      </c>
      <c r="K1760" s="12" t="s">
        <v>2044</v>
      </c>
    </row>
    <row r="1761" spans="1:11" ht="30" customHeight="1">
      <c r="A1761" s="12" t="s">
        <v>366</v>
      </c>
      <c r="B1761" s="12" t="s">
        <v>363</v>
      </c>
      <c r="C1761" s="12" t="s">
        <v>303</v>
      </c>
      <c r="D1761" s="12" t="s">
        <v>779</v>
      </c>
      <c r="E1761" s="17">
        <v>1791.17</v>
      </c>
      <c r="F1761" s="12" t="s">
        <v>32</v>
      </c>
      <c r="G1761" s="12" t="s">
        <v>365</v>
      </c>
      <c r="H1761" s="12" t="s">
        <v>2042</v>
      </c>
      <c r="I1761" s="12" t="s">
        <v>365</v>
      </c>
      <c r="J1761" s="12" t="s">
        <v>2043</v>
      </c>
      <c r="K1761" s="12" t="s">
        <v>2044</v>
      </c>
    </row>
    <row r="1762" spans="1:11" ht="30" customHeight="1">
      <c r="A1762" s="12" t="s">
        <v>366</v>
      </c>
      <c r="B1762" s="12" t="s">
        <v>363</v>
      </c>
      <c r="C1762" s="12" t="s">
        <v>303</v>
      </c>
      <c r="D1762" s="12" t="s">
        <v>562</v>
      </c>
      <c r="E1762" s="17">
        <v>77.28</v>
      </c>
      <c r="F1762" s="12" t="s">
        <v>32</v>
      </c>
      <c r="G1762" s="12" t="s">
        <v>365</v>
      </c>
      <c r="H1762" s="12" t="s">
        <v>2042</v>
      </c>
      <c r="I1762" s="12" t="s">
        <v>365</v>
      </c>
      <c r="J1762" s="12" t="s">
        <v>2043</v>
      </c>
      <c r="K1762" s="12" t="s">
        <v>2044</v>
      </c>
    </row>
    <row r="1763" spans="1:11" ht="30" customHeight="1">
      <c r="A1763" s="12" t="s">
        <v>366</v>
      </c>
      <c r="B1763" s="12" t="s">
        <v>363</v>
      </c>
      <c r="C1763" s="12" t="s">
        <v>303</v>
      </c>
      <c r="D1763" s="12" t="s">
        <v>564</v>
      </c>
      <c r="E1763" s="17">
        <v>1032.62</v>
      </c>
      <c r="F1763" s="12" t="s">
        <v>32</v>
      </c>
      <c r="G1763" s="12" t="s">
        <v>365</v>
      </c>
      <c r="H1763" s="12" t="s">
        <v>2042</v>
      </c>
      <c r="I1763" s="12" t="s">
        <v>365</v>
      </c>
      <c r="J1763" s="12" t="s">
        <v>2043</v>
      </c>
      <c r="K1763" s="12" t="s">
        <v>2044</v>
      </c>
    </row>
    <row r="1764" spans="1:11" ht="30" customHeight="1">
      <c r="A1764" s="12" t="s">
        <v>371</v>
      </c>
      <c r="B1764" s="12" t="s">
        <v>368</v>
      </c>
      <c r="C1764" s="12" t="s">
        <v>303</v>
      </c>
      <c r="D1764" s="12" t="s">
        <v>557</v>
      </c>
      <c r="E1764" s="17">
        <v>10545.09</v>
      </c>
      <c r="F1764" s="12" t="s">
        <v>32</v>
      </c>
      <c r="G1764" s="12" t="s">
        <v>370</v>
      </c>
      <c r="H1764" s="12" t="s">
        <v>2045</v>
      </c>
      <c r="I1764" s="12" t="s">
        <v>370</v>
      </c>
      <c r="J1764" s="12" t="s">
        <v>2046</v>
      </c>
      <c r="K1764" s="12" t="s">
        <v>2047</v>
      </c>
    </row>
    <row r="1765" spans="1:11" ht="30" customHeight="1">
      <c r="A1765" s="12" t="s">
        <v>371</v>
      </c>
      <c r="B1765" s="12" t="s">
        <v>368</v>
      </c>
      <c r="C1765" s="12" t="s">
        <v>303</v>
      </c>
      <c r="D1765" s="12" t="s">
        <v>558</v>
      </c>
      <c r="E1765" s="17">
        <v>10307.07</v>
      </c>
      <c r="F1765" s="12" t="s">
        <v>32</v>
      </c>
      <c r="G1765" s="12" t="s">
        <v>370</v>
      </c>
      <c r="H1765" s="12" t="s">
        <v>2045</v>
      </c>
      <c r="I1765" s="12" t="s">
        <v>370</v>
      </c>
      <c r="J1765" s="12" t="s">
        <v>2046</v>
      </c>
      <c r="K1765" s="12" t="s">
        <v>2047</v>
      </c>
    </row>
    <row r="1766" spans="1:11" ht="30" customHeight="1">
      <c r="A1766" s="12" t="s">
        <v>371</v>
      </c>
      <c r="B1766" s="12" t="s">
        <v>368</v>
      </c>
      <c r="C1766" s="12" t="s">
        <v>303</v>
      </c>
      <c r="D1766" s="12" t="s">
        <v>559</v>
      </c>
      <c r="E1766" s="17">
        <v>644.02</v>
      </c>
      <c r="F1766" s="12" t="s">
        <v>32</v>
      </c>
      <c r="G1766" s="12" t="s">
        <v>370</v>
      </c>
      <c r="H1766" s="12" t="s">
        <v>2045</v>
      </c>
      <c r="I1766" s="12" t="s">
        <v>370</v>
      </c>
      <c r="J1766" s="12" t="s">
        <v>2046</v>
      </c>
      <c r="K1766" s="12" t="s">
        <v>2047</v>
      </c>
    </row>
    <row r="1767" spans="1:11" ht="30" customHeight="1">
      <c r="A1767" s="12" t="s">
        <v>371</v>
      </c>
      <c r="B1767" s="12" t="s">
        <v>368</v>
      </c>
      <c r="C1767" s="12" t="s">
        <v>303</v>
      </c>
      <c r="D1767" s="12" t="s">
        <v>561</v>
      </c>
      <c r="E1767" s="17">
        <v>2468.62</v>
      </c>
      <c r="F1767" s="12" t="s">
        <v>32</v>
      </c>
      <c r="G1767" s="12" t="s">
        <v>370</v>
      </c>
      <c r="H1767" s="12" t="s">
        <v>2045</v>
      </c>
      <c r="I1767" s="12" t="s">
        <v>370</v>
      </c>
      <c r="J1767" s="12" t="s">
        <v>2046</v>
      </c>
      <c r="K1767" s="12" t="s">
        <v>2047</v>
      </c>
    </row>
    <row r="1768" spans="1:11" ht="30" customHeight="1">
      <c r="A1768" s="12" t="s">
        <v>371</v>
      </c>
      <c r="B1768" s="12" t="s">
        <v>368</v>
      </c>
      <c r="C1768" s="12" t="s">
        <v>303</v>
      </c>
      <c r="D1768" s="12" t="s">
        <v>779</v>
      </c>
      <c r="E1768" s="17">
        <v>2520.51</v>
      </c>
      <c r="F1768" s="12" t="s">
        <v>32</v>
      </c>
      <c r="G1768" s="12" t="s">
        <v>370</v>
      </c>
      <c r="H1768" s="12" t="s">
        <v>2045</v>
      </c>
      <c r="I1768" s="12" t="s">
        <v>370</v>
      </c>
      <c r="J1768" s="12" t="s">
        <v>2046</v>
      </c>
      <c r="K1768" s="12" t="s">
        <v>2047</v>
      </c>
    </row>
    <row r="1769" spans="1:11" ht="30" customHeight="1">
      <c r="A1769" s="12" t="s">
        <v>371</v>
      </c>
      <c r="B1769" s="12" t="s">
        <v>368</v>
      </c>
      <c r="C1769" s="12" t="s">
        <v>303</v>
      </c>
      <c r="D1769" s="12" t="s">
        <v>562</v>
      </c>
      <c r="E1769" s="17">
        <v>217.47</v>
      </c>
      <c r="F1769" s="12" t="s">
        <v>32</v>
      </c>
      <c r="G1769" s="12" t="s">
        <v>370</v>
      </c>
      <c r="H1769" s="12" t="s">
        <v>2045</v>
      </c>
      <c r="I1769" s="12" t="s">
        <v>370</v>
      </c>
      <c r="J1769" s="12" t="s">
        <v>2046</v>
      </c>
      <c r="K1769" s="12" t="s">
        <v>2047</v>
      </c>
    </row>
    <row r="1770" spans="1:11" ht="30" customHeight="1">
      <c r="A1770" s="12" t="s">
        <v>371</v>
      </c>
      <c r="B1770" s="12" t="s">
        <v>368</v>
      </c>
      <c r="C1770" s="12" t="s">
        <v>303</v>
      </c>
      <c r="D1770" s="12" t="s">
        <v>564</v>
      </c>
      <c r="E1770" s="17">
        <v>712.7</v>
      </c>
      <c r="F1770" s="12" t="s">
        <v>32</v>
      </c>
      <c r="G1770" s="12" t="s">
        <v>370</v>
      </c>
      <c r="H1770" s="12" t="s">
        <v>2045</v>
      </c>
      <c r="I1770" s="12" t="s">
        <v>370</v>
      </c>
      <c r="J1770" s="12" t="s">
        <v>2046</v>
      </c>
      <c r="K1770" s="12" t="s">
        <v>2047</v>
      </c>
    </row>
    <row r="1771" spans="1:11" ht="30" customHeight="1">
      <c r="A1771" s="12" t="s">
        <v>469</v>
      </c>
      <c r="B1771" s="12" t="s">
        <v>466</v>
      </c>
      <c r="C1771" s="12" t="s">
        <v>430</v>
      </c>
      <c r="D1771" s="12" t="s">
        <v>2048</v>
      </c>
      <c r="E1771" s="17">
        <v>28149</v>
      </c>
      <c r="F1771" s="12" t="s">
        <v>32</v>
      </c>
      <c r="G1771" s="12" t="s">
        <v>468</v>
      </c>
      <c r="H1771" s="12" t="s">
        <v>2004</v>
      </c>
      <c r="I1771" s="12" t="s">
        <v>468</v>
      </c>
      <c r="J1771" s="12" t="s">
        <v>2049</v>
      </c>
      <c r="K1771" s="12" t="s">
        <v>2050</v>
      </c>
    </row>
  </sheetData>
  <mergeCells count="2">
    <mergeCell ref="A1:I2"/>
    <mergeCell ref="A3:K3"/>
  </mergeCells>
  <pageMargins left="0.3" right="0.3" top="0.4" bottom="0.4" header="0.3" footer="0.3"/>
  <pageSetup paperSize="9"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sheetPr>
    <tabColor rgb="FF167C80"/>
    <pageSetUpPr fitToPage="1"/>
  </sheetPr>
  <dimension ref="A1:D64"/>
  <sheetViews>
    <sheetView showGridLines="0" workbookViewId="0">
      <pane xSplit="2" ySplit="6" topLeftCell="C7" activePane="bottomRight" state="frozen"/>
      <selection pane="topRight" activeCell="C1" sqref="C1"/>
      <selection pane="bottomLeft" activeCell="A7" sqref="A7"/>
      <selection pane="bottomRight"/>
    </sheetView>
  </sheetViews>
  <sheetFormatPr defaultRowHeight="15"/>
  <cols>
    <col min="1" max="1" width="36.7109375" customWidth="1"/>
    <col min="2" max="2" width="30.7109375" customWidth="1"/>
    <col min="3" max="3" width="115.7109375" customWidth="1"/>
    <col min="4" max="4" width="65.7109375" customWidth="1"/>
  </cols>
  <sheetData>
    <row r="1" spans="1:4" ht="22" customHeight="1">
      <c r="A1" s="1" t="s">
        <v>2056</v>
      </c>
      <c r="B1" s="1"/>
      <c r="C1" s="1"/>
      <c r="D1" s="1"/>
    </row>
    <row r="2" spans="1:4" ht="18" customHeight="1">
      <c r="A2" s="1"/>
      <c r="B2" s="1"/>
      <c r="C2" s="1"/>
      <c r="D2" s="1"/>
    </row>
    <row r="3" spans="1:4" ht="34" customHeight="1">
      <c r="A3" s="2" t="s">
        <v>2057</v>
      </c>
      <c r="B3" s="2"/>
      <c r="C3" s="2"/>
      <c r="D3" s="2"/>
    </row>
    <row r="6" spans="1:4" ht="40" customHeight="1">
      <c r="A6" s="11" t="s">
        <v>2118</v>
      </c>
      <c r="B6" s="11" t="s">
        <v>2119</v>
      </c>
      <c r="C6" s="11" t="s">
        <v>2120</v>
      </c>
      <c r="D6" s="11" t="s">
        <v>2121</v>
      </c>
    </row>
    <row r="7" spans="1:4" ht="30" customHeight="1">
      <c r="A7" s="12" t="s">
        <v>527</v>
      </c>
      <c r="B7" s="12" t="s">
        <v>2058</v>
      </c>
      <c r="C7" s="12" t="s">
        <v>2059</v>
      </c>
      <c r="D7" s="12" t="s">
        <v>2060</v>
      </c>
    </row>
    <row r="8" spans="1:4" ht="30" customHeight="1">
      <c r="A8" s="12" t="s">
        <v>528</v>
      </c>
      <c r="B8" s="12" t="s">
        <v>2058</v>
      </c>
      <c r="C8" s="12" t="s">
        <v>2061</v>
      </c>
      <c r="D8" s="12" t="s">
        <v>2060</v>
      </c>
    </row>
    <row r="9" spans="1:4" ht="30" customHeight="1">
      <c r="A9" s="12" t="s">
        <v>529</v>
      </c>
      <c r="B9" s="12" t="s">
        <v>2058</v>
      </c>
      <c r="C9" s="12" t="s">
        <v>2062</v>
      </c>
      <c r="D9" s="12" t="s">
        <v>2060</v>
      </c>
    </row>
    <row r="10" spans="1:4" ht="30" customHeight="1">
      <c r="A10" s="12" t="s">
        <v>530</v>
      </c>
      <c r="B10" s="12" t="s">
        <v>2058</v>
      </c>
      <c r="C10" s="12" t="s">
        <v>2063</v>
      </c>
      <c r="D10" s="12" t="s">
        <v>2060</v>
      </c>
    </row>
    <row r="11" spans="1:4" ht="30" customHeight="1">
      <c r="A11" s="12" t="s">
        <v>531</v>
      </c>
      <c r="B11" s="12" t="s">
        <v>2058</v>
      </c>
      <c r="C11" s="12" t="s">
        <v>2064</v>
      </c>
      <c r="D11" s="12" t="s">
        <v>2060</v>
      </c>
    </row>
    <row r="12" spans="1:4" ht="30" customHeight="1">
      <c r="A12" s="12" t="s">
        <v>532</v>
      </c>
      <c r="B12" s="12" t="s">
        <v>2058</v>
      </c>
      <c r="C12" s="12" t="s">
        <v>2065</v>
      </c>
      <c r="D12" s="12" t="s">
        <v>2060</v>
      </c>
    </row>
    <row r="13" spans="1:4" ht="30" customHeight="1">
      <c r="A13" s="12" t="s">
        <v>533</v>
      </c>
      <c r="B13" s="12" t="s">
        <v>2058</v>
      </c>
      <c r="C13" s="12" t="s">
        <v>2066</v>
      </c>
      <c r="D13" s="12" t="s">
        <v>2060</v>
      </c>
    </row>
    <row r="14" spans="1:4" ht="30" customHeight="1">
      <c r="A14" s="12" t="s">
        <v>534</v>
      </c>
      <c r="B14" s="12" t="s">
        <v>2067</v>
      </c>
      <c r="C14" s="12" t="s">
        <v>2068</v>
      </c>
      <c r="D14" s="12" t="s">
        <v>2060</v>
      </c>
    </row>
    <row r="15" spans="1:4" ht="30" customHeight="1">
      <c r="A15" s="12" t="s">
        <v>535</v>
      </c>
      <c r="B15" s="12" t="s">
        <v>2067</v>
      </c>
      <c r="C15" s="12" t="s">
        <v>2069</v>
      </c>
      <c r="D15" s="12" t="s">
        <v>2060</v>
      </c>
    </row>
    <row r="16" spans="1:4" ht="30" customHeight="1">
      <c r="A16" s="12" t="s">
        <v>536</v>
      </c>
      <c r="B16" s="12" t="s">
        <v>2067</v>
      </c>
      <c r="C16" s="12" t="s">
        <v>2070</v>
      </c>
      <c r="D16" s="12" t="s">
        <v>2060</v>
      </c>
    </row>
    <row r="17" spans="1:4" ht="30" customHeight="1">
      <c r="A17" s="12" t="s">
        <v>537</v>
      </c>
      <c r="B17" s="12" t="s">
        <v>2067</v>
      </c>
      <c r="C17" s="12" t="s">
        <v>2071</v>
      </c>
      <c r="D17" s="12" t="s">
        <v>2060</v>
      </c>
    </row>
    <row r="18" spans="1:4" ht="30" customHeight="1">
      <c r="A18" s="12" t="s">
        <v>538</v>
      </c>
      <c r="B18" s="12" t="s">
        <v>2067</v>
      </c>
      <c r="C18" s="12" t="s">
        <v>2072</v>
      </c>
      <c r="D18" s="12" t="s">
        <v>2060</v>
      </c>
    </row>
    <row r="19" spans="1:4" ht="30" customHeight="1">
      <c r="A19" s="12" t="s">
        <v>539</v>
      </c>
      <c r="B19" s="12" t="s">
        <v>2067</v>
      </c>
      <c r="C19" s="12" t="s">
        <v>2073</v>
      </c>
      <c r="D19" s="12" t="s">
        <v>2060</v>
      </c>
    </row>
    <row r="20" spans="1:4" ht="30" customHeight="1">
      <c r="A20" s="12" t="s">
        <v>540</v>
      </c>
      <c r="B20" s="12" t="s">
        <v>2067</v>
      </c>
      <c r="C20" s="12" t="s">
        <v>2074</v>
      </c>
      <c r="D20" s="12" t="s">
        <v>2060</v>
      </c>
    </row>
    <row r="21" spans="1:4" ht="30" customHeight="1">
      <c r="A21" s="12" t="s">
        <v>541</v>
      </c>
      <c r="B21" s="12" t="s">
        <v>2067</v>
      </c>
      <c r="C21" s="12" t="s">
        <v>2075</v>
      </c>
      <c r="D21" s="12" t="s">
        <v>2060</v>
      </c>
    </row>
    <row r="22" spans="1:4" ht="30" customHeight="1">
      <c r="A22" s="12" t="s">
        <v>542</v>
      </c>
      <c r="B22" s="12" t="s">
        <v>2067</v>
      </c>
      <c r="C22" s="12" t="s">
        <v>2076</v>
      </c>
      <c r="D22" s="12" t="s">
        <v>2060</v>
      </c>
    </row>
    <row r="23" spans="1:4" ht="30" customHeight="1">
      <c r="A23" s="12" t="s">
        <v>543</v>
      </c>
      <c r="B23" s="12" t="s">
        <v>2067</v>
      </c>
      <c r="C23" s="12" t="s">
        <v>2077</v>
      </c>
      <c r="D23" s="12" t="s">
        <v>2060</v>
      </c>
    </row>
    <row r="24" spans="1:4" ht="30" customHeight="1">
      <c r="A24" s="12" t="s">
        <v>544</v>
      </c>
      <c r="B24" s="12" t="s">
        <v>2078</v>
      </c>
      <c r="C24" s="12" t="s">
        <v>2079</v>
      </c>
      <c r="D24" s="12" t="s">
        <v>2060</v>
      </c>
    </row>
    <row r="25" spans="1:4" ht="30" customHeight="1">
      <c r="A25" s="12" t="s">
        <v>545</v>
      </c>
      <c r="B25" s="12" t="s">
        <v>2080</v>
      </c>
      <c r="C25" s="12" t="s">
        <v>2081</v>
      </c>
      <c r="D25" s="12" t="s">
        <v>2060</v>
      </c>
    </row>
    <row r="26" spans="1:4" ht="30" customHeight="1">
      <c r="A26" s="12" t="s">
        <v>546</v>
      </c>
      <c r="B26" s="12" t="s">
        <v>2058</v>
      </c>
      <c r="C26" s="12" t="s">
        <v>2082</v>
      </c>
      <c r="D26" s="12" t="s">
        <v>2060</v>
      </c>
    </row>
    <row r="27" spans="1:4" ht="30" customHeight="1">
      <c r="A27" s="12" t="s">
        <v>547</v>
      </c>
      <c r="B27" s="12" t="s">
        <v>2058</v>
      </c>
      <c r="C27" s="12" t="s">
        <v>2083</v>
      </c>
      <c r="D27" s="12" t="s">
        <v>2060</v>
      </c>
    </row>
    <row r="28" spans="1:4" ht="30" customHeight="1">
      <c r="A28" s="12" t="s">
        <v>548</v>
      </c>
      <c r="B28" s="12" t="s">
        <v>2058</v>
      </c>
      <c r="C28" s="12" t="s">
        <v>2084</v>
      </c>
      <c r="D28" s="12" t="s">
        <v>2060</v>
      </c>
    </row>
    <row r="29" spans="1:4" ht="30" customHeight="1">
      <c r="A29" s="12" t="s">
        <v>549</v>
      </c>
      <c r="B29" s="12" t="s">
        <v>2058</v>
      </c>
      <c r="C29" s="12" t="s">
        <v>2085</v>
      </c>
      <c r="D29" s="12" t="s">
        <v>2060</v>
      </c>
    </row>
    <row r="30" spans="1:4" ht="30" customHeight="1">
      <c r="A30" s="12" t="s">
        <v>550</v>
      </c>
      <c r="B30" s="12" t="s">
        <v>2058</v>
      </c>
      <c r="C30" s="12" t="s">
        <v>2086</v>
      </c>
      <c r="D30" s="12" t="s">
        <v>2060</v>
      </c>
    </row>
    <row r="31" spans="1:4" ht="30" customHeight="1">
      <c r="A31" s="12" t="s">
        <v>551</v>
      </c>
      <c r="B31" s="12" t="s">
        <v>2058</v>
      </c>
      <c r="C31" s="12" t="s">
        <v>2086</v>
      </c>
      <c r="D31" s="12" t="s">
        <v>2060</v>
      </c>
    </row>
    <row r="32" spans="1:4" ht="30" customHeight="1">
      <c r="A32" s="12" t="s">
        <v>552</v>
      </c>
      <c r="B32" s="12" t="s">
        <v>2058</v>
      </c>
      <c r="C32" s="12" t="s">
        <v>2087</v>
      </c>
      <c r="D32" s="12" t="s">
        <v>2060</v>
      </c>
    </row>
    <row r="33" spans="1:4" ht="30" customHeight="1">
      <c r="A33" s="12" t="s">
        <v>553</v>
      </c>
      <c r="B33" s="12" t="s">
        <v>2058</v>
      </c>
      <c r="C33" s="12" t="s">
        <v>2086</v>
      </c>
      <c r="D33" s="12" t="s">
        <v>2060</v>
      </c>
    </row>
    <row r="34" spans="1:4" ht="30" customHeight="1">
      <c r="A34" s="12" t="s">
        <v>554</v>
      </c>
      <c r="B34" s="12" t="s">
        <v>2088</v>
      </c>
      <c r="C34" s="12" t="s">
        <v>2089</v>
      </c>
      <c r="D34" s="12" t="s">
        <v>2060</v>
      </c>
    </row>
    <row r="35" spans="1:4" ht="30" customHeight="1">
      <c r="A35" s="12" t="s">
        <v>555</v>
      </c>
      <c r="B35" s="12" t="s">
        <v>2058</v>
      </c>
      <c r="C35" s="12" t="s">
        <v>2090</v>
      </c>
      <c r="D35" s="12" t="s">
        <v>2060</v>
      </c>
    </row>
    <row r="36" spans="1:4" ht="30" customHeight="1">
      <c r="A36" s="12" t="s">
        <v>556</v>
      </c>
      <c r="B36" s="12" t="s">
        <v>2058</v>
      </c>
      <c r="C36" s="12" t="s">
        <v>2086</v>
      </c>
      <c r="D36" s="12" t="s">
        <v>2060</v>
      </c>
    </row>
    <row r="37" spans="1:4" ht="30" customHeight="1">
      <c r="A37" s="12" t="s">
        <v>557</v>
      </c>
      <c r="B37" s="12" t="s">
        <v>2091</v>
      </c>
      <c r="C37" s="12" t="s">
        <v>2086</v>
      </c>
      <c r="D37" s="12" t="s">
        <v>2060</v>
      </c>
    </row>
    <row r="38" spans="1:4" ht="30" customHeight="1">
      <c r="A38" s="12" t="s">
        <v>558</v>
      </c>
      <c r="B38" s="12" t="s">
        <v>2091</v>
      </c>
      <c r="C38" s="12" t="s">
        <v>2086</v>
      </c>
      <c r="D38" s="12" t="s">
        <v>2060</v>
      </c>
    </row>
    <row r="39" spans="1:4" ht="30" customHeight="1">
      <c r="A39" s="12" t="s">
        <v>559</v>
      </c>
      <c r="B39" s="12" t="s">
        <v>2091</v>
      </c>
      <c r="C39" s="12" t="s">
        <v>2086</v>
      </c>
      <c r="D39" s="12" t="s">
        <v>2060</v>
      </c>
    </row>
    <row r="40" spans="1:4" ht="30" customHeight="1">
      <c r="A40" s="12" t="s">
        <v>560</v>
      </c>
      <c r="B40" s="12" t="s">
        <v>2088</v>
      </c>
      <c r="C40" s="12" t="s">
        <v>2092</v>
      </c>
      <c r="D40" s="12" t="s">
        <v>2060</v>
      </c>
    </row>
    <row r="41" spans="1:4" ht="30" customHeight="1">
      <c r="A41" s="12" t="s">
        <v>561</v>
      </c>
      <c r="B41" s="12" t="s">
        <v>2091</v>
      </c>
      <c r="C41" s="12" t="s">
        <v>2086</v>
      </c>
      <c r="D41" s="12" t="s">
        <v>2060</v>
      </c>
    </row>
    <row r="42" spans="1:4" ht="30" customHeight="1">
      <c r="A42" s="12" t="s">
        <v>562</v>
      </c>
      <c r="B42" s="12" t="s">
        <v>2091</v>
      </c>
      <c r="C42" s="12" t="s">
        <v>2086</v>
      </c>
      <c r="D42" s="12" t="s">
        <v>2060</v>
      </c>
    </row>
    <row r="43" spans="1:4" ht="30" customHeight="1">
      <c r="A43" s="12" t="s">
        <v>563</v>
      </c>
      <c r="B43" s="12" t="s">
        <v>2088</v>
      </c>
      <c r="C43" s="12" t="s">
        <v>2093</v>
      </c>
      <c r="D43" s="12" t="s">
        <v>2060</v>
      </c>
    </row>
    <row r="44" spans="1:4" ht="30" customHeight="1">
      <c r="A44" s="12" t="s">
        <v>564</v>
      </c>
      <c r="B44" s="12" t="s">
        <v>2091</v>
      </c>
      <c r="C44" s="12" t="s">
        <v>2094</v>
      </c>
      <c r="D44" s="12" t="s">
        <v>2060</v>
      </c>
    </row>
    <row r="45" spans="1:4" ht="30" customHeight="1">
      <c r="A45" s="12" t="s">
        <v>565</v>
      </c>
      <c r="B45" s="12" t="s">
        <v>2058</v>
      </c>
      <c r="C45" s="12" t="s">
        <v>2086</v>
      </c>
      <c r="D45" s="12" t="s">
        <v>2060</v>
      </c>
    </row>
    <row r="46" spans="1:4" ht="30" customHeight="1">
      <c r="A46" s="12" t="s">
        <v>566</v>
      </c>
      <c r="B46" s="12" t="s">
        <v>2058</v>
      </c>
      <c r="C46" s="12" t="s">
        <v>2086</v>
      </c>
      <c r="D46" s="12" t="s">
        <v>2060</v>
      </c>
    </row>
    <row r="47" spans="1:4" ht="30" customHeight="1">
      <c r="A47" s="12" t="s">
        <v>567</v>
      </c>
      <c r="B47" s="12" t="s">
        <v>2058</v>
      </c>
      <c r="C47" s="12" t="s">
        <v>2095</v>
      </c>
      <c r="D47" s="12" t="s">
        <v>2060</v>
      </c>
    </row>
    <row r="48" spans="1:4" ht="30" customHeight="1">
      <c r="A48" s="12" t="s">
        <v>568</v>
      </c>
      <c r="B48" s="12" t="s">
        <v>2058</v>
      </c>
      <c r="C48" s="12" t="s">
        <v>2086</v>
      </c>
      <c r="D48" s="12" t="s">
        <v>2060</v>
      </c>
    </row>
    <row r="49" spans="1:4" ht="30" customHeight="1">
      <c r="A49" s="12" t="s">
        <v>569</v>
      </c>
      <c r="B49" s="12" t="s">
        <v>2058</v>
      </c>
      <c r="C49" s="12" t="s">
        <v>2086</v>
      </c>
      <c r="D49" s="12" t="s">
        <v>2060</v>
      </c>
    </row>
    <row r="50" spans="1:4" ht="30" customHeight="1">
      <c r="A50" s="12" t="s">
        <v>570</v>
      </c>
      <c r="B50" s="12" t="s">
        <v>2058</v>
      </c>
      <c r="C50" s="12" t="s">
        <v>2096</v>
      </c>
      <c r="D50" s="12" t="s">
        <v>2060</v>
      </c>
    </row>
    <row r="51" spans="1:4" ht="30" customHeight="1">
      <c r="A51" s="12" t="s">
        <v>571</v>
      </c>
      <c r="B51" s="12" t="s">
        <v>2058</v>
      </c>
      <c r="C51" s="12" t="s">
        <v>2097</v>
      </c>
      <c r="D51" s="12" t="s">
        <v>2060</v>
      </c>
    </row>
    <row r="52" spans="1:4" ht="30" customHeight="1">
      <c r="A52" s="12" t="s">
        <v>572</v>
      </c>
      <c r="B52" s="12" t="s">
        <v>2058</v>
      </c>
      <c r="C52" s="12" t="s">
        <v>2098</v>
      </c>
      <c r="D52" s="12" t="s">
        <v>2060</v>
      </c>
    </row>
    <row r="53" spans="1:4" ht="30" customHeight="1">
      <c r="A53" s="12" t="s">
        <v>573</v>
      </c>
      <c r="B53" s="12" t="s">
        <v>2078</v>
      </c>
      <c r="C53" s="12" t="s">
        <v>2099</v>
      </c>
      <c r="D53" s="12" t="s">
        <v>2060</v>
      </c>
    </row>
    <row r="54" spans="1:4" ht="30" customHeight="1">
      <c r="A54" s="12" t="s">
        <v>574</v>
      </c>
      <c r="B54" s="12" t="s">
        <v>2058</v>
      </c>
      <c r="C54" s="12" t="s">
        <v>2100</v>
      </c>
      <c r="D54" s="12" t="s">
        <v>2060</v>
      </c>
    </row>
    <row r="55" spans="1:4" ht="30" customHeight="1">
      <c r="A55" s="12" t="s">
        <v>575</v>
      </c>
      <c r="B55" s="12" t="s">
        <v>2058</v>
      </c>
      <c r="C55" s="12" t="s">
        <v>2101</v>
      </c>
      <c r="D55" s="12" t="s">
        <v>2060</v>
      </c>
    </row>
    <row r="56" spans="1:4" ht="30" customHeight="1">
      <c r="A56" s="12" t="s">
        <v>576</v>
      </c>
      <c r="B56" s="12" t="s">
        <v>2058</v>
      </c>
      <c r="C56" s="12" t="s">
        <v>2102</v>
      </c>
      <c r="D56" s="12" t="s">
        <v>2060</v>
      </c>
    </row>
    <row r="57" spans="1:4" ht="30" customHeight="1">
      <c r="A57" s="12" t="s">
        <v>577</v>
      </c>
      <c r="B57" s="12" t="s">
        <v>2058</v>
      </c>
      <c r="C57" s="12" t="s">
        <v>2103</v>
      </c>
      <c r="D57" s="12" t="s">
        <v>2060</v>
      </c>
    </row>
    <row r="58" spans="1:4" ht="30" customHeight="1">
      <c r="A58" s="12" t="s">
        <v>578</v>
      </c>
      <c r="B58" s="12" t="s">
        <v>2058</v>
      </c>
      <c r="C58" s="12" t="s">
        <v>2104</v>
      </c>
      <c r="D58" s="12" t="s">
        <v>2060</v>
      </c>
    </row>
    <row r="59" spans="1:4" ht="30" customHeight="1">
      <c r="A59" s="12" t="s">
        <v>779</v>
      </c>
      <c r="B59" s="12" t="s">
        <v>2105</v>
      </c>
      <c r="C59" s="12" t="s">
        <v>2106</v>
      </c>
      <c r="D59" s="12" t="s">
        <v>2107</v>
      </c>
    </row>
    <row r="60" spans="1:4" ht="30" customHeight="1">
      <c r="A60" s="12" t="s">
        <v>2108</v>
      </c>
      <c r="B60" s="12" t="s">
        <v>2105</v>
      </c>
      <c r="C60" s="12" t="s">
        <v>2109</v>
      </c>
      <c r="D60" s="12" t="s">
        <v>2107</v>
      </c>
    </row>
    <row r="61" spans="1:4" ht="30" customHeight="1">
      <c r="A61" s="12" t="s">
        <v>2110</v>
      </c>
      <c r="B61" s="12" t="s">
        <v>2105</v>
      </c>
      <c r="C61" s="12" t="s">
        <v>2111</v>
      </c>
      <c r="D61" s="12" t="s">
        <v>2107</v>
      </c>
    </row>
    <row r="62" spans="1:4" ht="30" customHeight="1">
      <c r="A62" s="12" t="s">
        <v>2112</v>
      </c>
      <c r="B62" s="12" t="s">
        <v>2105</v>
      </c>
      <c r="C62" s="12" t="s">
        <v>2113</v>
      </c>
      <c r="D62" s="12" t="s">
        <v>2107</v>
      </c>
    </row>
    <row r="63" spans="1:4" ht="30" customHeight="1">
      <c r="A63" s="12" t="s">
        <v>2114</v>
      </c>
      <c r="B63" s="12" t="s">
        <v>2105</v>
      </c>
      <c r="C63" s="12" t="s">
        <v>2115</v>
      </c>
      <c r="D63" s="12" t="s">
        <v>2107</v>
      </c>
    </row>
    <row r="64" spans="1:4" ht="30" customHeight="1">
      <c r="A64" s="12" t="s">
        <v>2116</v>
      </c>
      <c r="B64" s="12" t="s">
        <v>2105</v>
      </c>
      <c r="C64" s="12" t="s">
        <v>2117</v>
      </c>
      <c r="D64" s="12" t="s">
        <v>2107</v>
      </c>
    </row>
  </sheetData>
  <mergeCells count="2">
    <mergeCell ref="A1:D2"/>
    <mergeCell ref="A3:D3"/>
  </mergeCells>
  <pageMargins left="0.3" right="0.3" top="0.4" bottom="0.4" header="0.3" footer="0.3"/>
  <pageSetup paperSize="9"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sheetPr>
    <tabColor rgb="FF167C80"/>
    <pageSetUpPr fitToPage="1"/>
  </sheetPr>
  <dimension ref="A1:J722"/>
  <sheetViews>
    <sheetView showGridLines="0" workbookViewId="0">
      <pane xSplit="2" ySplit="6" topLeftCell="C7" activePane="bottomRight" state="frozen"/>
      <selection pane="topRight" activeCell="C1" sqref="C1"/>
      <selection pane="bottomLeft" activeCell="A7" sqref="A7"/>
      <selection pane="bottomRight"/>
    </sheetView>
  </sheetViews>
  <sheetFormatPr defaultRowHeight="15"/>
  <cols>
    <col min="1" max="1" width="14.7109375" customWidth="1"/>
    <col min="2" max="2" width="12.7109375" customWidth="1"/>
    <col min="3" max="3" width="40.7109375" customWidth="1"/>
    <col min="4" max="4" width="28.7109375" customWidth="1"/>
    <col min="5" max="5" width="27.7109375" customWidth="1"/>
    <col min="6" max="6" width="34.7109375" customWidth="1"/>
    <col min="7" max="7" width="55.7109375" customWidth="1"/>
    <col min="8" max="8" width="100.7109375" customWidth="1"/>
    <col min="9" max="9" width="85.7109375" customWidth="1"/>
    <col min="10" max="10" width="100.7109375" customWidth="1"/>
  </cols>
  <sheetData>
    <row r="1" spans="1:10" ht="22" customHeight="1">
      <c r="A1" s="1" t="s">
        <v>2122</v>
      </c>
      <c r="B1" s="1"/>
      <c r="C1" s="1"/>
      <c r="D1" s="1"/>
      <c r="E1" s="1"/>
      <c r="F1" s="1"/>
      <c r="G1" s="1"/>
      <c r="H1" s="1"/>
      <c r="I1" s="1"/>
    </row>
    <row r="2" spans="1:10" ht="18" customHeight="1">
      <c r="A2" s="1"/>
      <c r="B2" s="1"/>
      <c r="C2" s="1"/>
      <c r="D2" s="1"/>
      <c r="E2" s="1"/>
      <c r="F2" s="1"/>
      <c r="G2" s="1"/>
      <c r="H2" s="1"/>
      <c r="I2" s="1"/>
    </row>
    <row r="3" spans="1:10" ht="34" customHeight="1">
      <c r="A3" s="2" t="s">
        <v>2123</v>
      </c>
      <c r="B3" s="2"/>
      <c r="C3" s="2"/>
      <c r="D3" s="2"/>
      <c r="E3" s="2"/>
      <c r="F3" s="2"/>
      <c r="G3" s="2"/>
      <c r="H3" s="2"/>
      <c r="I3" s="2"/>
      <c r="J3" s="2"/>
    </row>
    <row r="6" spans="1:10" ht="40" customHeight="1">
      <c r="A6" s="11" t="s">
        <v>2972</v>
      </c>
      <c r="B6" s="11" t="s">
        <v>571</v>
      </c>
      <c r="C6" s="11" t="s">
        <v>527</v>
      </c>
      <c r="D6" s="11" t="s">
        <v>528</v>
      </c>
      <c r="E6" s="11" t="s">
        <v>2973</v>
      </c>
      <c r="F6" s="11" t="s">
        <v>2974</v>
      </c>
      <c r="G6" s="11" t="s">
        <v>2975</v>
      </c>
      <c r="H6" s="11" t="s">
        <v>2976</v>
      </c>
      <c r="I6" s="11" t="s">
        <v>2977</v>
      </c>
      <c r="J6" s="11" t="s">
        <v>2978</v>
      </c>
    </row>
    <row r="7" spans="1:10" ht="30" customHeight="1">
      <c r="A7" s="12" t="s">
        <v>2124</v>
      </c>
      <c r="B7" s="12" t="s">
        <v>64</v>
      </c>
      <c r="C7" s="12" t="s">
        <v>60</v>
      </c>
      <c r="D7" s="12" t="s">
        <v>29</v>
      </c>
      <c r="E7" s="12" t="s">
        <v>2125</v>
      </c>
      <c r="F7" s="12" t="s">
        <v>549</v>
      </c>
      <c r="G7" s="12" t="s">
        <v>54</v>
      </c>
      <c r="H7" s="12" t="s">
        <v>2126</v>
      </c>
      <c r="I7" s="12" t="s">
        <v>2127</v>
      </c>
      <c r="J7" s="12" t="s">
        <v>2128</v>
      </c>
    </row>
    <row r="8" spans="1:10" ht="30" customHeight="1">
      <c r="A8" s="12" t="s">
        <v>2129</v>
      </c>
      <c r="B8" s="12" t="s">
        <v>58</v>
      </c>
      <c r="C8" s="12" t="s">
        <v>53</v>
      </c>
      <c r="D8" s="12" t="s">
        <v>29</v>
      </c>
      <c r="E8" s="12" t="s">
        <v>2125</v>
      </c>
      <c r="F8" s="12" t="s">
        <v>549</v>
      </c>
      <c r="G8" s="12" t="s">
        <v>54</v>
      </c>
      <c r="H8" s="12" t="s">
        <v>2126</v>
      </c>
      <c r="I8" s="12" t="s">
        <v>2127</v>
      </c>
      <c r="J8" s="12" t="s">
        <v>2128</v>
      </c>
    </row>
    <row r="9" spans="1:10" ht="30" customHeight="1">
      <c r="A9" s="12" t="s">
        <v>2130</v>
      </c>
      <c r="B9" s="12" t="s">
        <v>70</v>
      </c>
      <c r="C9" s="12" t="s">
        <v>66</v>
      </c>
      <c r="D9" s="12" t="s">
        <v>29</v>
      </c>
      <c r="E9" s="12" t="s">
        <v>2125</v>
      </c>
      <c r="F9" s="12" t="s">
        <v>549</v>
      </c>
      <c r="G9" s="12" t="s">
        <v>54</v>
      </c>
      <c r="H9" s="12" t="s">
        <v>2126</v>
      </c>
      <c r="I9" s="12" t="s">
        <v>2127</v>
      </c>
      <c r="J9" s="12" t="s">
        <v>2128</v>
      </c>
    </row>
    <row r="10" spans="1:10" ht="30" customHeight="1">
      <c r="A10" s="12" t="s">
        <v>2131</v>
      </c>
      <c r="B10" s="12" t="s">
        <v>77</v>
      </c>
      <c r="C10" s="12" t="s">
        <v>72</v>
      </c>
      <c r="D10" s="12" t="s">
        <v>29</v>
      </c>
      <c r="E10" s="12" t="s">
        <v>2125</v>
      </c>
      <c r="F10" s="12" t="s">
        <v>566</v>
      </c>
      <c r="G10" s="12" t="s">
        <v>893</v>
      </c>
      <c r="H10" s="12" t="s">
        <v>2132</v>
      </c>
      <c r="I10" s="12" t="s">
        <v>2133</v>
      </c>
      <c r="J10" s="12" t="s">
        <v>2134</v>
      </c>
    </row>
    <row r="11" spans="1:10" ht="30" customHeight="1">
      <c r="A11" s="12" t="s">
        <v>2135</v>
      </c>
      <c r="B11" s="12" t="s">
        <v>402</v>
      </c>
      <c r="C11" s="12" t="s">
        <v>399</v>
      </c>
      <c r="D11" s="12" t="s">
        <v>374</v>
      </c>
      <c r="E11" s="12" t="s">
        <v>2125</v>
      </c>
      <c r="F11" s="12" t="s">
        <v>554</v>
      </c>
      <c r="G11" s="17">
        <v>0.0118207492011987</v>
      </c>
      <c r="H11" s="17">
        <v>0.0108</v>
      </c>
      <c r="I11" s="12" t="s">
        <v>2136</v>
      </c>
      <c r="J11" s="12" t="s">
        <v>2137</v>
      </c>
    </row>
    <row r="12" spans="1:10" ht="30" customHeight="1">
      <c r="A12" s="12" t="s">
        <v>2138</v>
      </c>
      <c r="B12" s="12" t="s">
        <v>227</v>
      </c>
      <c r="C12" s="12" t="s">
        <v>223</v>
      </c>
      <c r="D12" s="12" t="s">
        <v>207</v>
      </c>
      <c r="E12" s="12" t="s">
        <v>2125</v>
      </c>
      <c r="F12" s="12" t="s">
        <v>544</v>
      </c>
      <c r="G12" s="17">
        <v>21</v>
      </c>
      <c r="H12" s="12" t="s">
        <v>2139</v>
      </c>
      <c r="I12" s="12" t="s">
        <v>2140</v>
      </c>
      <c r="J12" s="12" t="s">
        <v>2141</v>
      </c>
    </row>
    <row r="13" spans="1:10" ht="30" customHeight="1">
      <c r="A13" s="12" t="s">
        <v>2142</v>
      </c>
      <c r="B13" s="12" t="s">
        <v>278</v>
      </c>
      <c r="C13" s="12" t="s">
        <v>274</v>
      </c>
      <c r="D13" s="12" t="s">
        <v>207</v>
      </c>
      <c r="E13" s="12" t="s">
        <v>2125</v>
      </c>
      <c r="F13" s="12" t="s">
        <v>544</v>
      </c>
      <c r="G13" s="17">
        <v>16</v>
      </c>
      <c r="H13" s="12" t="s">
        <v>2143</v>
      </c>
      <c r="I13" s="12" t="s">
        <v>2140</v>
      </c>
      <c r="J13" s="12" t="s">
        <v>2144</v>
      </c>
    </row>
    <row r="14" spans="1:10" ht="30" customHeight="1">
      <c r="A14" s="12" t="s">
        <v>2145</v>
      </c>
      <c r="B14" s="12" t="s">
        <v>212</v>
      </c>
      <c r="C14" s="12" t="s">
        <v>206</v>
      </c>
      <c r="D14" s="12" t="s">
        <v>207</v>
      </c>
      <c r="E14" s="12" t="s">
        <v>2125</v>
      </c>
      <c r="F14" s="12" t="s">
        <v>544</v>
      </c>
      <c r="G14" s="17">
        <v>16</v>
      </c>
      <c r="H14" s="17">
        <v>12</v>
      </c>
      <c r="I14" s="12" t="s">
        <v>2140</v>
      </c>
      <c r="J14" s="12" t="s">
        <v>2146</v>
      </c>
    </row>
    <row r="15" spans="1:10" ht="30" customHeight="1">
      <c r="A15" s="12" t="s">
        <v>2147</v>
      </c>
      <c r="B15" s="12" t="s">
        <v>300</v>
      </c>
      <c r="C15" s="12" t="s">
        <v>296</v>
      </c>
      <c r="D15" s="12" t="s">
        <v>207</v>
      </c>
      <c r="E15" s="12" t="s">
        <v>2125</v>
      </c>
      <c r="F15" s="12" t="s">
        <v>544</v>
      </c>
      <c r="G15" s="17">
        <v>17</v>
      </c>
      <c r="H15" s="12" t="s">
        <v>2148</v>
      </c>
      <c r="I15" s="12" t="s">
        <v>2140</v>
      </c>
      <c r="J15" s="12" t="s">
        <v>2149</v>
      </c>
    </row>
    <row r="16" spans="1:10" ht="30" customHeight="1">
      <c r="A16" s="12" t="s">
        <v>2150</v>
      </c>
      <c r="B16" s="12" t="s">
        <v>284</v>
      </c>
      <c r="C16" s="12" t="s">
        <v>280</v>
      </c>
      <c r="D16" s="12" t="s">
        <v>207</v>
      </c>
      <c r="E16" s="12" t="s">
        <v>2125</v>
      </c>
      <c r="F16" s="12" t="s">
        <v>544</v>
      </c>
      <c r="G16" s="17">
        <v>19</v>
      </c>
      <c r="H16" s="12" t="s">
        <v>2139</v>
      </c>
      <c r="I16" s="12" t="s">
        <v>2140</v>
      </c>
      <c r="J16" s="12" t="s">
        <v>2141</v>
      </c>
    </row>
    <row r="17" spans="1:10" ht="30" customHeight="1">
      <c r="A17" s="12" t="s">
        <v>2151</v>
      </c>
      <c r="B17" s="12" t="s">
        <v>233</v>
      </c>
      <c r="C17" s="12" t="s">
        <v>229</v>
      </c>
      <c r="D17" s="12" t="s">
        <v>207</v>
      </c>
      <c r="E17" s="12" t="s">
        <v>2125</v>
      </c>
      <c r="F17" s="12" t="s">
        <v>2152</v>
      </c>
      <c r="G17" s="12" t="s">
        <v>2153</v>
      </c>
      <c r="H17" s="12" t="s">
        <v>2154</v>
      </c>
      <c r="I17" s="12" t="s">
        <v>2155</v>
      </c>
      <c r="J17" s="12" t="s">
        <v>2156</v>
      </c>
    </row>
    <row r="18" spans="1:10" ht="30" customHeight="1">
      <c r="A18" s="12" t="s">
        <v>2157</v>
      </c>
      <c r="B18" s="12" t="s">
        <v>289</v>
      </c>
      <c r="C18" s="12" t="s">
        <v>286</v>
      </c>
      <c r="D18" s="12" t="s">
        <v>207</v>
      </c>
      <c r="E18" s="12" t="s">
        <v>2125</v>
      </c>
      <c r="F18" s="12" t="s">
        <v>2152</v>
      </c>
      <c r="G18" s="12" t="s">
        <v>2153</v>
      </c>
      <c r="H18" s="12" t="s">
        <v>2154</v>
      </c>
      <c r="I18" s="12" t="s">
        <v>2155</v>
      </c>
      <c r="J18" s="12" t="s">
        <v>2156</v>
      </c>
    </row>
    <row r="19" spans="1:10" ht="30" customHeight="1">
      <c r="A19" s="12" t="s">
        <v>2158</v>
      </c>
      <c r="B19" s="12" t="s">
        <v>221</v>
      </c>
      <c r="C19" s="12" t="s">
        <v>217</v>
      </c>
      <c r="D19" s="12" t="s">
        <v>207</v>
      </c>
      <c r="E19" s="12" t="s">
        <v>2125</v>
      </c>
      <c r="F19" s="12" t="s">
        <v>2152</v>
      </c>
      <c r="G19" s="12" t="s">
        <v>2153</v>
      </c>
      <c r="H19" s="12" t="s">
        <v>2154</v>
      </c>
      <c r="I19" s="12" t="s">
        <v>2155</v>
      </c>
      <c r="J19" s="12" t="s">
        <v>2156</v>
      </c>
    </row>
    <row r="20" spans="1:10" ht="30" customHeight="1">
      <c r="A20" s="12" t="s">
        <v>2159</v>
      </c>
      <c r="B20" s="12" t="s">
        <v>248</v>
      </c>
      <c r="C20" s="12" t="s">
        <v>244</v>
      </c>
      <c r="D20" s="12" t="s">
        <v>207</v>
      </c>
      <c r="E20" s="12" t="s">
        <v>2125</v>
      </c>
      <c r="F20" s="12" t="s">
        <v>546</v>
      </c>
      <c r="G20" s="17">
        <v>2</v>
      </c>
      <c r="H20" s="17">
        <v>0</v>
      </c>
      <c r="I20" s="12" t="s">
        <v>2160</v>
      </c>
      <c r="J20" s="12" t="s">
        <v>2161</v>
      </c>
    </row>
    <row r="21" spans="1:10" ht="30" customHeight="1">
      <c r="A21" s="12" t="s">
        <v>2162</v>
      </c>
      <c r="B21" s="12" t="s">
        <v>240</v>
      </c>
      <c r="C21" s="12" t="s">
        <v>235</v>
      </c>
      <c r="D21" s="12" t="s">
        <v>207</v>
      </c>
      <c r="E21" s="12" t="s">
        <v>2125</v>
      </c>
      <c r="F21" s="12" t="s">
        <v>549</v>
      </c>
      <c r="G21" s="12" t="s">
        <v>54</v>
      </c>
      <c r="H21" s="12" t="s">
        <v>2163</v>
      </c>
      <c r="I21" s="12" t="s">
        <v>2164</v>
      </c>
      <c r="J21" s="12" t="s">
        <v>2165</v>
      </c>
    </row>
    <row r="22" spans="1:10" ht="30" customHeight="1">
      <c r="A22" s="12" t="s">
        <v>2166</v>
      </c>
      <c r="B22" s="12" t="s">
        <v>221</v>
      </c>
      <c r="C22" s="12" t="s">
        <v>217</v>
      </c>
      <c r="D22" s="12" t="s">
        <v>207</v>
      </c>
      <c r="E22" s="12" t="s">
        <v>2125</v>
      </c>
      <c r="F22" s="12" t="s">
        <v>549</v>
      </c>
      <c r="G22" s="12" t="s">
        <v>54</v>
      </c>
      <c r="H22" s="12" t="s">
        <v>2163</v>
      </c>
      <c r="I22" s="12" t="s">
        <v>2164</v>
      </c>
      <c r="J22" s="12" t="s">
        <v>2165</v>
      </c>
    </row>
    <row r="23" spans="1:10" ht="30" customHeight="1">
      <c r="A23" s="12" t="s">
        <v>2167</v>
      </c>
      <c r="B23" s="12" t="s">
        <v>155</v>
      </c>
      <c r="C23" s="12" t="s">
        <v>151</v>
      </c>
      <c r="D23" s="12" t="s">
        <v>142</v>
      </c>
      <c r="E23" s="12" t="s">
        <v>2125</v>
      </c>
      <c r="F23" s="12" t="s">
        <v>2168</v>
      </c>
      <c r="G23" s="12" t="s">
        <v>2169</v>
      </c>
      <c r="H23" s="12" t="s">
        <v>2170</v>
      </c>
      <c r="I23" s="12" t="s">
        <v>2171</v>
      </c>
      <c r="J23" s="12" t="s">
        <v>2172</v>
      </c>
    </row>
    <row r="24" spans="1:10" ht="30" customHeight="1">
      <c r="A24" s="12" t="s">
        <v>2173</v>
      </c>
      <c r="B24" s="13"/>
      <c r="C24" s="12" t="s">
        <v>2174</v>
      </c>
      <c r="D24" s="12" t="s">
        <v>142</v>
      </c>
      <c r="E24" s="12" t="s">
        <v>2125</v>
      </c>
      <c r="F24" s="12" t="s">
        <v>2175</v>
      </c>
      <c r="G24" s="12" t="s">
        <v>2176</v>
      </c>
      <c r="H24" s="12" t="s">
        <v>2177</v>
      </c>
      <c r="I24" s="12" t="s">
        <v>2178</v>
      </c>
      <c r="J24" s="12" t="s">
        <v>2179</v>
      </c>
    </row>
    <row r="25" spans="1:10" ht="30" customHeight="1">
      <c r="A25" s="12" t="s">
        <v>2180</v>
      </c>
      <c r="B25" s="12" t="s">
        <v>488</v>
      </c>
      <c r="C25" s="12" t="s">
        <v>483</v>
      </c>
      <c r="D25" s="12" t="s">
        <v>484</v>
      </c>
      <c r="E25" s="12" t="s">
        <v>2125</v>
      </c>
      <c r="F25" s="12" t="s">
        <v>569</v>
      </c>
      <c r="G25" s="13"/>
      <c r="H25" s="12" t="s">
        <v>2181</v>
      </c>
      <c r="I25" s="12" t="s">
        <v>2182</v>
      </c>
      <c r="J25" s="12" t="s">
        <v>2183</v>
      </c>
    </row>
    <row r="26" spans="1:10" ht="30" customHeight="1">
      <c r="A26" s="12" t="s">
        <v>2184</v>
      </c>
      <c r="B26" s="12" t="s">
        <v>516</v>
      </c>
      <c r="C26" s="12" t="s">
        <v>512</v>
      </c>
      <c r="D26" s="12" t="s">
        <v>484</v>
      </c>
      <c r="E26" s="12" t="s">
        <v>2125</v>
      </c>
      <c r="F26" s="12" t="s">
        <v>569</v>
      </c>
      <c r="G26" s="13"/>
      <c r="H26" s="12" t="s">
        <v>2185</v>
      </c>
      <c r="I26" s="12" t="s">
        <v>2182</v>
      </c>
      <c r="J26" s="12" t="s">
        <v>2186</v>
      </c>
    </row>
    <row r="27" spans="1:10" ht="30" customHeight="1">
      <c r="A27" s="12" t="s">
        <v>2187</v>
      </c>
      <c r="B27" s="12" t="s">
        <v>109</v>
      </c>
      <c r="C27" s="12" t="s">
        <v>105</v>
      </c>
      <c r="D27" s="12" t="s">
        <v>98</v>
      </c>
      <c r="E27" s="12" t="s">
        <v>2188</v>
      </c>
      <c r="F27" s="12" t="s">
        <v>563</v>
      </c>
      <c r="G27" s="17">
        <v>6.790566037735849</v>
      </c>
      <c r="H27" s="12" t="s">
        <v>2189</v>
      </c>
      <c r="I27" s="12" t="s">
        <v>106</v>
      </c>
      <c r="J27" s="12" t="s">
        <v>2190</v>
      </c>
    </row>
    <row r="28" spans="1:10" ht="30" customHeight="1">
      <c r="A28" s="12" t="s">
        <v>2191</v>
      </c>
      <c r="B28" s="12" t="s">
        <v>233</v>
      </c>
      <c r="C28" s="12" t="s">
        <v>229</v>
      </c>
      <c r="D28" s="12" t="s">
        <v>207</v>
      </c>
      <c r="E28" s="12" t="s">
        <v>2188</v>
      </c>
      <c r="F28" s="12" t="s">
        <v>563</v>
      </c>
      <c r="G28" s="17">
        <v>8.055500099820323</v>
      </c>
      <c r="H28" s="12" t="s">
        <v>2189</v>
      </c>
      <c r="I28" s="12" t="s">
        <v>230</v>
      </c>
      <c r="J28" s="12" t="s">
        <v>2190</v>
      </c>
    </row>
    <row r="29" spans="1:10" ht="30" customHeight="1">
      <c r="A29" s="12" t="s">
        <v>2192</v>
      </c>
      <c r="B29" s="12" t="s">
        <v>240</v>
      </c>
      <c r="C29" s="12" t="s">
        <v>235</v>
      </c>
      <c r="D29" s="12" t="s">
        <v>207</v>
      </c>
      <c r="E29" s="12" t="s">
        <v>2193</v>
      </c>
      <c r="F29" s="12" t="s">
        <v>2194</v>
      </c>
      <c r="G29" s="12" t="s">
        <v>243</v>
      </c>
      <c r="H29" s="12" t="s">
        <v>2195</v>
      </c>
      <c r="I29" s="12" t="s">
        <v>237</v>
      </c>
      <c r="J29" s="12" t="s">
        <v>2196</v>
      </c>
    </row>
    <row r="30" spans="1:10" ht="30" customHeight="1">
      <c r="A30" s="12" t="s">
        <v>2197</v>
      </c>
      <c r="B30" s="12" t="s">
        <v>255</v>
      </c>
      <c r="C30" s="12" t="s">
        <v>251</v>
      </c>
      <c r="D30" s="12" t="s">
        <v>207</v>
      </c>
      <c r="E30" s="12" t="s">
        <v>2193</v>
      </c>
      <c r="F30" s="12" t="s">
        <v>2194</v>
      </c>
      <c r="G30" s="12" t="s">
        <v>258</v>
      </c>
      <c r="H30" s="12" t="s">
        <v>2195</v>
      </c>
      <c r="I30" s="12" t="s">
        <v>252</v>
      </c>
      <c r="J30" s="12" t="s">
        <v>2196</v>
      </c>
    </row>
    <row r="31" spans="1:10" ht="30" customHeight="1">
      <c r="A31" s="12" t="s">
        <v>2198</v>
      </c>
      <c r="B31" s="12" t="s">
        <v>262</v>
      </c>
      <c r="C31" s="12" t="s">
        <v>259</v>
      </c>
      <c r="D31" s="12" t="s">
        <v>207</v>
      </c>
      <c r="E31" s="12" t="s">
        <v>2193</v>
      </c>
      <c r="F31" s="12" t="s">
        <v>2194</v>
      </c>
      <c r="G31" s="12" t="s">
        <v>258</v>
      </c>
      <c r="H31" s="12" t="s">
        <v>2195</v>
      </c>
      <c r="I31" s="12" t="s">
        <v>252</v>
      </c>
      <c r="J31" s="12" t="s">
        <v>2196</v>
      </c>
    </row>
    <row r="32" spans="1:10" ht="30" customHeight="1">
      <c r="A32" s="12" t="s">
        <v>2199</v>
      </c>
      <c r="B32" s="12" t="s">
        <v>267</v>
      </c>
      <c r="C32" s="12" t="s">
        <v>264</v>
      </c>
      <c r="D32" s="12" t="s">
        <v>207</v>
      </c>
      <c r="E32" s="12" t="s">
        <v>2193</v>
      </c>
      <c r="F32" s="12" t="s">
        <v>2194</v>
      </c>
      <c r="G32" s="12" t="s">
        <v>258</v>
      </c>
      <c r="H32" s="12" t="s">
        <v>2195</v>
      </c>
      <c r="I32" s="12" t="s">
        <v>252</v>
      </c>
      <c r="J32" s="12" t="s">
        <v>2196</v>
      </c>
    </row>
    <row r="33" spans="1:10" ht="30" customHeight="1">
      <c r="A33" s="12" t="s">
        <v>2200</v>
      </c>
      <c r="B33" s="12" t="s">
        <v>307</v>
      </c>
      <c r="C33" s="12" t="s">
        <v>302</v>
      </c>
      <c r="D33" s="12" t="s">
        <v>303</v>
      </c>
      <c r="E33" s="12" t="s">
        <v>2193</v>
      </c>
      <c r="F33" s="12" t="s">
        <v>2194</v>
      </c>
      <c r="G33" s="12" t="s">
        <v>310</v>
      </c>
      <c r="H33" s="12" t="s">
        <v>2201</v>
      </c>
      <c r="I33" s="12" t="s">
        <v>304</v>
      </c>
      <c r="J33" s="12" t="s">
        <v>2196</v>
      </c>
    </row>
    <row r="34" spans="1:10" ht="30" customHeight="1">
      <c r="A34" s="12" t="s">
        <v>2202</v>
      </c>
      <c r="B34" s="12" t="s">
        <v>315</v>
      </c>
      <c r="C34" s="12" t="s">
        <v>312</v>
      </c>
      <c r="D34" s="12" t="s">
        <v>303</v>
      </c>
      <c r="E34" s="12" t="s">
        <v>2193</v>
      </c>
      <c r="F34" s="12" t="s">
        <v>2194</v>
      </c>
      <c r="G34" s="12" t="s">
        <v>310</v>
      </c>
      <c r="H34" s="12" t="s">
        <v>2201</v>
      </c>
      <c r="I34" s="12" t="s">
        <v>304</v>
      </c>
      <c r="J34" s="12" t="s">
        <v>2196</v>
      </c>
    </row>
    <row r="35" spans="1:10" ht="30" customHeight="1">
      <c r="A35" s="12" t="s">
        <v>2203</v>
      </c>
      <c r="B35" s="12" t="s">
        <v>320</v>
      </c>
      <c r="C35" s="12" t="s">
        <v>317</v>
      </c>
      <c r="D35" s="12" t="s">
        <v>303</v>
      </c>
      <c r="E35" s="12" t="s">
        <v>2193</v>
      </c>
      <c r="F35" s="12" t="s">
        <v>2194</v>
      </c>
      <c r="G35" s="12" t="s">
        <v>310</v>
      </c>
      <c r="H35" s="12" t="s">
        <v>2201</v>
      </c>
      <c r="I35" s="12" t="s">
        <v>304</v>
      </c>
      <c r="J35" s="12" t="s">
        <v>2196</v>
      </c>
    </row>
    <row r="36" spans="1:10" ht="30" customHeight="1">
      <c r="A36" s="12" t="s">
        <v>2204</v>
      </c>
      <c r="B36" s="12" t="s">
        <v>325</v>
      </c>
      <c r="C36" s="12" t="s">
        <v>322</v>
      </c>
      <c r="D36" s="12" t="s">
        <v>303</v>
      </c>
      <c r="E36" s="12" t="s">
        <v>2193</v>
      </c>
      <c r="F36" s="12" t="s">
        <v>2194</v>
      </c>
      <c r="G36" s="12" t="s">
        <v>310</v>
      </c>
      <c r="H36" s="12" t="s">
        <v>2201</v>
      </c>
      <c r="I36" s="12" t="s">
        <v>304</v>
      </c>
      <c r="J36" s="12" t="s">
        <v>2196</v>
      </c>
    </row>
    <row r="37" spans="1:10" ht="30" customHeight="1">
      <c r="A37" s="12" t="s">
        <v>2205</v>
      </c>
      <c r="B37" s="12" t="s">
        <v>330</v>
      </c>
      <c r="C37" s="12" t="s">
        <v>327</v>
      </c>
      <c r="D37" s="12" t="s">
        <v>303</v>
      </c>
      <c r="E37" s="12" t="s">
        <v>2193</v>
      </c>
      <c r="F37" s="12" t="s">
        <v>2194</v>
      </c>
      <c r="G37" s="12" t="s">
        <v>310</v>
      </c>
      <c r="H37" s="12" t="s">
        <v>2201</v>
      </c>
      <c r="I37" s="12" t="s">
        <v>304</v>
      </c>
      <c r="J37" s="12" t="s">
        <v>2196</v>
      </c>
    </row>
    <row r="38" spans="1:10" ht="30" customHeight="1">
      <c r="A38" s="12" t="s">
        <v>2206</v>
      </c>
      <c r="B38" s="12" t="s">
        <v>335</v>
      </c>
      <c r="C38" s="12" t="s">
        <v>332</v>
      </c>
      <c r="D38" s="12" t="s">
        <v>303</v>
      </c>
      <c r="E38" s="12" t="s">
        <v>2193</v>
      </c>
      <c r="F38" s="12" t="s">
        <v>2194</v>
      </c>
      <c r="G38" s="12" t="s">
        <v>310</v>
      </c>
      <c r="H38" s="12" t="s">
        <v>2201</v>
      </c>
      <c r="I38" s="12" t="s">
        <v>304</v>
      </c>
      <c r="J38" s="12" t="s">
        <v>2196</v>
      </c>
    </row>
    <row r="39" spans="1:10" ht="30" customHeight="1">
      <c r="A39" s="12" t="s">
        <v>2207</v>
      </c>
      <c r="B39" s="12" t="s">
        <v>340</v>
      </c>
      <c r="C39" s="12" t="s">
        <v>337</v>
      </c>
      <c r="D39" s="12" t="s">
        <v>303</v>
      </c>
      <c r="E39" s="12" t="s">
        <v>2193</v>
      </c>
      <c r="F39" s="12" t="s">
        <v>2194</v>
      </c>
      <c r="G39" s="12" t="s">
        <v>310</v>
      </c>
      <c r="H39" s="12" t="s">
        <v>2201</v>
      </c>
      <c r="I39" s="12" t="s">
        <v>304</v>
      </c>
      <c r="J39" s="12" t="s">
        <v>2196</v>
      </c>
    </row>
    <row r="40" spans="1:10" ht="30" customHeight="1">
      <c r="A40" s="12" t="s">
        <v>2208</v>
      </c>
      <c r="B40" s="12" t="s">
        <v>346</v>
      </c>
      <c r="C40" s="12" t="s">
        <v>343</v>
      </c>
      <c r="D40" s="12" t="s">
        <v>303</v>
      </c>
      <c r="E40" s="12" t="s">
        <v>2193</v>
      </c>
      <c r="F40" s="12" t="s">
        <v>2194</v>
      </c>
      <c r="G40" s="12" t="s">
        <v>310</v>
      </c>
      <c r="H40" s="12" t="s">
        <v>2201</v>
      </c>
      <c r="I40" s="12" t="s">
        <v>304</v>
      </c>
      <c r="J40" s="12" t="s">
        <v>2196</v>
      </c>
    </row>
    <row r="41" spans="1:10" ht="30" customHeight="1">
      <c r="A41" s="12" t="s">
        <v>2209</v>
      </c>
      <c r="B41" s="12" t="s">
        <v>351</v>
      </c>
      <c r="C41" s="12" t="s">
        <v>348</v>
      </c>
      <c r="D41" s="12" t="s">
        <v>303</v>
      </c>
      <c r="E41" s="12" t="s">
        <v>2193</v>
      </c>
      <c r="F41" s="12" t="s">
        <v>2194</v>
      </c>
      <c r="G41" s="12" t="s">
        <v>310</v>
      </c>
      <c r="H41" s="12" t="s">
        <v>2201</v>
      </c>
      <c r="I41" s="12" t="s">
        <v>304</v>
      </c>
      <c r="J41" s="12" t="s">
        <v>2196</v>
      </c>
    </row>
    <row r="42" spans="1:10" ht="30" customHeight="1">
      <c r="A42" s="12" t="s">
        <v>2210</v>
      </c>
      <c r="B42" s="12" t="s">
        <v>356</v>
      </c>
      <c r="C42" s="12" t="s">
        <v>353</v>
      </c>
      <c r="D42" s="12" t="s">
        <v>303</v>
      </c>
      <c r="E42" s="12" t="s">
        <v>2193</v>
      </c>
      <c r="F42" s="12" t="s">
        <v>2194</v>
      </c>
      <c r="G42" s="12" t="s">
        <v>310</v>
      </c>
      <c r="H42" s="12" t="s">
        <v>2201</v>
      </c>
      <c r="I42" s="12" t="s">
        <v>304</v>
      </c>
      <c r="J42" s="12" t="s">
        <v>2196</v>
      </c>
    </row>
    <row r="43" spans="1:10" ht="30" customHeight="1">
      <c r="A43" s="12" t="s">
        <v>2211</v>
      </c>
      <c r="B43" s="12" t="s">
        <v>361</v>
      </c>
      <c r="C43" s="12" t="s">
        <v>358</v>
      </c>
      <c r="D43" s="12" t="s">
        <v>303</v>
      </c>
      <c r="E43" s="12" t="s">
        <v>2193</v>
      </c>
      <c r="F43" s="12" t="s">
        <v>2194</v>
      </c>
      <c r="G43" s="12" t="s">
        <v>310</v>
      </c>
      <c r="H43" s="12" t="s">
        <v>2201</v>
      </c>
      <c r="I43" s="12" t="s">
        <v>304</v>
      </c>
      <c r="J43" s="12" t="s">
        <v>2196</v>
      </c>
    </row>
    <row r="44" spans="1:10" ht="30" customHeight="1">
      <c r="A44" s="12" t="s">
        <v>2212</v>
      </c>
      <c r="B44" s="12" t="s">
        <v>366</v>
      </c>
      <c r="C44" s="12" t="s">
        <v>363</v>
      </c>
      <c r="D44" s="12" t="s">
        <v>303</v>
      </c>
      <c r="E44" s="12" t="s">
        <v>2193</v>
      </c>
      <c r="F44" s="12" t="s">
        <v>2194</v>
      </c>
      <c r="G44" s="12" t="s">
        <v>310</v>
      </c>
      <c r="H44" s="12" t="s">
        <v>2201</v>
      </c>
      <c r="I44" s="12" t="s">
        <v>304</v>
      </c>
      <c r="J44" s="12" t="s">
        <v>2196</v>
      </c>
    </row>
    <row r="45" spans="1:10" ht="30" customHeight="1">
      <c r="A45" s="12" t="s">
        <v>2213</v>
      </c>
      <c r="B45" s="12" t="s">
        <v>371</v>
      </c>
      <c r="C45" s="12" t="s">
        <v>368</v>
      </c>
      <c r="D45" s="12" t="s">
        <v>303</v>
      </c>
      <c r="E45" s="12" t="s">
        <v>2193</v>
      </c>
      <c r="F45" s="12" t="s">
        <v>2194</v>
      </c>
      <c r="G45" s="12" t="s">
        <v>310</v>
      </c>
      <c r="H45" s="12" t="s">
        <v>2201</v>
      </c>
      <c r="I45" s="12" t="s">
        <v>304</v>
      </c>
      <c r="J45" s="12" t="s">
        <v>2196</v>
      </c>
    </row>
    <row r="46" spans="1:10" ht="30" customHeight="1">
      <c r="A46" s="12" t="s">
        <v>2214</v>
      </c>
      <c r="B46" s="12" t="s">
        <v>379</v>
      </c>
      <c r="C46" s="12" t="s">
        <v>373</v>
      </c>
      <c r="D46" s="12" t="s">
        <v>374</v>
      </c>
      <c r="E46" s="12" t="s">
        <v>2188</v>
      </c>
      <c r="F46" s="12" t="s">
        <v>563</v>
      </c>
      <c r="G46" s="17">
        <v>1.971999294470412</v>
      </c>
      <c r="H46" s="12" t="s">
        <v>2189</v>
      </c>
      <c r="I46" s="12" t="s">
        <v>376</v>
      </c>
      <c r="J46" s="12" t="s">
        <v>2190</v>
      </c>
    </row>
    <row r="47" spans="1:10" ht="30" customHeight="1">
      <c r="A47" s="12" t="s">
        <v>2215</v>
      </c>
      <c r="B47" s="12" t="s">
        <v>434</v>
      </c>
      <c r="C47" s="12" t="s">
        <v>429</v>
      </c>
      <c r="D47" s="12" t="s">
        <v>430</v>
      </c>
      <c r="E47" s="12" t="s">
        <v>2193</v>
      </c>
      <c r="F47" s="12" t="s">
        <v>2194</v>
      </c>
      <c r="G47" s="12" t="s">
        <v>310</v>
      </c>
      <c r="H47" s="12" t="s">
        <v>2201</v>
      </c>
      <c r="I47" s="12" t="s">
        <v>431</v>
      </c>
      <c r="J47" s="12" t="s">
        <v>2196</v>
      </c>
    </row>
    <row r="48" spans="1:10" ht="30" customHeight="1">
      <c r="A48" s="12" t="s">
        <v>2216</v>
      </c>
      <c r="B48" s="12" t="s">
        <v>439</v>
      </c>
      <c r="C48" s="12" t="s">
        <v>436</v>
      </c>
      <c r="D48" s="12" t="s">
        <v>430</v>
      </c>
      <c r="E48" s="12" t="s">
        <v>2193</v>
      </c>
      <c r="F48" s="12" t="s">
        <v>2194</v>
      </c>
      <c r="G48" s="12" t="s">
        <v>310</v>
      </c>
      <c r="H48" s="12" t="s">
        <v>2201</v>
      </c>
      <c r="I48" s="12" t="s">
        <v>431</v>
      </c>
      <c r="J48" s="12" t="s">
        <v>2196</v>
      </c>
    </row>
    <row r="49" spans="1:10" ht="30" customHeight="1">
      <c r="A49" s="12" t="s">
        <v>2217</v>
      </c>
      <c r="B49" s="12" t="s">
        <v>444</v>
      </c>
      <c r="C49" s="12" t="s">
        <v>441</v>
      </c>
      <c r="D49" s="12" t="s">
        <v>430</v>
      </c>
      <c r="E49" s="12" t="s">
        <v>2193</v>
      </c>
      <c r="F49" s="12" t="s">
        <v>2194</v>
      </c>
      <c r="G49" s="12" t="s">
        <v>310</v>
      </c>
      <c r="H49" s="12" t="s">
        <v>2201</v>
      </c>
      <c r="I49" s="12" t="s">
        <v>431</v>
      </c>
      <c r="J49" s="12" t="s">
        <v>2196</v>
      </c>
    </row>
    <row r="50" spans="1:10" ht="30" customHeight="1">
      <c r="A50" s="12" t="s">
        <v>2218</v>
      </c>
      <c r="B50" s="12" t="s">
        <v>449</v>
      </c>
      <c r="C50" s="12" t="s">
        <v>446</v>
      </c>
      <c r="D50" s="12" t="s">
        <v>430</v>
      </c>
      <c r="E50" s="12" t="s">
        <v>2193</v>
      </c>
      <c r="F50" s="12" t="s">
        <v>2194</v>
      </c>
      <c r="G50" s="12" t="s">
        <v>310</v>
      </c>
      <c r="H50" s="12" t="s">
        <v>2201</v>
      </c>
      <c r="I50" s="12" t="s">
        <v>431</v>
      </c>
      <c r="J50" s="12" t="s">
        <v>2196</v>
      </c>
    </row>
    <row r="51" spans="1:10" ht="30" customHeight="1">
      <c r="A51" s="12" t="s">
        <v>2219</v>
      </c>
      <c r="B51" s="12" t="s">
        <v>449</v>
      </c>
      <c r="C51" s="12" t="s">
        <v>446</v>
      </c>
      <c r="D51" s="12" t="s">
        <v>430</v>
      </c>
      <c r="E51" s="12" t="s">
        <v>2188</v>
      </c>
      <c r="F51" s="12" t="s">
        <v>563</v>
      </c>
      <c r="G51" s="17">
        <v>2.888272583201268</v>
      </c>
      <c r="H51" s="12" t="s">
        <v>2189</v>
      </c>
      <c r="I51" s="12" t="s">
        <v>431</v>
      </c>
      <c r="J51" s="12" t="s">
        <v>2190</v>
      </c>
    </row>
    <row r="52" spans="1:10" ht="30" customHeight="1">
      <c r="A52" s="12" t="s">
        <v>2220</v>
      </c>
      <c r="B52" s="12" t="s">
        <v>454</v>
      </c>
      <c r="C52" s="12" t="s">
        <v>451</v>
      </c>
      <c r="D52" s="12" t="s">
        <v>430</v>
      </c>
      <c r="E52" s="12" t="s">
        <v>2193</v>
      </c>
      <c r="F52" s="12" t="s">
        <v>2194</v>
      </c>
      <c r="G52" s="12" t="s">
        <v>310</v>
      </c>
      <c r="H52" s="12" t="s">
        <v>2201</v>
      </c>
      <c r="I52" s="12" t="s">
        <v>431</v>
      </c>
      <c r="J52" s="12" t="s">
        <v>2196</v>
      </c>
    </row>
    <row r="53" spans="1:10" ht="30" customHeight="1">
      <c r="A53" s="12" t="s">
        <v>2221</v>
      </c>
      <c r="B53" s="12" t="s">
        <v>454</v>
      </c>
      <c r="C53" s="12" t="s">
        <v>451</v>
      </c>
      <c r="D53" s="12" t="s">
        <v>430</v>
      </c>
      <c r="E53" s="12" t="s">
        <v>2188</v>
      </c>
      <c r="F53" s="12" t="s">
        <v>563</v>
      </c>
      <c r="G53" s="17">
        <v>1.52222766795549</v>
      </c>
      <c r="H53" s="12" t="s">
        <v>2189</v>
      </c>
      <c r="I53" s="12" t="s">
        <v>431</v>
      </c>
      <c r="J53" s="12" t="s">
        <v>2190</v>
      </c>
    </row>
    <row r="54" spans="1:10" ht="30" customHeight="1">
      <c r="A54" s="12" t="s">
        <v>2222</v>
      </c>
      <c r="B54" s="12" t="s">
        <v>459</v>
      </c>
      <c r="C54" s="12" t="s">
        <v>456</v>
      </c>
      <c r="D54" s="12" t="s">
        <v>430</v>
      </c>
      <c r="E54" s="12" t="s">
        <v>2193</v>
      </c>
      <c r="F54" s="12" t="s">
        <v>2194</v>
      </c>
      <c r="G54" s="12" t="s">
        <v>310</v>
      </c>
      <c r="H54" s="12" t="s">
        <v>2201</v>
      </c>
      <c r="I54" s="12" t="s">
        <v>431</v>
      </c>
      <c r="J54" s="12" t="s">
        <v>2196</v>
      </c>
    </row>
    <row r="55" spans="1:10" ht="30" customHeight="1">
      <c r="A55" s="12" t="s">
        <v>2223</v>
      </c>
      <c r="B55" s="12" t="s">
        <v>464</v>
      </c>
      <c r="C55" s="12" t="s">
        <v>461</v>
      </c>
      <c r="D55" s="12" t="s">
        <v>430</v>
      </c>
      <c r="E55" s="12" t="s">
        <v>2193</v>
      </c>
      <c r="F55" s="12" t="s">
        <v>2194</v>
      </c>
      <c r="G55" s="12" t="s">
        <v>310</v>
      </c>
      <c r="H55" s="12" t="s">
        <v>2201</v>
      </c>
      <c r="I55" s="12" t="s">
        <v>431</v>
      </c>
      <c r="J55" s="12" t="s">
        <v>2196</v>
      </c>
    </row>
    <row r="56" spans="1:10" ht="30" customHeight="1">
      <c r="A56" s="12" t="s">
        <v>2224</v>
      </c>
      <c r="B56" s="12" t="s">
        <v>464</v>
      </c>
      <c r="C56" s="12" t="s">
        <v>461</v>
      </c>
      <c r="D56" s="12" t="s">
        <v>430</v>
      </c>
      <c r="E56" s="12" t="s">
        <v>2188</v>
      </c>
      <c r="F56" s="12" t="s">
        <v>563</v>
      </c>
      <c r="G56" s="17">
        <v>11.73413897280967</v>
      </c>
      <c r="H56" s="12" t="s">
        <v>2189</v>
      </c>
      <c r="I56" s="12" t="s">
        <v>431</v>
      </c>
      <c r="J56" s="12" t="s">
        <v>2190</v>
      </c>
    </row>
    <row r="57" spans="1:10" ht="30" customHeight="1">
      <c r="A57" s="12" t="s">
        <v>2225</v>
      </c>
      <c r="B57" s="12" t="s">
        <v>469</v>
      </c>
      <c r="C57" s="12" t="s">
        <v>466</v>
      </c>
      <c r="D57" s="12" t="s">
        <v>430</v>
      </c>
      <c r="E57" s="12" t="s">
        <v>2193</v>
      </c>
      <c r="F57" s="12" t="s">
        <v>2194</v>
      </c>
      <c r="G57" s="12" t="s">
        <v>310</v>
      </c>
      <c r="H57" s="12" t="s">
        <v>2201</v>
      </c>
      <c r="I57" s="12" t="s">
        <v>431</v>
      </c>
      <c r="J57" s="12" t="s">
        <v>2196</v>
      </c>
    </row>
    <row r="58" spans="1:10" ht="30" customHeight="1">
      <c r="A58" s="12" t="s">
        <v>2226</v>
      </c>
      <c r="B58" s="12" t="s">
        <v>475</v>
      </c>
      <c r="C58" s="12" t="s">
        <v>472</v>
      </c>
      <c r="D58" s="12" t="s">
        <v>430</v>
      </c>
      <c r="E58" s="12" t="s">
        <v>2193</v>
      </c>
      <c r="F58" s="12" t="s">
        <v>2194</v>
      </c>
      <c r="G58" s="12" t="s">
        <v>310</v>
      </c>
      <c r="H58" s="12" t="s">
        <v>2201</v>
      </c>
      <c r="I58" s="12" t="s">
        <v>431</v>
      </c>
      <c r="J58" s="12" t="s">
        <v>2196</v>
      </c>
    </row>
    <row r="59" spans="1:10" ht="30" customHeight="1">
      <c r="A59" s="12" t="s">
        <v>2227</v>
      </c>
      <c r="B59" s="12" t="s">
        <v>480</v>
      </c>
      <c r="C59" s="12" t="s">
        <v>477</v>
      </c>
      <c r="D59" s="12" t="s">
        <v>430</v>
      </c>
      <c r="E59" s="12" t="s">
        <v>2193</v>
      </c>
      <c r="F59" s="12" t="s">
        <v>2194</v>
      </c>
      <c r="G59" s="12" t="s">
        <v>310</v>
      </c>
      <c r="H59" s="12" t="s">
        <v>2201</v>
      </c>
      <c r="I59" s="12" t="s">
        <v>431</v>
      </c>
      <c r="J59" s="12" t="s">
        <v>2196</v>
      </c>
    </row>
    <row r="60" spans="1:10" ht="30" customHeight="1">
      <c r="A60" s="12" t="s">
        <v>2228</v>
      </c>
      <c r="B60" s="12" t="s">
        <v>95</v>
      </c>
      <c r="C60" s="12" t="s">
        <v>92</v>
      </c>
      <c r="D60" s="12" t="s">
        <v>29</v>
      </c>
      <c r="E60" s="12" t="s">
        <v>2229</v>
      </c>
      <c r="F60" s="12" t="s">
        <v>2230</v>
      </c>
      <c r="G60" s="13"/>
      <c r="H60" s="12" t="s">
        <v>2231</v>
      </c>
      <c r="I60" s="12" t="s">
        <v>2232</v>
      </c>
      <c r="J60" s="12" t="s">
        <v>2233</v>
      </c>
    </row>
    <row r="61" spans="1:10" ht="30" customHeight="1">
      <c r="A61" s="12" t="s">
        <v>2234</v>
      </c>
      <c r="B61" s="12" t="s">
        <v>64</v>
      </c>
      <c r="C61" s="12" t="s">
        <v>60</v>
      </c>
      <c r="D61" s="12" t="s">
        <v>29</v>
      </c>
      <c r="E61" s="12" t="s">
        <v>2229</v>
      </c>
      <c r="F61" s="12" t="s">
        <v>2230</v>
      </c>
      <c r="G61" s="13"/>
      <c r="H61" s="12" t="s">
        <v>2231</v>
      </c>
      <c r="I61" s="12" t="s">
        <v>2232</v>
      </c>
      <c r="J61" s="12" t="s">
        <v>2233</v>
      </c>
    </row>
    <row r="62" spans="1:10" ht="30" customHeight="1">
      <c r="A62" s="12" t="s">
        <v>2235</v>
      </c>
      <c r="B62" s="12" t="s">
        <v>90</v>
      </c>
      <c r="C62" s="12" t="s">
        <v>87</v>
      </c>
      <c r="D62" s="12" t="s">
        <v>29</v>
      </c>
      <c r="E62" s="12" t="s">
        <v>2229</v>
      </c>
      <c r="F62" s="12" t="s">
        <v>2230</v>
      </c>
      <c r="G62" s="13"/>
      <c r="H62" s="12" t="s">
        <v>2231</v>
      </c>
      <c r="I62" s="12" t="s">
        <v>2232</v>
      </c>
      <c r="J62" s="12" t="s">
        <v>2233</v>
      </c>
    </row>
    <row r="63" spans="1:10" ht="30" customHeight="1">
      <c r="A63" s="12" t="s">
        <v>2236</v>
      </c>
      <c r="B63" s="12" t="s">
        <v>58</v>
      </c>
      <c r="C63" s="12" t="s">
        <v>53</v>
      </c>
      <c r="D63" s="12" t="s">
        <v>29</v>
      </c>
      <c r="E63" s="12" t="s">
        <v>2229</v>
      </c>
      <c r="F63" s="12" t="s">
        <v>2230</v>
      </c>
      <c r="G63" s="13"/>
      <c r="H63" s="12" t="s">
        <v>2231</v>
      </c>
      <c r="I63" s="12" t="s">
        <v>2232</v>
      </c>
      <c r="J63" s="12" t="s">
        <v>2233</v>
      </c>
    </row>
    <row r="64" spans="1:10" ht="30" customHeight="1">
      <c r="A64" s="12" t="s">
        <v>2237</v>
      </c>
      <c r="B64" s="12" t="s">
        <v>51</v>
      </c>
      <c r="C64" s="12" t="s">
        <v>46</v>
      </c>
      <c r="D64" s="12" t="s">
        <v>29</v>
      </c>
      <c r="E64" s="12" t="s">
        <v>2229</v>
      </c>
      <c r="F64" s="12" t="s">
        <v>2230</v>
      </c>
      <c r="G64" s="13"/>
      <c r="H64" s="12" t="s">
        <v>2231</v>
      </c>
      <c r="I64" s="12" t="s">
        <v>2232</v>
      </c>
      <c r="J64" s="12" t="s">
        <v>2233</v>
      </c>
    </row>
    <row r="65" spans="1:10" ht="30" customHeight="1">
      <c r="A65" s="12" t="s">
        <v>2238</v>
      </c>
      <c r="B65" s="12" t="s">
        <v>77</v>
      </c>
      <c r="C65" s="12" t="s">
        <v>72</v>
      </c>
      <c r="D65" s="12" t="s">
        <v>29</v>
      </c>
      <c r="E65" s="12" t="s">
        <v>2229</v>
      </c>
      <c r="F65" s="12" t="s">
        <v>2230</v>
      </c>
      <c r="G65" s="13"/>
      <c r="H65" s="12" t="s">
        <v>2239</v>
      </c>
      <c r="I65" s="12" t="s">
        <v>2232</v>
      </c>
      <c r="J65" s="12" t="s">
        <v>2233</v>
      </c>
    </row>
    <row r="66" spans="1:10" ht="30" customHeight="1">
      <c r="A66" s="12" t="s">
        <v>2240</v>
      </c>
      <c r="B66" s="12" t="s">
        <v>85</v>
      </c>
      <c r="C66" s="12" t="s">
        <v>81</v>
      </c>
      <c r="D66" s="12" t="s">
        <v>29</v>
      </c>
      <c r="E66" s="12" t="s">
        <v>2229</v>
      </c>
      <c r="F66" s="12" t="s">
        <v>2230</v>
      </c>
      <c r="G66" s="13"/>
      <c r="H66" s="12" t="s">
        <v>2231</v>
      </c>
      <c r="I66" s="12" t="s">
        <v>2232</v>
      </c>
      <c r="J66" s="12" t="s">
        <v>2233</v>
      </c>
    </row>
    <row r="67" spans="1:10" ht="30" customHeight="1">
      <c r="A67" s="12" t="s">
        <v>2241</v>
      </c>
      <c r="B67" s="12" t="s">
        <v>39</v>
      </c>
      <c r="C67" s="12" t="s">
        <v>28</v>
      </c>
      <c r="D67" s="12" t="s">
        <v>29</v>
      </c>
      <c r="E67" s="12" t="s">
        <v>2229</v>
      </c>
      <c r="F67" s="12" t="s">
        <v>2230</v>
      </c>
      <c r="G67" s="13"/>
      <c r="H67" s="12" t="s">
        <v>2231</v>
      </c>
      <c r="I67" s="12" t="s">
        <v>2232</v>
      </c>
      <c r="J67" s="12" t="s">
        <v>2233</v>
      </c>
    </row>
    <row r="68" spans="1:10" ht="30" customHeight="1">
      <c r="A68" s="12" t="s">
        <v>2242</v>
      </c>
      <c r="B68" s="12" t="s">
        <v>70</v>
      </c>
      <c r="C68" s="12" t="s">
        <v>66</v>
      </c>
      <c r="D68" s="12" t="s">
        <v>29</v>
      </c>
      <c r="E68" s="12" t="s">
        <v>2229</v>
      </c>
      <c r="F68" s="12" t="s">
        <v>2230</v>
      </c>
      <c r="G68" s="13"/>
      <c r="H68" s="12" t="s">
        <v>2231</v>
      </c>
      <c r="I68" s="12" t="s">
        <v>2232</v>
      </c>
      <c r="J68" s="12" t="s">
        <v>2233</v>
      </c>
    </row>
    <row r="69" spans="1:10" ht="30" customHeight="1">
      <c r="A69" s="12" t="s">
        <v>2243</v>
      </c>
      <c r="B69" s="12" t="s">
        <v>115</v>
      </c>
      <c r="C69" s="12" t="s">
        <v>111</v>
      </c>
      <c r="D69" s="12" t="s">
        <v>98</v>
      </c>
      <c r="E69" s="12" t="s">
        <v>2229</v>
      </c>
      <c r="F69" s="12" t="s">
        <v>2230</v>
      </c>
      <c r="G69" s="13"/>
      <c r="H69" s="12" t="s">
        <v>2244</v>
      </c>
      <c r="I69" s="12" t="s">
        <v>2245</v>
      </c>
      <c r="J69" s="12" t="s">
        <v>2233</v>
      </c>
    </row>
    <row r="70" spans="1:10" ht="30" customHeight="1">
      <c r="A70" s="12" t="s">
        <v>2246</v>
      </c>
      <c r="B70" s="12" t="s">
        <v>133</v>
      </c>
      <c r="C70" s="12" t="s">
        <v>129</v>
      </c>
      <c r="D70" s="12" t="s">
        <v>98</v>
      </c>
      <c r="E70" s="12" t="s">
        <v>2229</v>
      </c>
      <c r="F70" s="12" t="s">
        <v>2230</v>
      </c>
      <c r="G70" s="13"/>
      <c r="H70" s="12" t="s">
        <v>2244</v>
      </c>
      <c r="I70" s="12" t="s">
        <v>2245</v>
      </c>
      <c r="J70" s="12" t="s">
        <v>2233</v>
      </c>
    </row>
    <row r="71" spans="1:10" ht="30" customHeight="1">
      <c r="A71" s="12" t="s">
        <v>2247</v>
      </c>
      <c r="B71" s="12" t="s">
        <v>102</v>
      </c>
      <c r="C71" s="12" t="s">
        <v>97</v>
      </c>
      <c r="D71" s="12" t="s">
        <v>98</v>
      </c>
      <c r="E71" s="12" t="s">
        <v>2229</v>
      </c>
      <c r="F71" s="12" t="s">
        <v>2230</v>
      </c>
      <c r="G71" s="13"/>
      <c r="H71" s="12" t="s">
        <v>2244</v>
      </c>
      <c r="I71" s="12" t="s">
        <v>2245</v>
      </c>
      <c r="J71" s="12" t="s">
        <v>2233</v>
      </c>
    </row>
    <row r="72" spans="1:10" ht="30" customHeight="1">
      <c r="A72" s="12" t="s">
        <v>2248</v>
      </c>
      <c r="B72" s="12" t="s">
        <v>121</v>
      </c>
      <c r="C72" s="12" t="s">
        <v>117</v>
      </c>
      <c r="D72" s="12" t="s">
        <v>98</v>
      </c>
      <c r="E72" s="12" t="s">
        <v>2229</v>
      </c>
      <c r="F72" s="12" t="s">
        <v>2230</v>
      </c>
      <c r="G72" s="13"/>
      <c r="H72" s="12" t="s">
        <v>2244</v>
      </c>
      <c r="I72" s="12" t="s">
        <v>2245</v>
      </c>
      <c r="J72" s="12" t="s">
        <v>2233</v>
      </c>
    </row>
    <row r="73" spans="1:10" ht="30" customHeight="1">
      <c r="A73" s="12" t="s">
        <v>2249</v>
      </c>
      <c r="B73" s="12" t="s">
        <v>139</v>
      </c>
      <c r="C73" s="12" t="s">
        <v>135</v>
      </c>
      <c r="D73" s="12" t="s">
        <v>98</v>
      </c>
      <c r="E73" s="12" t="s">
        <v>2229</v>
      </c>
      <c r="F73" s="12" t="s">
        <v>2230</v>
      </c>
      <c r="G73" s="13"/>
      <c r="H73" s="12" t="s">
        <v>2244</v>
      </c>
      <c r="I73" s="12" t="s">
        <v>2245</v>
      </c>
      <c r="J73" s="12" t="s">
        <v>2233</v>
      </c>
    </row>
    <row r="74" spans="1:10" ht="30" customHeight="1">
      <c r="A74" s="12" t="s">
        <v>2250</v>
      </c>
      <c r="B74" s="12" t="s">
        <v>109</v>
      </c>
      <c r="C74" s="12" t="s">
        <v>105</v>
      </c>
      <c r="D74" s="12" t="s">
        <v>98</v>
      </c>
      <c r="E74" s="12" t="s">
        <v>2229</v>
      </c>
      <c r="F74" s="12" t="s">
        <v>2230</v>
      </c>
      <c r="G74" s="13"/>
      <c r="H74" s="12" t="s">
        <v>2244</v>
      </c>
      <c r="I74" s="12" t="s">
        <v>2245</v>
      </c>
      <c r="J74" s="12" t="s">
        <v>2233</v>
      </c>
    </row>
    <row r="75" spans="1:10" ht="30" customHeight="1">
      <c r="A75" s="12" t="s">
        <v>2251</v>
      </c>
      <c r="B75" s="12" t="s">
        <v>127</v>
      </c>
      <c r="C75" s="12" t="s">
        <v>123</v>
      </c>
      <c r="D75" s="12" t="s">
        <v>98</v>
      </c>
      <c r="E75" s="12" t="s">
        <v>2229</v>
      </c>
      <c r="F75" s="12" t="s">
        <v>2230</v>
      </c>
      <c r="G75" s="13"/>
      <c r="H75" s="12" t="s">
        <v>2244</v>
      </c>
      <c r="I75" s="12" t="s">
        <v>2245</v>
      </c>
      <c r="J75" s="12" t="s">
        <v>2233</v>
      </c>
    </row>
    <row r="76" spans="1:10" ht="30" customHeight="1">
      <c r="A76" s="12" t="s">
        <v>2252</v>
      </c>
      <c r="B76" s="12" t="s">
        <v>175</v>
      </c>
      <c r="C76" s="12" t="s">
        <v>171</v>
      </c>
      <c r="D76" s="12" t="s">
        <v>142</v>
      </c>
      <c r="E76" s="12" t="s">
        <v>2229</v>
      </c>
      <c r="F76" s="12" t="s">
        <v>2230</v>
      </c>
      <c r="G76" s="13"/>
      <c r="H76" s="12" t="s">
        <v>2253</v>
      </c>
      <c r="I76" s="12" t="s">
        <v>2254</v>
      </c>
      <c r="J76" s="12" t="s">
        <v>2233</v>
      </c>
    </row>
    <row r="77" spans="1:10" ht="30" customHeight="1">
      <c r="A77" s="12" t="s">
        <v>2255</v>
      </c>
      <c r="B77" s="12" t="s">
        <v>204</v>
      </c>
      <c r="C77" s="12" t="s">
        <v>200</v>
      </c>
      <c r="D77" s="12" t="s">
        <v>142</v>
      </c>
      <c r="E77" s="12" t="s">
        <v>2229</v>
      </c>
      <c r="F77" s="12" t="s">
        <v>2230</v>
      </c>
      <c r="G77" s="13"/>
      <c r="H77" s="12" t="s">
        <v>2256</v>
      </c>
      <c r="I77" s="12" t="s">
        <v>2254</v>
      </c>
      <c r="J77" s="12" t="s">
        <v>2233</v>
      </c>
    </row>
    <row r="78" spans="1:10" ht="30" customHeight="1">
      <c r="A78" s="12" t="s">
        <v>2257</v>
      </c>
      <c r="B78" s="12" t="s">
        <v>193</v>
      </c>
      <c r="C78" s="12" t="s">
        <v>189</v>
      </c>
      <c r="D78" s="12" t="s">
        <v>142</v>
      </c>
      <c r="E78" s="12" t="s">
        <v>2229</v>
      </c>
      <c r="F78" s="12" t="s">
        <v>2230</v>
      </c>
      <c r="G78" s="13"/>
      <c r="H78" s="12" t="s">
        <v>2258</v>
      </c>
      <c r="I78" s="12" t="s">
        <v>2254</v>
      </c>
      <c r="J78" s="12" t="s">
        <v>2233</v>
      </c>
    </row>
    <row r="79" spans="1:10" ht="30" customHeight="1">
      <c r="A79" s="12" t="s">
        <v>2259</v>
      </c>
      <c r="B79" s="12" t="s">
        <v>155</v>
      </c>
      <c r="C79" s="12" t="s">
        <v>151</v>
      </c>
      <c r="D79" s="12" t="s">
        <v>142</v>
      </c>
      <c r="E79" s="12" t="s">
        <v>2229</v>
      </c>
      <c r="F79" s="12" t="s">
        <v>2230</v>
      </c>
      <c r="G79" s="13"/>
      <c r="H79" s="12" t="s">
        <v>2256</v>
      </c>
      <c r="I79" s="12" t="s">
        <v>2254</v>
      </c>
      <c r="J79" s="12" t="s">
        <v>2233</v>
      </c>
    </row>
    <row r="80" spans="1:10" ht="30" customHeight="1">
      <c r="A80" s="12" t="s">
        <v>2260</v>
      </c>
      <c r="B80" s="12" t="s">
        <v>181</v>
      </c>
      <c r="C80" s="12" t="s">
        <v>178</v>
      </c>
      <c r="D80" s="12" t="s">
        <v>142</v>
      </c>
      <c r="E80" s="12" t="s">
        <v>2229</v>
      </c>
      <c r="F80" s="12" t="s">
        <v>2230</v>
      </c>
      <c r="G80" s="13"/>
      <c r="H80" s="12" t="s">
        <v>2253</v>
      </c>
      <c r="I80" s="12" t="s">
        <v>2254</v>
      </c>
      <c r="J80" s="12" t="s">
        <v>2233</v>
      </c>
    </row>
    <row r="81" spans="1:10" ht="30" customHeight="1">
      <c r="A81" s="12" t="s">
        <v>2261</v>
      </c>
      <c r="B81" s="12" t="s">
        <v>162</v>
      </c>
      <c r="C81" s="12" t="s">
        <v>158</v>
      </c>
      <c r="D81" s="12" t="s">
        <v>142</v>
      </c>
      <c r="E81" s="12" t="s">
        <v>2229</v>
      </c>
      <c r="F81" s="12" t="s">
        <v>2230</v>
      </c>
      <c r="G81" s="13"/>
      <c r="H81" s="12" t="s">
        <v>2262</v>
      </c>
      <c r="I81" s="12" t="s">
        <v>2254</v>
      </c>
      <c r="J81" s="12" t="s">
        <v>2233</v>
      </c>
    </row>
    <row r="82" spans="1:10" ht="30" customHeight="1">
      <c r="A82" s="12" t="s">
        <v>2263</v>
      </c>
      <c r="B82" s="12" t="s">
        <v>198</v>
      </c>
      <c r="C82" s="12" t="s">
        <v>196</v>
      </c>
      <c r="D82" s="12" t="s">
        <v>142</v>
      </c>
      <c r="E82" s="12" t="s">
        <v>2229</v>
      </c>
      <c r="F82" s="12" t="s">
        <v>2230</v>
      </c>
      <c r="G82" s="13"/>
      <c r="H82" s="12" t="s">
        <v>2253</v>
      </c>
      <c r="I82" s="12" t="s">
        <v>2254</v>
      </c>
      <c r="J82" s="12" t="s">
        <v>2233</v>
      </c>
    </row>
    <row r="83" spans="1:10" ht="30" customHeight="1">
      <c r="A83" s="12" t="s">
        <v>2264</v>
      </c>
      <c r="B83" s="12" t="s">
        <v>187</v>
      </c>
      <c r="C83" s="12" t="s">
        <v>184</v>
      </c>
      <c r="D83" s="12" t="s">
        <v>142</v>
      </c>
      <c r="E83" s="12" t="s">
        <v>2229</v>
      </c>
      <c r="F83" s="12" t="s">
        <v>2230</v>
      </c>
      <c r="G83" s="13"/>
      <c r="H83" s="12" t="s">
        <v>2253</v>
      </c>
      <c r="I83" s="12" t="s">
        <v>2254</v>
      </c>
      <c r="J83" s="12" t="s">
        <v>2233</v>
      </c>
    </row>
    <row r="84" spans="1:10" ht="30" customHeight="1">
      <c r="A84" s="12" t="s">
        <v>2265</v>
      </c>
      <c r="B84" s="12" t="s">
        <v>145</v>
      </c>
      <c r="C84" s="12" t="s">
        <v>141</v>
      </c>
      <c r="D84" s="12" t="s">
        <v>142</v>
      </c>
      <c r="E84" s="12" t="s">
        <v>2229</v>
      </c>
      <c r="F84" s="12" t="s">
        <v>2230</v>
      </c>
      <c r="G84" s="13"/>
      <c r="H84" s="12" t="s">
        <v>2253</v>
      </c>
      <c r="I84" s="12" t="s">
        <v>2254</v>
      </c>
      <c r="J84" s="12" t="s">
        <v>2233</v>
      </c>
    </row>
    <row r="85" spans="1:10" ht="30" customHeight="1">
      <c r="A85" s="12" t="s">
        <v>2266</v>
      </c>
      <c r="B85" s="12" t="s">
        <v>168</v>
      </c>
      <c r="C85" s="12" t="s">
        <v>165</v>
      </c>
      <c r="D85" s="12" t="s">
        <v>142</v>
      </c>
      <c r="E85" s="12" t="s">
        <v>2229</v>
      </c>
      <c r="F85" s="12" t="s">
        <v>2230</v>
      </c>
      <c r="G85" s="13"/>
      <c r="H85" s="12" t="s">
        <v>2256</v>
      </c>
      <c r="I85" s="12" t="s">
        <v>2254</v>
      </c>
      <c r="J85" s="12" t="s">
        <v>2233</v>
      </c>
    </row>
    <row r="86" spans="1:10" ht="30" customHeight="1">
      <c r="A86" s="12" t="s">
        <v>2267</v>
      </c>
      <c r="B86" s="12" t="s">
        <v>240</v>
      </c>
      <c r="C86" s="12" t="s">
        <v>235</v>
      </c>
      <c r="D86" s="12" t="s">
        <v>207</v>
      </c>
      <c r="E86" s="12" t="s">
        <v>2229</v>
      </c>
      <c r="F86" s="12" t="s">
        <v>2230</v>
      </c>
      <c r="G86" s="13"/>
      <c r="H86" s="12" t="s">
        <v>2268</v>
      </c>
      <c r="I86" s="12" t="s">
        <v>2269</v>
      </c>
      <c r="J86" s="12" t="s">
        <v>2233</v>
      </c>
    </row>
    <row r="87" spans="1:10" ht="30" customHeight="1">
      <c r="A87" s="12" t="s">
        <v>2270</v>
      </c>
      <c r="B87" s="12" t="s">
        <v>227</v>
      </c>
      <c r="C87" s="12" t="s">
        <v>223</v>
      </c>
      <c r="D87" s="12" t="s">
        <v>207</v>
      </c>
      <c r="E87" s="12" t="s">
        <v>2229</v>
      </c>
      <c r="F87" s="12" t="s">
        <v>2230</v>
      </c>
      <c r="G87" s="13"/>
      <c r="H87" s="12" t="s">
        <v>2271</v>
      </c>
      <c r="I87" s="12" t="s">
        <v>2269</v>
      </c>
      <c r="J87" s="12" t="s">
        <v>2233</v>
      </c>
    </row>
    <row r="88" spans="1:10" ht="30" customHeight="1">
      <c r="A88" s="12" t="s">
        <v>2272</v>
      </c>
      <c r="B88" s="12" t="s">
        <v>278</v>
      </c>
      <c r="C88" s="12" t="s">
        <v>274</v>
      </c>
      <c r="D88" s="12" t="s">
        <v>207</v>
      </c>
      <c r="E88" s="12" t="s">
        <v>2229</v>
      </c>
      <c r="F88" s="12" t="s">
        <v>2230</v>
      </c>
      <c r="G88" s="13"/>
      <c r="H88" s="12" t="s">
        <v>2271</v>
      </c>
      <c r="I88" s="12" t="s">
        <v>2269</v>
      </c>
      <c r="J88" s="12" t="s">
        <v>2233</v>
      </c>
    </row>
    <row r="89" spans="1:10" ht="30" customHeight="1">
      <c r="A89" s="12" t="s">
        <v>2273</v>
      </c>
      <c r="B89" s="12" t="s">
        <v>212</v>
      </c>
      <c r="C89" s="12" t="s">
        <v>206</v>
      </c>
      <c r="D89" s="12" t="s">
        <v>207</v>
      </c>
      <c r="E89" s="12" t="s">
        <v>2229</v>
      </c>
      <c r="F89" s="12" t="s">
        <v>2230</v>
      </c>
      <c r="G89" s="13"/>
      <c r="H89" s="12" t="s">
        <v>2271</v>
      </c>
      <c r="I89" s="12" t="s">
        <v>2269</v>
      </c>
      <c r="J89" s="12" t="s">
        <v>2233</v>
      </c>
    </row>
    <row r="90" spans="1:10" ht="30" customHeight="1">
      <c r="A90" s="12" t="s">
        <v>2274</v>
      </c>
      <c r="B90" s="12" t="s">
        <v>300</v>
      </c>
      <c r="C90" s="12" t="s">
        <v>296</v>
      </c>
      <c r="D90" s="12" t="s">
        <v>207</v>
      </c>
      <c r="E90" s="12" t="s">
        <v>2229</v>
      </c>
      <c r="F90" s="12" t="s">
        <v>2230</v>
      </c>
      <c r="G90" s="13"/>
      <c r="H90" s="12" t="s">
        <v>2271</v>
      </c>
      <c r="I90" s="12" t="s">
        <v>2269</v>
      </c>
      <c r="J90" s="12" t="s">
        <v>2233</v>
      </c>
    </row>
    <row r="91" spans="1:10" ht="30" customHeight="1">
      <c r="A91" s="12" t="s">
        <v>2275</v>
      </c>
      <c r="B91" s="12" t="s">
        <v>284</v>
      </c>
      <c r="C91" s="12" t="s">
        <v>280</v>
      </c>
      <c r="D91" s="12" t="s">
        <v>207</v>
      </c>
      <c r="E91" s="12" t="s">
        <v>2229</v>
      </c>
      <c r="F91" s="12" t="s">
        <v>2230</v>
      </c>
      <c r="G91" s="13"/>
      <c r="H91" s="12" t="s">
        <v>2276</v>
      </c>
      <c r="I91" s="12" t="s">
        <v>2269</v>
      </c>
      <c r="J91" s="12" t="s">
        <v>2233</v>
      </c>
    </row>
    <row r="92" spans="1:10" ht="30" customHeight="1">
      <c r="A92" s="12" t="s">
        <v>2277</v>
      </c>
      <c r="B92" s="12" t="s">
        <v>272</v>
      </c>
      <c r="C92" s="12" t="s">
        <v>269</v>
      </c>
      <c r="D92" s="12" t="s">
        <v>207</v>
      </c>
      <c r="E92" s="12" t="s">
        <v>2229</v>
      </c>
      <c r="F92" s="12" t="s">
        <v>2230</v>
      </c>
      <c r="G92" s="13"/>
      <c r="H92" s="12" t="s">
        <v>2276</v>
      </c>
      <c r="I92" s="12" t="s">
        <v>2269</v>
      </c>
      <c r="J92" s="12" t="s">
        <v>2233</v>
      </c>
    </row>
    <row r="93" spans="1:10" ht="30" customHeight="1">
      <c r="A93" s="12" t="s">
        <v>2278</v>
      </c>
      <c r="B93" s="12" t="s">
        <v>294</v>
      </c>
      <c r="C93" s="12" t="s">
        <v>291</v>
      </c>
      <c r="D93" s="12" t="s">
        <v>207</v>
      </c>
      <c r="E93" s="12" t="s">
        <v>2229</v>
      </c>
      <c r="F93" s="12" t="s">
        <v>2230</v>
      </c>
      <c r="G93" s="13"/>
      <c r="H93" s="12" t="s">
        <v>2276</v>
      </c>
      <c r="I93" s="12" t="s">
        <v>2269</v>
      </c>
      <c r="J93" s="12" t="s">
        <v>2233</v>
      </c>
    </row>
    <row r="94" spans="1:10" ht="30" customHeight="1">
      <c r="A94" s="12" t="s">
        <v>2279</v>
      </c>
      <c r="B94" s="12" t="s">
        <v>248</v>
      </c>
      <c r="C94" s="12" t="s">
        <v>244</v>
      </c>
      <c r="D94" s="12" t="s">
        <v>207</v>
      </c>
      <c r="E94" s="12" t="s">
        <v>2229</v>
      </c>
      <c r="F94" s="12" t="s">
        <v>2230</v>
      </c>
      <c r="G94" s="13"/>
      <c r="H94" s="12" t="s">
        <v>2271</v>
      </c>
      <c r="I94" s="12" t="s">
        <v>2269</v>
      </c>
      <c r="J94" s="12" t="s">
        <v>2233</v>
      </c>
    </row>
    <row r="95" spans="1:10" ht="30" customHeight="1">
      <c r="A95" s="12" t="s">
        <v>2280</v>
      </c>
      <c r="B95" s="12" t="s">
        <v>233</v>
      </c>
      <c r="C95" s="12" t="s">
        <v>229</v>
      </c>
      <c r="D95" s="12" t="s">
        <v>207</v>
      </c>
      <c r="E95" s="12" t="s">
        <v>2229</v>
      </c>
      <c r="F95" s="12" t="s">
        <v>2230</v>
      </c>
      <c r="G95" s="13"/>
      <c r="H95" s="12" t="s">
        <v>2281</v>
      </c>
      <c r="I95" s="12" t="s">
        <v>2269</v>
      </c>
      <c r="J95" s="12" t="s">
        <v>2233</v>
      </c>
    </row>
    <row r="96" spans="1:10" ht="30" customHeight="1">
      <c r="A96" s="12" t="s">
        <v>2282</v>
      </c>
      <c r="B96" s="12" t="s">
        <v>289</v>
      </c>
      <c r="C96" s="12" t="s">
        <v>286</v>
      </c>
      <c r="D96" s="12" t="s">
        <v>207</v>
      </c>
      <c r="E96" s="12" t="s">
        <v>2229</v>
      </c>
      <c r="F96" s="12" t="s">
        <v>2230</v>
      </c>
      <c r="G96" s="13"/>
      <c r="H96" s="12" t="s">
        <v>2281</v>
      </c>
      <c r="I96" s="12" t="s">
        <v>2269</v>
      </c>
      <c r="J96" s="12" t="s">
        <v>2233</v>
      </c>
    </row>
    <row r="97" spans="1:10" ht="30" customHeight="1">
      <c r="A97" s="12" t="s">
        <v>2283</v>
      </c>
      <c r="B97" s="12" t="s">
        <v>221</v>
      </c>
      <c r="C97" s="12" t="s">
        <v>217</v>
      </c>
      <c r="D97" s="12" t="s">
        <v>207</v>
      </c>
      <c r="E97" s="12" t="s">
        <v>2229</v>
      </c>
      <c r="F97" s="12" t="s">
        <v>2230</v>
      </c>
      <c r="G97" s="13"/>
      <c r="H97" s="12" t="s">
        <v>2281</v>
      </c>
      <c r="I97" s="12" t="s">
        <v>2269</v>
      </c>
      <c r="J97" s="12" t="s">
        <v>2233</v>
      </c>
    </row>
    <row r="98" spans="1:10" ht="30" customHeight="1">
      <c r="A98" s="12" t="s">
        <v>2284</v>
      </c>
      <c r="B98" s="12" t="s">
        <v>320</v>
      </c>
      <c r="C98" s="12" t="s">
        <v>317</v>
      </c>
      <c r="D98" s="12" t="s">
        <v>303</v>
      </c>
      <c r="E98" s="12" t="s">
        <v>2229</v>
      </c>
      <c r="F98" s="12" t="s">
        <v>2230</v>
      </c>
      <c r="G98" s="13"/>
      <c r="H98" s="12" t="s">
        <v>2285</v>
      </c>
      <c r="I98" s="12" t="s">
        <v>1585</v>
      </c>
      <c r="J98" s="12" t="s">
        <v>2233</v>
      </c>
    </row>
    <row r="99" spans="1:10" ht="30" customHeight="1">
      <c r="A99" s="12" t="s">
        <v>2286</v>
      </c>
      <c r="B99" s="12" t="s">
        <v>307</v>
      </c>
      <c r="C99" s="12" t="s">
        <v>302</v>
      </c>
      <c r="D99" s="12" t="s">
        <v>303</v>
      </c>
      <c r="E99" s="12" t="s">
        <v>2229</v>
      </c>
      <c r="F99" s="12" t="s">
        <v>2230</v>
      </c>
      <c r="G99" s="13"/>
      <c r="H99" s="12" t="s">
        <v>2285</v>
      </c>
      <c r="I99" s="12" t="s">
        <v>1585</v>
      </c>
      <c r="J99" s="12" t="s">
        <v>2233</v>
      </c>
    </row>
    <row r="100" spans="1:10" ht="30" customHeight="1">
      <c r="A100" s="12" t="s">
        <v>2287</v>
      </c>
      <c r="B100" s="12" t="s">
        <v>371</v>
      </c>
      <c r="C100" s="12" t="s">
        <v>368</v>
      </c>
      <c r="D100" s="12" t="s">
        <v>303</v>
      </c>
      <c r="E100" s="12" t="s">
        <v>2229</v>
      </c>
      <c r="F100" s="12" t="s">
        <v>2230</v>
      </c>
      <c r="G100" s="13"/>
      <c r="H100" s="12" t="s">
        <v>2285</v>
      </c>
      <c r="I100" s="12" t="s">
        <v>1585</v>
      </c>
      <c r="J100" s="12" t="s">
        <v>2233</v>
      </c>
    </row>
    <row r="101" spans="1:10" ht="30" customHeight="1">
      <c r="A101" s="12" t="s">
        <v>2288</v>
      </c>
      <c r="B101" s="12" t="s">
        <v>361</v>
      </c>
      <c r="C101" s="12" t="s">
        <v>358</v>
      </c>
      <c r="D101" s="12" t="s">
        <v>303</v>
      </c>
      <c r="E101" s="12" t="s">
        <v>2229</v>
      </c>
      <c r="F101" s="12" t="s">
        <v>2230</v>
      </c>
      <c r="G101" s="13"/>
      <c r="H101" s="12" t="s">
        <v>2285</v>
      </c>
      <c r="I101" s="12" t="s">
        <v>1585</v>
      </c>
      <c r="J101" s="12" t="s">
        <v>2233</v>
      </c>
    </row>
    <row r="102" spans="1:10" ht="30" customHeight="1">
      <c r="A102" s="12" t="s">
        <v>2289</v>
      </c>
      <c r="B102" s="12" t="s">
        <v>325</v>
      </c>
      <c r="C102" s="12" t="s">
        <v>322</v>
      </c>
      <c r="D102" s="12" t="s">
        <v>303</v>
      </c>
      <c r="E102" s="12" t="s">
        <v>2229</v>
      </c>
      <c r="F102" s="12" t="s">
        <v>2230</v>
      </c>
      <c r="G102" s="13"/>
      <c r="H102" s="12" t="s">
        <v>2285</v>
      </c>
      <c r="I102" s="12" t="s">
        <v>1585</v>
      </c>
      <c r="J102" s="12" t="s">
        <v>2233</v>
      </c>
    </row>
    <row r="103" spans="1:10" ht="30" customHeight="1">
      <c r="A103" s="12" t="s">
        <v>2290</v>
      </c>
      <c r="B103" s="12" t="s">
        <v>366</v>
      </c>
      <c r="C103" s="12" t="s">
        <v>363</v>
      </c>
      <c r="D103" s="12" t="s">
        <v>303</v>
      </c>
      <c r="E103" s="12" t="s">
        <v>2229</v>
      </c>
      <c r="F103" s="12" t="s">
        <v>2230</v>
      </c>
      <c r="G103" s="13"/>
      <c r="H103" s="12" t="s">
        <v>2285</v>
      </c>
      <c r="I103" s="12" t="s">
        <v>1585</v>
      </c>
      <c r="J103" s="12" t="s">
        <v>2233</v>
      </c>
    </row>
    <row r="104" spans="1:10" ht="30" customHeight="1">
      <c r="A104" s="12" t="s">
        <v>2291</v>
      </c>
      <c r="B104" s="12" t="s">
        <v>351</v>
      </c>
      <c r="C104" s="12" t="s">
        <v>348</v>
      </c>
      <c r="D104" s="12" t="s">
        <v>303</v>
      </c>
      <c r="E104" s="12" t="s">
        <v>2229</v>
      </c>
      <c r="F104" s="12" t="s">
        <v>2230</v>
      </c>
      <c r="G104" s="13"/>
      <c r="H104" s="12" t="s">
        <v>2285</v>
      </c>
      <c r="I104" s="12" t="s">
        <v>1585</v>
      </c>
      <c r="J104" s="12" t="s">
        <v>2233</v>
      </c>
    </row>
    <row r="105" spans="1:10" ht="30" customHeight="1">
      <c r="A105" s="12" t="s">
        <v>2292</v>
      </c>
      <c r="B105" s="12" t="s">
        <v>346</v>
      </c>
      <c r="C105" s="12" t="s">
        <v>343</v>
      </c>
      <c r="D105" s="12" t="s">
        <v>303</v>
      </c>
      <c r="E105" s="12" t="s">
        <v>2229</v>
      </c>
      <c r="F105" s="12" t="s">
        <v>2230</v>
      </c>
      <c r="G105" s="13"/>
      <c r="H105" s="12" t="s">
        <v>2285</v>
      </c>
      <c r="I105" s="12" t="s">
        <v>1585</v>
      </c>
      <c r="J105" s="12" t="s">
        <v>2233</v>
      </c>
    </row>
    <row r="106" spans="1:10" ht="30" customHeight="1">
      <c r="A106" s="12" t="s">
        <v>2293</v>
      </c>
      <c r="B106" s="12" t="s">
        <v>340</v>
      </c>
      <c r="C106" s="12" t="s">
        <v>337</v>
      </c>
      <c r="D106" s="12" t="s">
        <v>303</v>
      </c>
      <c r="E106" s="12" t="s">
        <v>2229</v>
      </c>
      <c r="F106" s="12" t="s">
        <v>2230</v>
      </c>
      <c r="G106" s="13"/>
      <c r="H106" s="12" t="s">
        <v>2285</v>
      </c>
      <c r="I106" s="12" t="s">
        <v>1585</v>
      </c>
      <c r="J106" s="12" t="s">
        <v>2233</v>
      </c>
    </row>
    <row r="107" spans="1:10" ht="30" customHeight="1">
      <c r="A107" s="12" t="s">
        <v>2294</v>
      </c>
      <c r="B107" s="12" t="s">
        <v>330</v>
      </c>
      <c r="C107" s="12" t="s">
        <v>327</v>
      </c>
      <c r="D107" s="12" t="s">
        <v>303</v>
      </c>
      <c r="E107" s="12" t="s">
        <v>2229</v>
      </c>
      <c r="F107" s="12" t="s">
        <v>2230</v>
      </c>
      <c r="G107" s="13"/>
      <c r="H107" s="12" t="s">
        <v>2285</v>
      </c>
      <c r="I107" s="12" t="s">
        <v>1585</v>
      </c>
      <c r="J107" s="12" t="s">
        <v>2233</v>
      </c>
    </row>
    <row r="108" spans="1:10" ht="30" customHeight="1">
      <c r="A108" s="12" t="s">
        <v>2295</v>
      </c>
      <c r="B108" s="12" t="s">
        <v>315</v>
      </c>
      <c r="C108" s="12" t="s">
        <v>312</v>
      </c>
      <c r="D108" s="12" t="s">
        <v>303</v>
      </c>
      <c r="E108" s="12" t="s">
        <v>2229</v>
      </c>
      <c r="F108" s="12" t="s">
        <v>2230</v>
      </c>
      <c r="G108" s="13"/>
      <c r="H108" s="12" t="s">
        <v>2285</v>
      </c>
      <c r="I108" s="12" t="s">
        <v>1585</v>
      </c>
      <c r="J108" s="12" t="s">
        <v>2233</v>
      </c>
    </row>
    <row r="109" spans="1:10" ht="30" customHeight="1">
      <c r="A109" s="12" t="s">
        <v>2296</v>
      </c>
      <c r="B109" s="12" t="s">
        <v>335</v>
      </c>
      <c r="C109" s="12" t="s">
        <v>332</v>
      </c>
      <c r="D109" s="12" t="s">
        <v>303</v>
      </c>
      <c r="E109" s="12" t="s">
        <v>2229</v>
      </c>
      <c r="F109" s="12" t="s">
        <v>2230</v>
      </c>
      <c r="G109" s="13"/>
      <c r="H109" s="12" t="s">
        <v>2285</v>
      </c>
      <c r="I109" s="12" t="s">
        <v>1585</v>
      </c>
      <c r="J109" s="12" t="s">
        <v>2233</v>
      </c>
    </row>
    <row r="110" spans="1:10" ht="30" customHeight="1">
      <c r="A110" s="12" t="s">
        <v>2297</v>
      </c>
      <c r="B110" s="12" t="s">
        <v>356</v>
      </c>
      <c r="C110" s="12" t="s">
        <v>353</v>
      </c>
      <c r="D110" s="12" t="s">
        <v>303</v>
      </c>
      <c r="E110" s="12" t="s">
        <v>2229</v>
      </c>
      <c r="F110" s="12" t="s">
        <v>2230</v>
      </c>
      <c r="G110" s="13"/>
      <c r="H110" s="12" t="s">
        <v>2285</v>
      </c>
      <c r="I110" s="12" t="s">
        <v>1585</v>
      </c>
      <c r="J110" s="12" t="s">
        <v>2233</v>
      </c>
    </row>
    <row r="111" spans="1:10" ht="30" customHeight="1">
      <c r="A111" s="12" t="s">
        <v>2298</v>
      </c>
      <c r="B111" s="12" t="s">
        <v>379</v>
      </c>
      <c r="C111" s="12" t="s">
        <v>373</v>
      </c>
      <c r="D111" s="12" t="s">
        <v>374</v>
      </c>
      <c r="E111" s="12" t="s">
        <v>2229</v>
      </c>
      <c r="F111" s="12" t="s">
        <v>2230</v>
      </c>
      <c r="G111" s="13"/>
      <c r="H111" s="12" t="s">
        <v>2299</v>
      </c>
      <c r="I111" s="12" t="s">
        <v>2300</v>
      </c>
      <c r="J111" s="12" t="s">
        <v>2233</v>
      </c>
    </row>
    <row r="112" spans="1:10" ht="30" customHeight="1">
      <c r="A112" s="12" t="s">
        <v>2301</v>
      </c>
      <c r="B112" s="12" t="s">
        <v>386</v>
      </c>
      <c r="C112" s="12" t="s">
        <v>382</v>
      </c>
      <c r="D112" s="12" t="s">
        <v>374</v>
      </c>
      <c r="E112" s="12" t="s">
        <v>2229</v>
      </c>
      <c r="F112" s="12" t="s">
        <v>2230</v>
      </c>
      <c r="G112" s="13"/>
      <c r="H112" s="12" t="s">
        <v>2299</v>
      </c>
      <c r="I112" s="12" t="s">
        <v>2300</v>
      </c>
      <c r="J112" s="12" t="s">
        <v>2233</v>
      </c>
    </row>
    <row r="113" spans="1:10" ht="30" customHeight="1">
      <c r="A113" s="12" t="s">
        <v>2302</v>
      </c>
      <c r="B113" s="12" t="s">
        <v>422</v>
      </c>
      <c r="C113" s="12" t="s">
        <v>419</v>
      </c>
      <c r="D113" s="12" t="s">
        <v>374</v>
      </c>
      <c r="E113" s="12" t="s">
        <v>2229</v>
      </c>
      <c r="F113" s="12" t="s">
        <v>2230</v>
      </c>
      <c r="G113" s="13"/>
      <c r="H113" s="12" t="s">
        <v>2303</v>
      </c>
      <c r="I113" s="12" t="s">
        <v>2300</v>
      </c>
      <c r="J113" s="12" t="s">
        <v>2233</v>
      </c>
    </row>
    <row r="114" spans="1:10" ht="30" customHeight="1">
      <c r="A114" s="12" t="s">
        <v>2304</v>
      </c>
      <c r="B114" s="12" t="s">
        <v>402</v>
      </c>
      <c r="C114" s="12" t="s">
        <v>399</v>
      </c>
      <c r="D114" s="12" t="s">
        <v>374</v>
      </c>
      <c r="E114" s="12" t="s">
        <v>2229</v>
      </c>
      <c r="F114" s="12" t="s">
        <v>2230</v>
      </c>
      <c r="G114" s="13"/>
      <c r="H114" s="12" t="s">
        <v>2299</v>
      </c>
      <c r="I114" s="12" t="s">
        <v>2300</v>
      </c>
      <c r="J114" s="12" t="s">
        <v>2233</v>
      </c>
    </row>
    <row r="115" spans="1:10" ht="30" customHeight="1">
      <c r="A115" s="12" t="s">
        <v>2305</v>
      </c>
      <c r="B115" s="12" t="s">
        <v>417</v>
      </c>
      <c r="C115" s="12" t="s">
        <v>414</v>
      </c>
      <c r="D115" s="12" t="s">
        <v>374</v>
      </c>
      <c r="E115" s="12" t="s">
        <v>2229</v>
      </c>
      <c r="F115" s="12" t="s">
        <v>2230</v>
      </c>
      <c r="G115" s="13"/>
      <c r="H115" s="12" t="s">
        <v>2299</v>
      </c>
      <c r="I115" s="12" t="s">
        <v>2300</v>
      </c>
      <c r="J115" s="12" t="s">
        <v>2233</v>
      </c>
    </row>
    <row r="116" spans="1:10" ht="30" customHeight="1">
      <c r="A116" s="12" t="s">
        <v>2306</v>
      </c>
      <c r="B116" s="12" t="s">
        <v>392</v>
      </c>
      <c r="C116" s="12" t="s">
        <v>388</v>
      </c>
      <c r="D116" s="12" t="s">
        <v>374</v>
      </c>
      <c r="E116" s="12" t="s">
        <v>2229</v>
      </c>
      <c r="F116" s="12" t="s">
        <v>2230</v>
      </c>
      <c r="G116" s="13"/>
      <c r="H116" s="12" t="s">
        <v>2299</v>
      </c>
      <c r="I116" s="12" t="s">
        <v>2300</v>
      </c>
      <c r="J116" s="12" t="s">
        <v>2233</v>
      </c>
    </row>
    <row r="117" spans="1:10" ht="30" customHeight="1">
      <c r="A117" s="12" t="s">
        <v>2307</v>
      </c>
      <c r="B117" s="12" t="s">
        <v>407</v>
      </c>
      <c r="C117" s="12" t="s">
        <v>404</v>
      </c>
      <c r="D117" s="12" t="s">
        <v>374</v>
      </c>
      <c r="E117" s="12" t="s">
        <v>2229</v>
      </c>
      <c r="F117" s="12" t="s">
        <v>2230</v>
      </c>
      <c r="G117" s="13"/>
      <c r="H117" s="12" t="s">
        <v>2299</v>
      </c>
      <c r="I117" s="12" t="s">
        <v>2300</v>
      </c>
      <c r="J117" s="12" t="s">
        <v>2233</v>
      </c>
    </row>
    <row r="118" spans="1:10" ht="30" customHeight="1">
      <c r="A118" s="12" t="s">
        <v>2308</v>
      </c>
      <c r="B118" s="12" t="s">
        <v>412</v>
      </c>
      <c r="C118" s="12" t="s">
        <v>409</v>
      </c>
      <c r="D118" s="12" t="s">
        <v>374</v>
      </c>
      <c r="E118" s="12" t="s">
        <v>2229</v>
      </c>
      <c r="F118" s="12" t="s">
        <v>2230</v>
      </c>
      <c r="G118" s="13"/>
      <c r="H118" s="12" t="s">
        <v>2299</v>
      </c>
      <c r="I118" s="12" t="s">
        <v>2300</v>
      </c>
      <c r="J118" s="12" t="s">
        <v>2233</v>
      </c>
    </row>
    <row r="119" spans="1:10" ht="30" customHeight="1">
      <c r="A119" s="12" t="s">
        <v>2309</v>
      </c>
      <c r="B119" s="12" t="s">
        <v>397</v>
      </c>
      <c r="C119" s="12" t="s">
        <v>394</v>
      </c>
      <c r="D119" s="12" t="s">
        <v>374</v>
      </c>
      <c r="E119" s="12" t="s">
        <v>2229</v>
      </c>
      <c r="F119" s="12" t="s">
        <v>2230</v>
      </c>
      <c r="G119" s="13"/>
      <c r="H119" s="12" t="s">
        <v>2299</v>
      </c>
      <c r="I119" s="12" t="s">
        <v>2300</v>
      </c>
      <c r="J119" s="12" t="s">
        <v>2233</v>
      </c>
    </row>
    <row r="120" spans="1:10" ht="30" customHeight="1">
      <c r="A120" s="12" t="s">
        <v>2310</v>
      </c>
      <c r="B120" s="12" t="s">
        <v>427</v>
      </c>
      <c r="C120" s="12" t="s">
        <v>424</v>
      </c>
      <c r="D120" s="12" t="s">
        <v>374</v>
      </c>
      <c r="E120" s="12" t="s">
        <v>2229</v>
      </c>
      <c r="F120" s="12" t="s">
        <v>2230</v>
      </c>
      <c r="G120" s="13"/>
      <c r="H120" s="12" t="s">
        <v>2299</v>
      </c>
      <c r="I120" s="12" t="s">
        <v>2300</v>
      </c>
      <c r="J120" s="12" t="s">
        <v>2233</v>
      </c>
    </row>
    <row r="121" spans="1:10" ht="30" customHeight="1">
      <c r="A121" s="12" t="s">
        <v>2311</v>
      </c>
      <c r="B121" s="12" t="s">
        <v>434</v>
      </c>
      <c r="C121" s="12" t="s">
        <v>429</v>
      </c>
      <c r="D121" s="12" t="s">
        <v>430</v>
      </c>
      <c r="E121" s="12" t="s">
        <v>2229</v>
      </c>
      <c r="F121" s="12" t="s">
        <v>2230</v>
      </c>
      <c r="G121" s="13"/>
      <c r="H121" s="12" t="s">
        <v>2312</v>
      </c>
      <c r="I121" s="12" t="s">
        <v>1596</v>
      </c>
      <c r="J121" s="12" t="s">
        <v>2233</v>
      </c>
    </row>
    <row r="122" spans="1:10" ht="30" customHeight="1">
      <c r="A122" s="12" t="s">
        <v>2313</v>
      </c>
      <c r="B122" s="12" t="s">
        <v>469</v>
      </c>
      <c r="C122" s="12" t="s">
        <v>466</v>
      </c>
      <c r="D122" s="12" t="s">
        <v>430</v>
      </c>
      <c r="E122" s="12" t="s">
        <v>2229</v>
      </c>
      <c r="F122" s="12" t="s">
        <v>2230</v>
      </c>
      <c r="G122" s="13"/>
      <c r="H122" s="12" t="s">
        <v>2312</v>
      </c>
      <c r="I122" s="12" t="s">
        <v>1596</v>
      </c>
      <c r="J122" s="12" t="s">
        <v>2233</v>
      </c>
    </row>
    <row r="123" spans="1:10" ht="30" customHeight="1">
      <c r="A123" s="12" t="s">
        <v>2314</v>
      </c>
      <c r="B123" s="12" t="s">
        <v>439</v>
      </c>
      <c r="C123" s="12" t="s">
        <v>436</v>
      </c>
      <c r="D123" s="12" t="s">
        <v>430</v>
      </c>
      <c r="E123" s="12" t="s">
        <v>2229</v>
      </c>
      <c r="F123" s="12" t="s">
        <v>2230</v>
      </c>
      <c r="G123" s="13"/>
      <c r="H123" s="12" t="s">
        <v>2312</v>
      </c>
      <c r="I123" s="12" t="s">
        <v>1596</v>
      </c>
      <c r="J123" s="12" t="s">
        <v>2233</v>
      </c>
    </row>
    <row r="124" spans="1:10" ht="30" customHeight="1">
      <c r="A124" s="12" t="s">
        <v>2315</v>
      </c>
      <c r="B124" s="12" t="s">
        <v>464</v>
      </c>
      <c r="C124" s="12" t="s">
        <v>461</v>
      </c>
      <c r="D124" s="12" t="s">
        <v>430</v>
      </c>
      <c r="E124" s="12" t="s">
        <v>2229</v>
      </c>
      <c r="F124" s="12" t="s">
        <v>2230</v>
      </c>
      <c r="G124" s="13"/>
      <c r="H124" s="12" t="s">
        <v>2316</v>
      </c>
      <c r="I124" s="12" t="s">
        <v>1596</v>
      </c>
      <c r="J124" s="12" t="s">
        <v>2233</v>
      </c>
    </row>
    <row r="125" spans="1:10" ht="30" customHeight="1">
      <c r="A125" s="12" t="s">
        <v>2317</v>
      </c>
      <c r="B125" s="12" t="s">
        <v>454</v>
      </c>
      <c r="C125" s="12" t="s">
        <v>451</v>
      </c>
      <c r="D125" s="12" t="s">
        <v>430</v>
      </c>
      <c r="E125" s="12" t="s">
        <v>2229</v>
      </c>
      <c r="F125" s="12" t="s">
        <v>2230</v>
      </c>
      <c r="G125" s="13"/>
      <c r="H125" s="12" t="s">
        <v>2312</v>
      </c>
      <c r="I125" s="12" t="s">
        <v>1596</v>
      </c>
      <c r="J125" s="12" t="s">
        <v>2233</v>
      </c>
    </row>
    <row r="126" spans="1:10" ht="30" customHeight="1">
      <c r="A126" s="12" t="s">
        <v>2318</v>
      </c>
      <c r="B126" s="12" t="s">
        <v>444</v>
      </c>
      <c r="C126" s="12" t="s">
        <v>441</v>
      </c>
      <c r="D126" s="12" t="s">
        <v>430</v>
      </c>
      <c r="E126" s="12" t="s">
        <v>2229</v>
      </c>
      <c r="F126" s="12" t="s">
        <v>2230</v>
      </c>
      <c r="G126" s="13"/>
      <c r="H126" s="12" t="s">
        <v>2319</v>
      </c>
      <c r="I126" s="12" t="s">
        <v>1596</v>
      </c>
      <c r="J126" s="12" t="s">
        <v>2233</v>
      </c>
    </row>
    <row r="127" spans="1:10" ht="30" customHeight="1">
      <c r="A127" s="12" t="s">
        <v>2320</v>
      </c>
      <c r="B127" s="12" t="s">
        <v>449</v>
      </c>
      <c r="C127" s="12" t="s">
        <v>446</v>
      </c>
      <c r="D127" s="12" t="s">
        <v>430</v>
      </c>
      <c r="E127" s="12" t="s">
        <v>2229</v>
      </c>
      <c r="F127" s="12" t="s">
        <v>2230</v>
      </c>
      <c r="G127" s="13"/>
      <c r="H127" s="12" t="s">
        <v>2321</v>
      </c>
      <c r="I127" s="12" t="s">
        <v>1596</v>
      </c>
      <c r="J127" s="12" t="s">
        <v>2233</v>
      </c>
    </row>
    <row r="128" spans="1:10" ht="30" customHeight="1">
      <c r="A128" s="12" t="s">
        <v>2322</v>
      </c>
      <c r="B128" s="12" t="s">
        <v>475</v>
      </c>
      <c r="C128" s="12" t="s">
        <v>472</v>
      </c>
      <c r="D128" s="12" t="s">
        <v>430</v>
      </c>
      <c r="E128" s="12" t="s">
        <v>2229</v>
      </c>
      <c r="F128" s="12" t="s">
        <v>2230</v>
      </c>
      <c r="G128" s="13"/>
      <c r="H128" s="12" t="s">
        <v>2312</v>
      </c>
      <c r="I128" s="12" t="s">
        <v>1596</v>
      </c>
      <c r="J128" s="12" t="s">
        <v>2233</v>
      </c>
    </row>
    <row r="129" spans="1:10" ht="30" customHeight="1">
      <c r="A129" s="12" t="s">
        <v>2323</v>
      </c>
      <c r="B129" s="12" t="s">
        <v>480</v>
      </c>
      <c r="C129" s="12" t="s">
        <v>477</v>
      </c>
      <c r="D129" s="12" t="s">
        <v>430</v>
      </c>
      <c r="E129" s="12" t="s">
        <v>2229</v>
      </c>
      <c r="F129" s="12" t="s">
        <v>2230</v>
      </c>
      <c r="G129" s="13"/>
      <c r="H129" s="12" t="s">
        <v>2312</v>
      </c>
      <c r="I129" s="12" t="s">
        <v>1596</v>
      </c>
      <c r="J129" s="12" t="s">
        <v>2233</v>
      </c>
    </row>
    <row r="130" spans="1:10" ht="30" customHeight="1">
      <c r="A130" s="12" t="s">
        <v>2324</v>
      </c>
      <c r="B130" s="12" t="s">
        <v>459</v>
      </c>
      <c r="C130" s="12" t="s">
        <v>456</v>
      </c>
      <c r="D130" s="12" t="s">
        <v>430</v>
      </c>
      <c r="E130" s="12" t="s">
        <v>2229</v>
      </c>
      <c r="F130" s="12" t="s">
        <v>2230</v>
      </c>
      <c r="G130" s="13"/>
      <c r="H130" s="12" t="s">
        <v>2312</v>
      </c>
      <c r="I130" s="12" t="s">
        <v>1596</v>
      </c>
      <c r="J130" s="12" t="s">
        <v>2233</v>
      </c>
    </row>
    <row r="131" spans="1:10" ht="30" customHeight="1">
      <c r="A131" s="12" t="s">
        <v>2325</v>
      </c>
      <c r="B131" s="12" t="s">
        <v>510</v>
      </c>
      <c r="C131" s="12" t="s">
        <v>506</v>
      </c>
      <c r="D131" s="12" t="s">
        <v>484</v>
      </c>
      <c r="E131" s="12" t="s">
        <v>2229</v>
      </c>
      <c r="F131" s="12" t="s">
        <v>2230</v>
      </c>
      <c r="G131" s="13"/>
      <c r="H131" s="12" t="s">
        <v>2326</v>
      </c>
      <c r="I131" s="12" t="s">
        <v>2327</v>
      </c>
      <c r="J131" s="12" t="s">
        <v>2233</v>
      </c>
    </row>
    <row r="132" spans="1:10" ht="30" customHeight="1">
      <c r="A132" s="12" t="s">
        <v>2328</v>
      </c>
      <c r="B132" s="12" t="s">
        <v>504</v>
      </c>
      <c r="C132" s="12" t="s">
        <v>500</v>
      </c>
      <c r="D132" s="12" t="s">
        <v>484</v>
      </c>
      <c r="E132" s="12" t="s">
        <v>2229</v>
      </c>
      <c r="F132" s="12" t="s">
        <v>2230</v>
      </c>
      <c r="G132" s="13"/>
      <c r="H132" s="12" t="s">
        <v>2329</v>
      </c>
      <c r="I132" s="12" t="s">
        <v>2327</v>
      </c>
      <c r="J132" s="12" t="s">
        <v>2233</v>
      </c>
    </row>
    <row r="133" spans="1:10" ht="30" customHeight="1">
      <c r="A133" s="12" t="s">
        <v>2330</v>
      </c>
      <c r="B133" s="12" t="s">
        <v>498</v>
      </c>
      <c r="C133" s="12" t="s">
        <v>495</v>
      </c>
      <c r="D133" s="12" t="s">
        <v>484</v>
      </c>
      <c r="E133" s="12" t="s">
        <v>2229</v>
      </c>
      <c r="F133" s="12" t="s">
        <v>2230</v>
      </c>
      <c r="G133" s="13"/>
      <c r="H133" s="12" t="s">
        <v>2331</v>
      </c>
      <c r="I133" s="12" t="s">
        <v>2327</v>
      </c>
      <c r="J133" s="12" t="s">
        <v>2233</v>
      </c>
    </row>
    <row r="134" spans="1:10" ht="30" customHeight="1">
      <c r="A134" s="12" t="s">
        <v>2332</v>
      </c>
      <c r="B134" s="12" t="s">
        <v>488</v>
      </c>
      <c r="C134" s="12" t="s">
        <v>483</v>
      </c>
      <c r="D134" s="12" t="s">
        <v>484</v>
      </c>
      <c r="E134" s="12" t="s">
        <v>2229</v>
      </c>
      <c r="F134" s="12" t="s">
        <v>2230</v>
      </c>
      <c r="G134" s="13"/>
      <c r="H134" s="12" t="s">
        <v>2333</v>
      </c>
      <c r="I134" s="12" t="s">
        <v>2327</v>
      </c>
      <c r="J134" s="12" t="s">
        <v>2233</v>
      </c>
    </row>
    <row r="135" spans="1:10" ht="30" customHeight="1">
      <c r="A135" s="12" t="s">
        <v>2334</v>
      </c>
      <c r="B135" s="12" t="s">
        <v>525</v>
      </c>
      <c r="C135" s="12" t="s">
        <v>521</v>
      </c>
      <c r="D135" s="12" t="s">
        <v>484</v>
      </c>
      <c r="E135" s="12" t="s">
        <v>2229</v>
      </c>
      <c r="F135" s="12" t="s">
        <v>2230</v>
      </c>
      <c r="G135" s="13"/>
      <c r="H135" s="12" t="s">
        <v>2326</v>
      </c>
      <c r="I135" s="12" t="s">
        <v>2327</v>
      </c>
      <c r="J135" s="12" t="s">
        <v>2233</v>
      </c>
    </row>
    <row r="136" spans="1:10" ht="30" customHeight="1">
      <c r="A136" s="12" t="s">
        <v>2335</v>
      </c>
      <c r="B136" s="12" t="s">
        <v>516</v>
      </c>
      <c r="C136" s="12" t="s">
        <v>512</v>
      </c>
      <c r="D136" s="12" t="s">
        <v>484</v>
      </c>
      <c r="E136" s="12" t="s">
        <v>2229</v>
      </c>
      <c r="F136" s="12" t="s">
        <v>2230</v>
      </c>
      <c r="G136" s="13"/>
      <c r="H136" s="12" t="s">
        <v>2336</v>
      </c>
      <c r="I136" s="12" t="s">
        <v>2327</v>
      </c>
      <c r="J136" s="12" t="s">
        <v>2233</v>
      </c>
    </row>
    <row r="137" spans="1:10" ht="30" customHeight="1">
      <c r="A137" s="12" t="s">
        <v>2337</v>
      </c>
      <c r="B137" s="12" t="s">
        <v>493</v>
      </c>
      <c r="C137" s="12" t="s">
        <v>490</v>
      </c>
      <c r="D137" s="12" t="s">
        <v>484</v>
      </c>
      <c r="E137" s="12" t="s">
        <v>2229</v>
      </c>
      <c r="F137" s="12" t="s">
        <v>2230</v>
      </c>
      <c r="G137" s="13"/>
      <c r="H137" s="12" t="s">
        <v>2331</v>
      </c>
      <c r="I137" s="12" t="s">
        <v>2327</v>
      </c>
      <c r="J137" s="12" t="s">
        <v>2233</v>
      </c>
    </row>
    <row r="138" spans="1:10" ht="30" customHeight="1">
      <c r="A138" s="12" t="s">
        <v>2338</v>
      </c>
      <c r="B138" s="12" t="s">
        <v>255</v>
      </c>
      <c r="C138" s="12" t="s">
        <v>251</v>
      </c>
      <c r="D138" s="12" t="s">
        <v>207</v>
      </c>
      <c r="E138" s="12" t="s">
        <v>2229</v>
      </c>
      <c r="F138" s="12" t="s">
        <v>2230</v>
      </c>
      <c r="G138" s="13"/>
      <c r="H138" s="12" t="s">
        <v>2339</v>
      </c>
      <c r="I138" s="12" t="s">
        <v>2269</v>
      </c>
      <c r="J138" s="12" t="s">
        <v>2233</v>
      </c>
    </row>
    <row r="139" spans="1:10" ht="30" customHeight="1">
      <c r="A139" s="12" t="s">
        <v>2340</v>
      </c>
      <c r="B139" s="12" t="s">
        <v>267</v>
      </c>
      <c r="C139" s="12" t="s">
        <v>264</v>
      </c>
      <c r="D139" s="12" t="s">
        <v>207</v>
      </c>
      <c r="E139" s="12" t="s">
        <v>2229</v>
      </c>
      <c r="F139" s="12" t="s">
        <v>2230</v>
      </c>
      <c r="G139" s="13"/>
      <c r="H139" s="12" t="s">
        <v>2339</v>
      </c>
      <c r="I139" s="12" t="s">
        <v>2269</v>
      </c>
      <c r="J139" s="12" t="s">
        <v>2233</v>
      </c>
    </row>
    <row r="140" spans="1:10" ht="30" customHeight="1">
      <c r="A140" s="12" t="s">
        <v>2341</v>
      </c>
      <c r="B140" s="12" t="s">
        <v>262</v>
      </c>
      <c r="C140" s="12" t="s">
        <v>259</v>
      </c>
      <c r="D140" s="12" t="s">
        <v>207</v>
      </c>
      <c r="E140" s="12" t="s">
        <v>2229</v>
      </c>
      <c r="F140" s="12" t="s">
        <v>2230</v>
      </c>
      <c r="G140" s="13"/>
      <c r="H140" s="12" t="s">
        <v>2339</v>
      </c>
      <c r="I140" s="12" t="s">
        <v>2269</v>
      </c>
      <c r="J140" s="12" t="s">
        <v>2233</v>
      </c>
    </row>
    <row r="141" spans="1:10" ht="30" customHeight="1">
      <c r="A141" s="12" t="s">
        <v>2342</v>
      </c>
      <c r="B141" s="12" t="s">
        <v>284</v>
      </c>
      <c r="C141" s="12" t="s">
        <v>280</v>
      </c>
      <c r="D141" s="12" t="s">
        <v>484</v>
      </c>
      <c r="E141" s="12" t="s">
        <v>2229</v>
      </c>
      <c r="F141" s="12" t="s">
        <v>2230</v>
      </c>
      <c r="G141" s="13"/>
      <c r="H141" s="12" t="s">
        <v>2343</v>
      </c>
      <c r="I141" s="12" t="s">
        <v>2327</v>
      </c>
      <c r="J141" s="12" t="s">
        <v>2233</v>
      </c>
    </row>
    <row r="142" spans="1:10" ht="30" customHeight="1">
      <c r="A142" s="12" t="s">
        <v>2344</v>
      </c>
      <c r="B142" s="12" t="s">
        <v>77</v>
      </c>
      <c r="C142" s="12" t="s">
        <v>72</v>
      </c>
      <c r="D142" s="12" t="s">
        <v>29</v>
      </c>
      <c r="E142" s="12" t="s">
        <v>2345</v>
      </c>
      <c r="F142" s="12" t="s">
        <v>559</v>
      </c>
      <c r="G142" s="17">
        <v>-2374</v>
      </c>
      <c r="H142" s="17">
        <v>-2373.78</v>
      </c>
      <c r="I142" s="12" t="s">
        <v>76</v>
      </c>
      <c r="J142" s="12" t="s">
        <v>2346</v>
      </c>
    </row>
    <row r="143" spans="1:10" ht="30" customHeight="1">
      <c r="A143" s="12" t="s">
        <v>2347</v>
      </c>
      <c r="B143" s="12" t="s">
        <v>77</v>
      </c>
      <c r="C143" s="12" t="s">
        <v>72</v>
      </c>
      <c r="D143" s="12" t="s">
        <v>29</v>
      </c>
      <c r="E143" s="12" t="s">
        <v>2345</v>
      </c>
      <c r="F143" s="12" t="s">
        <v>561</v>
      </c>
      <c r="G143" s="17">
        <v>5909</v>
      </c>
      <c r="H143" s="17">
        <v>5897.64</v>
      </c>
      <c r="I143" s="12" t="s">
        <v>76</v>
      </c>
      <c r="J143" s="12" t="s">
        <v>2346</v>
      </c>
    </row>
    <row r="144" spans="1:10" ht="30" customHeight="1">
      <c r="A144" s="12" t="s">
        <v>2348</v>
      </c>
      <c r="B144" s="12" t="s">
        <v>77</v>
      </c>
      <c r="C144" s="12" t="s">
        <v>72</v>
      </c>
      <c r="D144" s="12" t="s">
        <v>29</v>
      </c>
      <c r="E144" s="12" t="s">
        <v>2345</v>
      </c>
      <c r="F144" s="12" t="s">
        <v>562</v>
      </c>
      <c r="G144" s="17">
        <v>652</v>
      </c>
      <c r="H144" s="17">
        <v>651.9400000000001</v>
      </c>
      <c r="I144" s="12" t="s">
        <v>76</v>
      </c>
      <c r="J144" s="12" t="s">
        <v>2346</v>
      </c>
    </row>
    <row r="145" spans="1:10" ht="30" customHeight="1">
      <c r="A145" s="12" t="s">
        <v>2349</v>
      </c>
      <c r="B145" s="12" t="s">
        <v>39</v>
      </c>
      <c r="C145" s="12" t="s">
        <v>28</v>
      </c>
      <c r="D145" s="12" t="s">
        <v>29</v>
      </c>
      <c r="E145" s="12" t="s">
        <v>2345</v>
      </c>
      <c r="F145" s="12" t="s">
        <v>558</v>
      </c>
      <c r="G145" s="17">
        <v>6157</v>
      </c>
      <c r="H145" s="17">
        <v>6157.2166</v>
      </c>
      <c r="I145" s="12" t="s">
        <v>38</v>
      </c>
      <c r="J145" s="12" t="s">
        <v>2350</v>
      </c>
    </row>
    <row r="146" spans="1:10" ht="30" customHeight="1">
      <c r="A146" s="12" t="s">
        <v>2351</v>
      </c>
      <c r="B146" s="12" t="s">
        <v>39</v>
      </c>
      <c r="C146" s="12" t="s">
        <v>28</v>
      </c>
      <c r="D146" s="12" t="s">
        <v>29</v>
      </c>
      <c r="E146" s="12" t="s">
        <v>2345</v>
      </c>
      <c r="F146" s="12" t="s">
        <v>561</v>
      </c>
      <c r="G146" s="17">
        <v>309</v>
      </c>
      <c r="H146" s="17">
        <v>308.5909</v>
      </c>
      <c r="I146" s="12" t="s">
        <v>38</v>
      </c>
      <c r="J146" s="12" t="s">
        <v>2350</v>
      </c>
    </row>
    <row r="147" spans="1:10" ht="30" customHeight="1">
      <c r="A147" s="12" t="s">
        <v>2352</v>
      </c>
      <c r="B147" s="12" t="s">
        <v>51</v>
      </c>
      <c r="C147" s="12" t="s">
        <v>46</v>
      </c>
      <c r="D147" s="12" t="s">
        <v>29</v>
      </c>
      <c r="E147" s="12" t="s">
        <v>2345</v>
      </c>
      <c r="F147" s="12" t="s">
        <v>558</v>
      </c>
      <c r="G147" s="17">
        <v>35917</v>
      </c>
      <c r="H147" s="17">
        <v>36158.05</v>
      </c>
      <c r="I147" s="12" t="s">
        <v>50</v>
      </c>
      <c r="J147" s="12" t="s">
        <v>2350</v>
      </c>
    </row>
    <row r="148" spans="1:10" ht="30" customHeight="1">
      <c r="A148" s="12" t="s">
        <v>2353</v>
      </c>
      <c r="B148" s="12" t="s">
        <v>51</v>
      </c>
      <c r="C148" s="12" t="s">
        <v>46</v>
      </c>
      <c r="D148" s="12" t="s">
        <v>29</v>
      </c>
      <c r="E148" s="12" t="s">
        <v>2345</v>
      </c>
      <c r="F148" s="12" t="s">
        <v>559</v>
      </c>
      <c r="G148" s="17">
        <v>2500</v>
      </c>
      <c r="H148" s="17">
        <v>2499.72</v>
      </c>
      <c r="I148" s="12" t="s">
        <v>50</v>
      </c>
      <c r="J148" s="12" t="s">
        <v>2350</v>
      </c>
    </row>
    <row r="149" spans="1:10" ht="30" customHeight="1">
      <c r="A149" s="12" t="s">
        <v>2354</v>
      </c>
      <c r="B149" s="12" t="s">
        <v>51</v>
      </c>
      <c r="C149" s="12" t="s">
        <v>46</v>
      </c>
      <c r="D149" s="12" t="s">
        <v>29</v>
      </c>
      <c r="E149" s="12" t="s">
        <v>2345</v>
      </c>
      <c r="F149" s="12" t="s">
        <v>561</v>
      </c>
      <c r="G149" s="17">
        <v>6402</v>
      </c>
      <c r="H149" s="17">
        <v>6297.73</v>
      </c>
      <c r="I149" s="12" t="s">
        <v>50</v>
      </c>
      <c r="J149" s="12" t="s">
        <v>2350</v>
      </c>
    </row>
    <row r="150" spans="1:10" ht="30" customHeight="1">
      <c r="A150" s="12" t="s">
        <v>2355</v>
      </c>
      <c r="B150" s="12" t="s">
        <v>51</v>
      </c>
      <c r="C150" s="12" t="s">
        <v>46</v>
      </c>
      <c r="D150" s="12" t="s">
        <v>29</v>
      </c>
      <c r="E150" s="12" t="s">
        <v>2345</v>
      </c>
      <c r="F150" s="12" t="s">
        <v>562</v>
      </c>
      <c r="G150" s="17">
        <v>612</v>
      </c>
      <c r="H150" s="17">
        <v>611.64</v>
      </c>
      <c r="I150" s="12" t="s">
        <v>50</v>
      </c>
      <c r="J150" s="12" t="s">
        <v>2350</v>
      </c>
    </row>
    <row r="151" spans="1:10" ht="30" customHeight="1">
      <c r="A151" s="12" t="s">
        <v>2356</v>
      </c>
      <c r="B151" s="12" t="s">
        <v>85</v>
      </c>
      <c r="C151" s="12" t="s">
        <v>81</v>
      </c>
      <c r="D151" s="12" t="s">
        <v>29</v>
      </c>
      <c r="E151" s="12" t="s">
        <v>2345</v>
      </c>
      <c r="F151" s="12" t="s">
        <v>557</v>
      </c>
      <c r="G151" s="17">
        <v>15138</v>
      </c>
      <c r="H151" s="17">
        <v>15137.5</v>
      </c>
      <c r="I151" s="12" t="s">
        <v>84</v>
      </c>
      <c r="J151" s="12" t="s">
        <v>2350</v>
      </c>
    </row>
    <row r="152" spans="1:10" ht="30" customHeight="1">
      <c r="A152" s="12" t="s">
        <v>2357</v>
      </c>
      <c r="B152" s="12" t="s">
        <v>85</v>
      </c>
      <c r="C152" s="12" t="s">
        <v>81</v>
      </c>
      <c r="D152" s="12" t="s">
        <v>29</v>
      </c>
      <c r="E152" s="12" t="s">
        <v>2345</v>
      </c>
      <c r="F152" s="12" t="s">
        <v>558</v>
      </c>
      <c r="G152" s="17">
        <v>16320</v>
      </c>
      <c r="H152" s="17">
        <v>16315.63</v>
      </c>
      <c r="I152" s="12" t="s">
        <v>84</v>
      </c>
      <c r="J152" s="12" t="s">
        <v>2350</v>
      </c>
    </row>
    <row r="153" spans="1:10" ht="30" customHeight="1">
      <c r="A153" s="12" t="s">
        <v>2358</v>
      </c>
      <c r="B153" s="12" t="s">
        <v>85</v>
      </c>
      <c r="C153" s="12" t="s">
        <v>81</v>
      </c>
      <c r="D153" s="12" t="s">
        <v>29</v>
      </c>
      <c r="E153" s="12" t="s">
        <v>2345</v>
      </c>
      <c r="F153" s="12" t="s">
        <v>559</v>
      </c>
      <c r="G153" s="17">
        <v>909</v>
      </c>
      <c r="H153" s="17">
        <v>909.26</v>
      </c>
      <c r="I153" s="12" t="s">
        <v>84</v>
      </c>
      <c r="J153" s="12" t="s">
        <v>2350</v>
      </c>
    </row>
    <row r="154" spans="1:10" ht="30" customHeight="1">
      <c r="A154" s="12" t="s">
        <v>2359</v>
      </c>
      <c r="B154" s="12" t="s">
        <v>85</v>
      </c>
      <c r="C154" s="12" t="s">
        <v>81</v>
      </c>
      <c r="D154" s="12" t="s">
        <v>29</v>
      </c>
      <c r="E154" s="12" t="s">
        <v>2345</v>
      </c>
      <c r="F154" s="12" t="s">
        <v>561</v>
      </c>
      <c r="G154" s="17">
        <v>789</v>
      </c>
      <c r="H154" s="17">
        <v>779.46</v>
      </c>
      <c r="I154" s="12" t="s">
        <v>84</v>
      </c>
      <c r="J154" s="12" t="s">
        <v>2350</v>
      </c>
    </row>
    <row r="155" spans="1:10" ht="30" customHeight="1">
      <c r="A155" s="12" t="s">
        <v>2360</v>
      </c>
      <c r="B155" s="12" t="s">
        <v>85</v>
      </c>
      <c r="C155" s="12" t="s">
        <v>81</v>
      </c>
      <c r="D155" s="12" t="s">
        <v>29</v>
      </c>
      <c r="E155" s="12" t="s">
        <v>2345</v>
      </c>
      <c r="F155" s="12" t="s">
        <v>562</v>
      </c>
      <c r="G155" s="17">
        <v>144</v>
      </c>
      <c r="H155" s="17">
        <v>143.92</v>
      </c>
      <c r="I155" s="12" t="s">
        <v>84</v>
      </c>
      <c r="J155" s="12" t="s">
        <v>2350</v>
      </c>
    </row>
    <row r="156" spans="1:10" ht="30" customHeight="1">
      <c r="A156" s="12" t="s">
        <v>2361</v>
      </c>
      <c r="B156" s="12" t="s">
        <v>90</v>
      </c>
      <c r="C156" s="12" t="s">
        <v>87</v>
      </c>
      <c r="D156" s="12" t="s">
        <v>29</v>
      </c>
      <c r="E156" s="12" t="s">
        <v>2345</v>
      </c>
      <c r="F156" s="12" t="s">
        <v>558</v>
      </c>
      <c r="G156" s="17">
        <v>136718</v>
      </c>
      <c r="H156" s="17">
        <v>136370.94</v>
      </c>
      <c r="I156" s="12" t="s">
        <v>89</v>
      </c>
      <c r="J156" s="12" t="s">
        <v>2350</v>
      </c>
    </row>
    <row r="157" spans="1:10" ht="30" customHeight="1">
      <c r="A157" s="12" t="s">
        <v>2362</v>
      </c>
      <c r="B157" s="12" t="s">
        <v>90</v>
      </c>
      <c r="C157" s="12" t="s">
        <v>87</v>
      </c>
      <c r="D157" s="12" t="s">
        <v>29</v>
      </c>
      <c r="E157" s="12" t="s">
        <v>2345</v>
      </c>
      <c r="F157" s="12" t="s">
        <v>559</v>
      </c>
      <c r="G157" s="17">
        <v>2372</v>
      </c>
      <c r="H157" s="17">
        <v>2371.8</v>
      </c>
      <c r="I157" s="12" t="s">
        <v>89</v>
      </c>
      <c r="J157" s="12" t="s">
        <v>2350</v>
      </c>
    </row>
    <row r="158" spans="1:10" ht="30" customHeight="1">
      <c r="A158" s="12" t="s">
        <v>2363</v>
      </c>
      <c r="B158" s="12" t="s">
        <v>90</v>
      </c>
      <c r="C158" s="12" t="s">
        <v>87</v>
      </c>
      <c r="D158" s="12" t="s">
        <v>29</v>
      </c>
      <c r="E158" s="12" t="s">
        <v>2345</v>
      </c>
      <c r="F158" s="12" t="s">
        <v>561</v>
      </c>
      <c r="G158" s="17">
        <v>36934</v>
      </c>
      <c r="H158" s="17">
        <v>29811.12</v>
      </c>
      <c r="I158" s="12" t="s">
        <v>89</v>
      </c>
      <c r="J158" s="12" t="s">
        <v>2350</v>
      </c>
    </row>
    <row r="159" spans="1:10" ht="30" customHeight="1">
      <c r="A159" s="12" t="s">
        <v>2364</v>
      </c>
      <c r="B159" s="12" t="s">
        <v>90</v>
      </c>
      <c r="C159" s="12" t="s">
        <v>87</v>
      </c>
      <c r="D159" s="12" t="s">
        <v>29</v>
      </c>
      <c r="E159" s="12" t="s">
        <v>2345</v>
      </c>
      <c r="F159" s="12" t="s">
        <v>562</v>
      </c>
      <c r="G159" s="17">
        <v>2793</v>
      </c>
      <c r="H159" s="17">
        <v>2793.17</v>
      </c>
      <c r="I159" s="12" t="s">
        <v>89</v>
      </c>
      <c r="J159" s="12" t="s">
        <v>2350</v>
      </c>
    </row>
    <row r="160" spans="1:10" ht="30" customHeight="1">
      <c r="A160" s="12" t="s">
        <v>2365</v>
      </c>
      <c r="B160" s="12" t="s">
        <v>95</v>
      </c>
      <c r="C160" s="12" t="s">
        <v>92</v>
      </c>
      <c r="D160" s="12" t="s">
        <v>29</v>
      </c>
      <c r="E160" s="12" t="s">
        <v>2345</v>
      </c>
      <c r="F160" s="12" t="s">
        <v>558</v>
      </c>
      <c r="G160" s="17">
        <v>275459</v>
      </c>
      <c r="H160" s="17">
        <v>279394.8</v>
      </c>
      <c r="I160" s="12" t="s">
        <v>94</v>
      </c>
      <c r="J160" s="12" t="s">
        <v>2350</v>
      </c>
    </row>
    <row r="161" spans="1:10" ht="30" customHeight="1">
      <c r="A161" s="12" t="s">
        <v>2366</v>
      </c>
      <c r="B161" s="12" t="s">
        <v>95</v>
      </c>
      <c r="C161" s="12" t="s">
        <v>92</v>
      </c>
      <c r="D161" s="12" t="s">
        <v>29</v>
      </c>
      <c r="E161" s="12" t="s">
        <v>2345</v>
      </c>
      <c r="F161" s="12" t="s">
        <v>559</v>
      </c>
      <c r="G161" s="17">
        <v>3174</v>
      </c>
      <c r="H161" s="17">
        <v>3173.78</v>
      </c>
      <c r="I161" s="12" t="s">
        <v>94</v>
      </c>
      <c r="J161" s="12" t="s">
        <v>2350</v>
      </c>
    </row>
    <row r="162" spans="1:10" ht="30" customHeight="1">
      <c r="A162" s="12" t="s">
        <v>2367</v>
      </c>
      <c r="B162" s="12" t="s">
        <v>95</v>
      </c>
      <c r="C162" s="12" t="s">
        <v>92</v>
      </c>
      <c r="D162" s="12" t="s">
        <v>29</v>
      </c>
      <c r="E162" s="12" t="s">
        <v>2345</v>
      </c>
      <c r="F162" s="12" t="s">
        <v>561</v>
      </c>
      <c r="G162" s="17">
        <v>94801</v>
      </c>
      <c r="H162" s="17">
        <v>88963.81</v>
      </c>
      <c r="I162" s="12" t="s">
        <v>94</v>
      </c>
      <c r="J162" s="12" t="s">
        <v>2350</v>
      </c>
    </row>
    <row r="163" spans="1:10" ht="30" customHeight="1">
      <c r="A163" s="12" t="s">
        <v>2368</v>
      </c>
      <c r="B163" s="12" t="s">
        <v>227</v>
      </c>
      <c r="C163" s="12" t="s">
        <v>223</v>
      </c>
      <c r="D163" s="12" t="s">
        <v>207</v>
      </c>
      <c r="E163" s="12" t="s">
        <v>2345</v>
      </c>
      <c r="F163" s="12" t="s">
        <v>557</v>
      </c>
      <c r="G163" s="17">
        <v>13538</v>
      </c>
      <c r="H163" s="17">
        <v>14263.91</v>
      </c>
      <c r="I163" s="12" t="s">
        <v>683</v>
      </c>
      <c r="J163" s="12" t="s">
        <v>2369</v>
      </c>
    </row>
    <row r="164" spans="1:10" ht="30" customHeight="1">
      <c r="A164" s="12" t="s">
        <v>2370</v>
      </c>
      <c r="B164" s="12" t="s">
        <v>278</v>
      </c>
      <c r="C164" s="12" t="s">
        <v>274</v>
      </c>
      <c r="D164" s="12" t="s">
        <v>207</v>
      </c>
      <c r="E164" s="12" t="s">
        <v>2345</v>
      </c>
      <c r="F164" s="12" t="s">
        <v>557</v>
      </c>
      <c r="G164" s="17">
        <v>21567.9</v>
      </c>
      <c r="H164" s="17">
        <v>21514.18</v>
      </c>
      <c r="I164" s="12" t="s">
        <v>702</v>
      </c>
      <c r="J164" s="12" t="s">
        <v>2369</v>
      </c>
    </row>
    <row r="165" spans="1:10" ht="30" customHeight="1">
      <c r="A165" s="12" t="s">
        <v>2371</v>
      </c>
      <c r="B165" s="12" t="s">
        <v>278</v>
      </c>
      <c r="C165" s="12" t="s">
        <v>274</v>
      </c>
      <c r="D165" s="12" t="s">
        <v>207</v>
      </c>
      <c r="E165" s="12" t="s">
        <v>2345</v>
      </c>
      <c r="F165" s="12" t="s">
        <v>559</v>
      </c>
      <c r="G165" s="17">
        <v>169.7</v>
      </c>
      <c r="H165" s="17">
        <v>211.49</v>
      </c>
      <c r="I165" s="12" t="s">
        <v>702</v>
      </c>
      <c r="J165" s="12" t="s">
        <v>2369</v>
      </c>
    </row>
    <row r="166" spans="1:10" ht="30" customHeight="1">
      <c r="A166" s="12" t="s">
        <v>2372</v>
      </c>
      <c r="B166" s="12" t="s">
        <v>248</v>
      </c>
      <c r="C166" s="12" t="s">
        <v>244</v>
      </c>
      <c r="D166" s="12" t="s">
        <v>207</v>
      </c>
      <c r="E166" s="12" t="s">
        <v>2345</v>
      </c>
      <c r="F166" s="12" t="s">
        <v>557</v>
      </c>
      <c r="G166" s="17">
        <v>1001.6</v>
      </c>
      <c r="H166" s="17">
        <v>1001.6294</v>
      </c>
      <c r="I166" s="12" t="s">
        <v>689</v>
      </c>
      <c r="J166" s="12" t="s">
        <v>2373</v>
      </c>
    </row>
    <row r="167" spans="1:10" ht="30" customHeight="1">
      <c r="A167" s="12" t="s">
        <v>2374</v>
      </c>
      <c r="B167" s="12" t="s">
        <v>248</v>
      </c>
      <c r="C167" s="12" t="s">
        <v>244</v>
      </c>
      <c r="D167" s="12" t="s">
        <v>207</v>
      </c>
      <c r="E167" s="12" t="s">
        <v>2345</v>
      </c>
      <c r="F167" s="12" t="s">
        <v>559</v>
      </c>
      <c r="G167" s="17">
        <v>68.8</v>
      </c>
      <c r="H167" s="17">
        <v>64.5979</v>
      </c>
      <c r="I167" s="12" t="s">
        <v>689</v>
      </c>
      <c r="J167" s="12" t="s">
        <v>2373</v>
      </c>
    </row>
    <row r="168" spans="1:10" ht="30" customHeight="1">
      <c r="A168" s="12" t="s">
        <v>2375</v>
      </c>
      <c r="B168" s="12" t="s">
        <v>255</v>
      </c>
      <c r="C168" s="12" t="s">
        <v>251</v>
      </c>
      <c r="D168" s="12" t="s">
        <v>207</v>
      </c>
      <c r="E168" s="12" t="s">
        <v>2345</v>
      </c>
      <c r="F168" s="12" t="s">
        <v>559</v>
      </c>
      <c r="G168" s="17">
        <v>180.1</v>
      </c>
      <c r="H168" s="17">
        <v>180.1469</v>
      </c>
      <c r="I168" s="12" t="s">
        <v>254</v>
      </c>
      <c r="J168" s="12" t="s">
        <v>2373</v>
      </c>
    </row>
    <row r="169" spans="1:10" ht="30" customHeight="1">
      <c r="A169" s="12" t="s">
        <v>2376</v>
      </c>
      <c r="B169" s="12" t="s">
        <v>262</v>
      </c>
      <c r="C169" s="12" t="s">
        <v>259</v>
      </c>
      <c r="D169" s="12" t="s">
        <v>207</v>
      </c>
      <c r="E169" s="12" t="s">
        <v>2345</v>
      </c>
      <c r="F169" s="12" t="s">
        <v>557</v>
      </c>
      <c r="G169" s="17">
        <v>1867</v>
      </c>
      <c r="H169" s="17">
        <v>1866.9803</v>
      </c>
      <c r="I169" s="12" t="s">
        <v>261</v>
      </c>
      <c r="J169" s="12" t="s">
        <v>2373</v>
      </c>
    </row>
    <row r="170" spans="1:10" ht="30" customHeight="1">
      <c r="A170" s="12" t="s">
        <v>2377</v>
      </c>
      <c r="B170" s="12" t="s">
        <v>262</v>
      </c>
      <c r="C170" s="12" t="s">
        <v>259</v>
      </c>
      <c r="D170" s="12" t="s">
        <v>207</v>
      </c>
      <c r="E170" s="12" t="s">
        <v>2345</v>
      </c>
      <c r="F170" s="12" t="s">
        <v>559</v>
      </c>
      <c r="G170" s="17">
        <v>150.2</v>
      </c>
      <c r="H170" s="17">
        <v>150.1824</v>
      </c>
      <c r="I170" s="12" t="s">
        <v>261</v>
      </c>
      <c r="J170" s="12" t="s">
        <v>2373</v>
      </c>
    </row>
    <row r="171" spans="1:10" ht="30" customHeight="1">
      <c r="A171" s="12" t="s">
        <v>2378</v>
      </c>
      <c r="B171" s="12" t="s">
        <v>300</v>
      </c>
      <c r="C171" s="12" t="s">
        <v>296</v>
      </c>
      <c r="D171" s="12" t="s">
        <v>207</v>
      </c>
      <c r="E171" s="12" t="s">
        <v>2345</v>
      </c>
      <c r="F171" s="12" t="s">
        <v>558</v>
      </c>
      <c r="G171" s="17">
        <v>22261</v>
      </c>
      <c r="H171" s="17">
        <v>21557.12</v>
      </c>
      <c r="I171" s="12" t="s">
        <v>299</v>
      </c>
      <c r="J171" s="12" t="s">
        <v>2369</v>
      </c>
    </row>
    <row r="172" spans="1:10" ht="30" customHeight="1">
      <c r="A172" s="12" t="s">
        <v>2379</v>
      </c>
      <c r="B172" s="12" t="s">
        <v>300</v>
      </c>
      <c r="C172" s="12" t="s">
        <v>296</v>
      </c>
      <c r="D172" s="12" t="s">
        <v>207</v>
      </c>
      <c r="E172" s="12" t="s">
        <v>2345</v>
      </c>
      <c r="F172" s="12" t="s">
        <v>561</v>
      </c>
      <c r="G172" s="17">
        <v>4527</v>
      </c>
      <c r="H172" s="17">
        <v>4641.24</v>
      </c>
      <c r="I172" s="12" t="s">
        <v>299</v>
      </c>
      <c r="J172" s="12" t="s">
        <v>2369</v>
      </c>
    </row>
    <row r="173" spans="1:10" ht="30" customHeight="1">
      <c r="A173" s="12" t="s">
        <v>2380</v>
      </c>
      <c r="B173" s="12" t="s">
        <v>193</v>
      </c>
      <c r="C173" s="12" t="s">
        <v>189</v>
      </c>
      <c r="D173" s="12" t="s">
        <v>142</v>
      </c>
      <c r="E173" s="12" t="s">
        <v>2345</v>
      </c>
      <c r="F173" s="12" t="s">
        <v>557</v>
      </c>
      <c r="G173" s="17">
        <v>16662.21</v>
      </c>
      <c r="H173" s="17">
        <v>16787.63</v>
      </c>
      <c r="I173" s="12" t="s">
        <v>192</v>
      </c>
      <c r="J173" s="12" t="s">
        <v>2381</v>
      </c>
    </row>
    <row r="174" spans="1:10" ht="30" customHeight="1">
      <c r="A174" s="12" t="s">
        <v>2382</v>
      </c>
      <c r="B174" s="12" t="s">
        <v>193</v>
      </c>
      <c r="C174" s="12" t="s">
        <v>189</v>
      </c>
      <c r="D174" s="12" t="s">
        <v>142</v>
      </c>
      <c r="E174" s="12" t="s">
        <v>2345</v>
      </c>
      <c r="F174" s="12" t="s">
        <v>559</v>
      </c>
      <c r="G174" s="17">
        <v>5324.67</v>
      </c>
      <c r="H174" s="17">
        <v>5267.94</v>
      </c>
      <c r="I174" s="12" t="s">
        <v>192</v>
      </c>
      <c r="J174" s="12" t="s">
        <v>2381</v>
      </c>
    </row>
    <row r="175" spans="1:10" ht="30" customHeight="1">
      <c r="A175" s="12" t="s">
        <v>2383</v>
      </c>
      <c r="B175" s="12" t="s">
        <v>95</v>
      </c>
      <c r="C175" s="12" t="s">
        <v>92</v>
      </c>
      <c r="D175" s="12" t="s">
        <v>29</v>
      </c>
      <c r="E175" s="12" t="s">
        <v>2345</v>
      </c>
      <c r="F175" s="12" t="s">
        <v>557</v>
      </c>
      <c r="G175" s="17">
        <v>218543</v>
      </c>
      <c r="H175" s="17">
        <v>218542.51</v>
      </c>
      <c r="I175" s="12" t="s">
        <v>94</v>
      </c>
      <c r="J175" s="12" t="s">
        <v>2384</v>
      </c>
    </row>
    <row r="176" spans="1:10" ht="30" customHeight="1">
      <c r="A176" s="12" t="s">
        <v>2385</v>
      </c>
      <c r="B176" s="12" t="s">
        <v>95</v>
      </c>
      <c r="C176" s="12" t="s">
        <v>92</v>
      </c>
      <c r="D176" s="12" t="s">
        <v>29</v>
      </c>
      <c r="E176" s="12" t="s">
        <v>2345</v>
      </c>
      <c r="F176" s="12" t="s">
        <v>558</v>
      </c>
      <c r="G176" s="17">
        <v>275459</v>
      </c>
      <c r="H176" s="17">
        <v>279394.8</v>
      </c>
      <c r="I176" s="12" t="s">
        <v>94</v>
      </c>
      <c r="J176" s="12" t="s">
        <v>2384</v>
      </c>
    </row>
    <row r="177" spans="1:10" ht="30" customHeight="1">
      <c r="A177" s="12" t="s">
        <v>2386</v>
      </c>
      <c r="B177" s="12" t="s">
        <v>95</v>
      </c>
      <c r="C177" s="12" t="s">
        <v>92</v>
      </c>
      <c r="D177" s="12" t="s">
        <v>29</v>
      </c>
      <c r="E177" s="12" t="s">
        <v>2345</v>
      </c>
      <c r="F177" s="12" t="s">
        <v>559</v>
      </c>
      <c r="G177" s="17">
        <v>3174</v>
      </c>
      <c r="H177" s="17">
        <v>3173.78</v>
      </c>
      <c r="I177" s="12" t="s">
        <v>94</v>
      </c>
      <c r="J177" s="12" t="s">
        <v>2384</v>
      </c>
    </row>
    <row r="178" spans="1:10" ht="30" customHeight="1">
      <c r="A178" s="12" t="s">
        <v>2387</v>
      </c>
      <c r="B178" s="12" t="s">
        <v>95</v>
      </c>
      <c r="C178" s="12" t="s">
        <v>92</v>
      </c>
      <c r="D178" s="12" t="s">
        <v>29</v>
      </c>
      <c r="E178" s="12" t="s">
        <v>2345</v>
      </c>
      <c r="F178" s="12" t="s">
        <v>561</v>
      </c>
      <c r="G178" s="17">
        <v>94801</v>
      </c>
      <c r="H178" s="17">
        <v>88963.81</v>
      </c>
      <c r="I178" s="12" t="s">
        <v>94</v>
      </c>
      <c r="J178" s="12" t="s">
        <v>2384</v>
      </c>
    </row>
    <row r="179" spans="1:10" ht="30" customHeight="1">
      <c r="A179" s="12" t="s">
        <v>2388</v>
      </c>
      <c r="B179" s="12" t="s">
        <v>95</v>
      </c>
      <c r="C179" s="12" t="s">
        <v>92</v>
      </c>
      <c r="D179" s="12" t="s">
        <v>29</v>
      </c>
      <c r="E179" s="12" t="s">
        <v>2345</v>
      </c>
      <c r="F179" s="12" t="s">
        <v>562</v>
      </c>
      <c r="G179" s="17">
        <v>7341</v>
      </c>
      <c r="H179" s="17">
        <v>7340.95</v>
      </c>
      <c r="I179" s="12" t="s">
        <v>94</v>
      </c>
      <c r="J179" s="12" t="s">
        <v>2384</v>
      </c>
    </row>
    <row r="180" spans="1:10" ht="30" customHeight="1">
      <c r="A180" s="12" t="s">
        <v>2389</v>
      </c>
      <c r="B180" s="12" t="s">
        <v>95</v>
      </c>
      <c r="C180" s="12" t="s">
        <v>92</v>
      </c>
      <c r="D180" s="12" t="s">
        <v>29</v>
      </c>
      <c r="E180" s="12" t="s">
        <v>2345</v>
      </c>
      <c r="F180" s="12" t="s">
        <v>563</v>
      </c>
      <c r="G180" s="13"/>
      <c r="H180" s="17">
        <v>0.08609179915787551</v>
      </c>
      <c r="I180" s="12" t="s">
        <v>94</v>
      </c>
      <c r="J180" s="12" t="s">
        <v>2384</v>
      </c>
    </row>
    <row r="181" spans="1:10" ht="30" customHeight="1">
      <c r="A181" s="12" t="s">
        <v>2390</v>
      </c>
      <c r="B181" s="12" t="s">
        <v>95</v>
      </c>
      <c r="C181" s="12" t="s">
        <v>92</v>
      </c>
      <c r="D181" s="12" t="s">
        <v>29</v>
      </c>
      <c r="E181" s="12" t="s">
        <v>2345</v>
      </c>
      <c r="F181" s="12" t="s">
        <v>564</v>
      </c>
      <c r="G181" s="13"/>
      <c r="H181" s="17">
        <v>15670.52</v>
      </c>
      <c r="I181" s="12" t="s">
        <v>94</v>
      </c>
      <c r="J181" s="12" t="s">
        <v>2384</v>
      </c>
    </row>
    <row r="182" spans="1:10" ht="30" customHeight="1">
      <c r="A182" s="12" t="s">
        <v>2391</v>
      </c>
      <c r="B182" s="12" t="s">
        <v>64</v>
      </c>
      <c r="C182" s="12" t="s">
        <v>60</v>
      </c>
      <c r="D182" s="12" t="s">
        <v>29</v>
      </c>
      <c r="E182" s="12" t="s">
        <v>2345</v>
      </c>
      <c r="F182" s="12" t="s">
        <v>557</v>
      </c>
      <c r="G182" s="17">
        <v>168824</v>
      </c>
      <c r="H182" s="17">
        <v>185470</v>
      </c>
      <c r="I182" s="12" t="s">
        <v>63</v>
      </c>
      <c r="J182" s="12" t="s">
        <v>2392</v>
      </c>
    </row>
    <row r="183" spans="1:10" ht="30" customHeight="1">
      <c r="A183" s="12" t="s">
        <v>2393</v>
      </c>
      <c r="B183" s="12" t="s">
        <v>64</v>
      </c>
      <c r="C183" s="12" t="s">
        <v>60</v>
      </c>
      <c r="D183" s="12" t="s">
        <v>29</v>
      </c>
      <c r="E183" s="12" t="s">
        <v>2345</v>
      </c>
      <c r="F183" s="12" t="s">
        <v>558</v>
      </c>
      <c r="G183" s="17">
        <v>240445</v>
      </c>
      <c r="H183" s="17">
        <v>269676</v>
      </c>
      <c r="I183" s="12" t="s">
        <v>63</v>
      </c>
      <c r="J183" s="12" t="s">
        <v>2392</v>
      </c>
    </row>
    <row r="184" spans="1:10" ht="30" customHeight="1">
      <c r="A184" s="12" t="s">
        <v>2394</v>
      </c>
      <c r="B184" s="12" t="s">
        <v>64</v>
      </c>
      <c r="C184" s="12" t="s">
        <v>60</v>
      </c>
      <c r="D184" s="12" t="s">
        <v>29</v>
      </c>
      <c r="E184" s="12" t="s">
        <v>2345</v>
      </c>
      <c r="F184" s="12" t="s">
        <v>559</v>
      </c>
      <c r="G184" s="17">
        <v>3491</v>
      </c>
      <c r="H184" s="17">
        <v>25508</v>
      </c>
      <c r="I184" s="12" t="s">
        <v>63</v>
      </c>
      <c r="J184" s="12" t="s">
        <v>2392</v>
      </c>
    </row>
    <row r="185" spans="1:10" ht="30" customHeight="1">
      <c r="A185" s="12" t="s">
        <v>2395</v>
      </c>
      <c r="B185" s="12" t="s">
        <v>64</v>
      </c>
      <c r="C185" s="12" t="s">
        <v>60</v>
      </c>
      <c r="D185" s="12" t="s">
        <v>29</v>
      </c>
      <c r="E185" s="12" t="s">
        <v>2345</v>
      </c>
      <c r="F185" s="12" t="s">
        <v>561</v>
      </c>
      <c r="G185" s="17">
        <v>98752</v>
      </c>
      <c r="H185" s="17">
        <v>95532</v>
      </c>
      <c r="I185" s="12" t="s">
        <v>63</v>
      </c>
      <c r="J185" s="12" t="s">
        <v>2392</v>
      </c>
    </row>
    <row r="186" spans="1:10" ht="30" customHeight="1">
      <c r="A186" s="12" t="s">
        <v>2396</v>
      </c>
      <c r="B186" s="12" t="s">
        <v>64</v>
      </c>
      <c r="C186" s="12" t="s">
        <v>60</v>
      </c>
      <c r="D186" s="12" t="s">
        <v>29</v>
      </c>
      <c r="E186" s="12" t="s">
        <v>2345</v>
      </c>
      <c r="F186" s="12" t="s">
        <v>562</v>
      </c>
      <c r="G186" s="17">
        <v>8412</v>
      </c>
      <c r="H186" s="17">
        <v>9102</v>
      </c>
      <c r="I186" s="12" t="s">
        <v>63</v>
      </c>
      <c r="J186" s="12" t="s">
        <v>2392</v>
      </c>
    </row>
    <row r="187" spans="1:10" ht="30" customHeight="1">
      <c r="A187" s="12" t="s">
        <v>2397</v>
      </c>
      <c r="B187" s="12" t="s">
        <v>64</v>
      </c>
      <c r="C187" s="12" t="s">
        <v>60</v>
      </c>
      <c r="D187" s="12" t="s">
        <v>29</v>
      </c>
      <c r="E187" s="12" t="s">
        <v>2345</v>
      </c>
      <c r="F187" s="12" t="s">
        <v>563</v>
      </c>
      <c r="G187" s="13"/>
      <c r="H187" s="17">
        <v>0.09506551290152437</v>
      </c>
      <c r="I187" s="12" t="s">
        <v>63</v>
      </c>
      <c r="J187" s="12" t="s">
        <v>2392</v>
      </c>
    </row>
    <row r="188" spans="1:10" ht="30" customHeight="1">
      <c r="A188" s="12" t="s">
        <v>2398</v>
      </c>
      <c r="B188" s="12" t="s">
        <v>64</v>
      </c>
      <c r="C188" s="12" t="s">
        <v>60</v>
      </c>
      <c r="D188" s="12" t="s">
        <v>29</v>
      </c>
      <c r="E188" s="12" t="s">
        <v>2345</v>
      </c>
      <c r="F188" s="12" t="s">
        <v>564</v>
      </c>
      <c r="G188" s="13"/>
      <c r="H188" s="17">
        <v>14654</v>
      </c>
      <c r="I188" s="12" t="s">
        <v>63</v>
      </c>
      <c r="J188" s="12" t="s">
        <v>2392</v>
      </c>
    </row>
    <row r="189" spans="1:10" ht="30" customHeight="1">
      <c r="A189" s="12" t="s">
        <v>2399</v>
      </c>
      <c r="B189" s="12" t="s">
        <v>90</v>
      </c>
      <c r="C189" s="12" t="s">
        <v>87</v>
      </c>
      <c r="D189" s="12" t="s">
        <v>29</v>
      </c>
      <c r="E189" s="12" t="s">
        <v>2345</v>
      </c>
      <c r="F189" s="12" t="s">
        <v>557</v>
      </c>
      <c r="G189" s="17">
        <v>102479</v>
      </c>
      <c r="H189" s="17">
        <v>102479.06</v>
      </c>
      <c r="I189" s="12" t="s">
        <v>89</v>
      </c>
      <c r="J189" s="12" t="s">
        <v>2384</v>
      </c>
    </row>
    <row r="190" spans="1:10" ht="30" customHeight="1">
      <c r="A190" s="12" t="s">
        <v>2400</v>
      </c>
      <c r="B190" s="12" t="s">
        <v>90</v>
      </c>
      <c r="C190" s="12" t="s">
        <v>87</v>
      </c>
      <c r="D190" s="12" t="s">
        <v>29</v>
      </c>
      <c r="E190" s="12" t="s">
        <v>2345</v>
      </c>
      <c r="F190" s="12" t="s">
        <v>558</v>
      </c>
      <c r="G190" s="17">
        <v>136718</v>
      </c>
      <c r="H190" s="17">
        <v>136370.94</v>
      </c>
      <c r="I190" s="12" t="s">
        <v>89</v>
      </c>
      <c r="J190" s="12" t="s">
        <v>2384</v>
      </c>
    </row>
    <row r="191" spans="1:10" ht="30" customHeight="1">
      <c r="A191" s="12" t="s">
        <v>2401</v>
      </c>
      <c r="B191" s="12" t="s">
        <v>90</v>
      </c>
      <c r="C191" s="12" t="s">
        <v>87</v>
      </c>
      <c r="D191" s="12" t="s">
        <v>29</v>
      </c>
      <c r="E191" s="12" t="s">
        <v>2345</v>
      </c>
      <c r="F191" s="12" t="s">
        <v>559</v>
      </c>
      <c r="G191" s="17">
        <v>2372</v>
      </c>
      <c r="H191" s="17">
        <v>2371.8</v>
      </c>
      <c r="I191" s="12" t="s">
        <v>89</v>
      </c>
      <c r="J191" s="12" t="s">
        <v>2384</v>
      </c>
    </row>
    <row r="192" spans="1:10" ht="30" customHeight="1">
      <c r="A192" s="12" t="s">
        <v>2402</v>
      </c>
      <c r="B192" s="12" t="s">
        <v>90</v>
      </c>
      <c r="C192" s="12" t="s">
        <v>87</v>
      </c>
      <c r="D192" s="12" t="s">
        <v>29</v>
      </c>
      <c r="E192" s="12" t="s">
        <v>2345</v>
      </c>
      <c r="F192" s="12" t="s">
        <v>561</v>
      </c>
      <c r="G192" s="17">
        <v>36934</v>
      </c>
      <c r="H192" s="17">
        <v>29811.12</v>
      </c>
      <c r="I192" s="12" t="s">
        <v>89</v>
      </c>
      <c r="J192" s="12" t="s">
        <v>2384</v>
      </c>
    </row>
    <row r="193" spans="1:10" ht="30" customHeight="1">
      <c r="A193" s="12" t="s">
        <v>2403</v>
      </c>
      <c r="B193" s="12" t="s">
        <v>90</v>
      </c>
      <c r="C193" s="12" t="s">
        <v>87</v>
      </c>
      <c r="D193" s="12" t="s">
        <v>29</v>
      </c>
      <c r="E193" s="12" t="s">
        <v>2345</v>
      </c>
      <c r="F193" s="12" t="s">
        <v>562</v>
      </c>
      <c r="G193" s="17">
        <v>2793</v>
      </c>
      <c r="H193" s="17">
        <v>2793.17</v>
      </c>
      <c r="I193" s="12" t="s">
        <v>89</v>
      </c>
      <c r="J193" s="12" t="s">
        <v>2384</v>
      </c>
    </row>
    <row r="194" spans="1:10" ht="30" customHeight="1">
      <c r="A194" s="12" t="s">
        <v>2404</v>
      </c>
      <c r="B194" s="12" t="s">
        <v>90</v>
      </c>
      <c r="C194" s="12" t="s">
        <v>87</v>
      </c>
      <c r="D194" s="12" t="s">
        <v>29</v>
      </c>
      <c r="E194" s="12" t="s">
        <v>2345</v>
      </c>
      <c r="F194" s="12" t="s">
        <v>563</v>
      </c>
      <c r="G194" s="13"/>
      <c r="H194" s="17">
        <v>0.09247056342530113</v>
      </c>
      <c r="I194" s="12" t="s">
        <v>89</v>
      </c>
      <c r="J194" s="12" t="s">
        <v>2384</v>
      </c>
    </row>
    <row r="195" spans="1:10" ht="30" customHeight="1">
      <c r="A195" s="12" t="s">
        <v>2405</v>
      </c>
      <c r="B195" s="12" t="s">
        <v>90</v>
      </c>
      <c r="C195" s="12" t="s">
        <v>87</v>
      </c>
      <c r="D195" s="12" t="s">
        <v>29</v>
      </c>
      <c r="E195" s="12" t="s">
        <v>2345</v>
      </c>
      <c r="F195" s="12" t="s">
        <v>564</v>
      </c>
      <c r="G195" s="13"/>
      <c r="H195" s="17">
        <v>6221.15</v>
      </c>
      <c r="I195" s="12" t="s">
        <v>89</v>
      </c>
      <c r="J195" s="12" t="s">
        <v>2384</v>
      </c>
    </row>
    <row r="196" spans="1:10" ht="30" customHeight="1">
      <c r="A196" s="12" t="s">
        <v>2406</v>
      </c>
      <c r="B196" s="12" t="s">
        <v>58</v>
      </c>
      <c r="C196" s="12" t="s">
        <v>53</v>
      </c>
      <c r="D196" s="12" t="s">
        <v>29</v>
      </c>
      <c r="E196" s="12" t="s">
        <v>2345</v>
      </c>
      <c r="F196" s="12" t="s">
        <v>557</v>
      </c>
      <c r="G196" s="17">
        <v>50129</v>
      </c>
      <c r="H196" s="17">
        <v>53224.92</v>
      </c>
      <c r="I196" s="12" t="s">
        <v>57</v>
      </c>
      <c r="J196" s="12" t="s">
        <v>2392</v>
      </c>
    </row>
    <row r="197" spans="1:10" ht="30" customHeight="1">
      <c r="A197" s="12" t="s">
        <v>2407</v>
      </c>
      <c r="B197" s="12" t="s">
        <v>58</v>
      </c>
      <c r="C197" s="12" t="s">
        <v>53</v>
      </c>
      <c r="D197" s="12" t="s">
        <v>29</v>
      </c>
      <c r="E197" s="12" t="s">
        <v>2345</v>
      </c>
      <c r="F197" s="12" t="s">
        <v>558</v>
      </c>
      <c r="G197" s="17">
        <v>85766</v>
      </c>
      <c r="H197" s="17">
        <v>97761.77</v>
      </c>
      <c r="I197" s="12" t="s">
        <v>57</v>
      </c>
      <c r="J197" s="12" t="s">
        <v>2392</v>
      </c>
    </row>
    <row r="198" spans="1:10" ht="30" customHeight="1">
      <c r="A198" s="12" t="s">
        <v>2408</v>
      </c>
      <c r="B198" s="12" t="s">
        <v>58</v>
      </c>
      <c r="C198" s="12" t="s">
        <v>53</v>
      </c>
      <c r="D198" s="12" t="s">
        <v>29</v>
      </c>
      <c r="E198" s="12" t="s">
        <v>2345</v>
      </c>
      <c r="F198" s="12" t="s">
        <v>559</v>
      </c>
      <c r="G198" s="17">
        <v>2846</v>
      </c>
      <c r="H198" s="17">
        <v>3360.87</v>
      </c>
      <c r="I198" s="12" t="s">
        <v>57</v>
      </c>
      <c r="J198" s="12" t="s">
        <v>2392</v>
      </c>
    </row>
    <row r="199" spans="1:10" ht="30" customHeight="1">
      <c r="A199" s="12" t="s">
        <v>2409</v>
      </c>
      <c r="B199" s="12" t="s">
        <v>58</v>
      </c>
      <c r="C199" s="12" t="s">
        <v>53</v>
      </c>
      <c r="D199" s="12" t="s">
        <v>29</v>
      </c>
      <c r="E199" s="12" t="s">
        <v>2345</v>
      </c>
      <c r="F199" s="12" t="s">
        <v>561</v>
      </c>
      <c r="G199" s="17">
        <v>18406</v>
      </c>
      <c r="H199" s="17">
        <v>22037.86</v>
      </c>
      <c r="I199" s="12" t="s">
        <v>57</v>
      </c>
      <c r="J199" s="12" t="s">
        <v>2392</v>
      </c>
    </row>
    <row r="200" spans="1:10" ht="30" customHeight="1">
      <c r="A200" s="12" t="s">
        <v>2410</v>
      </c>
      <c r="B200" s="12" t="s">
        <v>58</v>
      </c>
      <c r="C200" s="12" t="s">
        <v>53</v>
      </c>
      <c r="D200" s="12" t="s">
        <v>29</v>
      </c>
      <c r="E200" s="12" t="s">
        <v>2345</v>
      </c>
      <c r="F200" s="12" t="s">
        <v>562</v>
      </c>
      <c r="G200" s="17">
        <v>1312</v>
      </c>
      <c r="H200" s="17">
        <v>1516.64</v>
      </c>
      <c r="I200" s="12" t="s">
        <v>57</v>
      </c>
      <c r="J200" s="12" t="s">
        <v>2392</v>
      </c>
    </row>
    <row r="201" spans="1:10" ht="30" customHeight="1">
      <c r="A201" s="12" t="s">
        <v>2411</v>
      </c>
      <c r="B201" s="12" t="s">
        <v>58</v>
      </c>
      <c r="C201" s="12" t="s">
        <v>53</v>
      </c>
      <c r="D201" s="12" t="s">
        <v>29</v>
      </c>
      <c r="E201" s="12" t="s">
        <v>2345</v>
      </c>
      <c r="F201" s="12" t="s">
        <v>563</v>
      </c>
      <c r="G201" s="13"/>
      <c r="H201" s="17">
        <v>0.07606052384388896</v>
      </c>
      <c r="I201" s="12" t="s">
        <v>57</v>
      </c>
      <c r="J201" s="12" t="s">
        <v>2392</v>
      </c>
    </row>
    <row r="202" spans="1:10" ht="30" customHeight="1">
      <c r="A202" s="12" t="s">
        <v>2412</v>
      </c>
      <c r="B202" s="12" t="s">
        <v>58</v>
      </c>
      <c r="C202" s="12" t="s">
        <v>53</v>
      </c>
      <c r="D202" s="12" t="s">
        <v>29</v>
      </c>
      <c r="E202" s="12" t="s">
        <v>2345</v>
      </c>
      <c r="F202" s="12" t="s">
        <v>564</v>
      </c>
      <c r="G202" s="13"/>
      <c r="H202" s="17">
        <v>9574.15</v>
      </c>
      <c r="I202" s="12" t="s">
        <v>57</v>
      </c>
      <c r="J202" s="12" t="s">
        <v>2392</v>
      </c>
    </row>
    <row r="203" spans="1:10" ht="30" customHeight="1">
      <c r="A203" s="12" t="s">
        <v>2413</v>
      </c>
      <c r="B203" s="12" t="s">
        <v>51</v>
      </c>
      <c r="C203" s="12" t="s">
        <v>46</v>
      </c>
      <c r="D203" s="12" t="s">
        <v>29</v>
      </c>
      <c r="E203" s="12" t="s">
        <v>2345</v>
      </c>
      <c r="F203" s="12" t="s">
        <v>557</v>
      </c>
      <c r="G203" s="17">
        <v>39312</v>
      </c>
      <c r="H203" s="17">
        <v>39312.21</v>
      </c>
      <c r="I203" s="12" t="s">
        <v>50</v>
      </c>
      <c r="J203" s="12" t="s">
        <v>2384</v>
      </c>
    </row>
    <row r="204" spans="1:10" ht="30" customHeight="1">
      <c r="A204" s="12" t="s">
        <v>2414</v>
      </c>
      <c r="B204" s="12" t="s">
        <v>51</v>
      </c>
      <c r="C204" s="12" t="s">
        <v>46</v>
      </c>
      <c r="D204" s="12" t="s">
        <v>29</v>
      </c>
      <c r="E204" s="12" t="s">
        <v>2345</v>
      </c>
      <c r="F204" s="12" t="s">
        <v>558</v>
      </c>
      <c r="G204" s="17">
        <v>35917</v>
      </c>
      <c r="H204" s="17">
        <v>36158.05</v>
      </c>
      <c r="I204" s="12" t="s">
        <v>50</v>
      </c>
      <c r="J204" s="12" t="s">
        <v>2384</v>
      </c>
    </row>
    <row r="205" spans="1:10" ht="30" customHeight="1">
      <c r="A205" s="12" t="s">
        <v>2415</v>
      </c>
      <c r="B205" s="12" t="s">
        <v>51</v>
      </c>
      <c r="C205" s="12" t="s">
        <v>46</v>
      </c>
      <c r="D205" s="12" t="s">
        <v>29</v>
      </c>
      <c r="E205" s="12" t="s">
        <v>2345</v>
      </c>
      <c r="F205" s="12" t="s">
        <v>559</v>
      </c>
      <c r="G205" s="17">
        <v>2500</v>
      </c>
      <c r="H205" s="17">
        <v>2499.72</v>
      </c>
      <c r="I205" s="12" t="s">
        <v>50</v>
      </c>
      <c r="J205" s="12" t="s">
        <v>2384</v>
      </c>
    </row>
    <row r="206" spans="1:10" ht="30" customHeight="1">
      <c r="A206" s="12" t="s">
        <v>2416</v>
      </c>
      <c r="B206" s="12" t="s">
        <v>51</v>
      </c>
      <c r="C206" s="12" t="s">
        <v>46</v>
      </c>
      <c r="D206" s="12" t="s">
        <v>29</v>
      </c>
      <c r="E206" s="12" t="s">
        <v>2345</v>
      </c>
      <c r="F206" s="12" t="s">
        <v>561</v>
      </c>
      <c r="G206" s="17">
        <v>6402</v>
      </c>
      <c r="H206" s="17">
        <v>6297.73</v>
      </c>
      <c r="I206" s="12" t="s">
        <v>50</v>
      </c>
      <c r="J206" s="12" t="s">
        <v>2384</v>
      </c>
    </row>
    <row r="207" spans="1:10" ht="30" customHeight="1">
      <c r="A207" s="12" t="s">
        <v>2417</v>
      </c>
      <c r="B207" s="12" t="s">
        <v>51</v>
      </c>
      <c r="C207" s="12" t="s">
        <v>46</v>
      </c>
      <c r="D207" s="12" t="s">
        <v>29</v>
      </c>
      <c r="E207" s="12" t="s">
        <v>2345</v>
      </c>
      <c r="F207" s="12" t="s">
        <v>562</v>
      </c>
      <c r="G207" s="17">
        <v>612</v>
      </c>
      <c r="H207" s="17">
        <v>611.64</v>
      </c>
      <c r="I207" s="12" t="s">
        <v>50</v>
      </c>
      <c r="J207" s="12" t="s">
        <v>2384</v>
      </c>
    </row>
    <row r="208" spans="1:10" ht="30" customHeight="1">
      <c r="A208" s="12" t="s">
        <v>2418</v>
      </c>
      <c r="B208" s="12" t="s">
        <v>51</v>
      </c>
      <c r="C208" s="12" t="s">
        <v>46</v>
      </c>
      <c r="D208" s="12" t="s">
        <v>29</v>
      </c>
      <c r="E208" s="12" t="s">
        <v>2345</v>
      </c>
      <c r="F208" s="12" t="s">
        <v>563</v>
      </c>
      <c r="G208" s="13"/>
      <c r="H208" s="17">
        <v>0.09989286227576206</v>
      </c>
      <c r="I208" s="12" t="s">
        <v>50</v>
      </c>
      <c r="J208" s="12" t="s">
        <v>2384</v>
      </c>
    </row>
    <row r="209" spans="1:10" ht="30" customHeight="1">
      <c r="A209" s="12" t="s">
        <v>2419</v>
      </c>
      <c r="B209" s="12" t="s">
        <v>51</v>
      </c>
      <c r="C209" s="12" t="s">
        <v>46</v>
      </c>
      <c r="D209" s="12" t="s">
        <v>29</v>
      </c>
      <c r="E209" s="12" t="s">
        <v>2345</v>
      </c>
      <c r="F209" s="12" t="s">
        <v>564</v>
      </c>
      <c r="G209" s="13"/>
      <c r="H209" s="17">
        <v>1885.46</v>
      </c>
      <c r="I209" s="12" t="s">
        <v>50</v>
      </c>
      <c r="J209" s="12" t="s">
        <v>2384</v>
      </c>
    </row>
    <row r="210" spans="1:10" ht="30" customHeight="1">
      <c r="A210" s="12" t="s">
        <v>2420</v>
      </c>
      <c r="B210" s="12" t="s">
        <v>77</v>
      </c>
      <c r="C210" s="12" t="s">
        <v>72</v>
      </c>
      <c r="D210" s="12" t="s">
        <v>29</v>
      </c>
      <c r="E210" s="12" t="s">
        <v>2345</v>
      </c>
      <c r="F210" s="12" t="s">
        <v>557</v>
      </c>
      <c r="G210" s="17">
        <v>8503</v>
      </c>
      <c r="H210" s="17">
        <v>8503.049999999999</v>
      </c>
      <c r="I210" s="12" t="s">
        <v>76</v>
      </c>
      <c r="J210" s="12" t="s">
        <v>2421</v>
      </c>
    </row>
    <row r="211" spans="1:10" ht="30" customHeight="1">
      <c r="A211" s="12" t="s">
        <v>2422</v>
      </c>
      <c r="B211" s="12" t="s">
        <v>77</v>
      </c>
      <c r="C211" s="12" t="s">
        <v>72</v>
      </c>
      <c r="D211" s="12" t="s">
        <v>29</v>
      </c>
      <c r="E211" s="12" t="s">
        <v>2345</v>
      </c>
      <c r="F211" s="12" t="s">
        <v>558</v>
      </c>
      <c r="G211" s="17">
        <v>28470</v>
      </c>
      <c r="H211" s="17">
        <v>28469.74</v>
      </c>
      <c r="I211" s="12" t="s">
        <v>76</v>
      </c>
      <c r="J211" s="12" t="s">
        <v>2421</v>
      </c>
    </row>
    <row r="212" spans="1:10" ht="30" customHeight="1">
      <c r="A212" s="12" t="s">
        <v>2423</v>
      </c>
      <c r="B212" s="12" t="s">
        <v>77</v>
      </c>
      <c r="C212" s="12" t="s">
        <v>72</v>
      </c>
      <c r="D212" s="12" t="s">
        <v>29</v>
      </c>
      <c r="E212" s="12" t="s">
        <v>2345</v>
      </c>
      <c r="F212" s="12" t="s">
        <v>559</v>
      </c>
      <c r="G212" s="17">
        <v>-2374</v>
      </c>
      <c r="H212" s="17">
        <v>-2373.78</v>
      </c>
      <c r="I212" s="12" t="s">
        <v>76</v>
      </c>
      <c r="J212" s="12" t="s">
        <v>2421</v>
      </c>
    </row>
    <row r="213" spans="1:10" ht="30" customHeight="1">
      <c r="A213" s="12" t="s">
        <v>2424</v>
      </c>
      <c r="B213" s="12" t="s">
        <v>77</v>
      </c>
      <c r="C213" s="12" t="s">
        <v>72</v>
      </c>
      <c r="D213" s="12" t="s">
        <v>29</v>
      </c>
      <c r="E213" s="12" t="s">
        <v>2345</v>
      </c>
      <c r="F213" s="12" t="s">
        <v>561</v>
      </c>
      <c r="G213" s="17">
        <v>5909</v>
      </c>
      <c r="H213" s="17">
        <v>5897.64</v>
      </c>
      <c r="I213" s="12" t="s">
        <v>76</v>
      </c>
      <c r="J213" s="12" t="s">
        <v>2421</v>
      </c>
    </row>
    <row r="214" spans="1:10" ht="30" customHeight="1">
      <c r="A214" s="12" t="s">
        <v>2425</v>
      </c>
      <c r="B214" s="12" t="s">
        <v>77</v>
      </c>
      <c r="C214" s="12" t="s">
        <v>72</v>
      </c>
      <c r="D214" s="12" t="s">
        <v>29</v>
      </c>
      <c r="E214" s="12" t="s">
        <v>2345</v>
      </c>
      <c r="F214" s="12" t="s">
        <v>562</v>
      </c>
      <c r="G214" s="17">
        <v>652</v>
      </c>
      <c r="H214" s="17">
        <v>651.9400000000001</v>
      </c>
      <c r="I214" s="12" t="s">
        <v>76</v>
      </c>
      <c r="J214" s="12" t="s">
        <v>2421</v>
      </c>
    </row>
    <row r="215" spans="1:10" ht="30" customHeight="1">
      <c r="A215" s="12" t="s">
        <v>2426</v>
      </c>
      <c r="B215" s="12" t="s">
        <v>77</v>
      </c>
      <c r="C215" s="12" t="s">
        <v>72</v>
      </c>
      <c r="D215" s="12" t="s">
        <v>29</v>
      </c>
      <c r="E215" s="12" t="s">
        <v>2345</v>
      </c>
      <c r="F215" s="12" t="s">
        <v>563</v>
      </c>
      <c r="G215" s="13"/>
      <c r="H215" s="17">
        <v>0.1038997052451072</v>
      </c>
      <c r="I215" s="12" t="s">
        <v>76</v>
      </c>
      <c r="J215" s="12" t="s">
        <v>2421</v>
      </c>
    </row>
    <row r="216" spans="1:10" ht="30" customHeight="1">
      <c r="A216" s="12" t="s">
        <v>2427</v>
      </c>
      <c r="B216" s="12" t="s">
        <v>85</v>
      </c>
      <c r="C216" s="12" t="s">
        <v>81</v>
      </c>
      <c r="D216" s="12" t="s">
        <v>29</v>
      </c>
      <c r="E216" s="12" t="s">
        <v>2345</v>
      </c>
      <c r="F216" s="12" t="s">
        <v>557</v>
      </c>
      <c r="G216" s="17">
        <v>15138</v>
      </c>
      <c r="H216" s="17">
        <v>15137.5</v>
      </c>
      <c r="I216" s="12" t="s">
        <v>84</v>
      </c>
      <c r="J216" s="12" t="s">
        <v>2384</v>
      </c>
    </row>
    <row r="217" spans="1:10" ht="30" customHeight="1">
      <c r="A217" s="12" t="s">
        <v>2428</v>
      </c>
      <c r="B217" s="12" t="s">
        <v>85</v>
      </c>
      <c r="C217" s="12" t="s">
        <v>81</v>
      </c>
      <c r="D217" s="12" t="s">
        <v>29</v>
      </c>
      <c r="E217" s="12" t="s">
        <v>2345</v>
      </c>
      <c r="F217" s="12" t="s">
        <v>558</v>
      </c>
      <c r="G217" s="17">
        <v>16320</v>
      </c>
      <c r="H217" s="17">
        <v>16315.63</v>
      </c>
      <c r="I217" s="12" t="s">
        <v>84</v>
      </c>
      <c r="J217" s="12" t="s">
        <v>2384</v>
      </c>
    </row>
    <row r="218" spans="1:10" ht="30" customHeight="1">
      <c r="A218" s="12" t="s">
        <v>2429</v>
      </c>
      <c r="B218" s="12" t="s">
        <v>85</v>
      </c>
      <c r="C218" s="12" t="s">
        <v>81</v>
      </c>
      <c r="D218" s="12" t="s">
        <v>29</v>
      </c>
      <c r="E218" s="12" t="s">
        <v>2345</v>
      </c>
      <c r="F218" s="12" t="s">
        <v>559</v>
      </c>
      <c r="G218" s="17">
        <v>909</v>
      </c>
      <c r="H218" s="17">
        <v>909.26</v>
      </c>
      <c r="I218" s="12" t="s">
        <v>84</v>
      </c>
      <c r="J218" s="12" t="s">
        <v>2384</v>
      </c>
    </row>
    <row r="219" spans="1:10" ht="30" customHeight="1">
      <c r="A219" s="12" t="s">
        <v>2430</v>
      </c>
      <c r="B219" s="12" t="s">
        <v>85</v>
      </c>
      <c r="C219" s="12" t="s">
        <v>81</v>
      </c>
      <c r="D219" s="12" t="s">
        <v>29</v>
      </c>
      <c r="E219" s="12" t="s">
        <v>2345</v>
      </c>
      <c r="F219" s="12" t="s">
        <v>561</v>
      </c>
      <c r="G219" s="17">
        <v>789</v>
      </c>
      <c r="H219" s="17">
        <v>779.46</v>
      </c>
      <c r="I219" s="12" t="s">
        <v>84</v>
      </c>
      <c r="J219" s="12" t="s">
        <v>2384</v>
      </c>
    </row>
    <row r="220" spans="1:10" ht="30" customHeight="1">
      <c r="A220" s="12" t="s">
        <v>2431</v>
      </c>
      <c r="B220" s="12" t="s">
        <v>85</v>
      </c>
      <c r="C220" s="12" t="s">
        <v>81</v>
      </c>
      <c r="D220" s="12" t="s">
        <v>29</v>
      </c>
      <c r="E220" s="12" t="s">
        <v>2345</v>
      </c>
      <c r="F220" s="12" t="s">
        <v>562</v>
      </c>
      <c r="G220" s="17">
        <v>144</v>
      </c>
      <c r="H220" s="17">
        <v>143.92</v>
      </c>
      <c r="I220" s="12" t="s">
        <v>84</v>
      </c>
      <c r="J220" s="12" t="s">
        <v>2384</v>
      </c>
    </row>
    <row r="221" spans="1:10" ht="30" customHeight="1">
      <c r="A221" s="12" t="s">
        <v>2432</v>
      </c>
      <c r="B221" s="12" t="s">
        <v>85</v>
      </c>
      <c r="C221" s="12" t="s">
        <v>81</v>
      </c>
      <c r="D221" s="12" t="s">
        <v>29</v>
      </c>
      <c r="E221" s="12" t="s">
        <v>2345</v>
      </c>
      <c r="F221" s="12" t="s">
        <v>563</v>
      </c>
      <c r="G221" s="13"/>
      <c r="H221" s="17">
        <v>0.2105786816884922</v>
      </c>
      <c r="I221" s="12" t="s">
        <v>84</v>
      </c>
      <c r="J221" s="12" t="s">
        <v>2384</v>
      </c>
    </row>
    <row r="222" spans="1:10" ht="30" customHeight="1">
      <c r="A222" s="12" t="s">
        <v>2433</v>
      </c>
      <c r="B222" s="12" t="s">
        <v>85</v>
      </c>
      <c r="C222" s="12" t="s">
        <v>81</v>
      </c>
      <c r="D222" s="12" t="s">
        <v>29</v>
      </c>
      <c r="E222" s="12" t="s">
        <v>2345</v>
      </c>
      <c r="F222" s="12" t="s">
        <v>564</v>
      </c>
      <c r="G222" s="13"/>
      <c r="H222" s="17">
        <v>2148.32</v>
      </c>
      <c r="I222" s="12" t="s">
        <v>84</v>
      </c>
      <c r="J222" s="12" t="s">
        <v>2384</v>
      </c>
    </row>
    <row r="223" spans="1:10" ht="30" customHeight="1">
      <c r="A223" s="12" t="s">
        <v>2434</v>
      </c>
      <c r="B223" s="12" t="s">
        <v>39</v>
      </c>
      <c r="C223" s="12" t="s">
        <v>28</v>
      </c>
      <c r="D223" s="12" t="s">
        <v>29</v>
      </c>
      <c r="E223" s="12" t="s">
        <v>2345</v>
      </c>
      <c r="F223" s="12" t="s">
        <v>557</v>
      </c>
      <c r="G223" s="17">
        <v>5375.73</v>
      </c>
      <c r="H223" s="17">
        <v>5375.7286</v>
      </c>
      <c r="I223" s="12" t="s">
        <v>38</v>
      </c>
      <c r="J223" s="12" t="s">
        <v>2384</v>
      </c>
    </row>
    <row r="224" spans="1:10" ht="30" customHeight="1">
      <c r="A224" s="12" t="s">
        <v>2435</v>
      </c>
      <c r="B224" s="12" t="s">
        <v>39</v>
      </c>
      <c r="C224" s="12" t="s">
        <v>28</v>
      </c>
      <c r="D224" s="12" t="s">
        <v>29</v>
      </c>
      <c r="E224" s="12" t="s">
        <v>2345</v>
      </c>
      <c r="F224" s="12" t="s">
        <v>558</v>
      </c>
      <c r="G224" s="17">
        <v>6157</v>
      </c>
      <c r="H224" s="17">
        <v>6157.2166</v>
      </c>
      <c r="I224" s="12" t="s">
        <v>38</v>
      </c>
      <c r="J224" s="12" t="s">
        <v>2384</v>
      </c>
    </row>
    <row r="225" spans="1:10" ht="30" customHeight="1">
      <c r="A225" s="12" t="s">
        <v>2436</v>
      </c>
      <c r="B225" s="12" t="s">
        <v>39</v>
      </c>
      <c r="C225" s="12" t="s">
        <v>28</v>
      </c>
      <c r="D225" s="12" t="s">
        <v>29</v>
      </c>
      <c r="E225" s="12" t="s">
        <v>2345</v>
      </c>
      <c r="F225" s="12" t="s">
        <v>559</v>
      </c>
      <c r="G225" s="17">
        <v>813</v>
      </c>
      <c r="H225" s="17">
        <v>812.9908</v>
      </c>
      <c r="I225" s="12" t="s">
        <v>38</v>
      </c>
      <c r="J225" s="12" t="s">
        <v>2384</v>
      </c>
    </row>
    <row r="226" spans="1:10" ht="30" customHeight="1">
      <c r="A226" s="12" t="s">
        <v>2437</v>
      </c>
      <c r="B226" s="12" t="s">
        <v>39</v>
      </c>
      <c r="C226" s="12" t="s">
        <v>28</v>
      </c>
      <c r="D226" s="12" t="s">
        <v>29</v>
      </c>
      <c r="E226" s="12" t="s">
        <v>2345</v>
      </c>
      <c r="F226" s="12" t="s">
        <v>561</v>
      </c>
      <c r="G226" s="17">
        <v>309</v>
      </c>
      <c r="H226" s="17">
        <v>308.5909</v>
      </c>
      <c r="I226" s="12" t="s">
        <v>38</v>
      </c>
      <c r="J226" s="12" t="s">
        <v>2384</v>
      </c>
    </row>
    <row r="227" spans="1:10" ht="30" customHeight="1">
      <c r="A227" s="12" t="s">
        <v>2438</v>
      </c>
      <c r="B227" s="12" t="s">
        <v>39</v>
      </c>
      <c r="C227" s="12" t="s">
        <v>28</v>
      </c>
      <c r="D227" s="12" t="s">
        <v>29</v>
      </c>
      <c r="E227" s="12" t="s">
        <v>2345</v>
      </c>
      <c r="F227" s="12" t="s">
        <v>562</v>
      </c>
      <c r="G227" s="17">
        <v>55.39</v>
      </c>
      <c r="H227" s="17">
        <v>55.3919</v>
      </c>
      <c r="I227" s="12" t="s">
        <v>38</v>
      </c>
      <c r="J227" s="12" t="s">
        <v>2384</v>
      </c>
    </row>
    <row r="228" spans="1:10" ht="30" customHeight="1">
      <c r="A228" s="12" t="s">
        <v>2439</v>
      </c>
      <c r="B228" s="12" t="s">
        <v>39</v>
      </c>
      <c r="C228" s="12" t="s">
        <v>28</v>
      </c>
      <c r="D228" s="12" t="s">
        <v>29</v>
      </c>
      <c r="E228" s="12" t="s">
        <v>2345</v>
      </c>
      <c r="F228" s="12" t="s">
        <v>563</v>
      </c>
      <c r="G228" s="13"/>
      <c r="H228" s="17">
        <v>0.3075466266390426</v>
      </c>
      <c r="I228" s="12" t="s">
        <v>38</v>
      </c>
      <c r="J228" s="12" t="s">
        <v>2384</v>
      </c>
    </row>
    <row r="229" spans="1:10" ht="30" customHeight="1">
      <c r="A229" s="12" t="s">
        <v>2440</v>
      </c>
      <c r="B229" s="12" t="s">
        <v>39</v>
      </c>
      <c r="C229" s="12" t="s">
        <v>28</v>
      </c>
      <c r="D229" s="12" t="s">
        <v>29</v>
      </c>
      <c r="E229" s="12" t="s">
        <v>2345</v>
      </c>
      <c r="F229" s="12" t="s">
        <v>564</v>
      </c>
      <c r="G229" s="13"/>
      <c r="H229" s="17">
        <v>535.1079999999999</v>
      </c>
      <c r="I229" s="12" t="s">
        <v>38</v>
      </c>
      <c r="J229" s="12" t="s">
        <v>2384</v>
      </c>
    </row>
    <row r="230" spans="1:10" ht="30" customHeight="1">
      <c r="A230" s="12" t="s">
        <v>2441</v>
      </c>
      <c r="B230" s="12" t="s">
        <v>70</v>
      </c>
      <c r="C230" s="12" t="s">
        <v>66</v>
      </c>
      <c r="D230" s="12" t="s">
        <v>29</v>
      </c>
      <c r="E230" s="12" t="s">
        <v>2345</v>
      </c>
      <c r="F230" s="12" t="s">
        <v>557</v>
      </c>
      <c r="G230" s="17">
        <v>1982</v>
      </c>
      <c r="H230" s="17">
        <v>1845.607</v>
      </c>
      <c r="I230" s="12" t="s">
        <v>69</v>
      </c>
      <c r="J230" s="12" t="s">
        <v>2392</v>
      </c>
    </row>
    <row r="231" spans="1:10" ht="30" customHeight="1">
      <c r="A231" s="12" t="s">
        <v>2442</v>
      </c>
      <c r="B231" s="12" t="s">
        <v>70</v>
      </c>
      <c r="C231" s="12" t="s">
        <v>66</v>
      </c>
      <c r="D231" s="12" t="s">
        <v>29</v>
      </c>
      <c r="E231" s="12" t="s">
        <v>2345</v>
      </c>
      <c r="F231" s="12" t="s">
        <v>558</v>
      </c>
      <c r="G231" s="17">
        <v>2732</v>
      </c>
      <c r="H231" s="17">
        <v>2995.763</v>
      </c>
      <c r="I231" s="12" t="s">
        <v>69</v>
      </c>
      <c r="J231" s="12" t="s">
        <v>2392</v>
      </c>
    </row>
    <row r="232" spans="1:10" ht="30" customHeight="1">
      <c r="A232" s="12" t="s">
        <v>2443</v>
      </c>
      <c r="B232" s="12" t="s">
        <v>70</v>
      </c>
      <c r="C232" s="12" t="s">
        <v>66</v>
      </c>
      <c r="D232" s="12" t="s">
        <v>29</v>
      </c>
      <c r="E232" s="12" t="s">
        <v>2345</v>
      </c>
      <c r="F232" s="12" t="s">
        <v>559</v>
      </c>
      <c r="G232" s="17">
        <v>256</v>
      </c>
      <c r="H232" s="17">
        <v>257.867</v>
      </c>
      <c r="I232" s="12" t="s">
        <v>69</v>
      </c>
      <c r="J232" s="12" t="s">
        <v>2392</v>
      </c>
    </row>
    <row r="233" spans="1:10" ht="30" customHeight="1">
      <c r="A233" s="12" t="s">
        <v>2444</v>
      </c>
      <c r="B233" s="12" t="s">
        <v>70</v>
      </c>
      <c r="C233" s="12" t="s">
        <v>66</v>
      </c>
      <c r="D233" s="12" t="s">
        <v>29</v>
      </c>
      <c r="E233" s="12" t="s">
        <v>2345</v>
      </c>
      <c r="F233" s="12" t="s">
        <v>561</v>
      </c>
      <c r="G233" s="17">
        <v>438</v>
      </c>
      <c r="H233" s="17">
        <v>475.026</v>
      </c>
      <c r="I233" s="12" t="s">
        <v>69</v>
      </c>
      <c r="J233" s="12" t="s">
        <v>2392</v>
      </c>
    </row>
    <row r="234" spans="1:10" ht="30" customHeight="1">
      <c r="A234" s="12" t="s">
        <v>2445</v>
      </c>
      <c r="B234" s="12" t="s">
        <v>70</v>
      </c>
      <c r="C234" s="12" t="s">
        <v>66</v>
      </c>
      <c r="D234" s="12" t="s">
        <v>29</v>
      </c>
      <c r="E234" s="12" t="s">
        <v>2345</v>
      </c>
      <c r="F234" s="12" t="s">
        <v>562</v>
      </c>
      <c r="G234" s="17">
        <v>19</v>
      </c>
      <c r="H234" s="17">
        <v>8.638</v>
      </c>
      <c r="I234" s="12" t="s">
        <v>69</v>
      </c>
      <c r="J234" s="12" t="s">
        <v>2392</v>
      </c>
    </row>
    <row r="235" spans="1:10" ht="30" customHeight="1">
      <c r="A235" s="12" t="s">
        <v>2446</v>
      </c>
      <c r="B235" s="12" t="s">
        <v>70</v>
      </c>
      <c r="C235" s="12" t="s">
        <v>66</v>
      </c>
      <c r="D235" s="12" t="s">
        <v>29</v>
      </c>
      <c r="E235" s="12" t="s">
        <v>2345</v>
      </c>
      <c r="F235" s="12" t="s">
        <v>563</v>
      </c>
      <c r="G235" s="13"/>
      <c r="H235" s="17">
        <v>0.01893005107256775</v>
      </c>
      <c r="I235" s="12" t="s">
        <v>69</v>
      </c>
      <c r="J235" s="12" t="s">
        <v>2392</v>
      </c>
    </row>
    <row r="236" spans="1:10" ht="30" customHeight="1">
      <c r="A236" s="12" t="s">
        <v>2447</v>
      </c>
      <c r="B236" s="12" t="s">
        <v>70</v>
      </c>
      <c r="C236" s="12" t="s">
        <v>66</v>
      </c>
      <c r="D236" s="12" t="s">
        <v>29</v>
      </c>
      <c r="E236" s="12" t="s">
        <v>2345</v>
      </c>
      <c r="F236" s="12" t="s">
        <v>564</v>
      </c>
      <c r="G236" s="13"/>
      <c r="H236" s="17">
        <v>61.44</v>
      </c>
      <c r="I236" s="12" t="s">
        <v>69</v>
      </c>
      <c r="J236" s="12" t="s">
        <v>2392</v>
      </c>
    </row>
    <row r="237" spans="1:10" ht="30" customHeight="1">
      <c r="A237" s="12" t="s">
        <v>2448</v>
      </c>
      <c r="B237" s="12" t="s">
        <v>115</v>
      </c>
      <c r="C237" s="12" t="s">
        <v>111</v>
      </c>
      <c r="D237" s="12" t="s">
        <v>98</v>
      </c>
      <c r="E237" s="12" t="s">
        <v>2345</v>
      </c>
      <c r="F237" s="12" t="s">
        <v>557</v>
      </c>
      <c r="G237" s="13"/>
      <c r="H237" s="17">
        <v>14804</v>
      </c>
      <c r="I237" s="12" t="s">
        <v>114</v>
      </c>
      <c r="J237" s="12" t="s">
        <v>2449</v>
      </c>
    </row>
    <row r="238" spans="1:10" ht="30" customHeight="1">
      <c r="A238" s="12" t="s">
        <v>2450</v>
      </c>
      <c r="B238" s="12" t="s">
        <v>115</v>
      </c>
      <c r="C238" s="12" t="s">
        <v>111</v>
      </c>
      <c r="D238" s="12" t="s">
        <v>98</v>
      </c>
      <c r="E238" s="12" t="s">
        <v>2345</v>
      </c>
      <c r="F238" s="12" t="s">
        <v>558</v>
      </c>
      <c r="G238" s="13"/>
      <c r="H238" s="17">
        <v>33312</v>
      </c>
      <c r="I238" s="12" t="s">
        <v>114</v>
      </c>
      <c r="J238" s="12" t="s">
        <v>2449</v>
      </c>
    </row>
    <row r="239" spans="1:10" ht="30" customHeight="1">
      <c r="A239" s="12" t="s">
        <v>2451</v>
      </c>
      <c r="B239" s="12" t="s">
        <v>115</v>
      </c>
      <c r="C239" s="12" t="s">
        <v>111</v>
      </c>
      <c r="D239" s="12" t="s">
        <v>98</v>
      </c>
      <c r="E239" s="12" t="s">
        <v>2345</v>
      </c>
      <c r="F239" s="12" t="s">
        <v>559</v>
      </c>
      <c r="G239" s="13"/>
      <c r="H239" s="17">
        <v>1157</v>
      </c>
      <c r="I239" s="12" t="s">
        <v>114</v>
      </c>
      <c r="J239" s="12" t="s">
        <v>2449</v>
      </c>
    </row>
    <row r="240" spans="1:10" ht="30" customHeight="1">
      <c r="A240" s="12" t="s">
        <v>2452</v>
      </c>
      <c r="B240" s="12" t="s">
        <v>115</v>
      </c>
      <c r="C240" s="12" t="s">
        <v>111</v>
      </c>
      <c r="D240" s="12" t="s">
        <v>98</v>
      </c>
      <c r="E240" s="12" t="s">
        <v>2345</v>
      </c>
      <c r="F240" s="12" t="s">
        <v>561</v>
      </c>
      <c r="G240" s="13"/>
      <c r="H240" s="17">
        <v>6752</v>
      </c>
      <c r="I240" s="12" t="s">
        <v>114</v>
      </c>
      <c r="J240" s="12" t="s">
        <v>2449</v>
      </c>
    </row>
    <row r="241" spans="1:10" ht="30" customHeight="1">
      <c r="A241" s="12" t="s">
        <v>2453</v>
      </c>
      <c r="B241" s="12" t="s">
        <v>115</v>
      </c>
      <c r="C241" s="12" t="s">
        <v>111</v>
      </c>
      <c r="D241" s="12" t="s">
        <v>98</v>
      </c>
      <c r="E241" s="12" t="s">
        <v>2345</v>
      </c>
      <c r="F241" s="12" t="s">
        <v>562</v>
      </c>
      <c r="G241" s="13"/>
      <c r="H241" s="17">
        <v>480</v>
      </c>
      <c r="I241" s="12" t="s">
        <v>114</v>
      </c>
      <c r="J241" s="12" t="s">
        <v>2449</v>
      </c>
    </row>
    <row r="242" spans="1:10" ht="30" customHeight="1">
      <c r="A242" s="12" t="s">
        <v>2454</v>
      </c>
      <c r="B242" s="12" t="s">
        <v>115</v>
      </c>
      <c r="C242" s="12" t="s">
        <v>111</v>
      </c>
      <c r="D242" s="12" t="s">
        <v>98</v>
      </c>
      <c r="E242" s="12" t="s">
        <v>2345</v>
      </c>
      <c r="F242" s="12" t="s">
        <v>563</v>
      </c>
      <c r="G242" s="13"/>
      <c r="H242" s="17">
        <v>0.07993338884263114</v>
      </c>
      <c r="I242" s="12" t="s">
        <v>114</v>
      </c>
      <c r="J242" s="12" t="s">
        <v>2449</v>
      </c>
    </row>
    <row r="243" spans="1:10" ht="30" customHeight="1">
      <c r="A243" s="12" t="s">
        <v>2455</v>
      </c>
      <c r="B243" s="12" t="s">
        <v>115</v>
      </c>
      <c r="C243" s="12" t="s">
        <v>111</v>
      </c>
      <c r="D243" s="12" t="s">
        <v>98</v>
      </c>
      <c r="E243" s="12" t="s">
        <v>2345</v>
      </c>
      <c r="F243" s="12" t="s">
        <v>564</v>
      </c>
      <c r="G243" s="13"/>
      <c r="H243" s="17">
        <v>2056</v>
      </c>
      <c r="I243" s="12" t="s">
        <v>114</v>
      </c>
      <c r="J243" s="12" t="s">
        <v>2449</v>
      </c>
    </row>
    <row r="244" spans="1:10" ht="30" customHeight="1">
      <c r="A244" s="12" t="s">
        <v>2456</v>
      </c>
      <c r="B244" s="12" t="s">
        <v>133</v>
      </c>
      <c r="C244" s="12" t="s">
        <v>129</v>
      </c>
      <c r="D244" s="12" t="s">
        <v>98</v>
      </c>
      <c r="E244" s="12" t="s">
        <v>2345</v>
      </c>
      <c r="F244" s="12" t="s">
        <v>557</v>
      </c>
      <c r="G244" s="13"/>
      <c r="H244" s="17">
        <v>20943.47</v>
      </c>
      <c r="I244" s="12" t="s">
        <v>132</v>
      </c>
      <c r="J244" s="12" t="s">
        <v>2449</v>
      </c>
    </row>
    <row r="245" spans="1:10" ht="30" customHeight="1">
      <c r="A245" s="12" t="s">
        <v>2457</v>
      </c>
      <c r="B245" s="12" t="s">
        <v>133</v>
      </c>
      <c r="C245" s="12" t="s">
        <v>129</v>
      </c>
      <c r="D245" s="12" t="s">
        <v>98</v>
      </c>
      <c r="E245" s="12" t="s">
        <v>2345</v>
      </c>
      <c r="F245" s="12" t="s">
        <v>558</v>
      </c>
      <c r="G245" s="13"/>
      <c r="H245" s="17">
        <v>31475.69</v>
      </c>
      <c r="I245" s="12" t="s">
        <v>132</v>
      </c>
      <c r="J245" s="12" t="s">
        <v>2449</v>
      </c>
    </row>
    <row r="246" spans="1:10" ht="30" customHeight="1">
      <c r="A246" s="12" t="s">
        <v>2458</v>
      </c>
      <c r="B246" s="12" t="s">
        <v>133</v>
      </c>
      <c r="C246" s="12" t="s">
        <v>129</v>
      </c>
      <c r="D246" s="12" t="s">
        <v>98</v>
      </c>
      <c r="E246" s="12" t="s">
        <v>2345</v>
      </c>
      <c r="F246" s="12" t="s">
        <v>559</v>
      </c>
      <c r="G246" s="13"/>
      <c r="H246" s="17">
        <v>1748.66</v>
      </c>
      <c r="I246" s="12" t="s">
        <v>132</v>
      </c>
      <c r="J246" s="12" t="s">
        <v>2449</v>
      </c>
    </row>
    <row r="247" spans="1:10" ht="30" customHeight="1">
      <c r="A247" s="12" t="s">
        <v>2459</v>
      </c>
      <c r="B247" s="12" t="s">
        <v>133</v>
      </c>
      <c r="C247" s="12" t="s">
        <v>129</v>
      </c>
      <c r="D247" s="12" t="s">
        <v>98</v>
      </c>
      <c r="E247" s="12" t="s">
        <v>2345</v>
      </c>
      <c r="F247" s="12" t="s">
        <v>561</v>
      </c>
      <c r="G247" s="13"/>
      <c r="H247" s="17">
        <v>1593.72</v>
      </c>
      <c r="I247" s="12" t="s">
        <v>132</v>
      </c>
      <c r="J247" s="12" t="s">
        <v>2449</v>
      </c>
    </row>
    <row r="248" spans="1:10" ht="30" customHeight="1">
      <c r="A248" s="12" t="s">
        <v>2460</v>
      </c>
      <c r="B248" s="12" t="s">
        <v>133</v>
      </c>
      <c r="C248" s="12" t="s">
        <v>129</v>
      </c>
      <c r="D248" s="12" t="s">
        <v>98</v>
      </c>
      <c r="E248" s="12" t="s">
        <v>2345</v>
      </c>
      <c r="F248" s="12" t="s">
        <v>562</v>
      </c>
      <c r="G248" s="13"/>
      <c r="H248" s="17">
        <v>211.72</v>
      </c>
      <c r="I248" s="12" t="s">
        <v>132</v>
      </c>
      <c r="J248" s="12" t="s">
        <v>2449</v>
      </c>
    </row>
    <row r="249" spans="1:10" ht="30" customHeight="1">
      <c r="A249" s="12" t="s">
        <v>2461</v>
      </c>
      <c r="B249" s="12" t="s">
        <v>133</v>
      </c>
      <c r="C249" s="12" t="s">
        <v>129</v>
      </c>
      <c r="D249" s="12" t="s">
        <v>98</v>
      </c>
      <c r="E249" s="12" t="s">
        <v>2345</v>
      </c>
      <c r="F249" s="12" t="s">
        <v>563</v>
      </c>
      <c r="G249" s="13"/>
      <c r="H249" s="17">
        <v>0.1756545979490924</v>
      </c>
      <c r="I249" s="12" t="s">
        <v>132</v>
      </c>
      <c r="J249" s="12" t="s">
        <v>2449</v>
      </c>
    </row>
    <row r="250" spans="1:10" ht="30" customHeight="1">
      <c r="A250" s="12" t="s">
        <v>2462</v>
      </c>
      <c r="B250" s="12" t="s">
        <v>133</v>
      </c>
      <c r="C250" s="12" t="s">
        <v>129</v>
      </c>
      <c r="D250" s="12" t="s">
        <v>98</v>
      </c>
      <c r="E250" s="12" t="s">
        <v>2345</v>
      </c>
      <c r="F250" s="12" t="s">
        <v>564</v>
      </c>
      <c r="G250" s="13"/>
      <c r="H250" s="17">
        <v>1909.16</v>
      </c>
      <c r="I250" s="12" t="s">
        <v>132</v>
      </c>
      <c r="J250" s="12" t="s">
        <v>2449</v>
      </c>
    </row>
    <row r="251" spans="1:10" ht="30" customHeight="1">
      <c r="A251" s="12" t="s">
        <v>2463</v>
      </c>
      <c r="B251" s="12" t="s">
        <v>102</v>
      </c>
      <c r="C251" s="12" t="s">
        <v>97</v>
      </c>
      <c r="D251" s="12" t="s">
        <v>98</v>
      </c>
      <c r="E251" s="12" t="s">
        <v>2345</v>
      </c>
      <c r="F251" s="12" t="s">
        <v>557</v>
      </c>
      <c r="G251" s="13"/>
      <c r="H251" s="17">
        <v>20789.1</v>
      </c>
      <c r="I251" s="12" t="s">
        <v>101</v>
      </c>
      <c r="J251" s="12" t="s">
        <v>2464</v>
      </c>
    </row>
    <row r="252" spans="1:10" ht="30" customHeight="1">
      <c r="A252" s="12" t="s">
        <v>2465</v>
      </c>
      <c r="B252" s="12" t="s">
        <v>102</v>
      </c>
      <c r="C252" s="12" t="s">
        <v>97</v>
      </c>
      <c r="D252" s="12" t="s">
        <v>98</v>
      </c>
      <c r="E252" s="12" t="s">
        <v>2345</v>
      </c>
      <c r="F252" s="12" t="s">
        <v>558</v>
      </c>
      <c r="G252" s="13"/>
      <c r="H252" s="17">
        <v>25412.61</v>
      </c>
      <c r="I252" s="12" t="s">
        <v>101</v>
      </c>
      <c r="J252" s="12" t="s">
        <v>2464</v>
      </c>
    </row>
    <row r="253" spans="1:10" ht="30" customHeight="1">
      <c r="A253" s="12" t="s">
        <v>2466</v>
      </c>
      <c r="B253" s="12" t="s">
        <v>102</v>
      </c>
      <c r="C253" s="12" t="s">
        <v>97</v>
      </c>
      <c r="D253" s="12" t="s">
        <v>98</v>
      </c>
      <c r="E253" s="12" t="s">
        <v>2345</v>
      </c>
      <c r="F253" s="12" t="s">
        <v>559</v>
      </c>
      <c r="G253" s="13"/>
      <c r="H253" s="17">
        <v>2402.27</v>
      </c>
      <c r="I253" s="12" t="s">
        <v>101</v>
      </c>
      <c r="J253" s="12" t="s">
        <v>2464</v>
      </c>
    </row>
    <row r="254" spans="1:10" ht="30" customHeight="1">
      <c r="A254" s="12" t="s">
        <v>2467</v>
      </c>
      <c r="B254" s="12" t="s">
        <v>102</v>
      </c>
      <c r="C254" s="12" t="s">
        <v>97</v>
      </c>
      <c r="D254" s="12" t="s">
        <v>98</v>
      </c>
      <c r="E254" s="12" t="s">
        <v>2345</v>
      </c>
      <c r="F254" s="12" t="s">
        <v>561</v>
      </c>
      <c r="G254" s="13"/>
      <c r="H254" s="17">
        <v>0</v>
      </c>
      <c r="I254" s="12" t="s">
        <v>101</v>
      </c>
      <c r="J254" s="12" t="s">
        <v>2464</v>
      </c>
    </row>
    <row r="255" spans="1:10" ht="30" customHeight="1">
      <c r="A255" s="12" t="s">
        <v>2468</v>
      </c>
      <c r="B255" s="12" t="s">
        <v>102</v>
      </c>
      <c r="C255" s="12" t="s">
        <v>97</v>
      </c>
      <c r="D255" s="12" t="s">
        <v>98</v>
      </c>
      <c r="E255" s="12" t="s">
        <v>2345</v>
      </c>
      <c r="F255" s="12" t="s">
        <v>562</v>
      </c>
      <c r="G255" s="13"/>
      <c r="H255" s="17">
        <v>108.22</v>
      </c>
      <c r="I255" s="12" t="s">
        <v>101</v>
      </c>
      <c r="J255" s="12" t="s">
        <v>2464</v>
      </c>
    </row>
    <row r="256" spans="1:10" ht="30" customHeight="1">
      <c r="A256" s="12" t="s">
        <v>2469</v>
      </c>
      <c r="B256" s="12" t="s">
        <v>102</v>
      </c>
      <c r="C256" s="12" t="s">
        <v>97</v>
      </c>
      <c r="D256" s="12" t="s">
        <v>98</v>
      </c>
      <c r="E256" s="12" t="s">
        <v>2345</v>
      </c>
      <c r="F256" s="12" t="s">
        <v>564</v>
      </c>
      <c r="G256" s="13"/>
      <c r="H256" s="17">
        <v>1968.44</v>
      </c>
      <c r="I256" s="12" t="s">
        <v>101</v>
      </c>
      <c r="J256" s="12" t="s">
        <v>2464</v>
      </c>
    </row>
    <row r="257" spans="1:10" ht="30" customHeight="1">
      <c r="A257" s="12" t="s">
        <v>2470</v>
      </c>
      <c r="B257" s="12" t="s">
        <v>121</v>
      </c>
      <c r="C257" s="12" t="s">
        <v>117</v>
      </c>
      <c r="D257" s="12" t="s">
        <v>98</v>
      </c>
      <c r="E257" s="12" t="s">
        <v>2345</v>
      </c>
      <c r="F257" s="12" t="s">
        <v>557</v>
      </c>
      <c r="G257" s="13"/>
      <c r="H257" s="17">
        <v>13722.3</v>
      </c>
      <c r="I257" s="12" t="s">
        <v>120</v>
      </c>
      <c r="J257" s="12" t="s">
        <v>2449</v>
      </c>
    </row>
    <row r="258" spans="1:10" ht="30" customHeight="1">
      <c r="A258" s="12" t="s">
        <v>2471</v>
      </c>
      <c r="B258" s="12" t="s">
        <v>121</v>
      </c>
      <c r="C258" s="12" t="s">
        <v>117</v>
      </c>
      <c r="D258" s="12" t="s">
        <v>98</v>
      </c>
      <c r="E258" s="12" t="s">
        <v>2345</v>
      </c>
      <c r="F258" s="12" t="s">
        <v>558</v>
      </c>
      <c r="G258" s="13"/>
      <c r="H258" s="17">
        <v>18499.97</v>
      </c>
      <c r="I258" s="12" t="s">
        <v>120</v>
      </c>
      <c r="J258" s="12" t="s">
        <v>2449</v>
      </c>
    </row>
    <row r="259" spans="1:10" ht="30" customHeight="1">
      <c r="A259" s="12" t="s">
        <v>2472</v>
      </c>
      <c r="B259" s="12" t="s">
        <v>121</v>
      </c>
      <c r="C259" s="12" t="s">
        <v>117</v>
      </c>
      <c r="D259" s="12" t="s">
        <v>98</v>
      </c>
      <c r="E259" s="12" t="s">
        <v>2345</v>
      </c>
      <c r="F259" s="12" t="s">
        <v>559</v>
      </c>
      <c r="G259" s="13"/>
      <c r="H259" s="17">
        <v>987.99</v>
      </c>
      <c r="I259" s="12" t="s">
        <v>120</v>
      </c>
      <c r="J259" s="12" t="s">
        <v>2449</v>
      </c>
    </row>
    <row r="260" spans="1:10" ht="30" customHeight="1">
      <c r="A260" s="12" t="s">
        <v>2473</v>
      </c>
      <c r="B260" s="12" t="s">
        <v>121</v>
      </c>
      <c r="C260" s="12" t="s">
        <v>117</v>
      </c>
      <c r="D260" s="12" t="s">
        <v>98</v>
      </c>
      <c r="E260" s="12" t="s">
        <v>2345</v>
      </c>
      <c r="F260" s="12" t="s">
        <v>561</v>
      </c>
      <c r="G260" s="13"/>
      <c r="H260" s="17">
        <v>6073.63</v>
      </c>
      <c r="I260" s="12" t="s">
        <v>120</v>
      </c>
      <c r="J260" s="12" t="s">
        <v>2449</v>
      </c>
    </row>
    <row r="261" spans="1:10" ht="30" customHeight="1">
      <c r="A261" s="12" t="s">
        <v>2474</v>
      </c>
      <c r="B261" s="12" t="s">
        <v>121</v>
      </c>
      <c r="C261" s="12" t="s">
        <v>117</v>
      </c>
      <c r="D261" s="12" t="s">
        <v>98</v>
      </c>
      <c r="E261" s="12" t="s">
        <v>2345</v>
      </c>
      <c r="F261" s="12" t="s">
        <v>562</v>
      </c>
      <c r="G261" s="13"/>
      <c r="H261" s="17">
        <v>424.27</v>
      </c>
      <c r="I261" s="12" t="s">
        <v>120</v>
      </c>
      <c r="J261" s="12" t="s">
        <v>2449</v>
      </c>
    </row>
    <row r="262" spans="1:10" ht="30" customHeight="1">
      <c r="A262" s="12" t="s">
        <v>2475</v>
      </c>
      <c r="B262" s="12" t="s">
        <v>121</v>
      </c>
      <c r="C262" s="12" t="s">
        <v>117</v>
      </c>
      <c r="D262" s="12" t="s">
        <v>98</v>
      </c>
      <c r="E262" s="12" t="s">
        <v>2345</v>
      </c>
      <c r="F262" s="12" t="s">
        <v>563</v>
      </c>
      <c r="G262" s="13"/>
      <c r="H262" s="17">
        <v>0.07089386389688165</v>
      </c>
      <c r="I262" s="12" t="s">
        <v>120</v>
      </c>
      <c r="J262" s="12" t="s">
        <v>2449</v>
      </c>
    </row>
    <row r="263" spans="1:10" ht="30" customHeight="1">
      <c r="A263" s="12" t="s">
        <v>2476</v>
      </c>
      <c r="B263" s="12" t="s">
        <v>121</v>
      </c>
      <c r="C263" s="12" t="s">
        <v>117</v>
      </c>
      <c r="D263" s="12" t="s">
        <v>98</v>
      </c>
      <c r="E263" s="12" t="s">
        <v>2345</v>
      </c>
      <c r="F263" s="12" t="s">
        <v>564</v>
      </c>
      <c r="G263" s="13"/>
      <c r="H263" s="17">
        <v>2266.45</v>
      </c>
      <c r="I263" s="12" t="s">
        <v>120</v>
      </c>
      <c r="J263" s="12" t="s">
        <v>2449</v>
      </c>
    </row>
    <row r="264" spans="1:10" ht="30" customHeight="1">
      <c r="A264" s="12" t="s">
        <v>2477</v>
      </c>
      <c r="B264" s="12" t="s">
        <v>139</v>
      </c>
      <c r="C264" s="12" t="s">
        <v>135</v>
      </c>
      <c r="D264" s="12" t="s">
        <v>98</v>
      </c>
      <c r="E264" s="12" t="s">
        <v>2345</v>
      </c>
      <c r="F264" s="12" t="s">
        <v>557</v>
      </c>
      <c r="G264" s="13"/>
      <c r="H264" s="17">
        <v>88511.53</v>
      </c>
      <c r="I264" s="12" t="s">
        <v>138</v>
      </c>
      <c r="J264" s="12" t="s">
        <v>2449</v>
      </c>
    </row>
    <row r="265" spans="1:10" ht="30" customHeight="1">
      <c r="A265" s="12" t="s">
        <v>2478</v>
      </c>
      <c r="B265" s="12" t="s">
        <v>139</v>
      </c>
      <c r="C265" s="12" t="s">
        <v>135</v>
      </c>
      <c r="D265" s="12" t="s">
        <v>98</v>
      </c>
      <c r="E265" s="12" t="s">
        <v>2345</v>
      </c>
      <c r="F265" s="12" t="s">
        <v>558</v>
      </c>
      <c r="G265" s="13"/>
      <c r="H265" s="17">
        <v>141376.05</v>
      </c>
      <c r="I265" s="12" t="s">
        <v>138</v>
      </c>
      <c r="J265" s="12" t="s">
        <v>2449</v>
      </c>
    </row>
    <row r="266" spans="1:10" ht="30" customHeight="1">
      <c r="A266" s="12" t="s">
        <v>2479</v>
      </c>
      <c r="B266" s="12" t="s">
        <v>139</v>
      </c>
      <c r="C266" s="12" t="s">
        <v>135</v>
      </c>
      <c r="D266" s="12" t="s">
        <v>98</v>
      </c>
      <c r="E266" s="12" t="s">
        <v>2345</v>
      </c>
      <c r="F266" s="12" t="s">
        <v>559</v>
      </c>
      <c r="G266" s="13"/>
      <c r="H266" s="17">
        <v>8188.35</v>
      </c>
      <c r="I266" s="12" t="s">
        <v>138</v>
      </c>
      <c r="J266" s="12" t="s">
        <v>2449</v>
      </c>
    </row>
    <row r="267" spans="1:10" ht="30" customHeight="1">
      <c r="A267" s="12" t="s">
        <v>2480</v>
      </c>
      <c r="B267" s="12" t="s">
        <v>139</v>
      </c>
      <c r="C267" s="12" t="s">
        <v>135</v>
      </c>
      <c r="D267" s="12" t="s">
        <v>98</v>
      </c>
      <c r="E267" s="12" t="s">
        <v>2345</v>
      </c>
      <c r="F267" s="12" t="s">
        <v>561</v>
      </c>
      <c r="G267" s="13"/>
      <c r="H267" s="17">
        <v>22780.66</v>
      </c>
      <c r="I267" s="12" t="s">
        <v>138</v>
      </c>
      <c r="J267" s="12" t="s">
        <v>2449</v>
      </c>
    </row>
    <row r="268" spans="1:10" ht="30" customHeight="1">
      <c r="A268" s="12" t="s">
        <v>2481</v>
      </c>
      <c r="B268" s="12" t="s">
        <v>139</v>
      </c>
      <c r="C268" s="12" t="s">
        <v>135</v>
      </c>
      <c r="D268" s="12" t="s">
        <v>98</v>
      </c>
      <c r="E268" s="12" t="s">
        <v>2345</v>
      </c>
      <c r="F268" s="12" t="s">
        <v>562</v>
      </c>
      <c r="G268" s="13"/>
      <c r="H268" s="17">
        <v>1871.71</v>
      </c>
      <c r="I268" s="12" t="s">
        <v>138</v>
      </c>
      <c r="J268" s="12" t="s">
        <v>2449</v>
      </c>
    </row>
    <row r="269" spans="1:10" ht="30" customHeight="1">
      <c r="A269" s="12" t="s">
        <v>2482</v>
      </c>
      <c r="B269" s="12" t="s">
        <v>139</v>
      </c>
      <c r="C269" s="12" t="s">
        <v>135</v>
      </c>
      <c r="D269" s="12" t="s">
        <v>98</v>
      </c>
      <c r="E269" s="12" t="s">
        <v>2345</v>
      </c>
      <c r="F269" s="12" t="s">
        <v>563</v>
      </c>
      <c r="G269" s="13"/>
      <c r="H269" s="17">
        <v>0.08171327598984102</v>
      </c>
      <c r="I269" s="12" t="s">
        <v>138</v>
      </c>
      <c r="J269" s="12" t="s">
        <v>2449</v>
      </c>
    </row>
    <row r="270" spans="1:10" ht="30" customHeight="1">
      <c r="A270" s="12" t="s">
        <v>2483</v>
      </c>
      <c r="B270" s="12" t="s">
        <v>139</v>
      </c>
      <c r="C270" s="12" t="s">
        <v>135</v>
      </c>
      <c r="D270" s="12" t="s">
        <v>98</v>
      </c>
      <c r="E270" s="12" t="s">
        <v>2345</v>
      </c>
      <c r="F270" s="12" t="s">
        <v>564</v>
      </c>
      <c r="G270" s="13"/>
      <c r="H270" s="17">
        <v>9677.77</v>
      </c>
      <c r="I270" s="12" t="s">
        <v>138</v>
      </c>
      <c r="J270" s="12" t="s">
        <v>2449</v>
      </c>
    </row>
    <row r="271" spans="1:10" ht="30" customHeight="1">
      <c r="A271" s="12" t="s">
        <v>2484</v>
      </c>
      <c r="B271" s="12" t="s">
        <v>109</v>
      </c>
      <c r="C271" s="12" t="s">
        <v>105</v>
      </c>
      <c r="D271" s="12" t="s">
        <v>98</v>
      </c>
      <c r="E271" s="12" t="s">
        <v>2345</v>
      </c>
      <c r="F271" s="12" t="s">
        <v>557</v>
      </c>
      <c r="G271" s="13"/>
      <c r="H271" s="17">
        <v>33697.7</v>
      </c>
      <c r="I271" s="12" t="s">
        <v>108</v>
      </c>
      <c r="J271" s="12" t="s">
        <v>2464</v>
      </c>
    </row>
    <row r="272" spans="1:10" ht="30" customHeight="1">
      <c r="A272" s="12" t="s">
        <v>2485</v>
      </c>
      <c r="B272" s="12" t="s">
        <v>109</v>
      </c>
      <c r="C272" s="12" t="s">
        <v>105</v>
      </c>
      <c r="D272" s="12" t="s">
        <v>98</v>
      </c>
      <c r="E272" s="12" t="s">
        <v>2345</v>
      </c>
      <c r="F272" s="12" t="s">
        <v>558</v>
      </c>
      <c r="G272" s="13"/>
      <c r="H272" s="17">
        <v>80945.41</v>
      </c>
      <c r="I272" s="12" t="s">
        <v>108</v>
      </c>
      <c r="J272" s="12" t="s">
        <v>2464</v>
      </c>
    </row>
    <row r="273" spans="1:10" ht="30" customHeight="1">
      <c r="A273" s="12" t="s">
        <v>2486</v>
      </c>
      <c r="B273" s="12" t="s">
        <v>109</v>
      </c>
      <c r="C273" s="12" t="s">
        <v>105</v>
      </c>
      <c r="D273" s="12" t="s">
        <v>98</v>
      </c>
      <c r="E273" s="12" t="s">
        <v>2345</v>
      </c>
      <c r="F273" s="12" t="s">
        <v>559</v>
      </c>
      <c r="G273" s="13"/>
      <c r="H273" s="17">
        <v>5158.41</v>
      </c>
      <c r="I273" s="12" t="s">
        <v>108</v>
      </c>
      <c r="J273" s="12" t="s">
        <v>2464</v>
      </c>
    </row>
    <row r="274" spans="1:10" ht="30" customHeight="1">
      <c r="A274" s="12" t="s">
        <v>2487</v>
      </c>
      <c r="B274" s="12" t="s">
        <v>109</v>
      </c>
      <c r="C274" s="12" t="s">
        <v>105</v>
      </c>
      <c r="D274" s="12" t="s">
        <v>98</v>
      </c>
      <c r="E274" s="12" t="s">
        <v>2345</v>
      </c>
      <c r="F274" s="12" t="s">
        <v>561</v>
      </c>
      <c r="G274" s="13"/>
      <c r="H274" s="17">
        <v>26.82</v>
      </c>
      <c r="I274" s="12" t="s">
        <v>108</v>
      </c>
      <c r="J274" s="12" t="s">
        <v>2464</v>
      </c>
    </row>
    <row r="275" spans="1:10" ht="30" customHeight="1">
      <c r="A275" s="12" t="s">
        <v>2488</v>
      </c>
      <c r="B275" s="12" t="s">
        <v>109</v>
      </c>
      <c r="C275" s="12" t="s">
        <v>105</v>
      </c>
      <c r="D275" s="12" t="s">
        <v>98</v>
      </c>
      <c r="E275" s="12" t="s">
        <v>2345</v>
      </c>
      <c r="F275" s="12" t="s">
        <v>562</v>
      </c>
      <c r="G275" s="13"/>
      <c r="H275" s="17">
        <v>215.94</v>
      </c>
      <c r="I275" s="12" t="s">
        <v>108</v>
      </c>
      <c r="J275" s="12" t="s">
        <v>2464</v>
      </c>
    </row>
    <row r="276" spans="1:10" ht="30" customHeight="1">
      <c r="A276" s="12" t="s">
        <v>2489</v>
      </c>
      <c r="B276" s="12" t="s">
        <v>109</v>
      </c>
      <c r="C276" s="12" t="s">
        <v>105</v>
      </c>
      <c r="D276" s="12" t="s">
        <v>98</v>
      </c>
      <c r="E276" s="12" t="s">
        <v>2345</v>
      </c>
      <c r="F276" s="12" t="s">
        <v>563</v>
      </c>
      <c r="G276" s="13"/>
      <c r="H276" s="17">
        <v>6.790566037735849</v>
      </c>
      <c r="I276" s="12" t="s">
        <v>108</v>
      </c>
      <c r="J276" s="12" t="s">
        <v>2464</v>
      </c>
    </row>
    <row r="277" spans="1:10" ht="30" customHeight="1">
      <c r="A277" s="12" t="s">
        <v>2490</v>
      </c>
      <c r="B277" s="12" t="s">
        <v>109</v>
      </c>
      <c r="C277" s="12" t="s">
        <v>105</v>
      </c>
      <c r="D277" s="12" t="s">
        <v>98</v>
      </c>
      <c r="E277" s="12" t="s">
        <v>2345</v>
      </c>
      <c r="F277" s="12" t="s">
        <v>564</v>
      </c>
      <c r="G277" s="13"/>
      <c r="H277" s="17">
        <v>8687.049999999999</v>
      </c>
      <c r="I277" s="12" t="s">
        <v>108</v>
      </c>
      <c r="J277" s="12" t="s">
        <v>2464</v>
      </c>
    </row>
    <row r="278" spans="1:10" ht="30" customHeight="1">
      <c r="A278" s="12" t="s">
        <v>2491</v>
      </c>
      <c r="B278" s="12" t="s">
        <v>127</v>
      </c>
      <c r="C278" s="12" t="s">
        <v>123</v>
      </c>
      <c r="D278" s="12" t="s">
        <v>98</v>
      </c>
      <c r="E278" s="12" t="s">
        <v>2345</v>
      </c>
      <c r="F278" s="12" t="s">
        <v>557</v>
      </c>
      <c r="G278" s="13"/>
      <c r="H278" s="17">
        <v>6512.46</v>
      </c>
      <c r="I278" s="12" t="s">
        <v>126</v>
      </c>
      <c r="J278" s="12" t="s">
        <v>2449</v>
      </c>
    </row>
    <row r="279" spans="1:10" ht="30" customHeight="1">
      <c r="A279" s="12" t="s">
        <v>2492</v>
      </c>
      <c r="B279" s="12" t="s">
        <v>127</v>
      </c>
      <c r="C279" s="12" t="s">
        <v>123</v>
      </c>
      <c r="D279" s="12" t="s">
        <v>98</v>
      </c>
      <c r="E279" s="12" t="s">
        <v>2345</v>
      </c>
      <c r="F279" s="12" t="s">
        <v>558</v>
      </c>
      <c r="G279" s="13"/>
      <c r="H279" s="17">
        <v>14535.48</v>
      </c>
      <c r="I279" s="12" t="s">
        <v>126</v>
      </c>
      <c r="J279" s="12" t="s">
        <v>2449</v>
      </c>
    </row>
    <row r="280" spans="1:10" ht="30" customHeight="1">
      <c r="A280" s="12" t="s">
        <v>2493</v>
      </c>
      <c r="B280" s="12" t="s">
        <v>127</v>
      </c>
      <c r="C280" s="12" t="s">
        <v>123</v>
      </c>
      <c r="D280" s="12" t="s">
        <v>98</v>
      </c>
      <c r="E280" s="12" t="s">
        <v>2345</v>
      </c>
      <c r="F280" s="12" t="s">
        <v>559</v>
      </c>
      <c r="G280" s="13"/>
      <c r="H280" s="17">
        <v>-798.78</v>
      </c>
      <c r="I280" s="12" t="s">
        <v>126</v>
      </c>
      <c r="J280" s="12" t="s">
        <v>2449</v>
      </c>
    </row>
    <row r="281" spans="1:10" ht="30" customHeight="1">
      <c r="A281" s="12" t="s">
        <v>2494</v>
      </c>
      <c r="B281" s="12" t="s">
        <v>127</v>
      </c>
      <c r="C281" s="12" t="s">
        <v>123</v>
      </c>
      <c r="D281" s="12" t="s">
        <v>98</v>
      </c>
      <c r="E281" s="12" t="s">
        <v>2345</v>
      </c>
      <c r="F281" s="12" t="s">
        <v>561</v>
      </c>
      <c r="G281" s="13"/>
      <c r="H281" s="17">
        <v>4081.61</v>
      </c>
      <c r="I281" s="12" t="s">
        <v>126</v>
      </c>
      <c r="J281" s="12" t="s">
        <v>2449</v>
      </c>
    </row>
    <row r="282" spans="1:10" ht="30" customHeight="1">
      <c r="A282" s="12" t="s">
        <v>2495</v>
      </c>
      <c r="B282" s="12" t="s">
        <v>127</v>
      </c>
      <c r="C282" s="12" t="s">
        <v>123</v>
      </c>
      <c r="D282" s="12" t="s">
        <v>98</v>
      </c>
      <c r="E282" s="12" t="s">
        <v>2345</v>
      </c>
      <c r="F282" s="12" t="s">
        <v>562</v>
      </c>
      <c r="G282" s="13"/>
      <c r="H282" s="17">
        <v>377.96</v>
      </c>
      <c r="I282" s="12" t="s">
        <v>126</v>
      </c>
      <c r="J282" s="12" t="s">
        <v>2449</v>
      </c>
    </row>
    <row r="283" spans="1:10" ht="30" customHeight="1">
      <c r="A283" s="12" t="s">
        <v>2496</v>
      </c>
      <c r="B283" s="12" t="s">
        <v>127</v>
      </c>
      <c r="C283" s="12" t="s">
        <v>123</v>
      </c>
      <c r="D283" s="12" t="s">
        <v>98</v>
      </c>
      <c r="E283" s="12" t="s">
        <v>2345</v>
      </c>
      <c r="F283" s="12" t="s">
        <v>563</v>
      </c>
      <c r="G283" s="13"/>
      <c r="H283" s="17">
        <v>0.07376153377777084</v>
      </c>
      <c r="I283" s="12" t="s">
        <v>126</v>
      </c>
      <c r="J283" s="12" t="s">
        <v>2449</v>
      </c>
    </row>
    <row r="284" spans="1:10" ht="30" customHeight="1">
      <c r="A284" s="12" t="s">
        <v>2497</v>
      </c>
      <c r="B284" s="12" t="s">
        <v>127</v>
      </c>
      <c r="C284" s="12" t="s">
        <v>123</v>
      </c>
      <c r="D284" s="12" t="s">
        <v>98</v>
      </c>
      <c r="E284" s="12" t="s">
        <v>2345</v>
      </c>
      <c r="F284" s="12" t="s">
        <v>564</v>
      </c>
      <c r="G284" s="13"/>
      <c r="H284" s="17">
        <v>1961.52</v>
      </c>
      <c r="I284" s="12" t="s">
        <v>126</v>
      </c>
      <c r="J284" s="12" t="s">
        <v>2449</v>
      </c>
    </row>
    <row r="285" spans="1:10" ht="30" customHeight="1">
      <c r="A285" s="12" t="s">
        <v>2498</v>
      </c>
      <c r="B285" s="12" t="s">
        <v>175</v>
      </c>
      <c r="C285" s="12" t="s">
        <v>171</v>
      </c>
      <c r="D285" s="12" t="s">
        <v>142</v>
      </c>
      <c r="E285" s="12" t="s">
        <v>2345</v>
      </c>
      <c r="F285" s="12" t="s">
        <v>561</v>
      </c>
      <c r="G285" s="13"/>
      <c r="H285" s="17">
        <v>61931</v>
      </c>
      <c r="I285" s="12" t="s">
        <v>174</v>
      </c>
      <c r="J285" s="12" t="s">
        <v>2499</v>
      </c>
    </row>
    <row r="286" spans="1:10" ht="30" customHeight="1">
      <c r="A286" s="12" t="s">
        <v>2500</v>
      </c>
      <c r="B286" s="12" t="s">
        <v>175</v>
      </c>
      <c r="C286" s="12" t="s">
        <v>171</v>
      </c>
      <c r="D286" s="12" t="s">
        <v>142</v>
      </c>
      <c r="E286" s="12" t="s">
        <v>2345</v>
      </c>
      <c r="F286" s="12" t="s">
        <v>562</v>
      </c>
      <c r="G286" s="13"/>
      <c r="H286" s="17">
        <v>3419</v>
      </c>
      <c r="I286" s="12" t="s">
        <v>174</v>
      </c>
      <c r="J286" s="12" t="s">
        <v>2499</v>
      </c>
    </row>
    <row r="287" spans="1:10" ht="30" customHeight="1">
      <c r="A287" s="12" t="s">
        <v>2501</v>
      </c>
      <c r="B287" s="12" t="s">
        <v>175</v>
      </c>
      <c r="C287" s="12" t="s">
        <v>171</v>
      </c>
      <c r="D287" s="12" t="s">
        <v>142</v>
      </c>
      <c r="E287" s="12" t="s">
        <v>2345</v>
      </c>
      <c r="F287" s="12" t="s">
        <v>563</v>
      </c>
      <c r="G287" s="17">
        <v>0.0587</v>
      </c>
      <c r="H287" s="17">
        <v>0.05872955888415556</v>
      </c>
      <c r="I287" s="12" t="s">
        <v>174</v>
      </c>
      <c r="J287" s="12" t="s">
        <v>2499</v>
      </c>
    </row>
    <row r="288" spans="1:10" ht="30" customHeight="1">
      <c r="A288" s="12" t="s">
        <v>2502</v>
      </c>
      <c r="B288" s="12" t="s">
        <v>175</v>
      </c>
      <c r="C288" s="12" t="s">
        <v>171</v>
      </c>
      <c r="D288" s="12" t="s">
        <v>142</v>
      </c>
      <c r="E288" s="12" t="s">
        <v>2345</v>
      </c>
      <c r="F288" s="12" t="s">
        <v>564</v>
      </c>
      <c r="G288" s="13"/>
      <c r="H288" s="17">
        <v>20649</v>
      </c>
      <c r="I288" s="12" t="s">
        <v>174</v>
      </c>
      <c r="J288" s="12" t="s">
        <v>2499</v>
      </c>
    </row>
    <row r="289" spans="1:10" ht="30" customHeight="1">
      <c r="A289" s="12" t="s">
        <v>2503</v>
      </c>
      <c r="B289" s="12" t="s">
        <v>204</v>
      </c>
      <c r="C289" s="12" t="s">
        <v>200</v>
      </c>
      <c r="D289" s="12" t="s">
        <v>142</v>
      </c>
      <c r="E289" s="12" t="s">
        <v>2345</v>
      </c>
      <c r="F289" s="12" t="s">
        <v>557</v>
      </c>
      <c r="G289" s="13"/>
      <c r="H289" s="17">
        <v>152968</v>
      </c>
      <c r="I289" s="12" t="s">
        <v>203</v>
      </c>
      <c r="J289" s="12" t="s">
        <v>2499</v>
      </c>
    </row>
    <row r="290" spans="1:10" ht="30" customHeight="1">
      <c r="A290" s="12" t="s">
        <v>2504</v>
      </c>
      <c r="B290" s="12" t="s">
        <v>204</v>
      </c>
      <c r="C290" s="12" t="s">
        <v>200</v>
      </c>
      <c r="D290" s="12" t="s">
        <v>142</v>
      </c>
      <c r="E290" s="12" t="s">
        <v>2345</v>
      </c>
      <c r="F290" s="12" t="s">
        <v>558</v>
      </c>
      <c r="G290" s="13"/>
      <c r="H290" s="17">
        <v>203293</v>
      </c>
      <c r="I290" s="12" t="s">
        <v>203</v>
      </c>
      <c r="J290" s="12" t="s">
        <v>2499</v>
      </c>
    </row>
    <row r="291" spans="1:10" ht="30" customHeight="1">
      <c r="A291" s="12" t="s">
        <v>2505</v>
      </c>
      <c r="B291" s="12" t="s">
        <v>204</v>
      </c>
      <c r="C291" s="12" t="s">
        <v>200</v>
      </c>
      <c r="D291" s="12" t="s">
        <v>142</v>
      </c>
      <c r="E291" s="12" t="s">
        <v>2345</v>
      </c>
      <c r="F291" s="12" t="s">
        <v>559</v>
      </c>
      <c r="G291" s="13"/>
      <c r="H291" s="17">
        <v>20535</v>
      </c>
      <c r="I291" s="12" t="s">
        <v>203</v>
      </c>
      <c r="J291" s="12" t="s">
        <v>2499</v>
      </c>
    </row>
    <row r="292" spans="1:10" ht="30" customHeight="1">
      <c r="A292" s="12" t="s">
        <v>2506</v>
      </c>
      <c r="B292" s="12" t="s">
        <v>204</v>
      </c>
      <c r="C292" s="12" t="s">
        <v>200</v>
      </c>
      <c r="D292" s="12" t="s">
        <v>142</v>
      </c>
      <c r="E292" s="12" t="s">
        <v>2345</v>
      </c>
      <c r="F292" s="12" t="s">
        <v>561</v>
      </c>
      <c r="G292" s="13"/>
      <c r="H292" s="17">
        <v>73853</v>
      </c>
      <c r="I292" s="12" t="s">
        <v>203</v>
      </c>
      <c r="J292" s="12" t="s">
        <v>2499</v>
      </c>
    </row>
    <row r="293" spans="1:10" ht="30" customHeight="1">
      <c r="A293" s="12" t="s">
        <v>2507</v>
      </c>
      <c r="B293" s="12" t="s">
        <v>204</v>
      </c>
      <c r="C293" s="12" t="s">
        <v>200</v>
      </c>
      <c r="D293" s="12" t="s">
        <v>142</v>
      </c>
      <c r="E293" s="12" t="s">
        <v>2345</v>
      </c>
      <c r="F293" s="12" t="s">
        <v>562</v>
      </c>
      <c r="G293" s="13"/>
      <c r="H293" s="17">
        <v>9914</v>
      </c>
      <c r="I293" s="12" t="s">
        <v>203</v>
      </c>
      <c r="J293" s="12" t="s">
        <v>2499</v>
      </c>
    </row>
    <row r="294" spans="1:10" ht="30" customHeight="1">
      <c r="A294" s="12" t="s">
        <v>2508</v>
      </c>
      <c r="B294" s="12" t="s">
        <v>204</v>
      </c>
      <c r="C294" s="12" t="s">
        <v>200</v>
      </c>
      <c r="D294" s="12" t="s">
        <v>142</v>
      </c>
      <c r="E294" s="12" t="s">
        <v>2345</v>
      </c>
      <c r="F294" s="12" t="s">
        <v>563</v>
      </c>
      <c r="G294" s="13"/>
      <c r="H294" s="17">
        <v>0.1361710310347433</v>
      </c>
      <c r="I294" s="12" t="s">
        <v>203</v>
      </c>
      <c r="J294" s="12" t="s">
        <v>2499</v>
      </c>
    </row>
    <row r="295" spans="1:10" ht="30" customHeight="1">
      <c r="A295" s="12" t="s">
        <v>2509</v>
      </c>
      <c r="B295" s="12" t="s">
        <v>204</v>
      </c>
      <c r="C295" s="12" t="s">
        <v>200</v>
      </c>
      <c r="D295" s="12" t="s">
        <v>142</v>
      </c>
      <c r="E295" s="12" t="s">
        <v>2345</v>
      </c>
      <c r="F295" s="12" t="s">
        <v>564</v>
      </c>
      <c r="G295" s="13"/>
      <c r="H295" s="17">
        <v>17005</v>
      </c>
      <c r="I295" s="12" t="s">
        <v>203</v>
      </c>
      <c r="J295" s="12" t="s">
        <v>2499</v>
      </c>
    </row>
    <row r="296" spans="1:10" ht="30" customHeight="1">
      <c r="A296" s="12" t="s">
        <v>2510</v>
      </c>
      <c r="B296" s="12" t="s">
        <v>193</v>
      </c>
      <c r="C296" s="12" t="s">
        <v>189</v>
      </c>
      <c r="D296" s="12" t="s">
        <v>142</v>
      </c>
      <c r="E296" s="12" t="s">
        <v>2345</v>
      </c>
      <c r="F296" s="12" t="s">
        <v>557</v>
      </c>
      <c r="G296" s="17">
        <v>16662.21</v>
      </c>
      <c r="H296" s="17">
        <v>16787.63</v>
      </c>
      <c r="I296" s="12" t="s">
        <v>192</v>
      </c>
      <c r="J296" s="12" t="s">
        <v>2511</v>
      </c>
    </row>
    <row r="297" spans="1:10" ht="30" customHeight="1">
      <c r="A297" s="12" t="s">
        <v>2512</v>
      </c>
      <c r="B297" s="12" t="s">
        <v>193</v>
      </c>
      <c r="C297" s="12" t="s">
        <v>189</v>
      </c>
      <c r="D297" s="12" t="s">
        <v>142</v>
      </c>
      <c r="E297" s="12" t="s">
        <v>2345</v>
      </c>
      <c r="F297" s="12" t="s">
        <v>558</v>
      </c>
      <c r="G297" s="17">
        <v>22882</v>
      </c>
      <c r="H297" s="17">
        <v>22882.16</v>
      </c>
      <c r="I297" s="12" t="s">
        <v>192</v>
      </c>
      <c r="J297" s="12" t="s">
        <v>2511</v>
      </c>
    </row>
    <row r="298" spans="1:10" ht="30" customHeight="1">
      <c r="A298" s="12" t="s">
        <v>2513</v>
      </c>
      <c r="B298" s="12" t="s">
        <v>193</v>
      </c>
      <c r="C298" s="12" t="s">
        <v>189</v>
      </c>
      <c r="D298" s="12" t="s">
        <v>142</v>
      </c>
      <c r="E298" s="12" t="s">
        <v>2345</v>
      </c>
      <c r="F298" s="12" t="s">
        <v>559</v>
      </c>
      <c r="G298" s="17">
        <v>5324.67</v>
      </c>
      <c r="H298" s="17">
        <v>5267.94</v>
      </c>
      <c r="I298" s="12" t="s">
        <v>192</v>
      </c>
      <c r="J298" s="12" t="s">
        <v>2511</v>
      </c>
    </row>
    <row r="299" spans="1:10" ht="30" customHeight="1">
      <c r="A299" s="12" t="s">
        <v>2514</v>
      </c>
      <c r="B299" s="12" t="s">
        <v>193</v>
      </c>
      <c r="C299" s="12" t="s">
        <v>189</v>
      </c>
      <c r="D299" s="12" t="s">
        <v>142</v>
      </c>
      <c r="E299" s="12" t="s">
        <v>2345</v>
      </c>
      <c r="F299" s="12" t="s">
        <v>561</v>
      </c>
      <c r="G299" s="13"/>
      <c r="H299" s="17">
        <v>124.22</v>
      </c>
      <c r="I299" s="12" t="s">
        <v>192</v>
      </c>
      <c r="J299" s="12" t="s">
        <v>2511</v>
      </c>
    </row>
    <row r="300" spans="1:10" ht="30" customHeight="1">
      <c r="A300" s="12" t="s">
        <v>2515</v>
      </c>
      <c r="B300" s="12" t="s">
        <v>193</v>
      </c>
      <c r="C300" s="12" t="s">
        <v>189</v>
      </c>
      <c r="D300" s="12" t="s">
        <v>142</v>
      </c>
      <c r="E300" s="12" t="s">
        <v>2345</v>
      </c>
      <c r="F300" s="12" t="s">
        <v>562</v>
      </c>
      <c r="G300" s="13"/>
      <c r="H300" s="17">
        <v>58.97</v>
      </c>
      <c r="I300" s="12" t="s">
        <v>192</v>
      </c>
      <c r="J300" s="12" t="s">
        <v>2511</v>
      </c>
    </row>
    <row r="301" spans="1:10" ht="30" customHeight="1">
      <c r="A301" s="12" t="s">
        <v>2516</v>
      </c>
      <c r="B301" s="12" t="s">
        <v>193</v>
      </c>
      <c r="C301" s="12" t="s">
        <v>189</v>
      </c>
      <c r="D301" s="12" t="s">
        <v>142</v>
      </c>
      <c r="E301" s="12" t="s">
        <v>2345</v>
      </c>
      <c r="F301" s="12" t="s">
        <v>563</v>
      </c>
      <c r="G301" s="13"/>
      <c r="H301" s="17">
        <v>0.721875382543763</v>
      </c>
      <c r="I301" s="12" t="s">
        <v>192</v>
      </c>
      <c r="J301" s="12" t="s">
        <v>2511</v>
      </c>
    </row>
    <row r="302" spans="1:10" ht="30" customHeight="1">
      <c r="A302" s="12" t="s">
        <v>2517</v>
      </c>
      <c r="B302" s="12" t="s">
        <v>193</v>
      </c>
      <c r="C302" s="12" t="s">
        <v>189</v>
      </c>
      <c r="D302" s="12" t="s">
        <v>142</v>
      </c>
      <c r="E302" s="12" t="s">
        <v>2345</v>
      </c>
      <c r="F302" s="12" t="s">
        <v>564</v>
      </c>
      <c r="G302" s="13"/>
      <c r="H302" s="17">
        <v>1175.58</v>
      </c>
      <c r="I302" s="12" t="s">
        <v>192</v>
      </c>
      <c r="J302" s="12" t="s">
        <v>2511</v>
      </c>
    </row>
    <row r="303" spans="1:10" ht="30" customHeight="1">
      <c r="A303" s="12" t="s">
        <v>2518</v>
      </c>
      <c r="B303" s="12" t="s">
        <v>181</v>
      </c>
      <c r="C303" s="12" t="s">
        <v>178</v>
      </c>
      <c r="D303" s="12" t="s">
        <v>142</v>
      </c>
      <c r="E303" s="12" t="s">
        <v>2345</v>
      </c>
      <c r="F303" s="12" t="s">
        <v>557</v>
      </c>
      <c r="G303" s="17">
        <v>810.17</v>
      </c>
      <c r="H303" s="17">
        <v>810.1662</v>
      </c>
      <c r="I303" s="12" t="s">
        <v>180</v>
      </c>
      <c r="J303" s="12" t="s">
        <v>2519</v>
      </c>
    </row>
    <row r="304" spans="1:10" ht="30" customHeight="1">
      <c r="A304" s="12" t="s">
        <v>2520</v>
      </c>
      <c r="B304" s="12" t="s">
        <v>181</v>
      </c>
      <c r="C304" s="12" t="s">
        <v>178</v>
      </c>
      <c r="D304" s="12" t="s">
        <v>142</v>
      </c>
      <c r="E304" s="12" t="s">
        <v>2345</v>
      </c>
      <c r="F304" s="12" t="s">
        <v>558</v>
      </c>
      <c r="G304" s="17">
        <v>299.63</v>
      </c>
      <c r="H304" s="17">
        <v>299.6316</v>
      </c>
      <c r="I304" s="12" t="s">
        <v>180</v>
      </c>
      <c r="J304" s="12" t="s">
        <v>2519</v>
      </c>
    </row>
    <row r="305" spans="1:10" ht="30" customHeight="1">
      <c r="A305" s="12" t="s">
        <v>2521</v>
      </c>
      <c r="B305" s="12" t="s">
        <v>181</v>
      </c>
      <c r="C305" s="12" t="s">
        <v>178</v>
      </c>
      <c r="D305" s="12" t="s">
        <v>142</v>
      </c>
      <c r="E305" s="12" t="s">
        <v>2345</v>
      </c>
      <c r="F305" s="12" t="s">
        <v>559</v>
      </c>
      <c r="G305" s="17">
        <v>15.51</v>
      </c>
      <c r="H305" s="17">
        <v>15.507</v>
      </c>
      <c r="I305" s="12" t="s">
        <v>180</v>
      </c>
      <c r="J305" s="12" t="s">
        <v>2519</v>
      </c>
    </row>
    <row r="306" spans="1:10" ht="30" customHeight="1">
      <c r="A306" s="12" t="s">
        <v>2522</v>
      </c>
      <c r="B306" s="12" t="s">
        <v>181</v>
      </c>
      <c r="C306" s="12" t="s">
        <v>178</v>
      </c>
      <c r="D306" s="12" t="s">
        <v>142</v>
      </c>
      <c r="E306" s="12" t="s">
        <v>2345</v>
      </c>
      <c r="F306" s="12" t="s">
        <v>561</v>
      </c>
      <c r="G306" s="13"/>
      <c r="H306" s="17">
        <v>89.5771</v>
      </c>
      <c r="I306" s="12" t="s">
        <v>180</v>
      </c>
      <c r="J306" s="12" t="s">
        <v>2519</v>
      </c>
    </row>
    <row r="307" spans="1:10" ht="30" customHeight="1">
      <c r="A307" s="12" t="s">
        <v>2523</v>
      </c>
      <c r="B307" s="12" t="s">
        <v>181</v>
      </c>
      <c r="C307" s="12" t="s">
        <v>178</v>
      </c>
      <c r="D307" s="12" t="s">
        <v>142</v>
      </c>
      <c r="E307" s="12" t="s">
        <v>2345</v>
      </c>
      <c r="F307" s="12" t="s">
        <v>562</v>
      </c>
      <c r="G307" s="13"/>
      <c r="H307" s="17">
        <v>3.2533</v>
      </c>
      <c r="I307" s="12" t="s">
        <v>180</v>
      </c>
      <c r="J307" s="12" t="s">
        <v>2519</v>
      </c>
    </row>
    <row r="308" spans="1:10" ht="30" customHeight="1">
      <c r="A308" s="12" t="s">
        <v>2524</v>
      </c>
      <c r="B308" s="12" t="s">
        <v>181</v>
      </c>
      <c r="C308" s="12" t="s">
        <v>178</v>
      </c>
      <c r="D308" s="12" t="s">
        <v>142</v>
      </c>
      <c r="E308" s="12" t="s">
        <v>2345</v>
      </c>
      <c r="F308" s="12" t="s">
        <v>563</v>
      </c>
      <c r="G308" s="17">
        <v>0.0536</v>
      </c>
      <c r="H308" s="17">
        <v>0.05355230745045881</v>
      </c>
      <c r="I308" s="12" t="s">
        <v>180</v>
      </c>
      <c r="J308" s="12" t="s">
        <v>2519</v>
      </c>
    </row>
    <row r="309" spans="1:10" ht="30" customHeight="1">
      <c r="A309" s="12" t="s">
        <v>2525</v>
      </c>
      <c r="B309" s="12" t="s">
        <v>181</v>
      </c>
      <c r="C309" s="12" t="s">
        <v>178</v>
      </c>
      <c r="D309" s="12" t="s">
        <v>142</v>
      </c>
      <c r="E309" s="12" t="s">
        <v>2345</v>
      </c>
      <c r="F309" s="12" t="s">
        <v>564</v>
      </c>
      <c r="G309" s="13"/>
      <c r="H309" s="17">
        <v>55.8029</v>
      </c>
      <c r="I309" s="12" t="s">
        <v>180</v>
      </c>
      <c r="J309" s="12" t="s">
        <v>2519</v>
      </c>
    </row>
    <row r="310" spans="1:10" ht="30" customHeight="1">
      <c r="A310" s="12" t="s">
        <v>2526</v>
      </c>
      <c r="B310" s="12" t="s">
        <v>162</v>
      </c>
      <c r="C310" s="12" t="s">
        <v>158</v>
      </c>
      <c r="D310" s="12" t="s">
        <v>142</v>
      </c>
      <c r="E310" s="12" t="s">
        <v>2345</v>
      </c>
      <c r="F310" s="12" t="s">
        <v>557</v>
      </c>
      <c r="G310" s="17">
        <v>479.3</v>
      </c>
      <c r="H310" s="17">
        <v>431.25</v>
      </c>
      <c r="I310" s="12" t="s">
        <v>161</v>
      </c>
      <c r="J310" s="12" t="s">
        <v>2527</v>
      </c>
    </row>
    <row r="311" spans="1:10" ht="30" customHeight="1">
      <c r="A311" s="12" t="s">
        <v>2528</v>
      </c>
      <c r="B311" s="12" t="s">
        <v>162</v>
      </c>
      <c r="C311" s="12" t="s">
        <v>158</v>
      </c>
      <c r="D311" s="12" t="s">
        <v>142</v>
      </c>
      <c r="E311" s="12" t="s">
        <v>2345</v>
      </c>
      <c r="F311" s="12" t="s">
        <v>558</v>
      </c>
      <c r="G311" s="13"/>
      <c r="H311" s="17">
        <v>170.83</v>
      </c>
      <c r="I311" s="12" t="s">
        <v>161</v>
      </c>
      <c r="J311" s="12" t="s">
        <v>2527</v>
      </c>
    </row>
    <row r="312" spans="1:10" ht="30" customHeight="1">
      <c r="A312" s="12" t="s">
        <v>2529</v>
      </c>
      <c r="B312" s="12" t="s">
        <v>162</v>
      </c>
      <c r="C312" s="12" t="s">
        <v>158</v>
      </c>
      <c r="D312" s="12" t="s">
        <v>142</v>
      </c>
      <c r="E312" s="12" t="s">
        <v>2345</v>
      </c>
      <c r="F312" s="12" t="s">
        <v>559</v>
      </c>
      <c r="G312" s="17">
        <v>10.97</v>
      </c>
      <c r="H312" s="17">
        <v>9.94</v>
      </c>
      <c r="I312" s="12" t="s">
        <v>161</v>
      </c>
      <c r="J312" s="12" t="s">
        <v>2527</v>
      </c>
    </row>
    <row r="313" spans="1:10" ht="30" customHeight="1">
      <c r="A313" s="12" t="s">
        <v>2530</v>
      </c>
      <c r="B313" s="12" t="s">
        <v>162</v>
      </c>
      <c r="C313" s="12" t="s">
        <v>158</v>
      </c>
      <c r="D313" s="12" t="s">
        <v>142</v>
      </c>
      <c r="E313" s="12" t="s">
        <v>2345</v>
      </c>
      <c r="F313" s="12" t="s">
        <v>561</v>
      </c>
      <c r="G313" s="13"/>
      <c r="H313" s="17">
        <v>49.18</v>
      </c>
      <c r="I313" s="12" t="s">
        <v>161</v>
      </c>
      <c r="J313" s="12" t="s">
        <v>2527</v>
      </c>
    </row>
    <row r="314" spans="1:10" ht="30" customHeight="1">
      <c r="A314" s="12" t="s">
        <v>2531</v>
      </c>
      <c r="B314" s="12" t="s">
        <v>162</v>
      </c>
      <c r="C314" s="12" t="s">
        <v>158</v>
      </c>
      <c r="D314" s="12" t="s">
        <v>142</v>
      </c>
      <c r="E314" s="12" t="s">
        <v>2345</v>
      </c>
      <c r="F314" s="12" t="s">
        <v>562</v>
      </c>
      <c r="G314" s="13"/>
      <c r="H314" s="17">
        <v>10.37</v>
      </c>
      <c r="I314" s="12" t="s">
        <v>161</v>
      </c>
      <c r="J314" s="12" t="s">
        <v>2527</v>
      </c>
    </row>
    <row r="315" spans="1:10" ht="30" customHeight="1">
      <c r="A315" s="12" t="s">
        <v>2532</v>
      </c>
      <c r="B315" s="12" t="s">
        <v>162</v>
      </c>
      <c r="C315" s="12" t="s">
        <v>158</v>
      </c>
      <c r="D315" s="12" t="s">
        <v>142</v>
      </c>
      <c r="E315" s="12" t="s">
        <v>2345</v>
      </c>
      <c r="F315" s="12" t="s">
        <v>563</v>
      </c>
      <c r="G315" s="13"/>
      <c r="H315" s="17">
        <v>0.2132647814910026</v>
      </c>
      <c r="I315" s="12" t="s">
        <v>161</v>
      </c>
      <c r="J315" s="12" t="s">
        <v>2527</v>
      </c>
    </row>
    <row r="316" spans="1:10" ht="30" customHeight="1">
      <c r="A316" s="12" t="s">
        <v>2533</v>
      </c>
      <c r="B316" s="12" t="s">
        <v>187</v>
      </c>
      <c r="C316" s="12" t="s">
        <v>184</v>
      </c>
      <c r="D316" s="12" t="s">
        <v>142</v>
      </c>
      <c r="E316" s="12" t="s">
        <v>2345</v>
      </c>
      <c r="F316" s="12" t="s">
        <v>557</v>
      </c>
      <c r="G316" s="17">
        <v>509.15</v>
      </c>
      <c r="H316" s="17">
        <v>509.1475</v>
      </c>
      <c r="I316" s="12" t="s">
        <v>186</v>
      </c>
      <c r="J316" s="12" t="s">
        <v>2519</v>
      </c>
    </row>
    <row r="317" spans="1:10" ht="30" customHeight="1">
      <c r="A317" s="12" t="s">
        <v>2534</v>
      </c>
      <c r="B317" s="12" t="s">
        <v>187</v>
      </c>
      <c r="C317" s="12" t="s">
        <v>184</v>
      </c>
      <c r="D317" s="12" t="s">
        <v>142</v>
      </c>
      <c r="E317" s="12" t="s">
        <v>2345</v>
      </c>
      <c r="F317" s="12" t="s">
        <v>558</v>
      </c>
      <c r="G317" s="17">
        <v>504.26</v>
      </c>
      <c r="H317" s="17">
        <v>504.2564</v>
      </c>
      <c r="I317" s="12" t="s">
        <v>186</v>
      </c>
      <c r="J317" s="12" t="s">
        <v>2519</v>
      </c>
    </row>
    <row r="318" spans="1:10" ht="30" customHeight="1">
      <c r="A318" s="12" t="s">
        <v>2535</v>
      </c>
      <c r="B318" s="12" t="s">
        <v>187</v>
      </c>
      <c r="C318" s="12" t="s">
        <v>184</v>
      </c>
      <c r="D318" s="12" t="s">
        <v>142</v>
      </c>
      <c r="E318" s="12" t="s">
        <v>2345</v>
      </c>
      <c r="F318" s="12" t="s">
        <v>559</v>
      </c>
      <c r="G318" s="17">
        <v>6.05</v>
      </c>
      <c r="H318" s="17">
        <v>6.0458</v>
      </c>
      <c r="I318" s="12" t="s">
        <v>186</v>
      </c>
      <c r="J318" s="12" t="s">
        <v>2519</v>
      </c>
    </row>
    <row r="319" spans="1:10" ht="30" customHeight="1">
      <c r="A319" s="12" t="s">
        <v>2536</v>
      </c>
      <c r="B319" s="12" t="s">
        <v>187</v>
      </c>
      <c r="C319" s="12" t="s">
        <v>184</v>
      </c>
      <c r="D319" s="12" t="s">
        <v>142</v>
      </c>
      <c r="E319" s="12" t="s">
        <v>2345</v>
      </c>
      <c r="F319" s="12" t="s">
        <v>561</v>
      </c>
      <c r="G319" s="13"/>
      <c r="H319" s="17">
        <v>239.0223</v>
      </c>
      <c r="I319" s="12" t="s">
        <v>186</v>
      </c>
      <c r="J319" s="12" t="s">
        <v>2519</v>
      </c>
    </row>
    <row r="320" spans="1:10" ht="30" customHeight="1">
      <c r="A320" s="12" t="s">
        <v>2537</v>
      </c>
      <c r="B320" s="12" t="s">
        <v>187</v>
      </c>
      <c r="C320" s="12" t="s">
        <v>184</v>
      </c>
      <c r="D320" s="12" t="s">
        <v>142</v>
      </c>
      <c r="E320" s="12" t="s">
        <v>2345</v>
      </c>
      <c r="F320" s="12" t="s">
        <v>562</v>
      </c>
      <c r="G320" s="13"/>
      <c r="H320" s="17">
        <v>27.5268</v>
      </c>
      <c r="I320" s="12" t="s">
        <v>186</v>
      </c>
      <c r="J320" s="12" t="s">
        <v>2519</v>
      </c>
    </row>
    <row r="321" spans="1:10" ht="30" customHeight="1">
      <c r="A321" s="12" t="s">
        <v>2538</v>
      </c>
      <c r="B321" s="12" t="s">
        <v>187</v>
      </c>
      <c r="C321" s="12" t="s">
        <v>184</v>
      </c>
      <c r="D321" s="12" t="s">
        <v>142</v>
      </c>
      <c r="E321" s="12" t="s">
        <v>2345</v>
      </c>
      <c r="F321" s="12" t="s">
        <v>563</v>
      </c>
      <c r="G321" s="17">
        <v>0.1339</v>
      </c>
      <c r="H321" s="17">
        <v>0.1338692616881743</v>
      </c>
      <c r="I321" s="12" t="s">
        <v>186</v>
      </c>
      <c r="J321" s="12" t="s">
        <v>2519</v>
      </c>
    </row>
    <row r="322" spans="1:10" ht="30" customHeight="1">
      <c r="A322" s="12" t="s">
        <v>2539</v>
      </c>
      <c r="B322" s="12" t="s">
        <v>187</v>
      </c>
      <c r="C322" s="12" t="s">
        <v>184</v>
      </c>
      <c r="D322" s="12" t="s">
        <v>142</v>
      </c>
      <c r="E322" s="12" t="s">
        <v>2345</v>
      </c>
      <c r="F322" s="12" t="s">
        <v>564</v>
      </c>
      <c r="G322" s="13"/>
      <c r="H322" s="17">
        <v>31.6567</v>
      </c>
      <c r="I322" s="12" t="s">
        <v>186</v>
      </c>
      <c r="J322" s="12" t="s">
        <v>2519</v>
      </c>
    </row>
    <row r="323" spans="1:10" ht="30" customHeight="1">
      <c r="A323" s="12" t="s">
        <v>2540</v>
      </c>
      <c r="B323" s="12" t="s">
        <v>168</v>
      </c>
      <c r="C323" s="12" t="s">
        <v>165</v>
      </c>
      <c r="D323" s="12" t="s">
        <v>142</v>
      </c>
      <c r="E323" s="12" t="s">
        <v>2345</v>
      </c>
      <c r="F323" s="12" t="s">
        <v>557</v>
      </c>
      <c r="G323" s="13"/>
      <c r="H323" s="17">
        <v>423.1855</v>
      </c>
      <c r="I323" s="12" t="s">
        <v>167</v>
      </c>
      <c r="J323" s="12" t="s">
        <v>2541</v>
      </c>
    </row>
    <row r="324" spans="1:10" ht="30" customHeight="1">
      <c r="A324" s="12" t="s">
        <v>2542</v>
      </c>
      <c r="B324" s="12" t="s">
        <v>168</v>
      </c>
      <c r="C324" s="12" t="s">
        <v>165</v>
      </c>
      <c r="D324" s="12" t="s">
        <v>142</v>
      </c>
      <c r="E324" s="12" t="s">
        <v>2345</v>
      </c>
      <c r="F324" s="12" t="s">
        <v>558</v>
      </c>
      <c r="G324" s="13"/>
      <c r="H324" s="17">
        <v>310.1309</v>
      </c>
      <c r="I324" s="12" t="s">
        <v>167</v>
      </c>
      <c r="J324" s="12" t="s">
        <v>2541</v>
      </c>
    </row>
    <row r="325" spans="1:10" ht="30" customHeight="1">
      <c r="A325" s="12" t="s">
        <v>2543</v>
      </c>
      <c r="B325" s="12" t="s">
        <v>168</v>
      </c>
      <c r="C325" s="12" t="s">
        <v>165</v>
      </c>
      <c r="D325" s="12" t="s">
        <v>142</v>
      </c>
      <c r="E325" s="12" t="s">
        <v>2345</v>
      </c>
      <c r="F325" s="12" t="s">
        <v>559</v>
      </c>
      <c r="G325" s="13"/>
      <c r="H325" s="17">
        <v>18.4307</v>
      </c>
      <c r="I325" s="12" t="s">
        <v>167</v>
      </c>
      <c r="J325" s="12" t="s">
        <v>2541</v>
      </c>
    </row>
    <row r="326" spans="1:10" ht="30" customHeight="1">
      <c r="A326" s="12" t="s">
        <v>2544</v>
      </c>
      <c r="B326" s="12" t="s">
        <v>168</v>
      </c>
      <c r="C326" s="12" t="s">
        <v>165</v>
      </c>
      <c r="D326" s="12" t="s">
        <v>142</v>
      </c>
      <c r="E326" s="12" t="s">
        <v>2345</v>
      </c>
      <c r="F326" s="12" t="s">
        <v>561</v>
      </c>
      <c r="G326" s="13"/>
      <c r="H326" s="17">
        <v>111.7343</v>
      </c>
      <c r="I326" s="12" t="s">
        <v>167</v>
      </c>
      <c r="J326" s="12" t="s">
        <v>2541</v>
      </c>
    </row>
    <row r="327" spans="1:10" ht="30" customHeight="1">
      <c r="A327" s="12" t="s">
        <v>2545</v>
      </c>
      <c r="B327" s="12" t="s">
        <v>168</v>
      </c>
      <c r="C327" s="12" t="s">
        <v>165</v>
      </c>
      <c r="D327" s="12" t="s">
        <v>142</v>
      </c>
      <c r="E327" s="12" t="s">
        <v>2345</v>
      </c>
      <c r="F327" s="12" t="s">
        <v>562</v>
      </c>
      <c r="G327" s="13"/>
      <c r="H327" s="17">
        <v>11.3291</v>
      </c>
      <c r="I327" s="12" t="s">
        <v>167</v>
      </c>
      <c r="J327" s="12" t="s">
        <v>2541</v>
      </c>
    </row>
    <row r="328" spans="1:10" ht="30" customHeight="1">
      <c r="A328" s="12" t="s">
        <v>2546</v>
      </c>
      <c r="B328" s="12" t="s">
        <v>168</v>
      </c>
      <c r="C328" s="12" t="s">
        <v>165</v>
      </c>
      <c r="D328" s="12" t="s">
        <v>142</v>
      </c>
      <c r="E328" s="12" t="s">
        <v>2345</v>
      </c>
      <c r="F328" s="12" t="s">
        <v>563</v>
      </c>
      <c r="G328" s="13"/>
      <c r="H328" s="17">
        <v>0.1137132171753722</v>
      </c>
      <c r="I328" s="12" t="s">
        <v>167</v>
      </c>
      <c r="J328" s="12" t="s">
        <v>2541</v>
      </c>
    </row>
    <row r="329" spans="1:10" ht="30" customHeight="1">
      <c r="A329" s="12" t="s">
        <v>2547</v>
      </c>
      <c r="B329" s="12" t="s">
        <v>168</v>
      </c>
      <c r="C329" s="12" t="s">
        <v>165</v>
      </c>
      <c r="D329" s="12" t="s">
        <v>142</v>
      </c>
      <c r="E329" s="12" t="s">
        <v>2345</v>
      </c>
      <c r="F329" s="12" t="s">
        <v>564</v>
      </c>
      <c r="G329" s="13"/>
      <c r="H329" s="17">
        <v>21.6696</v>
      </c>
      <c r="I329" s="12" t="s">
        <v>167</v>
      </c>
      <c r="J329" s="12" t="s">
        <v>2541</v>
      </c>
    </row>
    <row r="330" spans="1:10" ht="30" customHeight="1">
      <c r="A330" s="12" t="s">
        <v>2548</v>
      </c>
      <c r="B330" s="12" t="s">
        <v>227</v>
      </c>
      <c r="C330" s="12" t="s">
        <v>223</v>
      </c>
      <c r="D330" s="12" t="s">
        <v>207</v>
      </c>
      <c r="E330" s="12" t="s">
        <v>2345</v>
      </c>
      <c r="F330" s="12" t="s">
        <v>557</v>
      </c>
      <c r="G330" s="17">
        <v>13538</v>
      </c>
      <c r="H330" s="17">
        <v>12741.32</v>
      </c>
      <c r="I330" s="12" t="s">
        <v>226</v>
      </c>
      <c r="J330" s="12" t="s">
        <v>2549</v>
      </c>
    </row>
    <row r="331" spans="1:10" ht="30" customHeight="1">
      <c r="A331" s="12" t="s">
        <v>2550</v>
      </c>
      <c r="B331" s="12" t="s">
        <v>227</v>
      </c>
      <c r="C331" s="12" t="s">
        <v>223</v>
      </c>
      <c r="D331" s="12" t="s">
        <v>207</v>
      </c>
      <c r="E331" s="12" t="s">
        <v>2345</v>
      </c>
      <c r="F331" s="12" t="s">
        <v>558</v>
      </c>
      <c r="G331" s="13"/>
      <c r="H331" s="17">
        <v>12732.23</v>
      </c>
      <c r="I331" s="12" t="s">
        <v>226</v>
      </c>
      <c r="J331" s="12" t="s">
        <v>2549</v>
      </c>
    </row>
    <row r="332" spans="1:10" ht="30" customHeight="1">
      <c r="A332" s="12" t="s">
        <v>2551</v>
      </c>
      <c r="B332" s="12" t="s">
        <v>227</v>
      </c>
      <c r="C332" s="12" t="s">
        <v>223</v>
      </c>
      <c r="D332" s="12" t="s">
        <v>207</v>
      </c>
      <c r="E332" s="12" t="s">
        <v>2345</v>
      </c>
      <c r="F332" s="12" t="s">
        <v>559</v>
      </c>
      <c r="G332" s="13"/>
      <c r="H332" s="17">
        <v>604.27</v>
      </c>
      <c r="I332" s="12" t="s">
        <v>226</v>
      </c>
      <c r="J332" s="12" t="s">
        <v>2549</v>
      </c>
    </row>
    <row r="333" spans="1:10" ht="30" customHeight="1">
      <c r="A333" s="12" t="s">
        <v>2552</v>
      </c>
      <c r="B333" s="12" t="s">
        <v>227</v>
      </c>
      <c r="C333" s="12" t="s">
        <v>223</v>
      </c>
      <c r="D333" s="12" t="s">
        <v>207</v>
      </c>
      <c r="E333" s="12" t="s">
        <v>2345</v>
      </c>
      <c r="F333" s="12" t="s">
        <v>561</v>
      </c>
      <c r="G333" s="13"/>
      <c r="H333" s="17">
        <v>2408.19</v>
      </c>
      <c r="I333" s="12" t="s">
        <v>226</v>
      </c>
      <c r="J333" s="12" t="s">
        <v>2549</v>
      </c>
    </row>
    <row r="334" spans="1:10" ht="30" customHeight="1">
      <c r="A334" s="12" t="s">
        <v>2553</v>
      </c>
      <c r="B334" s="12" t="s">
        <v>227</v>
      </c>
      <c r="C334" s="12" t="s">
        <v>223</v>
      </c>
      <c r="D334" s="12" t="s">
        <v>207</v>
      </c>
      <c r="E334" s="12" t="s">
        <v>2345</v>
      </c>
      <c r="F334" s="12" t="s">
        <v>562</v>
      </c>
      <c r="G334" s="13"/>
      <c r="H334" s="17">
        <v>152.82</v>
      </c>
      <c r="I334" s="12" t="s">
        <v>226</v>
      </c>
      <c r="J334" s="12" t="s">
        <v>2549</v>
      </c>
    </row>
    <row r="335" spans="1:10" ht="30" customHeight="1">
      <c r="A335" s="12" t="s">
        <v>2554</v>
      </c>
      <c r="B335" s="12" t="s">
        <v>227</v>
      </c>
      <c r="C335" s="12" t="s">
        <v>223</v>
      </c>
      <c r="D335" s="12" t="s">
        <v>207</v>
      </c>
      <c r="E335" s="12" t="s">
        <v>2345</v>
      </c>
      <c r="F335" s="12" t="s">
        <v>563</v>
      </c>
      <c r="G335" s="13"/>
      <c r="H335" s="17">
        <v>0.06805884003366869</v>
      </c>
      <c r="I335" s="12" t="s">
        <v>226</v>
      </c>
      <c r="J335" s="12" t="s">
        <v>2549</v>
      </c>
    </row>
    <row r="336" spans="1:10" ht="30" customHeight="1">
      <c r="A336" s="12" t="s">
        <v>2555</v>
      </c>
      <c r="B336" s="12" t="s">
        <v>227</v>
      </c>
      <c r="C336" s="12" t="s">
        <v>223</v>
      </c>
      <c r="D336" s="12" t="s">
        <v>207</v>
      </c>
      <c r="E336" s="12" t="s">
        <v>2345</v>
      </c>
      <c r="F336" s="12" t="s">
        <v>564</v>
      </c>
      <c r="G336" s="13"/>
      <c r="H336" s="17">
        <v>858.78</v>
      </c>
      <c r="I336" s="12" t="s">
        <v>226</v>
      </c>
      <c r="J336" s="12" t="s">
        <v>2549</v>
      </c>
    </row>
    <row r="337" spans="1:10" ht="30" customHeight="1">
      <c r="A337" s="12" t="s">
        <v>2556</v>
      </c>
      <c r="B337" s="12" t="s">
        <v>278</v>
      </c>
      <c r="C337" s="12" t="s">
        <v>274</v>
      </c>
      <c r="D337" s="12" t="s">
        <v>207</v>
      </c>
      <c r="E337" s="12" t="s">
        <v>2345</v>
      </c>
      <c r="F337" s="12" t="s">
        <v>557</v>
      </c>
      <c r="G337" s="17">
        <v>21567.9</v>
      </c>
      <c r="H337" s="17">
        <v>19794.5</v>
      </c>
      <c r="I337" s="12" t="s">
        <v>277</v>
      </c>
      <c r="J337" s="12" t="s">
        <v>2549</v>
      </c>
    </row>
    <row r="338" spans="1:10" ht="30" customHeight="1">
      <c r="A338" s="12" t="s">
        <v>2557</v>
      </c>
      <c r="B338" s="12" t="s">
        <v>278</v>
      </c>
      <c r="C338" s="12" t="s">
        <v>274</v>
      </c>
      <c r="D338" s="12" t="s">
        <v>207</v>
      </c>
      <c r="E338" s="12" t="s">
        <v>2345</v>
      </c>
      <c r="F338" s="12" t="s">
        <v>558</v>
      </c>
      <c r="G338" s="13"/>
      <c r="H338" s="17">
        <v>9310.870000000001</v>
      </c>
      <c r="I338" s="12" t="s">
        <v>277</v>
      </c>
      <c r="J338" s="12" t="s">
        <v>2549</v>
      </c>
    </row>
    <row r="339" spans="1:10" ht="30" customHeight="1">
      <c r="A339" s="12" t="s">
        <v>2558</v>
      </c>
      <c r="B339" s="12" t="s">
        <v>278</v>
      </c>
      <c r="C339" s="12" t="s">
        <v>274</v>
      </c>
      <c r="D339" s="12" t="s">
        <v>207</v>
      </c>
      <c r="E339" s="12" t="s">
        <v>2345</v>
      </c>
      <c r="F339" s="12" t="s">
        <v>559</v>
      </c>
      <c r="G339" s="17">
        <v>169.7</v>
      </c>
      <c r="H339" s="17">
        <v>183.98</v>
      </c>
      <c r="I339" s="12" t="s">
        <v>277</v>
      </c>
      <c r="J339" s="12" t="s">
        <v>2549</v>
      </c>
    </row>
    <row r="340" spans="1:10" ht="30" customHeight="1">
      <c r="A340" s="12" t="s">
        <v>2559</v>
      </c>
      <c r="B340" s="12" t="s">
        <v>278</v>
      </c>
      <c r="C340" s="12" t="s">
        <v>274</v>
      </c>
      <c r="D340" s="12" t="s">
        <v>207</v>
      </c>
      <c r="E340" s="12" t="s">
        <v>2345</v>
      </c>
      <c r="F340" s="12" t="s">
        <v>561</v>
      </c>
      <c r="G340" s="13"/>
      <c r="H340" s="17">
        <v>1995.77</v>
      </c>
      <c r="I340" s="12" t="s">
        <v>277</v>
      </c>
      <c r="J340" s="12" t="s">
        <v>2549</v>
      </c>
    </row>
    <row r="341" spans="1:10" ht="30" customHeight="1">
      <c r="A341" s="12" t="s">
        <v>2560</v>
      </c>
      <c r="B341" s="12" t="s">
        <v>278</v>
      </c>
      <c r="C341" s="12" t="s">
        <v>274</v>
      </c>
      <c r="D341" s="12" t="s">
        <v>207</v>
      </c>
      <c r="E341" s="12" t="s">
        <v>2345</v>
      </c>
      <c r="F341" s="12" t="s">
        <v>562</v>
      </c>
      <c r="G341" s="13"/>
      <c r="H341" s="17">
        <v>225.68</v>
      </c>
      <c r="I341" s="12" t="s">
        <v>277</v>
      </c>
      <c r="J341" s="12" t="s">
        <v>2549</v>
      </c>
    </row>
    <row r="342" spans="1:10" ht="30" customHeight="1">
      <c r="A342" s="12" t="s">
        <v>2561</v>
      </c>
      <c r="B342" s="12" t="s">
        <v>278</v>
      </c>
      <c r="C342" s="12" t="s">
        <v>274</v>
      </c>
      <c r="D342" s="12" t="s">
        <v>207</v>
      </c>
      <c r="E342" s="12" t="s">
        <v>2345</v>
      </c>
      <c r="F342" s="12" t="s">
        <v>563</v>
      </c>
      <c r="G342" s="13"/>
      <c r="H342" s="17">
        <v>0.07418681481237981</v>
      </c>
      <c r="I342" s="12" t="s">
        <v>277</v>
      </c>
      <c r="J342" s="12" t="s">
        <v>2549</v>
      </c>
    </row>
    <row r="343" spans="1:10" ht="30" customHeight="1">
      <c r="A343" s="12" t="s">
        <v>2562</v>
      </c>
      <c r="B343" s="12" t="s">
        <v>278</v>
      </c>
      <c r="C343" s="12" t="s">
        <v>274</v>
      </c>
      <c r="D343" s="12" t="s">
        <v>207</v>
      </c>
      <c r="E343" s="12" t="s">
        <v>2345</v>
      </c>
      <c r="F343" s="12" t="s">
        <v>564</v>
      </c>
      <c r="G343" s="13"/>
      <c r="H343" s="17">
        <v>204.03</v>
      </c>
      <c r="I343" s="12" t="s">
        <v>277</v>
      </c>
      <c r="J343" s="12" t="s">
        <v>2549</v>
      </c>
    </row>
    <row r="344" spans="1:10" ht="30" customHeight="1">
      <c r="A344" s="12" t="s">
        <v>2563</v>
      </c>
      <c r="B344" s="12" t="s">
        <v>212</v>
      </c>
      <c r="C344" s="12" t="s">
        <v>206</v>
      </c>
      <c r="D344" s="12" t="s">
        <v>207</v>
      </c>
      <c r="E344" s="12" t="s">
        <v>2345</v>
      </c>
      <c r="F344" s="12" t="s">
        <v>557</v>
      </c>
      <c r="G344" s="13"/>
      <c r="H344" s="17">
        <v>16646.2</v>
      </c>
      <c r="I344" s="12" t="s">
        <v>211</v>
      </c>
      <c r="J344" s="12" t="s">
        <v>2549</v>
      </c>
    </row>
    <row r="345" spans="1:10" ht="30" customHeight="1">
      <c r="A345" s="12" t="s">
        <v>2564</v>
      </c>
      <c r="B345" s="12" t="s">
        <v>212</v>
      </c>
      <c r="C345" s="12" t="s">
        <v>206</v>
      </c>
      <c r="D345" s="12" t="s">
        <v>207</v>
      </c>
      <c r="E345" s="12" t="s">
        <v>2345</v>
      </c>
      <c r="F345" s="12" t="s">
        <v>558</v>
      </c>
      <c r="G345" s="13"/>
      <c r="H345" s="17">
        <v>11406.71</v>
      </c>
      <c r="I345" s="12" t="s">
        <v>211</v>
      </c>
      <c r="J345" s="12" t="s">
        <v>2549</v>
      </c>
    </row>
    <row r="346" spans="1:10" ht="30" customHeight="1">
      <c r="A346" s="12" t="s">
        <v>2565</v>
      </c>
      <c r="B346" s="12" t="s">
        <v>212</v>
      </c>
      <c r="C346" s="12" t="s">
        <v>206</v>
      </c>
      <c r="D346" s="12" t="s">
        <v>207</v>
      </c>
      <c r="E346" s="12" t="s">
        <v>2345</v>
      </c>
      <c r="F346" s="12" t="s">
        <v>559</v>
      </c>
      <c r="G346" s="13"/>
      <c r="H346" s="17">
        <v>1649.39</v>
      </c>
      <c r="I346" s="12" t="s">
        <v>211</v>
      </c>
      <c r="J346" s="12" t="s">
        <v>2549</v>
      </c>
    </row>
    <row r="347" spans="1:10" ht="30" customHeight="1">
      <c r="A347" s="12" t="s">
        <v>2566</v>
      </c>
      <c r="B347" s="12" t="s">
        <v>212</v>
      </c>
      <c r="C347" s="12" t="s">
        <v>206</v>
      </c>
      <c r="D347" s="12" t="s">
        <v>207</v>
      </c>
      <c r="E347" s="12" t="s">
        <v>2345</v>
      </c>
      <c r="F347" s="12" t="s">
        <v>561</v>
      </c>
      <c r="G347" s="13"/>
      <c r="H347" s="17">
        <v>82.33</v>
      </c>
      <c r="I347" s="12" t="s">
        <v>211</v>
      </c>
      <c r="J347" s="12" t="s">
        <v>2549</v>
      </c>
    </row>
    <row r="348" spans="1:10" ht="30" customHeight="1">
      <c r="A348" s="12" t="s">
        <v>2567</v>
      </c>
      <c r="B348" s="12" t="s">
        <v>212</v>
      </c>
      <c r="C348" s="12" t="s">
        <v>206</v>
      </c>
      <c r="D348" s="12" t="s">
        <v>207</v>
      </c>
      <c r="E348" s="12" t="s">
        <v>2345</v>
      </c>
      <c r="F348" s="12" t="s">
        <v>562</v>
      </c>
      <c r="G348" s="13"/>
      <c r="H348" s="17">
        <v>48.42</v>
      </c>
      <c r="I348" s="12" t="s">
        <v>211</v>
      </c>
      <c r="J348" s="12" t="s">
        <v>2549</v>
      </c>
    </row>
    <row r="349" spans="1:10" ht="30" customHeight="1">
      <c r="A349" s="12" t="s">
        <v>2568</v>
      </c>
      <c r="B349" s="12" t="s">
        <v>212</v>
      </c>
      <c r="C349" s="12" t="s">
        <v>206</v>
      </c>
      <c r="D349" s="12" t="s">
        <v>207</v>
      </c>
      <c r="E349" s="12" t="s">
        <v>2345</v>
      </c>
      <c r="F349" s="12" t="s">
        <v>563</v>
      </c>
      <c r="G349" s="13"/>
      <c r="H349" s="17">
        <v>0.05002376180341758</v>
      </c>
      <c r="I349" s="12" t="s">
        <v>211</v>
      </c>
      <c r="J349" s="12" t="s">
        <v>2549</v>
      </c>
    </row>
    <row r="350" spans="1:10" ht="30" customHeight="1">
      <c r="A350" s="12" t="s">
        <v>2569</v>
      </c>
      <c r="B350" s="12" t="s">
        <v>212</v>
      </c>
      <c r="C350" s="12" t="s">
        <v>206</v>
      </c>
      <c r="D350" s="12" t="s">
        <v>207</v>
      </c>
      <c r="E350" s="12" t="s">
        <v>2345</v>
      </c>
      <c r="F350" s="12" t="s">
        <v>564</v>
      </c>
      <c r="G350" s="13"/>
      <c r="H350" s="17">
        <v>572.95</v>
      </c>
      <c r="I350" s="12" t="s">
        <v>211</v>
      </c>
      <c r="J350" s="12" t="s">
        <v>2549</v>
      </c>
    </row>
    <row r="351" spans="1:10" ht="30" customHeight="1">
      <c r="A351" s="12" t="s">
        <v>2570</v>
      </c>
      <c r="B351" s="12" t="s">
        <v>300</v>
      </c>
      <c r="C351" s="12" t="s">
        <v>296</v>
      </c>
      <c r="D351" s="12" t="s">
        <v>207</v>
      </c>
      <c r="E351" s="12" t="s">
        <v>2345</v>
      </c>
      <c r="F351" s="12" t="s">
        <v>557</v>
      </c>
      <c r="G351" s="13"/>
      <c r="H351" s="17">
        <v>14693.07</v>
      </c>
      <c r="I351" s="12" t="s">
        <v>299</v>
      </c>
      <c r="J351" s="12" t="s">
        <v>2549</v>
      </c>
    </row>
    <row r="352" spans="1:10" ht="30" customHeight="1">
      <c r="A352" s="12" t="s">
        <v>2571</v>
      </c>
      <c r="B352" s="12" t="s">
        <v>300</v>
      </c>
      <c r="C352" s="12" t="s">
        <v>296</v>
      </c>
      <c r="D352" s="12" t="s">
        <v>207</v>
      </c>
      <c r="E352" s="12" t="s">
        <v>2345</v>
      </c>
      <c r="F352" s="12" t="s">
        <v>558</v>
      </c>
      <c r="G352" s="17">
        <v>22261</v>
      </c>
      <c r="H352" s="17">
        <v>21557.12</v>
      </c>
      <c r="I352" s="12" t="s">
        <v>299</v>
      </c>
      <c r="J352" s="12" t="s">
        <v>2549</v>
      </c>
    </row>
    <row r="353" spans="1:10" ht="30" customHeight="1">
      <c r="A353" s="12" t="s">
        <v>2572</v>
      </c>
      <c r="B353" s="12" t="s">
        <v>300</v>
      </c>
      <c r="C353" s="12" t="s">
        <v>296</v>
      </c>
      <c r="D353" s="12" t="s">
        <v>207</v>
      </c>
      <c r="E353" s="12" t="s">
        <v>2345</v>
      </c>
      <c r="F353" s="12" t="s">
        <v>559</v>
      </c>
      <c r="G353" s="13"/>
      <c r="H353" s="17">
        <v>1250.78</v>
      </c>
      <c r="I353" s="12" t="s">
        <v>299</v>
      </c>
      <c r="J353" s="12" t="s">
        <v>2549</v>
      </c>
    </row>
    <row r="354" spans="1:10" ht="30" customHeight="1">
      <c r="A354" s="12" t="s">
        <v>2573</v>
      </c>
      <c r="B354" s="12" t="s">
        <v>300</v>
      </c>
      <c r="C354" s="12" t="s">
        <v>296</v>
      </c>
      <c r="D354" s="12" t="s">
        <v>207</v>
      </c>
      <c r="E354" s="12" t="s">
        <v>2345</v>
      </c>
      <c r="F354" s="12" t="s">
        <v>561</v>
      </c>
      <c r="G354" s="17">
        <v>4527</v>
      </c>
      <c r="H354" s="17">
        <v>4641.24</v>
      </c>
      <c r="I354" s="12" t="s">
        <v>299</v>
      </c>
      <c r="J354" s="12" t="s">
        <v>2549</v>
      </c>
    </row>
    <row r="355" spans="1:10" ht="30" customHeight="1">
      <c r="A355" s="12" t="s">
        <v>2574</v>
      </c>
      <c r="B355" s="12" t="s">
        <v>300</v>
      </c>
      <c r="C355" s="12" t="s">
        <v>296</v>
      </c>
      <c r="D355" s="12" t="s">
        <v>207</v>
      </c>
      <c r="E355" s="12" t="s">
        <v>2345</v>
      </c>
      <c r="F355" s="12" t="s">
        <v>562</v>
      </c>
      <c r="G355" s="13"/>
      <c r="H355" s="17">
        <v>375.96</v>
      </c>
      <c r="I355" s="12" t="s">
        <v>299</v>
      </c>
      <c r="J355" s="12" t="s">
        <v>2549</v>
      </c>
    </row>
    <row r="356" spans="1:10" ht="30" customHeight="1">
      <c r="A356" s="12" t="s">
        <v>2575</v>
      </c>
      <c r="B356" s="12" t="s">
        <v>300</v>
      </c>
      <c r="C356" s="12" t="s">
        <v>296</v>
      </c>
      <c r="D356" s="12" t="s">
        <v>207</v>
      </c>
      <c r="E356" s="12" t="s">
        <v>2345</v>
      </c>
      <c r="F356" s="12" t="s">
        <v>563</v>
      </c>
      <c r="G356" s="13"/>
      <c r="H356" s="17">
        <v>0.07864054518756511</v>
      </c>
      <c r="I356" s="12" t="s">
        <v>299</v>
      </c>
      <c r="J356" s="12" t="s">
        <v>2549</v>
      </c>
    </row>
    <row r="357" spans="1:10" ht="30" customHeight="1">
      <c r="A357" s="12" t="s">
        <v>2576</v>
      </c>
      <c r="B357" s="12" t="s">
        <v>300</v>
      </c>
      <c r="C357" s="12" t="s">
        <v>296</v>
      </c>
      <c r="D357" s="12" t="s">
        <v>207</v>
      </c>
      <c r="E357" s="12" t="s">
        <v>2345</v>
      </c>
      <c r="F357" s="12" t="s">
        <v>564</v>
      </c>
      <c r="G357" s="13"/>
      <c r="H357" s="17">
        <v>1231.45</v>
      </c>
      <c r="I357" s="12" t="s">
        <v>299</v>
      </c>
      <c r="J357" s="12" t="s">
        <v>2549</v>
      </c>
    </row>
    <row r="358" spans="1:10" ht="30" customHeight="1">
      <c r="A358" s="12" t="s">
        <v>2577</v>
      </c>
      <c r="B358" s="12" t="s">
        <v>284</v>
      </c>
      <c r="C358" s="12" t="s">
        <v>280</v>
      </c>
      <c r="D358" s="12" t="s">
        <v>207</v>
      </c>
      <c r="E358" s="12" t="s">
        <v>2345</v>
      </c>
      <c r="F358" s="12" t="s">
        <v>557</v>
      </c>
      <c r="G358" s="13"/>
      <c r="H358" s="17">
        <v>7977.8</v>
      </c>
      <c r="I358" s="12" t="s">
        <v>283</v>
      </c>
      <c r="J358" s="12" t="s">
        <v>2549</v>
      </c>
    </row>
    <row r="359" spans="1:10" ht="30" customHeight="1">
      <c r="A359" s="12" t="s">
        <v>2578</v>
      </c>
      <c r="B359" s="12" t="s">
        <v>284</v>
      </c>
      <c r="C359" s="12" t="s">
        <v>280</v>
      </c>
      <c r="D359" s="12" t="s">
        <v>207</v>
      </c>
      <c r="E359" s="12" t="s">
        <v>2345</v>
      </c>
      <c r="F359" s="12" t="s">
        <v>558</v>
      </c>
      <c r="G359" s="13"/>
      <c r="H359" s="17">
        <v>12276.7</v>
      </c>
      <c r="I359" s="12" t="s">
        <v>283</v>
      </c>
      <c r="J359" s="12" t="s">
        <v>2549</v>
      </c>
    </row>
    <row r="360" spans="1:10" ht="30" customHeight="1">
      <c r="A360" s="12" t="s">
        <v>2579</v>
      </c>
      <c r="B360" s="12" t="s">
        <v>284</v>
      </c>
      <c r="C360" s="12" t="s">
        <v>280</v>
      </c>
      <c r="D360" s="12" t="s">
        <v>207</v>
      </c>
      <c r="E360" s="12" t="s">
        <v>2345</v>
      </c>
      <c r="F360" s="12" t="s">
        <v>559</v>
      </c>
      <c r="G360" s="13"/>
      <c r="H360" s="17">
        <v>1660.2</v>
      </c>
      <c r="I360" s="12" t="s">
        <v>283</v>
      </c>
      <c r="J360" s="12" t="s">
        <v>2549</v>
      </c>
    </row>
    <row r="361" spans="1:10" ht="30" customHeight="1">
      <c r="A361" s="12" t="s">
        <v>2580</v>
      </c>
      <c r="B361" s="12" t="s">
        <v>284</v>
      </c>
      <c r="C361" s="12" t="s">
        <v>280</v>
      </c>
      <c r="D361" s="12" t="s">
        <v>207</v>
      </c>
      <c r="E361" s="12" t="s">
        <v>2345</v>
      </c>
      <c r="F361" s="12" t="s">
        <v>561</v>
      </c>
      <c r="G361" s="13"/>
      <c r="H361" s="17">
        <v>111.7</v>
      </c>
      <c r="I361" s="12" t="s">
        <v>283</v>
      </c>
      <c r="J361" s="12" t="s">
        <v>2549</v>
      </c>
    </row>
    <row r="362" spans="1:10" ht="30" customHeight="1">
      <c r="A362" s="12" t="s">
        <v>2581</v>
      </c>
      <c r="B362" s="12" t="s">
        <v>284</v>
      </c>
      <c r="C362" s="12" t="s">
        <v>280</v>
      </c>
      <c r="D362" s="12" t="s">
        <v>207</v>
      </c>
      <c r="E362" s="12" t="s">
        <v>2345</v>
      </c>
      <c r="F362" s="12" t="s">
        <v>562</v>
      </c>
      <c r="G362" s="13"/>
      <c r="H362" s="17">
        <v>33</v>
      </c>
      <c r="I362" s="12" t="s">
        <v>283</v>
      </c>
      <c r="J362" s="12" t="s">
        <v>2549</v>
      </c>
    </row>
    <row r="363" spans="1:10" ht="30" customHeight="1">
      <c r="A363" s="12" t="s">
        <v>2582</v>
      </c>
      <c r="B363" s="12" t="s">
        <v>284</v>
      </c>
      <c r="C363" s="12" t="s">
        <v>280</v>
      </c>
      <c r="D363" s="12" t="s">
        <v>207</v>
      </c>
      <c r="E363" s="12" t="s">
        <v>2345</v>
      </c>
      <c r="F363" s="12" t="s">
        <v>563</v>
      </c>
      <c r="G363" s="13"/>
      <c r="H363" s="17">
        <v>0.2754590984974958</v>
      </c>
      <c r="I363" s="12" t="s">
        <v>283</v>
      </c>
      <c r="J363" s="12" t="s">
        <v>2549</v>
      </c>
    </row>
    <row r="364" spans="1:10" ht="30" customHeight="1">
      <c r="A364" s="12" t="s">
        <v>2583</v>
      </c>
      <c r="B364" s="12" t="s">
        <v>284</v>
      </c>
      <c r="C364" s="12" t="s">
        <v>280</v>
      </c>
      <c r="D364" s="12" t="s">
        <v>207</v>
      </c>
      <c r="E364" s="12" t="s">
        <v>2345</v>
      </c>
      <c r="F364" s="12" t="s">
        <v>564</v>
      </c>
      <c r="G364" s="13"/>
      <c r="H364" s="17">
        <v>850</v>
      </c>
      <c r="I364" s="12" t="s">
        <v>283</v>
      </c>
      <c r="J364" s="12" t="s">
        <v>2549</v>
      </c>
    </row>
    <row r="365" spans="1:10" ht="30" customHeight="1">
      <c r="A365" s="12" t="s">
        <v>2584</v>
      </c>
      <c r="B365" s="12" t="s">
        <v>272</v>
      </c>
      <c r="C365" s="12" t="s">
        <v>269</v>
      </c>
      <c r="D365" s="12" t="s">
        <v>207</v>
      </c>
      <c r="E365" s="12" t="s">
        <v>2345</v>
      </c>
      <c r="F365" s="12" t="s">
        <v>557</v>
      </c>
      <c r="G365" s="13"/>
      <c r="H365" s="17">
        <v>3331.8959</v>
      </c>
      <c r="I365" s="12" t="s">
        <v>271</v>
      </c>
      <c r="J365" s="12" t="s">
        <v>2585</v>
      </c>
    </row>
    <row r="366" spans="1:10" ht="30" customHeight="1">
      <c r="A366" s="12" t="s">
        <v>2586</v>
      </c>
      <c r="B366" s="12" t="s">
        <v>272</v>
      </c>
      <c r="C366" s="12" t="s">
        <v>269</v>
      </c>
      <c r="D366" s="12" t="s">
        <v>207</v>
      </c>
      <c r="E366" s="12" t="s">
        <v>2345</v>
      </c>
      <c r="F366" s="12" t="s">
        <v>558</v>
      </c>
      <c r="G366" s="13"/>
      <c r="H366" s="17">
        <v>2332.5262</v>
      </c>
      <c r="I366" s="12" t="s">
        <v>271</v>
      </c>
      <c r="J366" s="12" t="s">
        <v>2585</v>
      </c>
    </row>
    <row r="367" spans="1:10" ht="30" customHeight="1">
      <c r="A367" s="12" t="s">
        <v>2587</v>
      </c>
      <c r="B367" s="12" t="s">
        <v>272</v>
      </c>
      <c r="C367" s="12" t="s">
        <v>269</v>
      </c>
      <c r="D367" s="12" t="s">
        <v>207</v>
      </c>
      <c r="E367" s="12" t="s">
        <v>2345</v>
      </c>
      <c r="F367" s="12" t="s">
        <v>559</v>
      </c>
      <c r="G367" s="13"/>
      <c r="H367" s="17">
        <v>143.7127</v>
      </c>
      <c r="I367" s="12" t="s">
        <v>271</v>
      </c>
      <c r="J367" s="12" t="s">
        <v>2585</v>
      </c>
    </row>
    <row r="368" spans="1:10" ht="30" customHeight="1">
      <c r="A368" s="12" t="s">
        <v>2588</v>
      </c>
      <c r="B368" s="12" t="s">
        <v>272</v>
      </c>
      <c r="C368" s="12" t="s">
        <v>269</v>
      </c>
      <c r="D368" s="12" t="s">
        <v>207</v>
      </c>
      <c r="E368" s="12" t="s">
        <v>2345</v>
      </c>
      <c r="F368" s="12" t="s">
        <v>561</v>
      </c>
      <c r="G368" s="13"/>
      <c r="H368" s="17">
        <v>722.6721</v>
      </c>
      <c r="I368" s="12" t="s">
        <v>271</v>
      </c>
      <c r="J368" s="12" t="s">
        <v>2585</v>
      </c>
    </row>
    <row r="369" spans="1:10" ht="30" customHeight="1">
      <c r="A369" s="12" t="s">
        <v>2589</v>
      </c>
      <c r="B369" s="12" t="s">
        <v>272</v>
      </c>
      <c r="C369" s="12" t="s">
        <v>269</v>
      </c>
      <c r="D369" s="12" t="s">
        <v>207</v>
      </c>
      <c r="E369" s="12" t="s">
        <v>2345</v>
      </c>
      <c r="F369" s="12" t="s">
        <v>562</v>
      </c>
      <c r="G369" s="13"/>
      <c r="H369" s="17">
        <v>76.39579999999999</v>
      </c>
      <c r="I369" s="12" t="s">
        <v>271</v>
      </c>
      <c r="J369" s="12" t="s">
        <v>2585</v>
      </c>
    </row>
    <row r="370" spans="1:10" ht="30" customHeight="1">
      <c r="A370" s="12" t="s">
        <v>2590</v>
      </c>
      <c r="B370" s="12" t="s">
        <v>272</v>
      </c>
      <c r="C370" s="12" t="s">
        <v>269</v>
      </c>
      <c r="D370" s="12" t="s">
        <v>207</v>
      </c>
      <c r="E370" s="12" t="s">
        <v>2345</v>
      </c>
      <c r="F370" s="12" t="s">
        <v>563</v>
      </c>
      <c r="G370" s="13"/>
      <c r="H370" s="17">
        <v>0.08770443633197586</v>
      </c>
      <c r="I370" s="12" t="s">
        <v>271</v>
      </c>
      <c r="J370" s="12" t="s">
        <v>2585</v>
      </c>
    </row>
    <row r="371" spans="1:10" ht="30" customHeight="1">
      <c r="A371" s="12" t="s">
        <v>2591</v>
      </c>
      <c r="B371" s="12" t="s">
        <v>272</v>
      </c>
      <c r="C371" s="12" t="s">
        <v>269</v>
      </c>
      <c r="D371" s="12" t="s">
        <v>207</v>
      </c>
      <c r="E371" s="12" t="s">
        <v>2345</v>
      </c>
      <c r="F371" s="12" t="s">
        <v>564</v>
      </c>
      <c r="G371" s="13"/>
      <c r="H371" s="17">
        <v>88.9798</v>
      </c>
      <c r="I371" s="12" t="s">
        <v>271</v>
      </c>
      <c r="J371" s="12" t="s">
        <v>2585</v>
      </c>
    </row>
    <row r="372" spans="1:10" ht="30" customHeight="1">
      <c r="A372" s="12" t="s">
        <v>2592</v>
      </c>
      <c r="B372" s="12" t="s">
        <v>294</v>
      </c>
      <c r="C372" s="12" t="s">
        <v>291</v>
      </c>
      <c r="D372" s="12" t="s">
        <v>207</v>
      </c>
      <c r="E372" s="12" t="s">
        <v>2345</v>
      </c>
      <c r="F372" s="12" t="s">
        <v>557</v>
      </c>
      <c r="G372" s="13"/>
      <c r="H372" s="17">
        <v>3086.33</v>
      </c>
      <c r="I372" s="12" t="s">
        <v>293</v>
      </c>
      <c r="J372" s="12" t="s">
        <v>2549</v>
      </c>
    </row>
    <row r="373" spans="1:10" ht="30" customHeight="1">
      <c r="A373" s="12" t="s">
        <v>2593</v>
      </c>
      <c r="B373" s="12" t="s">
        <v>294</v>
      </c>
      <c r="C373" s="12" t="s">
        <v>291</v>
      </c>
      <c r="D373" s="12" t="s">
        <v>207</v>
      </c>
      <c r="E373" s="12" t="s">
        <v>2345</v>
      </c>
      <c r="F373" s="12" t="s">
        <v>558</v>
      </c>
      <c r="G373" s="13"/>
      <c r="H373" s="17">
        <v>2284.84</v>
      </c>
      <c r="I373" s="12" t="s">
        <v>293</v>
      </c>
      <c r="J373" s="12" t="s">
        <v>2549</v>
      </c>
    </row>
    <row r="374" spans="1:10" ht="30" customHeight="1">
      <c r="A374" s="12" t="s">
        <v>2594</v>
      </c>
      <c r="B374" s="12" t="s">
        <v>294</v>
      </c>
      <c r="C374" s="12" t="s">
        <v>291</v>
      </c>
      <c r="D374" s="12" t="s">
        <v>207</v>
      </c>
      <c r="E374" s="12" t="s">
        <v>2345</v>
      </c>
      <c r="F374" s="12" t="s">
        <v>559</v>
      </c>
      <c r="G374" s="13"/>
      <c r="H374" s="17">
        <v>155.62</v>
      </c>
      <c r="I374" s="12" t="s">
        <v>293</v>
      </c>
      <c r="J374" s="12" t="s">
        <v>2549</v>
      </c>
    </row>
    <row r="375" spans="1:10" ht="30" customHeight="1">
      <c r="A375" s="12" t="s">
        <v>2595</v>
      </c>
      <c r="B375" s="12" t="s">
        <v>294</v>
      </c>
      <c r="C375" s="12" t="s">
        <v>291</v>
      </c>
      <c r="D375" s="12" t="s">
        <v>207</v>
      </c>
      <c r="E375" s="12" t="s">
        <v>2345</v>
      </c>
      <c r="F375" s="12" t="s">
        <v>561</v>
      </c>
      <c r="G375" s="13"/>
      <c r="H375" s="17">
        <v>715.99</v>
      </c>
      <c r="I375" s="12" t="s">
        <v>293</v>
      </c>
      <c r="J375" s="12" t="s">
        <v>2549</v>
      </c>
    </row>
    <row r="376" spans="1:10" ht="30" customHeight="1">
      <c r="A376" s="12" t="s">
        <v>2596</v>
      </c>
      <c r="B376" s="12" t="s">
        <v>294</v>
      </c>
      <c r="C376" s="12" t="s">
        <v>291</v>
      </c>
      <c r="D376" s="12" t="s">
        <v>207</v>
      </c>
      <c r="E376" s="12" t="s">
        <v>2345</v>
      </c>
      <c r="F376" s="12" t="s">
        <v>562</v>
      </c>
      <c r="G376" s="13"/>
      <c r="H376" s="17">
        <v>55.04</v>
      </c>
      <c r="I376" s="12" t="s">
        <v>293</v>
      </c>
      <c r="J376" s="12" t="s">
        <v>2549</v>
      </c>
    </row>
    <row r="377" spans="1:10" ht="30" customHeight="1">
      <c r="A377" s="12" t="s">
        <v>2597</v>
      </c>
      <c r="B377" s="12" t="s">
        <v>294</v>
      </c>
      <c r="C377" s="12" t="s">
        <v>291</v>
      </c>
      <c r="D377" s="12" t="s">
        <v>207</v>
      </c>
      <c r="E377" s="12" t="s">
        <v>2345</v>
      </c>
      <c r="F377" s="12" t="s">
        <v>563</v>
      </c>
      <c r="G377" s="13"/>
      <c r="H377" s="17">
        <v>0.09325494315582589</v>
      </c>
      <c r="I377" s="12" t="s">
        <v>293</v>
      </c>
      <c r="J377" s="12" t="s">
        <v>2549</v>
      </c>
    </row>
    <row r="378" spans="1:10" ht="30" customHeight="1">
      <c r="A378" s="12" t="s">
        <v>2598</v>
      </c>
      <c r="B378" s="12" t="s">
        <v>294</v>
      </c>
      <c r="C378" s="12" t="s">
        <v>291</v>
      </c>
      <c r="D378" s="12" t="s">
        <v>207</v>
      </c>
      <c r="E378" s="12" t="s">
        <v>2345</v>
      </c>
      <c r="F378" s="12" t="s">
        <v>564</v>
      </c>
      <c r="G378" s="13"/>
      <c r="H378" s="17">
        <v>252.66</v>
      </c>
      <c r="I378" s="12" t="s">
        <v>293</v>
      </c>
      <c r="J378" s="12" t="s">
        <v>2549</v>
      </c>
    </row>
    <row r="379" spans="1:10" ht="30" customHeight="1">
      <c r="A379" s="12" t="s">
        <v>2599</v>
      </c>
      <c r="B379" s="12" t="s">
        <v>248</v>
      </c>
      <c r="C379" s="12" t="s">
        <v>244</v>
      </c>
      <c r="D379" s="12" t="s">
        <v>207</v>
      </c>
      <c r="E379" s="12" t="s">
        <v>2345</v>
      </c>
      <c r="F379" s="12" t="s">
        <v>557</v>
      </c>
      <c r="G379" s="17">
        <v>1001.6</v>
      </c>
      <c r="H379" s="17">
        <v>720.1677</v>
      </c>
      <c r="I379" s="12" t="s">
        <v>247</v>
      </c>
      <c r="J379" s="12" t="s">
        <v>2585</v>
      </c>
    </row>
    <row r="380" spans="1:10" ht="30" customHeight="1">
      <c r="A380" s="12" t="s">
        <v>2600</v>
      </c>
      <c r="B380" s="12" t="s">
        <v>248</v>
      </c>
      <c r="C380" s="12" t="s">
        <v>244</v>
      </c>
      <c r="D380" s="12" t="s">
        <v>207</v>
      </c>
      <c r="E380" s="12" t="s">
        <v>2345</v>
      </c>
      <c r="F380" s="12" t="s">
        <v>558</v>
      </c>
      <c r="G380" s="13"/>
      <c r="H380" s="17">
        <v>619.5029</v>
      </c>
      <c r="I380" s="12" t="s">
        <v>247</v>
      </c>
      <c r="J380" s="12" t="s">
        <v>2585</v>
      </c>
    </row>
    <row r="381" spans="1:10" ht="30" customHeight="1">
      <c r="A381" s="12" t="s">
        <v>2601</v>
      </c>
      <c r="B381" s="12" t="s">
        <v>248</v>
      </c>
      <c r="C381" s="12" t="s">
        <v>244</v>
      </c>
      <c r="D381" s="12" t="s">
        <v>207</v>
      </c>
      <c r="E381" s="12" t="s">
        <v>2345</v>
      </c>
      <c r="F381" s="12" t="s">
        <v>559</v>
      </c>
      <c r="G381" s="17">
        <v>68.8</v>
      </c>
      <c r="H381" s="17">
        <v>1.3991</v>
      </c>
      <c r="I381" s="12" t="s">
        <v>247</v>
      </c>
      <c r="J381" s="12" t="s">
        <v>2585</v>
      </c>
    </row>
    <row r="382" spans="1:10" ht="30" customHeight="1">
      <c r="A382" s="12" t="s">
        <v>2602</v>
      </c>
      <c r="B382" s="12" t="s">
        <v>248</v>
      </c>
      <c r="C382" s="12" t="s">
        <v>244</v>
      </c>
      <c r="D382" s="12" t="s">
        <v>207</v>
      </c>
      <c r="E382" s="12" t="s">
        <v>2345</v>
      </c>
      <c r="F382" s="12" t="s">
        <v>561</v>
      </c>
      <c r="G382" s="13"/>
      <c r="H382" s="17">
        <v>312.8013</v>
      </c>
      <c r="I382" s="12" t="s">
        <v>247</v>
      </c>
      <c r="J382" s="12" t="s">
        <v>2585</v>
      </c>
    </row>
    <row r="383" spans="1:10" ht="30" customHeight="1">
      <c r="A383" s="12" t="s">
        <v>2603</v>
      </c>
      <c r="B383" s="12" t="s">
        <v>248</v>
      </c>
      <c r="C383" s="12" t="s">
        <v>244</v>
      </c>
      <c r="D383" s="12" t="s">
        <v>207</v>
      </c>
      <c r="E383" s="12" t="s">
        <v>2345</v>
      </c>
      <c r="F383" s="12" t="s">
        <v>562</v>
      </c>
      <c r="G383" s="13"/>
      <c r="H383" s="17">
        <v>29.807</v>
      </c>
      <c r="I383" s="12" t="s">
        <v>247</v>
      </c>
      <c r="J383" s="12" t="s">
        <v>2585</v>
      </c>
    </row>
    <row r="384" spans="1:10" ht="30" customHeight="1">
      <c r="A384" s="12" t="s">
        <v>2604</v>
      </c>
      <c r="B384" s="12" t="s">
        <v>248</v>
      </c>
      <c r="C384" s="12" t="s">
        <v>244</v>
      </c>
      <c r="D384" s="12" t="s">
        <v>207</v>
      </c>
      <c r="E384" s="12" t="s">
        <v>2345</v>
      </c>
      <c r="F384" s="12" t="s">
        <v>563</v>
      </c>
      <c r="G384" s="13"/>
      <c r="H384" s="17">
        <v>0.09586414416639649</v>
      </c>
      <c r="I384" s="12" t="s">
        <v>247</v>
      </c>
      <c r="J384" s="12" t="s">
        <v>2585</v>
      </c>
    </row>
    <row r="385" spans="1:10" ht="30" customHeight="1">
      <c r="A385" s="12" t="s">
        <v>2605</v>
      </c>
      <c r="B385" s="12" t="s">
        <v>248</v>
      </c>
      <c r="C385" s="12" t="s">
        <v>244</v>
      </c>
      <c r="D385" s="12" t="s">
        <v>207</v>
      </c>
      <c r="E385" s="12" t="s">
        <v>2345</v>
      </c>
      <c r="F385" s="12" t="s">
        <v>564</v>
      </c>
      <c r="G385" s="13"/>
      <c r="H385" s="17">
        <v>4.7881</v>
      </c>
      <c r="I385" s="12" t="s">
        <v>247</v>
      </c>
      <c r="J385" s="12" t="s">
        <v>2585</v>
      </c>
    </row>
    <row r="386" spans="1:10" ht="30" customHeight="1">
      <c r="A386" s="12" t="s">
        <v>2606</v>
      </c>
      <c r="B386" s="12" t="s">
        <v>233</v>
      </c>
      <c r="C386" s="12" t="s">
        <v>229</v>
      </c>
      <c r="D386" s="12" t="s">
        <v>207</v>
      </c>
      <c r="E386" s="12" t="s">
        <v>2345</v>
      </c>
      <c r="F386" s="12" t="s">
        <v>557</v>
      </c>
      <c r="G386" s="13"/>
      <c r="H386" s="17">
        <v>9533.957700000001</v>
      </c>
      <c r="I386" s="12" t="s">
        <v>232</v>
      </c>
      <c r="J386" s="12" t="s">
        <v>2549</v>
      </c>
    </row>
    <row r="387" spans="1:10" ht="30" customHeight="1">
      <c r="A387" s="12" t="s">
        <v>2607</v>
      </c>
      <c r="B387" s="12" t="s">
        <v>233</v>
      </c>
      <c r="C387" s="12" t="s">
        <v>229</v>
      </c>
      <c r="D387" s="12" t="s">
        <v>207</v>
      </c>
      <c r="E387" s="12" t="s">
        <v>2345</v>
      </c>
      <c r="F387" s="12" t="s">
        <v>558</v>
      </c>
      <c r="G387" s="13"/>
      <c r="H387" s="17">
        <v>14369.009</v>
      </c>
      <c r="I387" s="12" t="s">
        <v>232</v>
      </c>
      <c r="J387" s="12" t="s">
        <v>2549</v>
      </c>
    </row>
    <row r="388" spans="1:10" ht="30" customHeight="1">
      <c r="A388" s="12" t="s">
        <v>2608</v>
      </c>
      <c r="B388" s="12" t="s">
        <v>233</v>
      </c>
      <c r="C388" s="12" t="s">
        <v>229</v>
      </c>
      <c r="D388" s="12" t="s">
        <v>207</v>
      </c>
      <c r="E388" s="12" t="s">
        <v>2345</v>
      </c>
      <c r="F388" s="12" t="s">
        <v>559</v>
      </c>
      <c r="G388" s="13"/>
      <c r="H388" s="17">
        <v>591.1556</v>
      </c>
      <c r="I388" s="12" t="s">
        <v>232</v>
      </c>
      <c r="J388" s="12" t="s">
        <v>2549</v>
      </c>
    </row>
    <row r="389" spans="1:10" ht="30" customHeight="1">
      <c r="A389" s="12" t="s">
        <v>2609</v>
      </c>
      <c r="B389" s="12" t="s">
        <v>233</v>
      </c>
      <c r="C389" s="12" t="s">
        <v>229</v>
      </c>
      <c r="D389" s="12" t="s">
        <v>207</v>
      </c>
      <c r="E389" s="12" t="s">
        <v>2345</v>
      </c>
      <c r="F389" s="12" t="s">
        <v>561</v>
      </c>
      <c r="G389" s="13"/>
      <c r="H389" s="17">
        <v>0</v>
      </c>
      <c r="I389" s="12" t="s">
        <v>232</v>
      </c>
      <c r="J389" s="12" t="s">
        <v>2549</v>
      </c>
    </row>
    <row r="390" spans="1:10" ht="30" customHeight="1">
      <c r="A390" s="12" t="s">
        <v>2610</v>
      </c>
      <c r="B390" s="12" t="s">
        <v>233</v>
      </c>
      <c r="C390" s="12" t="s">
        <v>229</v>
      </c>
      <c r="D390" s="12" t="s">
        <v>207</v>
      </c>
      <c r="E390" s="12" t="s">
        <v>2345</v>
      </c>
      <c r="F390" s="12" t="s">
        <v>562</v>
      </c>
      <c r="G390" s="13"/>
      <c r="H390" s="17">
        <v>10.0875</v>
      </c>
      <c r="I390" s="12" t="s">
        <v>232</v>
      </c>
      <c r="J390" s="12" t="s">
        <v>2549</v>
      </c>
    </row>
    <row r="391" spans="1:10" ht="30" customHeight="1">
      <c r="A391" s="12" t="s">
        <v>2611</v>
      </c>
      <c r="B391" s="12" t="s">
        <v>233</v>
      </c>
      <c r="C391" s="12" t="s">
        <v>229</v>
      </c>
      <c r="D391" s="12" t="s">
        <v>207</v>
      </c>
      <c r="E391" s="12" t="s">
        <v>2345</v>
      </c>
      <c r="F391" s="12" t="s">
        <v>563</v>
      </c>
      <c r="G391" s="13"/>
      <c r="H391" s="17">
        <v>8.055500099820323</v>
      </c>
      <c r="I391" s="12" t="s">
        <v>232</v>
      </c>
      <c r="J391" s="12" t="s">
        <v>2549</v>
      </c>
    </row>
    <row r="392" spans="1:10" ht="30" customHeight="1">
      <c r="A392" s="12" t="s">
        <v>2612</v>
      </c>
      <c r="B392" s="12" t="s">
        <v>233</v>
      </c>
      <c r="C392" s="12" t="s">
        <v>229</v>
      </c>
      <c r="D392" s="12" t="s">
        <v>207</v>
      </c>
      <c r="E392" s="12" t="s">
        <v>2345</v>
      </c>
      <c r="F392" s="12" t="s">
        <v>564</v>
      </c>
      <c r="G392" s="13"/>
      <c r="H392" s="17">
        <v>379.5386</v>
      </c>
      <c r="I392" s="12" t="s">
        <v>232</v>
      </c>
      <c r="J392" s="12" t="s">
        <v>2549</v>
      </c>
    </row>
    <row r="393" spans="1:10" ht="30" customHeight="1">
      <c r="A393" s="12" t="s">
        <v>2613</v>
      </c>
      <c r="B393" s="12" t="s">
        <v>289</v>
      </c>
      <c r="C393" s="12" t="s">
        <v>286</v>
      </c>
      <c r="D393" s="12" t="s">
        <v>207</v>
      </c>
      <c r="E393" s="12" t="s">
        <v>2345</v>
      </c>
      <c r="F393" s="12" t="s">
        <v>557</v>
      </c>
      <c r="G393" s="13"/>
      <c r="H393" s="17">
        <v>16933.64</v>
      </c>
      <c r="I393" s="12" t="s">
        <v>288</v>
      </c>
      <c r="J393" s="12" t="s">
        <v>2549</v>
      </c>
    </row>
    <row r="394" spans="1:10" ht="30" customHeight="1">
      <c r="A394" s="12" t="s">
        <v>2614</v>
      </c>
      <c r="B394" s="12" t="s">
        <v>289</v>
      </c>
      <c r="C394" s="12" t="s">
        <v>286</v>
      </c>
      <c r="D394" s="12" t="s">
        <v>207</v>
      </c>
      <c r="E394" s="12" t="s">
        <v>2345</v>
      </c>
      <c r="F394" s="12" t="s">
        <v>558</v>
      </c>
      <c r="G394" s="13"/>
      <c r="H394" s="17">
        <v>11266.63</v>
      </c>
      <c r="I394" s="12" t="s">
        <v>288</v>
      </c>
      <c r="J394" s="12" t="s">
        <v>2549</v>
      </c>
    </row>
    <row r="395" spans="1:10" ht="30" customHeight="1">
      <c r="A395" s="12" t="s">
        <v>2615</v>
      </c>
      <c r="B395" s="12" t="s">
        <v>289</v>
      </c>
      <c r="C395" s="12" t="s">
        <v>286</v>
      </c>
      <c r="D395" s="12" t="s">
        <v>207</v>
      </c>
      <c r="E395" s="12" t="s">
        <v>2345</v>
      </c>
      <c r="F395" s="12" t="s">
        <v>559</v>
      </c>
      <c r="G395" s="13"/>
      <c r="H395" s="17">
        <v>242.45</v>
      </c>
      <c r="I395" s="12" t="s">
        <v>288</v>
      </c>
      <c r="J395" s="12" t="s">
        <v>2549</v>
      </c>
    </row>
    <row r="396" spans="1:10" ht="30" customHeight="1">
      <c r="A396" s="12" t="s">
        <v>2616</v>
      </c>
      <c r="B396" s="12" t="s">
        <v>289</v>
      </c>
      <c r="C396" s="12" t="s">
        <v>286</v>
      </c>
      <c r="D396" s="12" t="s">
        <v>207</v>
      </c>
      <c r="E396" s="12" t="s">
        <v>2345</v>
      </c>
      <c r="F396" s="12" t="s">
        <v>561</v>
      </c>
      <c r="G396" s="13"/>
      <c r="H396" s="17">
        <v>2751.92</v>
      </c>
      <c r="I396" s="12" t="s">
        <v>288</v>
      </c>
      <c r="J396" s="12" t="s">
        <v>2549</v>
      </c>
    </row>
    <row r="397" spans="1:10" ht="30" customHeight="1">
      <c r="A397" s="12" t="s">
        <v>2617</v>
      </c>
      <c r="B397" s="12" t="s">
        <v>289</v>
      </c>
      <c r="C397" s="12" t="s">
        <v>286</v>
      </c>
      <c r="D397" s="12" t="s">
        <v>207</v>
      </c>
      <c r="E397" s="12" t="s">
        <v>2345</v>
      </c>
      <c r="F397" s="12" t="s">
        <v>562</v>
      </c>
      <c r="G397" s="13"/>
      <c r="H397" s="17">
        <v>253.68</v>
      </c>
      <c r="I397" s="12" t="s">
        <v>288</v>
      </c>
      <c r="J397" s="12" t="s">
        <v>2549</v>
      </c>
    </row>
    <row r="398" spans="1:10" ht="30" customHeight="1">
      <c r="A398" s="12" t="s">
        <v>2618</v>
      </c>
      <c r="B398" s="12" t="s">
        <v>289</v>
      </c>
      <c r="C398" s="12" t="s">
        <v>286</v>
      </c>
      <c r="D398" s="12" t="s">
        <v>207</v>
      </c>
      <c r="E398" s="12" t="s">
        <v>2345</v>
      </c>
      <c r="F398" s="12" t="s">
        <v>563</v>
      </c>
      <c r="G398" s="13"/>
      <c r="H398" s="17">
        <v>0.08406722594392536</v>
      </c>
      <c r="I398" s="12" t="s">
        <v>288</v>
      </c>
      <c r="J398" s="12" t="s">
        <v>2549</v>
      </c>
    </row>
    <row r="399" spans="1:10" ht="30" customHeight="1">
      <c r="A399" s="12" t="s">
        <v>2619</v>
      </c>
      <c r="B399" s="12" t="s">
        <v>289</v>
      </c>
      <c r="C399" s="12" t="s">
        <v>286</v>
      </c>
      <c r="D399" s="12" t="s">
        <v>207</v>
      </c>
      <c r="E399" s="12" t="s">
        <v>2345</v>
      </c>
      <c r="F399" s="12" t="s">
        <v>564</v>
      </c>
      <c r="G399" s="13"/>
      <c r="H399" s="17">
        <v>827.34</v>
      </c>
      <c r="I399" s="12" t="s">
        <v>288</v>
      </c>
      <c r="J399" s="12" t="s">
        <v>2549</v>
      </c>
    </row>
    <row r="400" spans="1:10" ht="30" customHeight="1">
      <c r="A400" s="12" t="s">
        <v>2620</v>
      </c>
      <c r="B400" s="12" t="s">
        <v>221</v>
      </c>
      <c r="C400" s="12" t="s">
        <v>217</v>
      </c>
      <c r="D400" s="12" t="s">
        <v>207</v>
      </c>
      <c r="E400" s="12" t="s">
        <v>2345</v>
      </c>
      <c r="F400" s="12" t="s">
        <v>557</v>
      </c>
      <c r="G400" s="13"/>
      <c r="H400" s="17">
        <v>31479.54</v>
      </c>
      <c r="I400" s="12" t="s">
        <v>220</v>
      </c>
      <c r="J400" s="12" t="s">
        <v>2621</v>
      </c>
    </row>
    <row r="401" spans="1:10" ht="30" customHeight="1">
      <c r="A401" s="12" t="s">
        <v>2622</v>
      </c>
      <c r="B401" s="12" t="s">
        <v>221</v>
      </c>
      <c r="C401" s="12" t="s">
        <v>217</v>
      </c>
      <c r="D401" s="12" t="s">
        <v>207</v>
      </c>
      <c r="E401" s="12" t="s">
        <v>2345</v>
      </c>
      <c r="F401" s="12" t="s">
        <v>558</v>
      </c>
      <c r="G401" s="13"/>
      <c r="H401" s="17">
        <v>24503.43</v>
      </c>
      <c r="I401" s="12" t="s">
        <v>220</v>
      </c>
      <c r="J401" s="12" t="s">
        <v>2621</v>
      </c>
    </row>
    <row r="402" spans="1:10" ht="30" customHeight="1">
      <c r="A402" s="12" t="s">
        <v>2623</v>
      </c>
      <c r="B402" s="12" t="s">
        <v>221</v>
      </c>
      <c r="C402" s="12" t="s">
        <v>217</v>
      </c>
      <c r="D402" s="12" t="s">
        <v>207</v>
      </c>
      <c r="E402" s="12" t="s">
        <v>2345</v>
      </c>
      <c r="F402" s="12" t="s">
        <v>559</v>
      </c>
      <c r="G402" s="13"/>
      <c r="H402" s="17">
        <v>1898.14</v>
      </c>
      <c r="I402" s="12" t="s">
        <v>220</v>
      </c>
      <c r="J402" s="12" t="s">
        <v>2621</v>
      </c>
    </row>
    <row r="403" spans="1:10" ht="30" customHeight="1">
      <c r="A403" s="12" t="s">
        <v>2624</v>
      </c>
      <c r="B403" s="12" t="s">
        <v>221</v>
      </c>
      <c r="C403" s="12" t="s">
        <v>217</v>
      </c>
      <c r="D403" s="12" t="s">
        <v>207</v>
      </c>
      <c r="E403" s="12" t="s">
        <v>2345</v>
      </c>
      <c r="F403" s="12" t="s">
        <v>561</v>
      </c>
      <c r="G403" s="13"/>
      <c r="H403" s="17">
        <v>867.2</v>
      </c>
      <c r="I403" s="12" t="s">
        <v>220</v>
      </c>
      <c r="J403" s="12" t="s">
        <v>2621</v>
      </c>
    </row>
    <row r="404" spans="1:10" ht="30" customHeight="1">
      <c r="A404" s="12" t="s">
        <v>2625</v>
      </c>
      <c r="B404" s="12" t="s">
        <v>221</v>
      </c>
      <c r="C404" s="12" t="s">
        <v>217</v>
      </c>
      <c r="D404" s="12" t="s">
        <v>207</v>
      </c>
      <c r="E404" s="12" t="s">
        <v>2345</v>
      </c>
      <c r="F404" s="12" t="s">
        <v>562</v>
      </c>
      <c r="G404" s="13"/>
      <c r="H404" s="17">
        <v>342.59</v>
      </c>
      <c r="I404" s="12" t="s">
        <v>220</v>
      </c>
      <c r="J404" s="12" t="s">
        <v>2621</v>
      </c>
    </row>
    <row r="405" spans="1:10" ht="30" customHeight="1">
      <c r="A405" s="12" t="s">
        <v>2626</v>
      </c>
      <c r="B405" s="12" t="s">
        <v>221</v>
      </c>
      <c r="C405" s="12" t="s">
        <v>217</v>
      </c>
      <c r="D405" s="12" t="s">
        <v>207</v>
      </c>
      <c r="E405" s="12" t="s">
        <v>2345</v>
      </c>
      <c r="F405" s="12" t="s">
        <v>563</v>
      </c>
      <c r="G405" s="13"/>
      <c r="H405" s="17">
        <v>0.6232138471753544</v>
      </c>
      <c r="I405" s="12" t="s">
        <v>220</v>
      </c>
      <c r="J405" s="12" t="s">
        <v>2621</v>
      </c>
    </row>
    <row r="406" spans="1:10" ht="30" customHeight="1">
      <c r="A406" s="12" t="s">
        <v>2627</v>
      </c>
      <c r="B406" s="12" t="s">
        <v>221</v>
      </c>
      <c r="C406" s="12" t="s">
        <v>217</v>
      </c>
      <c r="D406" s="12" t="s">
        <v>207</v>
      </c>
      <c r="E406" s="12" t="s">
        <v>2345</v>
      </c>
      <c r="F406" s="12" t="s">
        <v>564</v>
      </c>
      <c r="G406" s="13"/>
      <c r="H406" s="17">
        <v>1540.47</v>
      </c>
      <c r="I406" s="12" t="s">
        <v>220</v>
      </c>
      <c r="J406" s="12" t="s">
        <v>2621</v>
      </c>
    </row>
    <row r="407" spans="1:10" ht="30" customHeight="1">
      <c r="A407" s="12" t="s">
        <v>2628</v>
      </c>
      <c r="B407" s="12" t="s">
        <v>320</v>
      </c>
      <c r="C407" s="12" t="s">
        <v>317</v>
      </c>
      <c r="D407" s="12" t="s">
        <v>303</v>
      </c>
      <c r="E407" s="12" t="s">
        <v>2345</v>
      </c>
      <c r="F407" s="12" t="s">
        <v>557</v>
      </c>
      <c r="G407" s="13"/>
      <c r="H407" s="17">
        <v>148477.89</v>
      </c>
      <c r="I407" s="12" t="s">
        <v>319</v>
      </c>
      <c r="J407" s="12" t="s">
        <v>2629</v>
      </c>
    </row>
    <row r="408" spans="1:10" ht="30" customHeight="1">
      <c r="A408" s="12" t="s">
        <v>2630</v>
      </c>
      <c r="B408" s="12" t="s">
        <v>320</v>
      </c>
      <c r="C408" s="12" t="s">
        <v>317</v>
      </c>
      <c r="D408" s="12" t="s">
        <v>303</v>
      </c>
      <c r="E408" s="12" t="s">
        <v>2345</v>
      </c>
      <c r="F408" s="12" t="s">
        <v>558</v>
      </c>
      <c r="G408" s="13"/>
      <c r="H408" s="17">
        <v>500535.7</v>
      </c>
      <c r="I408" s="12" t="s">
        <v>319</v>
      </c>
      <c r="J408" s="12" t="s">
        <v>2629</v>
      </c>
    </row>
    <row r="409" spans="1:10" ht="30" customHeight="1">
      <c r="A409" s="12" t="s">
        <v>2631</v>
      </c>
      <c r="B409" s="12" t="s">
        <v>320</v>
      </c>
      <c r="C409" s="12" t="s">
        <v>317</v>
      </c>
      <c r="D409" s="12" t="s">
        <v>303</v>
      </c>
      <c r="E409" s="12" t="s">
        <v>2345</v>
      </c>
      <c r="F409" s="12" t="s">
        <v>559</v>
      </c>
      <c r="G409" s="13"/>
      <c r="H409" s="17">
        <v>7756.33</v>
      </c>
      <c r="I409" s="12" t="s">
        <v>319</v>
      </c>
      <c r="J409" s="12" t="s">
        <v>2629</v>
      </c>
    </row>
    <row r="410" spans="1:10" ht="30" customHeight="1">
      <c r="A410" s="12" t="s">
        <v>2632</v>
      </c>
      <c r="B410" s="12" t="s">
        <v>320</v>
      </c>
      <c r="C410" s="12" t="s">
        <v>317</v>
      </c>
      <c r="D410" s="12" t="s">
        <v>303</v>
      </c>
      <c r="E410" s="12" t="s">
        <v>2345</v>
      </c>
      <c r="F410" s="12" t="s">
        <v>561</v>
      </c>
      <c r="G410" s="13"/>
      <c r="H410" s="17">
        <v>183648.69</v>
      </c>
      <c r="I410" s="12" t="s">
        <v>319</v>
      </c>
      <c r="J410" s="12" t="s">
        <v>2629</v>
      </c>
    </row>
    <row r="411" spans="1:10" ht="30" customHeight="1">
      <c r="A411" s="12" t="s">
        <v>2633</v>
      </c>
      <c r="B411" s="12" t="s">
        <v>320</v>
      </c>
      <c r="C411" s="12" t="s">
        <v>317</v>
      </c>
      <c r="D411" s="12" t="s">
        <v>303</v>
      </c>
      <c r="E411" s="12" t="s">
        <v>2345</v>
      </c>
      <c r="F411" s="12" t="s">
        <v>562</v>
      </c>
      <c r="G411" s="13"/>
      <c r="H411" s="17">
        <v>12500.38</v>
      </c>
      <c r="I411" s="12" t="s">
        <v>319</v>
      </c>
      <c r="J411" s="12" t="s">
        <v>2629</v>
      </c>
    </row>
    <row r="412" spans="1:10" ht="30" customHeight="1">
      <c r="A412" s="12" t="s">
        <v>2634</v>
      </c>
      <c r="B412" s="12" t="s">
        <v>320</v>
      </c>
      <c r="C412" s="12" t="s">
        <v>317</v>
      </c>
      <c r="D412" s="12" t="s">
        <v>303</v>
      </c>
      <c r="E412" s="12" t="s">
        <v>2345</v>
      </c>
      <c r="F412" s="12" t="s">
        <v>563</v>
      </c>
      <c r="G412" s="13"/>
      <c r="H412" s="17">
        <v>0.078433535403351</v>
      </c>
      <c r="I412" s="12" t="s">
        <v>319</v>
      </c>
      <c r="J412" s="12" t="s">
        <v>2629</v>
      </c>
    </row>
    <row r="413" spans="1:10" ht="30" customHeight="1">
      <c r="A413" s="12" t="s">
        <v>2635</v>
      </c>
      <c r="B413" s="12" t="s">
        <v>320</v>
      </c>
      <c r="C413" s="12" t="s">
        <v>317</v>
      </c>
      <c r="D413" s="12" t="s">
        <v>303</v>
      </c>
      <c r="E413" s="12" t="s">
        <v>2345</v>
      </c>
      <c r="F413" s="12" t="s">
        <v>564</v>
      </c>
      <c r="G413" s="13"/>
      <c r="H413" s="17">
        <v>17181.34</v>
      </c>
      <c r="I413" s="12" t="s">
        <v>319</v>
      </c>
      <c r="J413" s="12" t="s">
        <v>2629</v>
      </c>
    </row>
    <row r="414" spans="1:10" ht="30" customHeight="1">
      <c r="A414" s="12" t="s">
        <v>2636</v>
      </c>
      <c r="B414" s="12" t="s">
        <v>307</v>
      </c>
      <c r="C414" s="12" t="s">
        <v>302</v>
      </c>
      <c r="D414" s="12" t="s">
        <v>303</v>
      </c>
      <c r="E414" s="12" t="s">
        <v>2345</v>
      </c>
      <c r="F414" s="12" t="s">
        <v>557</v>
      </c>
      <c r="G414" s="13"/>
      <c r="H414" s="17">
        <v>8328.809999999999</v>
      </c>
      <c r="I414" s="12" t="s">
        <v>306</v>
      </c>
      <c r="J414" s="12" t="s">
        <v>2629</v>
      </c>
    </row>
    <row r="415" spans="1:10" ht="30" customHeight="1">
      <c r="A415" s="12" t="s">
        <v>2637</v>
      </c>
      <c r="B415" s="12" t="s">
        <v>307</v>
      </c>
      <c r="C415" s="12" t="s">
        <v>302</v>
      </c>
      <c r="D415" s="12" t="s">
        <v>303</v>
      </c>
      <c r="E415" s="12" t="s">
        <v>2345</v>
      </c>
      <c r="F415" s="12" t="s">
        <v>558</v>
      </c>
      <c r="G415" s="13"/>
      <c r="H415" s="17">
        <v>8098.95</v>
      </c>
      <c r="I415" s="12" t="s">
        <v>306</v>
      </c>
      <c r="J415" s="12" t="s">
        <v>2629</v>
      </c>
    </row>
    <row r="416" spans="1:10" ht="30" customHeight="1">
      <c r="A416" s="12" t="s">
        <v>2638</v>
      </c>
      <c r="B416" s="12" t="s">
        <v>307</v>
      </c>
      <c r="C416" s="12" t="s">
        <v>302</v>
      </c>
      <c r="D416" s="12" t="s">
        <v>303</v>
      </c>
      <c r="E416" s="12" t="s">
        <v>2345</v>
      </c>
      <c r="F416" s="12" t="s">
        <v>559</v>
      </c>
      <c r="G416" s="13"/>
      <c r="H416" s="17">
        <v>367.38</v>
      </c>
      <c r="I416" s="12" t="s">
        <v>306</v>
      </c>
      <c r="J416" s="12" t="s">
        <v>2629</v>
      </c>
    </row>
    <row r="417" spans="1:10" ht="30" customHeight="1">
      <c r="A417" s="12" t="s">
        <v>2639</v>
      </c>
      <c r="B417" s="12" t="s">
        <v>307</v>
      </c>
      <c r="C417" s="12" t="s">
        <v>302</v>
      </c>
      <c r="D417" s="12" t="s">
        <v>303</v>
      </c>
      <c r="E417" s="12" t="s">
        <v>2345</v>
      </c>
      <c r="F417" s="12" t="s">
        <v>561</v>
      </c>
      <c r="G417" s="13"/>
      <c r="H417" s="17">
        <v>1375.96</v>
      </c>
      <c r="I417" s="12" t="s">
        <v>306</v>
      </c>
      <c r="J417" s="12" t="s">
        <v>2629</v>
      </c>
    </row>
    <row r="418" spans="1:10" ht="30" customHeight="1">
      <c r="A418" s="12" t="s">
        <v>2640</v>
      </c>
      <c r="B418" s="12" t="s">
        <v>307</v>
      </c>
      <c r="C418" s="12" t="s">
        <v>302</v>
      </c>
      <c r="D418" s="12" t="s">
        <v>303</v>
      </c>
      <c r="E418" s="12" t="s">
        <v>2345</v>
      </c>
      <c r="F418" s="12" t="s">
        <v>562</v>
      </c>
      <c r="G418" s="13"/>
      <c r="H418" s="17">
        <v>165.77</v>
      </c>
      <c r="I418" s="12" t="s">
        <v>306</v>
      </c>
      <c r="J418" s="12" t="s">
        <v>2629</v>
      </c>
    </row>
    <row r="419" spans="1:10" ht="30" customHeight="1">
      <c r="A419" s="12" t="s">
        <v>2641</v>
      </c>
      <c r="B419" s="12" t="s">
        <v>307</v>
      </c>
      <c r="C419" s="12" t="s">
        <v>302</v>
      </c>
      <c r="D419" s="12" t="s">
        <v>303</v>
      </c>
      <c r="E419" s="12" t="s">
        <v>2345</v>
      </c>
      <c r="F419" s="12" t="s">
        <v>563</v>
      </c>
      <c r="G419" s="13"/>
      <c r="H419" s="17">
        <v>0.1227316813137184</v>
      </c>
      <c r="I419" s="12" t="s">
        <v>306</v>
      </c>
      <c r="J419" s="12" t="s">
        <v>2629</v>
      </c>
    </row>
    <row r="420" spans="1:10" ht="30" customHeight="1">
      <c r="A420" s="12" t="s">
        <v>2642</v>
      </c>
      <c r="B420" s="12" t="s">
        <v>307</v>
      </c>
      <c r="C420" s="12" t="s">
        <v>302</v>
      </c>
      <c r="D420" s="12" t="s">
        <v>303</v>
      </c>
      <c r="E420" s="12" t="s">
        <v>2345</v>
      </c>
      <c r="F420" s="12" t="s">
        <v>564</v>
      </c>
      <c r="G420" s="13"/>
      <c r="H420" s="17">
        <v>535.12</v>
      </c>
      <c r="I420" s="12" t="s">
        <v>306</v>
      </c>
      <c r="J420" s="12" t="s">
        <v>2629</v>
      </c>
    </row>
    <row r="421" spans="1:10" ht="30" customHeight="1">
      <c r="A421" s="12" t="s">
        <v>2643</v>
      </c>
      <c r="B421" s="12" t="s">
        <v>371</v>
      </c>
      <c r="C421" s="12" t="s">
        <v>368</v>
      </c>
      <c r="D421" s="12" t="s">
        <v>303</v>
      </c>
      <c r="E421" s="12" t="s">
        <v>2345</v>
      </c>
      <c r="F421" s="12" t="s">
        <v>557</v>
      </c>
      <c r="G421" s="13"/>
      <c r="H421" s="17">
        <v>10545.09</v>
      </c>
      <c r="I421" s="12" t="s">
        <v>370</v>
      </c>
      <c r="J421" s="12" t="s">
        <v>2629</v>
      </c>
    </row>
    <row r="422" spans="1:10" ht="30" customHeight="1">
      <c r="A422" s="12" t="s">
        <v>2644</v>
      </c>
      <c r="B422" s="12" t="s">
        <v>371</v>
      </c>
      <c r="C422" s="12" t="s">
        <v>368</v>
      </c>
      <c r="D422" s="12" t="s">
        <v>303</v>
      </c>
      <c r="E422" s="12" t="s">
        <v>2345</v>
      </c>
      <c r="F422" s="12" t="s">
        <v>558</v>
      </c>
      <c r="G422" s="13"/>
      <c r="H422" s="17">
        <v>10307.07</v>
      </c>
      <c r="I422" s="12" t="s">
        <v>370</v>
      </c>
      <c r="J422" s="12" t="s">
        <v>2629</v>
      </c>
    </row>
    <row r="423" spans="1:10" ht="30" customHeight="1">
      <c r="A423" s="12" t="s">
        <v>2645</v>
      </c>
      <c r="B423" s="12" t="s">
        <v>371</v>
      </c>
      <c r="C423" s="12" t="s">
        <v>368</v>
      </c>
      <c r="D423" s="12" t="s">
        <v>303</v>
      </c>
      <c r="E423" s="12" t="s">
        <v>2345</v>
      </c>
      <c r="F423" s="12" t="s">
        <v>559</v>
      </c>
      <c r="G423" s="13"/>
      <c r="H423" s="17">
        <v>644.02</v>
      </c>
      <c r="I423" s="12" t="s">
        <v>370</v>
      </c>
      <c r="J423" s="12" t="s">
        <v>2629</v>
      </c>
    </row>
    <row r="424" spans="1:10" ht="30" customHeight="1">
      <c r="A424" s="12" t="s">
        <v>2646</v>
      </c>
      <c r="B424" s="12" t="s">
        <v>371</v>
      </c>
      <c r="C424" s="12" t="s">
        <v>368</v>
      </c>
      <c r="D424" s="12" t="s">
        <v>303</v>
      </c>
      <c r="E424" s="12" t="s">
        <v>2345</v>
      </c>
      <c r="F424" s="12" t="s">
        <v>561</v>
      </c>
      <c r="G424" s="13"/>
      <c r="H424" s="17">
        <v>2468.62</v>
      </c>
      <c r="I424" s="12" t="s">
        <v>370</v>
      </c>
      <c r="J424" s="12" t="s">
        <v>2629</v>
      </c>
    </row>
    <row r="425" spans="1:10" ht="30" customHeight="1">
      <c r="A425" s="12" t="s">
        <v>2647</v>
      </c>
      <c r="B425" s="12" t="s">
        <v>371</v>
      </c>
      <c r="C425" s="12" t="s">
        <v>368</v>
      </c>
      <c r="D425" s="12" t="s">
        <v>303</v>
      </c>
      <c r="E425" s="12" t="s">
        <v>2345</v>
      </c>
      <c r="F425" s="12" t="s">
        <v>562</v>
      </c>
      <c r="G425" s="13"/>
      <c r="H425" s="17">
        <v>217.47</v>
      </c>
      <c r="I425" s="12" t="s">
        <v>370</v>
      </c>
      <c r="J425" s="12" t="s">
        <v>2629</v>
      </c>
    </row>
    <row r="426" spans="1:10" ht="30" customHeight="1">
      <c r="A426" s="12" t="s">
        <v>2648</v>
      </c>
      <c r="B426" s="12" t="s">
        <v>371</v>
      </c>
      <c r="C426" s="12" t="s">
        <v>368</v>
      </c>
      <c r="D426" s="12" t="s">
        <v>303</v>
      </c>
      <c r="E426" s="12" t="s">
        <v>2345</v>
      </c>
      <c r="F426" s="12" t="s">
        <v>563</v>
      </c>
      <c r="G426" s="13"/>
      <c r="H426" s="17">
        <v>0.08717752393703912</v>
      </c>
      <c r="I426" s="12" t="s">
        <v>370</v>
      </c>
      <c r="J426" s="12" t="s">
        <v>2629</v>
      </c>
    </row>
    <row r="427" spans="1:10" ht="30" customHeight="1">
      <c r="A427" s="12" t="s">
        <v>2649</v>
      </c>
      <c r="B427" s="12" t="s">
        <v>371</v>
      </c>
      <c r="C427" s="12" t="s">
        <v>368</v>
      </c>
      <c r="D427" s="12" t="s">
        <v>303</v>
      </c>
      <c r="E427" s="12" t="s">
        <v>2345</v>
      </c>
      <c r="F427" s="12" t="s">
        <v>564</v>
      </c>
      <c r="G427" s="13"/>
      <c r="H427" s="17">
        <v>712.7</v>
      </c>
      <c r="I427" s="12" t="s">
        <v>370</v>
      </c>
      <c r="J427" s="12" t="s">
        <v>2629</v>
      </c>
    </row>
    <row r="428" spans="1:10" ht="30" customHeight="1">
      <c r="A428" s="12" t="s">
        <v>2650</v>
      </c>
      <c r="B428" s="12" t="s">
        <v>361</v>
      </c>
      <c r="C428" s="12" t="s">
        <v>358</v>
      </c>
      <c r="D428" s="12" t="s">
        <v>303</v>
      </c>
      <c r="E428" s="12" t="s">
        <v>2345</v>
      </c>
      <c r="F428" s="12" t="s">
        <v>557</v>
      </c>
      <c r="G428" s="13"/>
      <c r="H428" s="17">
        <v>6987.08</v>
      </c>
      <c r="I428" s="12" t="s">
        <v>360</v>
      </c>
      <c r="J428" s="12" t="s">
        <v>2549</v>
      </c>
    </row>
    <row r="429" spans="1:10" ht="30" customHeight="1">
      <c r="A429" s="12" t="s">
        <v>2651</v>
      </c>
      <c r="B429" s="12" t="s">
        <v>361</v>
      </c>
      <c r="C429" s="12" t="s">
        <v>358</v>
      </c>
      <c r="D429" s="12" t="s">
        <v>303</v>
      </c>
      <c r="E429" s="12" t="s">
        <v>2345</v>
      </c>
      <c r="F429" s="12" t="s">
        <v>558</v>
      </c>
      <c r="G429" s="13"/>
      <c r="H429" s="17">
        <v>7160.72</v>
      </c>
      <c r="I429" s="12" t="s">
        <v>360</v>
      </c>
      <c r="J429" s="12" t="s">
        <v>2549</v>
      </c>
    </row>
    <row r="430" spans="1:10" ht="30" customHeight="1">
      <c r="A430" s="12" t="s">
        <v>2652</v>
      </c>
      <c r="B430" s="12" t="s">
        <v>361</v>
      </c>
      <c r="C430" s="12" t="s">
        <v>358</v>
      </c>
      <c r="D430" s="12" t="s">
        <v>303</v>
      </c>
      <c r="E430" s="12" t="s">
        <v>2345</v>
      </c>
      <c r="F430" s="12" t="s">
        <v>559</v>
      </c>
      <c r="G430" s="13"/>
      <c r="H430" s="17">
        <v>370.73</v>
      </c>
      <c r="I430" s="12" t="s">
        <v>360</v>
      </c>
      <c r="J430" s="12" t="s">
        <v>2549</v>
      </c>
    </row>
    <row r="431" spans="1:10" ht="30" customHeight="1">
      <c r="A431" s="12" t="s">
        <v>2653</v>
      </c>
      <c r="B431" s="12" t="s">
        <v>361</v>
      </c>
      <c r="C431" s="12" t="s">
        <v>358</v>
      </c>
      <c r="D431" s="12" t="s">
        <v>303</v>
      </c>
      <c r="E431" s="12" t="s">
        <v>2345</v>
      </c>
      <c r="F431" s="12" t="s">
        <v>561</v>
      </c>
      <c r="G431" s="13"/>
      <c r="H431" s="17">
        <v>1575.78</v>
      </c>
      <c r="I431" s="12" t="s">
        <v>360</v>
      </c>
      <c r="J431" s="12" t="s">
        <v>2549</v>
      </c>
    </row>
    <row r="432" spans="1:10" ht="30" customHeight="1">
      <c r="A432" s="12" t="s">
        <v>2654</v>
      </c>
      <c r="B432" s="12" t="s">
        <v>361</v>
      </c>
      <c r="C432" s="12" t="s">
        <v>358</v>
      </c>
      <c r="D432" s="12" t="s">
        <v>303</v>
      </c>
      <c r="E432" s="12" t="s">
        <v>2345</v>
      </c>
      <c r="F432" s="12" t="s">
        <v>562</v>
      </c>
      <c r="G432" s="13"/>
      <c r="H432" s="17">
        <v>130.18</v>
      </c>
      <c r="I432" s="12" t="s">
        <v>360</v>
      </c>
      <c r="J432" s="12" t="s">
        <v>2549</v>
      </c>
    </row>
    <row r="433" spans="1:10" ht="30" customHeight="1">
      <c r="A433" s="12" t="s">
        <v>2655</v>
      </c>
      <c r="B433" s="12" t="s">
        <v>361</v>
      </c>
      <c r="C433" s="12" t="s">
        <v>358</v>
      </c>
      <c r="D433" s="12" t="s">
        <v>303</v>
      </c>
      <c r="E433" s="12" t="s">
        <v>2345</v>
      </c>
      <c r="F433" s="12" t="s">
        <v>563</v>
      </c>
      <c r="G433" s="13"/>
      <c r="H433" s="17">
        <v>0.07159454323968333</v>
      </c>
      <c r="I433" s="12" t="s">
        <v>360</v>
      </c>
      <c r="J433" s="12" t="s">
        <v>2549</v>
      </c>
    </row>
    <row r="434" spans="1:10" ht="30" customHeight="1">
      <c r="A434" s="12" t="s">
        <v>2656</v>
      </c>
      <c r="B434" s="12" t="s">
        <v>361</v>
      </c>
      <c r="C434" s="12" t="s">
        <v>358</v>
      </c>
      <c r="D434" s="12" t="s">
        <v>303</v>
      </c>
      <c r="E434" s="12" t="s">
        <v>2345</v>
      </c>
      <c r="F434" s="12" t="s">
        <v>564</v>
      </c>
      <c r="G434" s="13"/>
      <c r="H434" s="17">
        <v>229.64</v>
      </c>
      <c r="I434" s="12" t="s">
        <v>360</v>
      </c>
      <c r="J434" s="12" t="s">
        <v>2549</v>
      </c>
    </row>
    <row r="435" spans="1:10" ht="30" customHeight="1">
      <c r="A435" s="12" t="s">
        <v>2657</v>
      </c>
      <c r="B435" s="12" t="s">
        <v>325</v>
      </c>
      <c r="C435" s="12" t="s">
        <v>322</v>
      </c>
      <c r="D435" s="12" t="s">
        <v>303</v>
      </c>
      <c r="E435" s="12" t="s">
        <v>2345</v>
      </c>
      <c r="F435" s="12" t="s">
        <v>557</v>
      </c>
      <c r="G435" s="13"/>
      <c r="H435" s="17">
        <v>4151.3913</v>
      </c>
      <c r="I435" s="12" t="s">
        <v>324</v>
      </c>
      <c r="J435" s="12" t="s">
        <v>2629</v>
      </c>
    </row>
    <row r="436" spans="1:10" ht="30" customHeight="1">
      <c r="A436" s="12" t="s">
        <v>2658</v>
      </c>
      <c r="B436" s="12" t="s">
        <v>325</v>
      </c>
      <c r="C436" s="12" t="s">
        <v>322</v>
      </c>
      <c r="D436" s="12" t="s">
        <v>303</v>
      </c>
      <c r="E436" s="12" t="s">
        <v>2345</v>
      </c>
      <c r="F436" s="12" t="s">
        <v>558</v>
      </c>
      <c r="G436" s="13"/>
      <c r="H436" s="17">
        <v>4259.6188</v>
      </c>
      <c r="I436" s="12" t="s">
        <v>324</v>
      </c>
      <c r="J436" s="12" t="s">
        <v>2629</v>
      </c>
    </row>
    <row r="437" spans="1:10" ht="30" customHeight="1">
      <c r="A437" s="12" t="s">
        <v>2659</v>
      </c>
      <c r="B437" s="12" t="s">
        <v>325</v>
      </c>
      <c r="C437" s="12" t="s">
        <v>322</v>
      </c>
      <c r="D437" s="12" t="s">
        <v>303</v>
      </c>
      <c r="E437" s="12" t="s">
        <v>2345</v>
      </c>
      <c r="F437" s="12" t="s">
        <v>559</v>
      </c>
      <c r="G437" s="13"/>
      <c r="H437" s="17">
        <v>246.004</v>
      </c>
      <c r="I437" s="12" t="s">
        <v>324</v>
      </c>
      <c r="J437" s="12" t="s">
        <v>2629</v>
      </c>
    </row>
    <row r="438" spans="1:10" ht="30" customHeight="1">
      <c r="A438" s="12" t="s">
        <v>2660</v>
      </c>
      <c r="B438" s="12" t="s">
        <v>325</v>
      </c>
      <c r="C438" s="12" t="s">
        <v>322</v>
      </c>
      <c r="D438" s="12" t="s">
        <v>303</v>
      </c>
      <c r="E438" s="12" t="s">
        <v>2345</v>
      </c>
      <c r="F438" s="12" t="s">
        <v>561</v>
      </c>
      <c r="G438" s="13"/>
      <c r="H438" s="17">
        <v>1217.5799</v>
      </c>
      <c r="I438" s="12" t="s">
        <v>324</v>
      </c>
      <c r="J438" s="12" t="s">
        <v>2629</v>
      </c>
    </row>
    <row r="439" spans="1:10" ht="30" customHeight="1">
      <c r="A439" s="12" t="s">
        <v>2661</v>
      </c>
      <c r="B439" s="12" t="s">
        <v>325</v>
      </c>
      <c r="C439" s="12" t="s">
        <v>322</v>
      </c>
      <c r="D439" s="12" t="s">
        <v>303</v>
      </c>
      <c r="E439" s="12" t="s">
        <v>2345</v>
      </c>
      <c r="F439" s="12" t="s">
        <v>562</v>
      </c>
      <c r="G439" s="13"/>
      <c r="H439" s="17">
        <v>123.1571</v>
      </c>
      <c r="I439" s="12" t="s">
        <v>324</v>
      </c>
      <c r="J439" s="12" t="s">
        <v>2629</v>
      </c>
    </row>
    <row r="440" spans="1:10" ht="30" customHeight="1">
      <c r="A440" s="12" t="s">
        <v>2662</v>
      </c>
      <c r="B440" s="12" t="s">
        <v>325</v>
      </c>
      <c r="C440" s="12" t="s">
        <v>322</v>
      </c>
      <c r="D440" s="12" t="s">
        <v>303</v>
      </c>
      <c r="E440" s="12" t="s">
        <v>2345</v>
      </c>
      <c r="F440" s="12" t="s">
        <v>563</v>
      </c>
      <c r="G440" s="13"/>
      <c r="H440" s="17">
        <v>0.115550128812436</v>
      </c>
      <c r="I440" s="12" t="s">
        <v>324</v>
      </c>
      <c r="J440" s="12" t="s">
        <v>2629</v>
      </c>
    </row>
    <row r="441" spans="1:10" ht="30" customHeight="1">
      <c r="A441" s="12" t="s">
        <v>2663</v>
      </c>
      <c r="B441" s="12" t="s">
        <v>325</v>
      </c>
      <c r="C441" s="12" t="s">
        <v>322</v>
      </c>
      <c r="D441" s="12" t="s">
        <v>303</v>
      </c>
      <c r="E441" s="12" t="s">
        <v>2345</v>
      </c>
      <c r="F441" s="12" t="s">
        <v>564</v>
      </c>
      <c r="G441" s="13"/>
      <c r="H441" s="17">
        <v>251.5786</v>
      </c>
      <c r="I441" s="12" t="s">
        <v>324</v>
      </c>
      <c r="J441" s="12" t="s">
        <v>2629</v>
      </c>
    </row>
    <row r="442" spans="1:10" ht="30" customHeight="1">
      <c r="A442" s="12" t="s">
        <v>2664</v>
      </c>
      <c r="B442" s="12" t="s">
        <v>366</v>
      </c>
      <c r="C442" s="12" t="s">
        <v>363</v>
      </c>
      <c r="D442" s="12" t="s">
        <v>303</v>
      </c>
      <c r="E442" s="12" t="s">
        <v>2345</v>
      </c>
      <c r="F442" s="12" t="s">
        <v>557</v>
      </c>
      <c r="G442" s="13"/>
      <c r="H442" s="17">
        <v>9784.879999999999</v>
      </c>
      <c r="I442" s="12" t="s">
        <v>365</v>
      </c>
      <c r="J442" s="12" t="s">
        <v>2549</v>
      </c>
    </row>
    <row r="443" spans="1:10" ht="30" customHeight="1">
      <c r="A443" s="12" t="s">
        <v>2665</v>
      </c>
      <c r="B443" s="12" t="s">
        <v>366</v>
      </c>
      <c r="C443" s="12" t="s">
        <v>363</v>
      </c>
      <c r="D443" s="12" t="s">
        <v>303</v>
      </c>
      <c r="E443" s="12" t="s">
        <v>2345</v>
      </c>
      <c r="F443" s="12" t="s">
        <v>558</v>
      </c>
      <c r="G443" s="13"/>
      <c r="H443" s="17">
        <v>12432.1</v>
      </c>
      <c r="I443" s="12" t="s">
        <v>365</v>
      </c>
      <c r="J443" s="12" t="s">
        <v>2549</v>
      </c>
    </row>
    <row r="444" spans="1:10" ht="30" customHeight="1">
      <c r="A444" s="12" t="s">
        <v>2666</v>
      </c>
      <c r="B444" s="12" t="s">
        <v>366</v>
      </c>
      <c r="C444" s="12" t="s">
        <v>363</v>
      </c>
      <c r="D444" s="12" t="s">
        <v>303</v>
      </c>
      <c r="E444" s="12" t="s">
        <v>2345</v>
      </c>
      <c r="F444" s="12" t="s">
        <v>559</v>
      </c>
      <c r="G444" s="13"/>
      <c r="H444" s="17">
        <v>886.72</v>
      </c>
      <c r="I444" s="12" t="s">
        <v>365</v>
      </c>
      <c r="J444" s="12" t="s">
        <v>2549</v>
      </c>
    </row>
    <row r="445" spans="1:10" ht="30" customHeight="1">
      <c r="A445" s="12" t="s">
        <v>2667</v>
      </c>
      <c r="B445" s="12" t="s">
        <v>366</v>
      </c>
      <c r="C445" s="12" t="s">
        <v>363</v>
      </c>
      <c r="D445" s="12" t="s">
        <v>303</v>
      </c>
      <c r="E445" s="12" t="s">
        <v>2345</v>
      </c>
      <c r="F445" s="12" t="s">
        <v>561</v>
      </c>
      <c r="G445" s="13"/>
      <c r="H445" s="17">
        <v>1238.07</v>
      </c>
      <c r="I445" s="12" t="s">
        <v>365</v>
      </c>
      <c r="J445" s="12" t="s">
        <v>2549</v>
      </c>
    </row>
    <row r="446" spans="1:10" ht="30" customHeight="1">
      <c r="A446" s="12" t="s">
        <v>2668</v>
      </c>
      <c r="B446" s="12" t="s">
        <v>366</v>
      </c>
      <c r="C446" s="12" t="s">
        <v>363</v>
      </c>
      <c r="D446" s="12" t="s">
        <v>303</v>
      </c>
      <c r="E446" s="12" t="s">
        <v>2345</v>
      </c>
      <c r="F446" s="12" t="s">
        <v>562</v>
      </c>
      <c r="G446" s="13"/>
      <c r="H446" s="17">
        <v>77.28</v>
      </c>
      <c r="I446" s="12" t="s">
        <v>365</v>
      </c>
      <c r="J446" s="12" t="s">
        <v>2549</v>
      </c>
    </row>
    <row r="447" spans="1:10" ht="30" customHeight="1">
      <c r="A447" s="12" t="s">
        <v>2669</v>
      </c>
      <c r="B447" s="12" t="s">
        <v>366</v>
      </c>
      <c r="C447" s="12" t="s">
        <v>363</v>
      </c>
      <c r="D447" s="12" t="s">
        <v>303</v>
      </c>
      <c r="E447" s="12" t="s">
        <v>2345</v>
      </c>
      <c r="F447" s="12" t="s">
        <v>563</v>
      </c>
      <c r="G447" s="13"/>
      <c r="H447" s="17">
        <v>0.05102269876272597</v>
      </c>
      <c r="I447" s="12" t="s">
        <v>365</v>
      </c>
      <c r="J447" s="12" t="s">
        <v>2549</v>
      </c>
    </row>
    <row r="448" spans="1:10" ht="30" customHeight="1">
      <c r="A448" s="12" t="s">
        <v>2670</v>
      </c>
      <c r="B448" s="12" t="s">
        <v>366</v>
      </c>
      <c r="C448" s="12" t="s">
        <v>363</v>
      </c>
      <c r="D448" s="12" t="s">
        <v>303</v>
      </c>
      <c r="E448" s="12" t="s">
        <v>2345</v>
      </c>
      <c r="F448" s="12" t="s">
        <v>564</v>
      </c>
      <c r="G448" s="13"/>
      <c r="H448" s="17">
        <v>1032.62</v>
      </c>
      <c r="I448" s="12" t="s">
        <v>365</v>
      </c>
      <c r="J448" s="12" t="s">
        <v>2549</v>
      </c>
    </row>
    <row r="449" spans="1:10" ht="30" customHeight="1">
      <c r="A449" s="12" t="s">
        <v>2671</v>
      </c>
      <c r="B449" s="12" t="s">
        <v>351</v>
      </c>
      <c r="C449" s="12" t="s">
        <v>348</v>
      </c>
      <c r="D449" s="12" t="s">
        <v>303</v>
      </c>
      <c r="E449" s="12" t="s">
        <v>2345</v>
      </c>
      <c r="F449" s="12" t="s">
        <v>557</v>
      </c>
      <c r="G449" s="13"/>
      <c r="H449" s="17">
        <v>6176.74</v>
      </c>
      <c r="I449" s="12" t="s">
        <v>350</v>
      </c>
      <c r="J449" s="12" t="s">
        <v>2549</v>
      </c>
    </row>
    <row r="450" spans="1:10" ht="30" customHeight="1">
      <c r="A450" s="12" t="s">
        <v>2672</v>
      </c>
      <c r="B450" s="12" t="s">
        <v>351</v>
      </c>
      <c r="C450" s="12" t="s">
        <v>348</v>
      </c>
      <c r="D450" s="12" t="s">
        <v>303</v>
      </c>
      <c r="E450" s="12" t="s">
        <v>2345</v>
      </c>
      <c r="F450" s="12" t="s">
        <v>558</v>
      </c>
      <c r="G450" s="13"/>
      <c r="H450" s="17">
        <v>13836</v>
      </c>
      <c r="I450" s="12" t="s">
        <v>350</v>
      </c>
      <c r="J450" s="12" t="s">
        <v>2549</v>
      </c>
    </row>
    <row r="451" spans="1:10" ht="30" customHeight="1">
      <c r="A451" s="12" t="s">
        <v>2673</v>
      </c>
      <c r="B451" s="12" t="s">
        <v>351</v>
      </c>
      <c r="C451" s="12" t="s">
        <v>348</v>
      </c>
      <c r="D451" s="12" t="s">
        <v>303</v>
      </c>
      <c r="E451" s="12" t="s">
        <v>2345</v>
      </c>
      <c r="F451" s="12" t="s">
        <v>559</v>
      </c>
      <c r="G451" s="13"/>
      <c r="H451" s="17">
        <v>38.19</v>
      </c>
      <c r="I451" s="12" t="s">
        <v>350</v>
      </c>
      <c r="J451" s="12" t="s">
        <v>2549</v>
      </c>
    </row>
    <row r="452" spans="1:10" ht="30" customHeight="1">
      <c r="A452" s="12" t="s">
        <v>2674</v>
      </c>
      <c r="B452" s="12" t="s">
        <v>351</v>
      </c>
      <c r="C452" s="12" t="s">
        <v>348</v>
      </c>
      <c r="D452" s="12" t="s">
        <v>303</v>
      </c>
      <c r="E452" s="12" t="s">
        <v>2345</v>
      </c>
      <c r="F452" s="12" t="s">
        <v>561</v>
      </c>
      <c r="G452" s="13"/>
      <c r="H452" s="17">
        <v>1269.57</v>
      </c>
      <c r="I452" s="12" t="s">
        <v>350</v>
      </c>
      <c r="J452" s="12" t="s">
        <v>2549</v>
      </c>
    </row>
    <row r="453" spans="1:10" ht="30" customHeight="1">
      <c r="A453" s="12" t="s">
        <v>2675</v>
      </c>
      <c r="B453" s="12" t="s">
        <v>351</v>
      </c>
      <c r="C453" s="12" t="s">
        <v>348</v>
      </c>
      <c r="D453" s="12" t="s">
        <v>303</v>
      </c>
      <c r="E453" s="12" t="s">
        <v>2345</v>
      </c>
      <c r="F453" s="12" t="s">
        <v>562</v>
      </c>
      <c r="G453" s="13"/>
      <c r="H453" s="17">
        <v>207.35</v>
      </c>
      <c r="I453" s="12" t="s">
        <v>350</v>
      </c>
      <c r="J453" s="12" t="s">
        <v>2549</v>
      </c>
    </row>
    <row r="454" spans="1:10" ht="30" customHeight="1">
      <c r="A454" s="12" t="s">
        <v>2676</v>
      </c>
      <c r="B454" s="12" t="s">
        <v>351</v>
      </c>
      <c r="C454" s="12" t="s">
        <v>348</v>
      </c>
      <c r="D454" s="12" t="s">
        <v>303</v>
      </c>
      <c r="E454" s="12" t="s">
        <v>2345</v>
      </c>
      <c r="F454" s="12" t="s">
        <v>563</v>
      </c>
      <c r="G454" s="13"/>
      <c r="H454" s="17">
        <v>0.1979493837650001</v>
      </c>
      <c r="I454" s="12" t="s">
        <v>350</v>
      </c>
      <c r="J454" s="12" t="s">
        <v>2549</v>
      </c>
    </row>
    <row r="455" spans="1:10" ht="30" customHeight="1">
      <c r="A455" s="12" t="s">
        <v>2677</v>
      </c>
      <c r="B455" s="12" t="s">
        <v>351</v>
      </c>
      <c r="C455" s="12" t="s">
        <v>348</v>
      </c>
      <c r="D455" s="12" t="s">
        <v>303</v>
      </c>
      <c r="E455" s="12" t="s">
        <v>2345</v>
      </c>
      <c r="F455" s="12" t="s">
        <v>564</v>
      </c>
      <c r="G455" s="13"/>
      <c r="H455" s="17">
        <v>219.2</v>
      </c>
      <c r="I455" s="12" t="s">
        <v>350</v>
      </c>
      <c r="J455" s="12" t="s">
        <v>2549</v>
      </c>
    </row>
    <row r="456" spans="1:10" ht="30" customHeight="1">
      <c r="A456" s="12" t="s">
        <v>2678</v>
      </c>
      <c r="B456" s="12" t="s">
        <v>346</v>
      </c>
      <c r="C456" s="12" t="s">
        <v>343</v>
      </c>
      <c r="D456" s="12" t="s">
        <v>303</v>
      </c>
      <c r="E456" s="12" t="s">
        <v>2345</v>
      </c>
      <c r="F456" s="12" t="s">
        <v>557</v>
      </c>
      <c r="G456" s="13"/>
      <c r="H456" s="17">
        <v>4934.909</v>
      </c>
      <c r="I456" s="12" t="s">
        <v>345</v>
      </c>
      <c r="J456" s="12" t="s">
        <v>2679</v>
      </c>
    </row>
    <row r="457" spans="1:10" ht="30" customHeight="1">
      <c r="A457" s="12" t="s">
        <v>2680</v>
      </c>
      <c r="B457" s="12" t="s">
        <v>346</v>
      </c>
      <c r="C457" s="12" t="s">
        <v>343</v>
      </c>
      <c r="D457" s="12" t="s">
        <v>303</v>
      </c>
      <c r="E457" s="12" t="s">
        <v>2345</v>
      </c>
      <c r="F457" s="12" t="s">
        <v>558</v>
      </c>
      <c r="G457" s="13"/>
      <c r="H457" s="17">
        <v>2643.011</v>
      </c>
      <c r="I457" s="12" t="s">
        <v>345</v>
      </c>
      <c r="J457" s="12" t="s">
        <v>2679</v>
      </c>
    </row>
    <row r="458" spans="1:10" ht="30" customHeight="1">
      <c r="A458" s="12" t="s">
        <v>2681</v>
      </c>
      <c r="B458" s="12" t="s">
        <v>346</v>
      </c>
      <c r="C458" s="12" t="s">
        <v>343</v>
      </c>
      <c r="D458" s="12" t="s">
        <v>303</v>
      </c>
      <c r="E458" s="12" t="s">
        <v>2345</v>
      </c>
      <c r="F458" s="12" t="s">
        <v>559</v>
      </c>
      <c r="G458" s="13"/>
      <c r="H458" s="17">
        <v>729.1420000000001</v>
      </c>
      <c r="I458" s="12" t="s">
        <v>345</v>
      </c>
      <c r="J458" s="12" t="s">
        <v>2679</v>
      </c>
    </row>
    <row r="459" spans="1:10" ht="30" customHeight="1">
      <c r="A459" s="12" t="s">
        <v>2682</v>
      </c>
      <c r="B459" s="12" t="s">
        <v>346</v>
      </c>
      <c r="C459" s="12" t="s">
        <v>343</v>
      </c>
      <c r="D459" s="12" t="s">
        <v>303</v>
      </c>
      <c r="E459" s="12" t="s">
        <v>2345</v>
      </c>
      <c r="F459" s="12" t="s">
        <v>561</v>
      </c>
      <c r="G459" s="13"/>
      <c r="H459" s="17">
        <v>0</v>
      </c>
      <c r="I459" s="12" t="s">
        <v>345</v>
      </c>
      <c r="J459" s="12" t="s">
        <v>2679</v>
      </c>
    </row>
    <row r="460" spans="1:10" ht="30" customHeight="1">
      <c r="A460" s="12" t="s">
        <v>2683</v>
      </c>
      <c r="B460" s="12" t="s">
        <v>346</v>
      </c>
      <c r="C460" s="12" t="s">
        <v>343</v>
      </c>
      <c r="D460" s="12" t="s">
        <v>303</v>
      </c>
      <c r="E460" s="12" t="s">
        <v>2345</v>
      </c>
      <c r="F460" s="12" t="s">
        <v>562</v>
      </c>
      <c r="G460" s="13"/>
      <c r="H460" s="17">
        <v>46.378</v>
      </c>
      <c r="I460" s="12" t="s">
        <v>345</v>
      </c>
      <c r="J460" s="12" t="s">
        <v>2679</v>
      </c>
    </row>
    <row r="461" spans="1:10" ht="30" customHeight="1">
      <c r="A461" s="12" t="s">
        <v>2684</v>
      </c>
      <c r="B461" s="12" t="s">
        <v>346</v>
      </c>
      <c r="C461" s="12" t="s">
        <v>343</v>
      </c>
      <c r="D461" s="12" t="s">
        <v>303</v>
      </c>
      <c r="E461" s="12" t="s">
        <v>2345</v>
      </c>
      <c r="F461" s="12" t="s">
        <v>564</v>
      </c>
      <c r="G461" s="13"/>
      <c r="H461" s="17">
        <v>79.566</v>
      </c>
      <c r="I461" s="12" t="s">
        <v>345</v>
      </c>
      <c r="J461" s="12" t="s">
        <v>2679</v>
      </c>
    </row>
    <row r="462" spans="1:10" ht="30" customHeight="1">
      <c r="A462" s="12" t="s">
        <v>2685</v>
      </c>
      <c r="B462" s="12" t="s">
        <v>340</v>
      </c>
      <c r="C462" s="12" t="s">
        <v>337</v>
      </c>
      <c r="D462" s="12" t="s">
        <v>303</v>
      </c>
      <c r="E462" s="12" t="s">
        <v>2345</v>
      </c>
      <c r="F462" s="12" t="s">
        <v>557</v>
      </c>
      <c r="G462" s="13"/>
      <c r="H462" s="17">
        <v>3284.558</v>
      </c>
      <c r="I462" s="12" t="s">
        <v>339</v>
      </c>
      <c r="J462" s="12" t="s">
        <v>2679</v>
      </c>
    </row>
    <row r="463" spans="1:10" ht="30" customHeight="1">
      <c r="A463" s="12" t="s">
        <v>2686</v>
      </c>
      <c r="B463" s="12" t="s">
        <v>340</v>
      </c>
      <c r="C463" s="12" t="s">
        <v>337</v>
      </c>
      <c r="D463" s="12" t="s">
        <v>303</v>
      </c>
      <c r="E463" s="12" t="s">
        <v>2345</v>
      </c>
      <c r="F463" s="12" t="s">
        <v>558</v>
      </c>
      <c r="G463" s="13"/>
      <c r="H463" s="17">
        <v>2749.7702</v>
      </c>
      <c r="I463" s="12" t="s">
        <v>339</v>
      </c>
      <c r="J463" s="12" t="s">
        <v>2679</v>
      </c>
    </row>
    <row r="464" spans="1:10" ht="30" customHeight="1">
      <c r="A464" s="12" t="s">
        <v>2687</v>
      </c>
      <c r="B464" s="12" t="s">
        <v>340</v>
      </c>
      <c r="C464" s="12" t="s">
        <v>337</v>
      </c>
      <c r="D464" s="12" t="s">
        <v>303</v>
      </c>
      <c r="E464" s="12" t="s">
        <v>2345</v>
      </c>
      <c r="F464" s="12" t="s">
        <v>559</v>
      </c>
      <c r="G464" s="13"/>
      <c r="H464" s="17">
        <v>12.3525</v>
      </c>
      <c r="I464" s="12" t="s">
        <v>339</v>
      </c>
      <c r="J464" s="12" t="s">
        <v>2679</v>
      </c>
    </row>
    <row r="465" spans="1:10" ht="30" customHeight="1">
      <c r="A465" s="12" t="s">
        <v>2688</v>
      </c>
      <c r="B465" s="12" t="s">
        <v>340</v>
      </c>
      <c r="C465" s="12" t="s">
        <v>337</v>
      </c>
      <c r="D465" s="12" t="s">
        <v>303</v>
      </c>
      <c r="E465" s="12" t="s">
        <v>2345</v>
      </c>
      <c r="F465" s="12" t="s">
        <v>561</v>
      </c>
      <c r="G465" s="13"/>
      <c r="H465" s="17">
        <v>1100.8794</v>
      </c>
      <c r="I465" s="12" t="s">
        <v>339</v>
      </c>
      <c r="J465" s="12" t="s">
        <v>2679</v>
      </c>
    </row>
    <row r="466" spans="1:10" ht="30" customHeight="1">
      <c r="A466" s="12" t="s">
        <v>2689</v>
      </c>
      <c r="B466" s="12" t="s">
        <v>340</v>
      </c>
      <c r="C466" s="12" t="s">
        <v>337</v>
      </c>
      <c r="D466" s="12" t="s">
        <v>303</v>
      </c>
      <c r="E466" s="12" t="s">
        <v>2345</v>
      </c>
      <c r="F466" s="12" t="s">
        <v>562</v>
      </c>
      <c r="G466" s="13"/>
      <c r="H466" s="17">
        <v>74.2013</v>
      </c>
      <c r="I466" s="12" t="s">
        <v>339</v>
      </c>
      <c r="J466" s="12" t="s">
        <v>2679</v>
      </c>
    </row>
    <row r="467" spans="1:10" ht="30" customHeight="1">
      <c r="A467" s="12" t="s">
        <v>2690</v>
      </c>
      <c r="B467" s="12" t="s">
        <v>340</v>
      </c>
      <c r="C467" s="12" t="s">
        <v>337</v>
      </c>
      <c r="D467" s="12" t="s">
        <v>303</v>
      </c>
      <c r="E467" s="12" t="s">
        <v>2345</v>
      </c>
      <c r="F467" s="12" t="s">
        <v>563</v>
      </c>
      <c r="G467" s="13"/>
      <c r="H467" s="17">
        <v>0.06590123398786826</v>
      </c>
      <c r="I467" s="12" t="s">
        <v>339</v>
      </c>
      <c r="J467" s="12" t="s">
        <v>2679</v>
      </c>
    </row>
    <row r="468" spans="1:10" ht="30" customHeight="1">
      <c r="A468" s="12" t="s">
        <v>2691</v>
      </c>
      <c r="B468" s="12" t="s">
        <v>340</v>
      </c>
      <c r="C468" s="12" t="s">
        <v>337</v>
      </c>
      <c r="D468" s="12" t="s">
        <v>303</v>
      </c>
      <c r="E468" s="12" t="s">
        <v>2345</v>
      </c>
      <c r="F468" s="12" t="s">
        <v>564</v>
      </c>
      <c r="G468" s="13"/>
      <c r="H468" s="17">
        <v>42.5733</v>
      </c>
      <c r="I468" s="12" t="s">
        <v>339</v>
      </c>
      <c r="J468" s="12" t="s">
        <v>2679</v>
      </c>
    </row>
    <row r="469" spans="1:10" ht="30" customHeight="1">
      <c r="A469" s="12" t="s">
        <v>2692</v>
      </c>
      <c r="B469" s="12" t="s">
        <v>330</v>
      </c>
      <c r="C469" s="12" t="s">
        <v>327</v>
      </c>
      <c r="D469" s="12" t="s">
        <v>303</v>
      </c>
      <c r="E469" s="12" t="s">
        <v>2345</v>
      </c>
      <c r="F469" s="12" t="s">
        <v>557</v>
      </c>
      <c r="G469" s="13"/>
      <c r="H469" s="17">
        <v>6387.88</v>
      </c>
      <c r="I469" s="12" t="s">
        <v>329</v>
      </c>
      <c r="J469" s="12" t="s">
        <v>2549</v>
      </c>
    </row>
    <row r="470" spans="1:10" ht="30" customHeight="1">
      <c r="A470" s="12" t="s">
        <v>2693</v>
      </c>
      <c r="B470" s="12" t="s">
        <v>330</v>
      </c>
      <c r="C470" s="12" t="s">
        <v>327</v>
      </c>
      <c r="D470" s="12" t="s">
        <v>303</v>
      </c>
      <c r="E470" s="12" t="s">
        <v>2345</v>
      </c>
      <c r="F470" s="12" t="s">
        <v>558</v>
      </c>
      <c r="G470" s="13"/>
      <c r="H470" s="17">
        <v>5961.52</v>
      </c>
      <c r="I470" s="12" t="s">
        <v>329</v>
      </c>
      <c r="J470" s="12" t="s">
        <v>2549</v>
      </c>
    </row>
    <row r="471" spans="1:10" ht="30" customHeight="1">
      <c r="A471" s="12" t="s">
        <v>2694</v>
      </c>
      <c r="B471" s="12" t="s">
        <v>330</v>
      </c>
      <c r="C471" s="12" t="s">
        <v>327</v>
      </c>
      <c r="D471" s="12" t="s">
        <v>303</v>
      </c>
      <c r="E471" s="12" t="s">
        <v>2345</v>
      </c>
      <c r="F471" s="12" t="s">
        <v>559</v>
      </c>
      <c r="G471" s="13"/>
      <c r="H471" s="17">
        <v>815.11</v>
      </c>
      <c r="I471" s="12" t="s">
        <v>329</v>
      </c>
      <c r="J471" s="12" t="s">
        <v>2549</v>
      </c>
    </row>
    <row r="472" spans="1:10" ht="30" customHeight="1">
      <c r="A472" s="12" t="s">
        <v>2695</v>
      </c>
      <c r="B472" s="12" t="s">
        <v>330</v>
      </c>
      <c r="C472" s="12" t="s">
        <v>327</v>
      </c>
      <c r="D472" s="12" t="s">
        <v>303</v>
      </c>
      <c r="E472" s="12" t="s">
        <v>2345</v>
      </c>
      <c r="F472" s="12" t="s">
        <v>561</v>
      </c>
      <c r="G472" s="13"/>
      <c r="H472" s="17">
        <v>465.96</v>
      </c>
      <c r="I472" s="12" t="s">
        <v>329</v>
      </c>
      <c r="J472" s="12" t="s">
        <v>2549</v>
      </c>
    </row>
    <row r="473" spans="1:10" ht="30" customHeight="1">
      <c r="A473" s="12" t="s">
        <v>2696</v>
      </c>
      <c r="B473" s="12" t="s">
        <v>330</v>
      </c>
      <c r="C473" s="12" t="s">
        <v>327</v>
      </c>
      <c r="D473" s="12" t="s">
        <v>303</v>
      </c>
      <c r="E473" s="12" t="s">
        <v>2345</v>
      </c>
      <c r="F473" s="12" t="s">
        <v>562</v>
      </c>
      <c r="G473" s="13"/>
      <c r="H473" s="17">
        <v>49.77</v>
      </c>
      <c r="I473" s="12" t="s">
        <v>329</v>
      </c>
      <c r="J473" s="12" t="s">
        <v>2549</v>
      </c>
    </row>
    <row r="474" spans="1:10" ht="30" customHeight="1">
      <c r="A474" s="12" t="s">
        <v>2697</v>
      </c>
      <c r="B474" s="12" t="s">
        <v>330</v>
      </c>
      <c r="C474" s="12" t="s">
        <v>327</v>
      </c>
      <c r="D474" s="12" t="s">
        <v>303</v>
      </c>
      <c r="E474" s="12" t="s">
        <v>2345</v>
      </c>
      <c r="F474" s="12" t="s">
        <v>563</v>
      </c>
      <c r="G474" s="13"/>
      <c r="H474" s="17">
        <v>0.06127876482103941</v>
      </c>
      <c r="I474" s="12" t="s">
        <v>329</v>
      </c>
      <c r="J474" s="12" t="s">
        <v>2549</v>
      </c>
    </row>
    <row r="475" spans="1:10" ht="30" customHeight="1">
      <c r="A475" s="12" t="s">
        <v>2698</v>
      </c>
      <c r="B475" s="12" t="s">
        <v>330</v>
      </c>
      <c r="C475" s="12" t="s">
        <v>327</v>
      </c>
      <c r="D475" s="12" t="s">
        <v>303</v>
      </c>
      <c r="E475" s="12" t="s">
        <v>2345</v>
      </c>
      <c r="F475" s="12" t="s">
        <v>564</v>
      </c>
      <c r="G475" s="13"/>
      <c r="H475" s="17">
        <v>168.69</v>
      </c>
      <c r="I475" s="12" t="s">
        <v>329</v>
      </c>
      <c r="J475" s="12" t="s">
        <v>2549</v>
      </c>
    </row>
    <row r="476" spans="1:10" ht="30" customHeight="1">
      <c r="A476" s="12" t="s">
        <v>2699</v>
      </c>
      <c r="B476" s="12" t="s">
        <v>315</v>
      </c>
      <c r="C476" s="12" t="s">
        <v>312</v>
      </c>
      <c r="D476" s="12" t="s">
        <v>303</v>
      </c>
      <c r="E476" s="12" t="s">
        <v>2345</v>
      </c>
      <c r="F476" s="12" t="s">
        <v>557</v>
      </c>
      <c r="G476" s="13"/>
      <c r="H476" s="17">
        <v>3864.2396</v>
      </c>
      <c r="I476" s="12" t="s">
        <v>314</v>
      </c>
      <c r="J476" s="12" t="s">
        <v>2629</v>
      </c>
    </row>
    <row r="477" spans="1:10" ht="30" customHeight="1">
      <c r="A477" s="12" t="s">
        <v>2700</v>
      </c>
      <c r="B477" s="12" t="s">
        <v>315</v>
      </c>
      <c r="C477" s="12" t="s">
        <v>312</v>
      </c>
      <c r="D477" s="12" t="s">
        <v>303</v>
      </c>
      <c r="E477" s="12" t="s">
        <v>2345</v>
      </c>
      <c r="F477" s="12" t="s">
        <v>558</v>
      </c>
      <c r="G477" s="13"/>
      <c r="H477" s="17">
        <v>3537.1693</v>
      </c>
      <c r="I477" s="12" t="s">
        <v>314</v>
      </c>
      <c r="J477" s="12" t="s">
        <v>2629</v>
      </c>
    </row>
    <row r="478" spans="1:10" ht="30" customHeight="1">
      <c r="A478" s="12" t="s">
        <v>2701</v>
      </c>
      <c r="B478" s="12" t="s">
        <v>315</v>
      </c>
      <c r="C478" s="12" t="s">
        <v>312</v>
      </c>
      <c r="D478" s="12" t="s">
        <v>303</v>
      </c>
      <c r="E478" s="12" t="s">
        <v>2345</v>
      </c>
      <c r="F478" s="12" t="s">
        <v>559</v>
      </c>
      <c r="G478" s="13"/>
      <c r="H478" s="17">
        <v>158.5409</v>
      </c>
      <c r="I478" s="12" t="s">
        <v>314</v>
      </c>
      <c r="J478" s="12" t="s">
        <v>2629</v>
      </c>
    </row>
    <row r="479" spans="1:10" ht="30" customHeight="1">
      <c r="A479" s="12" t="s">
        <v>2702</v>
      </c>
      <c r="B479" s="12" t="s">
        <v>315</v>
      </c>
      <c r="C479" s="12" t="s">
        <v>312</v>
      </c>
      <c r="D479" s="12" t="s">
        <v>303</v>
      </c>
      <c r="E479" s="12" t="s">
        <v>2345</v>
      </c>
      <c r="F479" s="12" t="s">
        <v>561</v>
      </c>
      <c r="G479" s="13"/>
      <c r="H479" s="17">
        <v>643.3257</v>
      </c>
      <c r="I479" s="12" t="s">
        <v>314</v>
      </c>
      <c r="J479" s="12" t="s">
        <v>2629</v>
      </c>
    </row>
    <row r="480" spans="1:10" ht="30" customHeight="1">
      <c r="A480" s="12" t="s">
        <v>2703</v>
      </c>
      <c r="B480" s="12" t="s">
        <v>315</v>
      </c>
      <c r="C480" s="12" t="s">
        <v>312</v>
      </c>
      <c r="D480" s="12" t="s">
        <v>303</v>
      </c>
      <c r="E480" s="12" t="s">
        <v>2345</v>
      </c>
      <c r="F480" s="12" t="s">
        <v>562</v>
      </c>
      <c r="G480" s="13"/>
      <c r="H480" s="17">
        <v>77.4341</v>
      </c>
      <c r="I480" s="12" t="s">
        <v>314</v>
      </c>
      <c r="J480" s="12" t="s">
        <v>2629</v>
      </c>
    </row>
    <row r="481" spans="1:10" ht="30" customHeight="1">
      <c r="A481" s="12" t="s">
        <v>2704</v>
      </c>
      <c r="B481" s="12" t="s">
        <v>315</v>
      </c>
      <c r="C481" s="12" t="s">
        <v>312</v>
      </c>
      <c r="D481" s="12" t="s">
        <v>303</v>
      </c>
      <c r="E481" s="12" t="s">
        <v>2345</v>
      </c>
      <c r="F481" s="12" t="s">
        <v>563</v>
      </c>
      <c r="G481" s="13"/>
      <c r="H481" s="17">
        <v>0.1226304946713671</v>
      </c>
      <c r="I481" s="12" t="s">
        <v>314</v>
      </c>
      <c r="J481" s="12" t="s">
        <v>2629</v>
      </c>
    </row>
    <row r="482" spans="1:10" ht="30" customHeight="1">
      <c r="A482" s="12" t="s">
        <v>2705</v>
      </c>
      <c r="B482" s="12" t="s">
        <v>335</v>
      </c>
      <c r="C482" s="12" t="s">
        <v>332</v>
      </c>
      <c r="D482" s="12" t="s">
        <v>303</v>
      </c>
      <c r="E482" s="12" t="s">
        <v>2345</v>
      </c>
      <c r="F482" s="12" t="s">
        <v>557</v>
      </c>
      <c r="G482" s="13"/>
      <c r="H482" s="17">
        <v>2583.06</v>
      </c>
      <c r="I482" s="12" t="s">
        <v>334</v>
      </c>
      <c r="J482" s="12" t="s">
        <v>2549</v>
      </c>
    </row>
    <row r="483" spans="1:10" ht="30" customHeight="1">
      <c r="A483" s="12" t="s">
        <v>2706</v>
      </c>
      <c r="B483" s="12" t="s">
        <v>335</v>
      </c>
      <c r="C483" s="12" t="s">
        <v>332</v>
      </c>
      <c r="D483" s="12" t="s">
        <v>303</v>
      </c>
      <c r="E483" s="12" t="s">
        <v>2345</v>
      </c>
      <c r="F483" s="12" t="s">
        <v>558</v>
      </c>
      <c r="G483" s="13"/>
      <c r="H483" s="17">
        <v>2563.71</v>
      </c>
      <c r="I483" s="12" t="s">
        <v>334</v>
      </c>
      <c r="J483" s="12" t="s">
        <v>2549</v>
      </c>
    </row>
    <row r="484" spans="1:10" ht="30" customHeight="1">
      <c r="A484" s="12" t="s">
        <v>2707</v>
      </c>
      <c r="B484" s="12" t="s">
        <v>335</v>
      </c>
      <c r="C484" s="12" t="s">
        <v>332</v>
      </c>
      <c r="D484" s="12" t="s">
        <v>303</v>
      </c>
      <c r="E484" s="12" t="s">
        <v>2345</v>
      </c>
      <c r="F484" s="12" t="s">
        <v>559</v>
      </c>
      <c r="G484" s="13"/>
      <c r="H484" s="17">
        <v>164.54</v>
      </c>
      <c r="I484" s="12" t="s">
        <v>334</v>
      </c>
      <c r="J484" s="12" t="s">
        <v>2549</v>
      </c>
    </row>
    <row r="485" spans="1:10" ht="30" customHeight="1">
      <c r="A485" s="12" t="s">
        <v>2708</v>
      </c>
      <c r="B485" s="12" t="s">
        <v>335</v>
      </c>
      <c r="C485" s="12" t="s">
        <v>332</v>
      </c>
      <c r="D485" s="12" t="s">
        <v>303</v>
      </c>
      <c r="E485" s="12" t="s">
        <v>2345</v>
      </c>
      <c r="F485" s="12" t="s">
        <v>561</v>
      </c>
      <c r="G485" s="13"/>
      <c r="H485" s="17">
        <v>287.29</v>
      </c>
      <c r="I485" s="12" t="s">
        <v>334</v>
      </c>
      <c r="J485" s="12" t="s">
        <v>2549</v>
      </c>
    </row>
    <row r="486" spans="1:10" ht="30" customHeight="1">
      <c r="A486" s="12" t="s">
        <v>2709</v>
      </c>
      <c r="B486" s="12" t="s">
        <v>335</v>
      </c>
      <c r="C486" s="12" t="s">
        <v>332</v>
      </c>
      <c r="D486" s="12" t="s">
        <v>303</v>
      </c>
      <c r="E486" s="12" t="s">
        <v>2345</v>
      </c>
      <c r="F486" s="12" t="s">
        <v>562</v>
      </c>
      <c r="G486" s="13"/>
      <c r="H486" s="17">
        <v>20.87</v>
      </c>
      <c r="I486" s="12" t="s">
        <v>334</v>
      </c>
      <c r="J486" s="12" t="s">
        <v>2549</v>
      </c>
    </row>
    <row r="487" spans="1:10" ht="30" customHeight="1">
      <c r="A487" s="12" t="s">
        <v>2710</v>
      </c>
      <c r="B487" s="12" t="s">
        <v>335</v>
      </c>
      <c r="C487" s="12" t="s">
        <v>332</v>
      </c>
      <c r="D487" s="12" t="s">
        <v>303</v>
      </c>
      <c r="E487" s="12" t="s">
        <v>2345</v>
      </c>
      <c r="F487" s="12" t="s">
        <v>563</v>
      </c>
      <c r="G487" s="13"/>
      <c r="H487" s="17">
        <v>0.08768170741954458</v>
      </c>
      <c r="I487" s="12" t="s">
        <v>334</v>
      </c>
      <c r="J487" s="12" t="s">
        <v>2549</v>
      </c>
    </row>
    <row r="488" spans="1:10" ht="30" customHeight="1">
      <c r="A488" s="12" t="s">
        <v>2711</v>
      </c>
      <c r="B488" s="12" t="s">
        <v>335</v>
      </c>
      <c r="C488" s="12" t="s">
        <v>332</v>
      </c>
      <c r="D488" s="12" t="s">
        <v>303</v>
      </c>
      <c r="E488" s="12" t="s">
        <v>2345</v>
      </c>
      <c r="F488" s="12" t="s">
        <v>564</v>
      </c>
      <c r="G488" s="13"/>
      <c r="H488" s="17">
        <v>36.8</v>
      </c>
      <c r="I488" s="12" t="s">
        <v>334</v>
      </c>
      <c r="J488" s="12" t="s">
        <v>2549</v>
      </c>
    </row>
    <row r="489" spans="1:10" ht="30" customHeight="1">
      <c r="A489" s="12" t="s">
        <v>2712</v>
      </c>
      <c r="B489" s="12" t="s">
        <v>356</v>
      </c>
      <c r="C489" s="12" t="s">
        <v>353</v>
      </c>
      <c r="D489" s="12" t="s">
        <v>303</v>
      </c>
      <c r="E489" s="12" t="s">
        <v>2345</v>
      </c>
      <c r="F489" s="12" t="s">
        <v>557</v>
      </c>
      <c r="G489" s="13"/>
      <c r="H489" s="17">
        <v>4825.8286</v>
      </c>
      <c r="I489" s="12" t="s">
        <v>355</v>
      </c>
      <c r="J489" s="12" t="s">
        <v>2549</v>
      </c>
    </row>
    <row r="490" spans="1:10" ht="30" customHeight="1">
      <c r="A490" s="12" t="s">
        <v>2713</v>
      </c>
      <c r="B490" s="12" t="s">
        <v>356</v>
      </c>
      <c r="C490" s="12" t="s">
        <v>353</v>
      </c>
      <c r="D490" s="12" t="s">
        <v>303</v>
      </c>
      <c r="E490" s="12" t="s">
        <v>2345</v>
      </c>
      <c r="F490" s="12" t="s">
        <v>558</v>
      </c>
      <c r="G490" s="13"/>
      <c r="H490" s="17">
        <v>3610.7671</v>
      </c>
      <c r="I490" s="12" t="s">
        <v>355</v>
      </c>
      <c r="J490" s="12" t="s">
        <v>2549</v>
      </c>
    </row>
    <row r="491" spans="1:10" ht="30" customHeight="1">
      <c r="A491" s="12" t="s">
        <v>2714</v>
      </c>
      <c r="B491" s="12" t="s">
        <v>356</v>
      </c>
      <c r="C491" s="12" t="s">
        <v>353</v>
      </c>
      <c r="D491" s="12" t="s">
        <v>303</v>
      </c>
      <c r="E491" s="12" t="s">
        <v>2345</v>
      </c>
      <c r="F491" s="12" t="s">
        <v>559</v>
      </c>
      <c r="G491" s="13"/>
      <c r="H491" s="17">
        <v>-40.0268</v>
      </c>
      <c r="I491" s="12" t="s">
        <v>355</v>
      </c>
      <c r="J491" s="12" t="s">
        <v>2549</v>
      </c>
    </row>
    <row r="492" spans="1:10" ht="30" customHeight="1">
      <c r="A492" s="12" t="s">
        <v>2715</v>
      </c>
      <c r="B492" s="12" t="s">
        <v>356</v>
      </c>
      <c r="C492" s="12" t="s">
        <v>353</v>
      </c>
      <c r="D492" s="12" t="s">
        <v>303</v>
      </c>
      <c r="E492" s="12" t="s">
        <v>2345</v>
      </c>
      <c r="F492" s="12" t="s">
        <v>561</v>
      </c>
      <c r="G492" s="13"/>
      <c r="H492" s="17">
        <v>1711.8752</v>
      </c>
      <c r="I492" s="12" t="s">
        <v>355</v>
      </c>
      <c r="J492" s="12" t="s">
        <v>2549</v>
      </c>
    </row>
    <row r="493" spans="1:10" ht="30" customHeight="1">
      <c r="A493" s="12" t="s">
        <v>2716</v>
      </c>
      <c r="B493" s="12" t="s">
        <v>356</v>
      </c>
      <c r="C493" s="12" t="s">
        <v>353</v>
      </c>
      <c r="D493" s="12" t="s">
        <v>303</v>
      </c>
      <c r="E493" s="12" t="s">
        <v>2345</v>
      </c>
      <c r="F493" s="12" t="s">
        <v>562</v>
      </c>
      <c r="G493" s="13"/>
      <c r="H493" s="17">
        <v>140.0702</v>
      </c>
      <c r="I493" s="12" t="s">
        <v>355</v>
      </c>
      <c r="J493" s="12" t="s">
        <v>2549</v>
      </c>
    </row>
    <row r="494" spans="1:10" ht="30" customHeight="1">
      <c r="A494" s="12" t="s">
        <v>2717</v>
      </c>
      <c r="B494" s="12" t="s">
        <v>356</v>
      </c>
      <c r="C494" s="12" t="s">
        <v>353</v>
      </c>
      <c r="D494" s="12" t="s">
        <v>303</v>
      </c>
      <c r="E494" s="12" t="s">
        <v>2345</v>
      </c>
      <c r="F494" s="12" t="s">
        <v>563</v>
      </c>
      <c r="G494" s="13"/>
      <c r="H494" s="17">
        <v>0.07789732144433674</v>
      </c>
      <c r="I494" s="12" t="s">
        <v>355</v>
      </c>
      <c r="J494" s="12" t="s">
        <v>2549</v>
      </c>
    </row>
    <row r="495" spans="1:10" ht="30" customHeight="1">
      <c r="A495" s="12" t="s">
        <v>2718</v>
      </c>
      <c r="B495" s="12" t="s">
        <v>356</v>
      </c>
      <c r="C495" s="12" t="s">
        <v>353</v>
      </c>
      <c r="D495" s="12" t="s">
        <v>303</v>
      </c>
      <c r="E495" s="12" t="s">
        <v>2345</v>
      </c>
      <c r="F495" s="12" t="s">
        <v>564</v>
      </c>
      <c r="G495" s="13"/>
      <c r="H495" s="17">
        <v>127.9604</v>
      </c>
      <c r="I495" s="12" t="s">
        <v>355</v>
      </c>
      <c r="J495" s="12" t="s">
        <v>2549</v>
      </c>
    </row>
    <row r="496" spans="1:10" ht="30" customHeight="1">
      <c r="A496" s="12" t="s">
        <v>2719</v>
      </c>
      <c r="B496" s="12" t="s">
        <v>379</v>
      </c>
      <c r="C496" s="12" t="s">
        <v>373</v>
      </c>
      <c r="D496" s="12" t="s">
        <v>374</v>
      </c>
      <c r="E496" s="12" t="s">
        <v>2345</v>
      </c>
      <c r="F496" s="12" t="s">
        <v>557</v>
      </c>
      <c r="G496" s="17">
        <v>4098.62</v>
      </c>
      <c r="H496" s="17">
        <v>4098.6231</v>
      </c>
      <c r="I496" s="12" t="s">
        <v>378</v>
      </c>
      <c r="J496" s="12" t="s">
        <v>2720</v>
      </c>
    </row>
    <row r="497" spans="1:10" ht="30" customHeight="1">
      <c r="A497" s="12" t="s">
        <v>2721</v>
      </c>
      <c r="B497" s="12" t="s">
        <v>379</v>
      </c>
      <c r="C497" s="12" t="s">
        <v>373</v>
      </c>
      <c r="D497" s="12" t="s">
        <v>374</v>
      </c>
      <c r="E497" s="12" t="s">
        <v>2345</v>
      </c>
      <c r="F497" s="12" t="s">
        <v>558</v>
      </c>
      <c r="G497" s="17">
        <v>3705.95</v>
      </c>
      <c r="H497" s="17">
        <v>3705.9462</v>
      </c>
      <c r="I497" s="12" t="s">
        <v>378</v>
      </c>
      <c r="J497" s="12" t="s">
        <v>2720</v>
      </c>
    </row>
    <row r="498" spans="1:10" ht="30" customHeight="1">
      <c r="A498" s="12" t="s">
        <v>2722</v>
      </c>
      <c r="B498" s="12" t="s">
        <v>379</v>
      </c>
      <c r="C498" s="12" t="s">
        <v>373</v>
      </c>
      <c r="D498" s="12" t="s">
        <v>374</v>
      </c>
      <c r="E498" s="12" t="s">
        <v>2345</v>
      </c>
      <c r="F498" s="12" t="s">
        <v>559</v>
      </c>
      <c r="G498" s="17">
        <v>202.08</v>
      </c>
      <c r="H498" s="17">
        <v>202.0813</v>
      </c>
      <c r="I498" s="12" t="s">
        <v>378</v>
      </c>
      <c r="J498" s="12" t="s">
        <v>2720</v>
      </c>
    </row>
    <row r="499" spans="1:10" ht="30" customHeight="1">
      <c r="A499" s="12" t="s">
        <v>2723</v>
      </c>
      <c r="B499" s="12" t="s">
        <v>379</v>
      </c>
      <c r="C499" s="12" t="s">
        <v>373</v>
      </c>
      <c r="D499" s="12" t="s">
        <v>374</v>
      </c>
      <c r="E499" s="12" t="s">
        <v>2345</v>
      </c>
      <c r="F499" s="12" t="s">
        <v>561</v>
      </c>
      <c r="G499" s="17">
        <v>14</v>
      </c>
      <c r="H499" s="17">
        <v>13.9965</v>
      </c>
      <c r="I499" s="12" t="s">
        <v>378</v>
      </c>
      <c r="J499" s="12" t="s">
        <v>2720</v>
      </c>
    </row>
    <row r="500" spans="1:10" ht="30" customHeight="1">
      <c r="A500" s="12" t="s">
        <v>2724</v>
      </c>
      <c r="B500" s="12" t="s">
        <v>379</v>
      </c>
      <c r="C500" s="12" t="s">
        <v>373</v>
      </c>
      <c r="D500" s="12" t="s">
        <v>374</v>
      </c>
      <c r="E500" s="12" t="s">
        <v>2345</v>
      </c>
      <c r="F500" s="12" t="s">
        <v>562</v>
      </c>
      <c r="G500" s="13"/>
      <c r="H500" s="17">
        <v>58.1373</v>
      </c>
      <c r="I500" s="12" t="s">
        <v>378</v>
      </c>
      <c r="J500" s="12" t="s">
        <v>2720</v>
      </c>
    </row>
    <row r="501" spans="1:10" ht="30" customHeight="1">
      <c r="A501" s="12" t="s">
        <v>2725</v>
      </c>
      <c r="B501" s="12" t="s">
        <v>379</v>
      </c>
      <c r="C501" s="12" t="s">
        <v>373</v>
      </c>
      <c r="D501" s="12" t="s">
        <v>374</v>
      </c>
      <c r="E501" s="12" t="s">
        <v>2345</v>
      </c>
      <c r="F501" s="12" t="s">
        <v>563</v>
      </c>
      <c r="G501" s="17">
        <v>1.8385</v>
      </c>
      <c r="H501" s="17">
        <v>1.971999294470412</v>
      </c>
      <c r="I501" s="12" t="s">
        <v>378</v>
      </c>
      <c r="J501" s="12" t="s">
        <v>2720</v>
      </c>
    </row>
    <row r="502" spans="1:10" ht="30" customHeight="1">
      <c r="A502" s="12" t="s">
        <v>2726</v>
      </c>
      <c r="B502" s="12" t="s">
        <v>379</v>
      </c>
      <c r="C502" s="12" t="s">
        <v>373</v>
      </c>
      <c r="D502" s="12" t="s">
        <v>374</v>
      </c>
      <c r="E502" s="12" t="s">
        <v>2345</v>
      </c>
      <c r="F502" s="12" t="s">
        <v>564</v>
      </c>
      <c r="G502" s="13"/>
      <c r="H502" s="17">
        <v>188.7831</v>
      </c>
      <c r="I502" s="12" t="s">
        <v>378</v>
      </c>
      <c r="J502" s="12" t="s">
        <v>2720</v>
      </c>
    </row>
    <row r="503" spans="1:10" ht="30" customHeight="1">
      <c r="A503" s="12" t="s">
        <v>2727</v>
      </c>
      <c r="B503" s="12" t="s">
        <v>386</v>
      </c>
      <c r="C503" s="12" t="s">
        <v>382</v>
      </c>
      <c r="D503" s="12" t="s">
        <v>374</v>
      </c>
      <c r="E503" s="12" t="s">
        <v>2345</v>
      </c>
      <c r="F503" s="12" t="s">
        <v>557</v>
      </c>
      <c r="G503" s="17">
        <v>5832.4</v>
      </c>
      <c r="H503" s="17">
        <v>6568.6</v>
      </c>
      <c r="I503" s="12" t="s">
        <v>385</v>
      </c>
      <c r="J503" s="12" t="s">
        <v>2728</v>
      </c>
    </row>
    <row r="504" spans="1:10" ht="30" customHeight="1">
      <c r="A504" s="12" t="s">
        <v>2729</v>
      </c>
      <c r="B504" s="12" t="s">
        <v>386</v>
      </c>
      <c r="C504" s="12" t="s">
        <v>382</v>
      </c>
      <c r="D504" s="12" t="s">
        <v>374</v>
      </c>
      <c r="E504" s="12" t="s">
        <v>2345</v>
      </c>
      <c r="F504" s="12" t="s">
        <v>558</v>
      </c>
      <c r="G504" s="17">
        <v>5056</v>
      </c>
      <c r="H504" s="17">
        <v>5811.9</v>
      </c>
      <c r="I504" s="12" t="s">
        <v>385</v>
      </c>
      <c r="J504" s="12" t="s">
        <v>2728</v>
      </c>
    </row>
    <row r="505" spans="1:10" ht="30" customHeight="1">
      <c r="A505" s="12" t="s">
        <v>2730</v>
      </c>
      <c r="B505" s="12" t="s">
        <v>386</v>
      </c>
      <c r="C505" s="12" t="s">
        <v>382</v>
      </c>
      <c r="D505" s="12" t="s">
        <v>374</v>
      </c>
      <c r="E505" s="12" t="s">
        <v>2345</v>
      </c>
      <c r="F505" s="12" t="s">
        <v>559</v>
      </c>
      <c r="G505" s="17">
        <v>518.9</v>
      </c>
      <c r="H505" s="17">
        <v>534.7</v>
      </c>
      <c r="I505" s="12" t="s">
        <v>385</v>
      </c>
      <c r="J505" s="12" t="s">
        <v>2728</v>
      </c>
    </row>
    <row r="506" spans="1:10" ht="30" customHeight="1">
      <c r="A506" s="12" t="s">
        <v>2731</v>
      </c>
      <c r="B506" s="12" t="s">
        <v>386</v>
      </c>
      <c r="C506" s="12" t="s">
        <v>382</v>
      </c>
      <c r="D506" s="12" t="s">
        <v>374</v>
      </c>
      <c r="E506" s="12" t="s">
        <v>2345</v>
      </c>
      <c r="F506" s="12" t="s">
        <v>561</v>
      </c>
      <c r="G506" s="17">
        <v>143.9</v>
      </c>
      <c r="H506" s="17">
        <v>153.1</v>
      </c>
      <c r="I506" s="12" t="s">
        <v>385</v>
      </c>
      <c r="J506" s="12" t="s">
        <v>2728</v>
      </c>
    </row>
    <row r="507" spans="1:10" ht="30" customHeight="1">
      <c r="A507" s="12" t="s">
        <v>2732</v>
      </c>
      <c r="B507" s="12" t="s">
        <v>386</v>
      </c>
      <c r="C507" s="12" t="s">
        <v>382</v>
      </c>
      <c r="D507" s="12" t="s">
        <v>374</v>
      </c>
      <c r="E507" s="12" t="s">
        <v>2345</v>
      </c>
      <c r="F507" s="12" t="s">
        <v>562</v>
      </c>
      <c r="G507" s="13"/>
      <c r="H507" s="17">
        <v>64.40000000000001</v>
      </c>
      <c r="I507" s="12" t="s">
        <v>385</v>
      </c>
      <c r="J507" s="12" t="s">
        <v>2728</v>
      </c>
    </row>
    <row r="508" spans="1:10" ht="30" customHeight="1">
      <c r="A508" s="12" t="s">
        <v>2733</v>
      </c>
      <c r="B508" s="12" t="s">
        <v>386</v>
      </c>
      <c r="C508" s="12" t="s">
        <v>382</v>
      </c>
      <c r="D508" s="12" t="s">
        <v>374</v>
      </c>
      <c r="E508" s="12" t="s">
        <v>2345</v>
      </c>
      <c r="F508" s="12" t="s">
        <v>563</v>
      </c>
      <c r="G508" s="17">
        <v>0.3437</v>
      </c>
      <c r="H508" s="17">
        <v>0.4336700336700337</v>
      </c>
      <c r="I508" s="12" t="s">
        <v>385</v>
      </c>
      <c r="J508" s="12" t="s">
        <v>2728</v>
      </c>
    </row>
    <row r="509" spans="1:10" ht="30" customHeight="1">
      <c r="A509" s="12" t="s">
        <v>2734</v>
      </c>
      <c r="B509" s="12" t="s">
        <v>386</v>
      </c>
      <c r="C509" s="12" t="s">
        <v>382</v>
      </c>
      <c r="D509" s="12" t="s">
        <v>374</v>
      </c>
      <c r="E509" s="12" t="s">
        <v>2345</v>
      </c>
      <c r="F509" s="12" t="s">
        <v>564</v>
      </c>
      <c r="G509" s="13"/>
      <c r="H509" s="17">
        <v>459.1</v>
      </c>
      <c r="I509" s="12" t="s">
        <v>385</v>
      </c>
      <c r="J509" s="12" t="s">
        <v>2728</v>
      </c>
    </row>
    <row r="510" spans="1:10" ht="30" customHeight="1">
      <c r="A510" s="12" t="s">
        <v>2735</v>
      </c>
      <c r="B510" s="12" t="s">
        <v>422</v>
      </c>
      <c r="C510" s="12" t="s">
        <v>419</v>
      </c>
      <c r="D510" s="12" t="s">
        <v>374</v>
      </c>
      <c r="E510" s="12" t="s">
        <v>2345</v>
      </c>
      <c r="F510" s="12" t="s">
        <v>557</v>
      </c>
      <c r="G510" s="13"/>
      <c r="H510" s="17">
        <v>12038.5724</v>
      </c>
      <c r="I510" s="12" t="s">
        <v>421</v>
      </c>
      <c r="J510" s="12" t="s">
        <v>2720</v>
      </c>
    </row>
    <row r="511" spans="1:10" ht="30" customHeight="1">
      <c r="A511" s="12" t="s">
        <v>2736</v>
      </c>
      <c r="B511" s="12" t="s">
        <v>422</v>
      </c>
      <c r="C511" s="12" t="s">
        <v>419</v>
      </c>
      <c r="D511" s="12" t="s">
        <v>374</v>
      </c>
      <c r="E511" s="12" t="s">
        <v>2345</v>
      </c>
      <c r="F511" s="12" t="s">
        <v>558</v>
      </c>
      <c r="G511" s="13"/>
      <c r="H511" s="17">
        <v>13640.9521</v>
      </c>
      <c r="I511" s="12" t="s">
        <v>421</v>
      </c>
      <c r="J511" s="12" t="s">
        <v>2720</v>
      </c>
    </row>
    <row r="512" spans="1:10" ht="30" customHeight="1">
      <c r="A512" s="12" t="s">
        <v>2737</v>
      </c>
      <c r="B512" s="12" t="s">
        <v>422</v>
      </c>
      <c r="C512" s="12" t="s">
        <v>419</v>
      </c>
      <c r="D512" s="12" t="s">
        <v>374</v>
      </c>
      <c r="E512" s="12" t="s">
        <v>2345</v>
      </c>
      <c r="F512" s="12" t="s">
        <v>559</v>
      </c>
      <c r="G512" s="13"/>
      <c r="H512" s="17">
        <v>557.4246000000001</v>
      </c>
      <c r="I512" s="12" t="s">
        <v>421</v>
      </c>
      <c r="J512" s="12" t="s">
        <v>2720</v>
      </c>
    </row>
    <row r="513" spans="1:10" ht="30" customHeight="1">
      <c r="A513" s="12" t="s">
        <v>2738</v>
      </c>
      <c r="B513" s="12" t="s">
        <v>422</v>
      </c>
      <c r="C513" s="12" t="s">
        <v>419</v>
      </c>
      <c r="D513" s="12" t="s">
        <v>374</v>
      </c>
      <c r="E513" s="12" t="s">
        <v>2345</v>
      </c>
      <c r="F513" s="12" t="s">
        <v>561</v>
      </c>
      <c r="G513" s="13"/>
      <c r="H513" s="17">
        <v>0</v>
      </c>
      <c r="I513" s="12" t="s">
        <v>421</v>
      </c>
      <c r="J513" s="12" t="s">
        <v>2720</v>
      </c>
    </row>
    <row r="514" spans="1:10" ht="30" customHeight="1">
      <c r="A514" s="12" t="s">
        <v>2739</v>
      </c>
      <c r="B514" s="12" t="s">
        <v>422</v>
      </c>
      <c r="C514" s="12" t="s">
        <v>419</v>
      </c>
      <c r="D514" s="12" t="s">
        <v>374</v>
      </c>
      <c r="E514" s="12" t="s">
        <v>2345</v>
      </c>
      <c r="F514" s="12" t="s">
        <v>562</v>
      </c>
      <c r="G514" s="13"/>
      <c r="H514" s="17">
        <v>0.0616</v>
      </c>
      <c r="I514" s="12" t="s">
        <v>421</v>
      </c>
      <c r="J514" s="12" t="s">
        <v>2720</v>
      </c>
    </row>
    <row r="515" spans="1:10" ht="30" customHeight="1">
      <c r="A515" s="12" t="s">
        <v>2740</v>
      </c>
      <c r="B515" s="12" t="s">
        <v>422</v>
      </c>
      <c r="C515" s="12" t="s">
        <v>419</v>
      </c>
      <c r="D515" s="12" t="s">
        <v>374</v>
      </c>
      <c r="E515" s="12" t="s">
        <v>2345</v>
      </c>
      <c r="F515" s="12" t="s">
        <v>564</v>
      </c>
      <c r="G515" s="13"/>
      <c r="H515" s="17">
        <v>319.8098</v>
      </c>
      <c r="I515" s="12" t="s">
        <v>421</v>
      </c>
      <c r="J515" s="12" t="s">
        <v>2720</v>
      </c>
    </row>
    <row r="516" spans="1:10" ht="30" customHeight="1">
      <c r="A516" s="12" t="s">
        <v>2741</v>
      </c>
      <c r="B516" s="12" t="s">
        <v>402</v>
      </c>
      <c r="C516" s="12" t="s">
        <v>399</v>
      </c>
      <c r="D516" s="12" t="s">
        <v>374</v>
      </c>
      <c r="E516" s="12" t="s">
        <v>2345</v>
      </c>
      <c r="F516" s="12" t="s">
        <v>562</v>
      </c>
      <c r="G516" s="13"/>
      <c r="H516" s="17">
        <v>20.03</v>
      </c>
      <c r="I516" s="12" t="s">
        <v>401</v>
      </c>
      <c r="J516" s="12" t="s">
        <v>2720</v>
      </c>
    </row>
    <row r="517" spans="1:10" ht="30" customHeight="1">
      <c r="A517" s="12" t="s">
        <v>2742</v>
      </c>
      <c r="B517" s="12" t="s">
        <v>402</v>
      </c>
      <c r="C517" s="12" t="s">
        <v>399</v>
      </c>
      <c r="D517" s="12" t="s">
        <v>374</v>
      </c>
      <c r="E517" s="12" t="s">
        <v>2345</v>
      </c>
      <c r="F517" s="12" t="s">
        <v>563</v>
      </c>
      <c r="G517" s="17">
        <v>0.1156</v>
      </c>
      <c r="H517" s="17">
        <v>0.1156032666724382</v>
      </c>
      <c r="I517" s="12" t="s">
        <v>401</v>
      </c>
      <c r="J517" s="12" t="s">
        <v>2720</v>
      </c>
    </row>
    <row r="518" spans="1:10" ht="30" customHeight="1">
      <c r="A518" s="12" t="s">
        <v>2743</v>
      </c>
      <c r="B518" s="12" t="s">
        <v>402</v>
      </c>
      <c r="C518" s="12" t="s">
        <v>399</v>
      </c>
      <c r="D518" s="12" t="s">
        <v>374</v>
      </c>
      <c r="E518" s="12" t="s">
        <v>2345</v>
      </c>
      <c r="F518" s="12" t="s">
        <v>564</v>
      </c>
      <c r="G518" s="13"/>
      <c r="H518" s="17">
        <v>220.51</v>
      </c>
      <c r="I518" s="12" t="s">
        <v>401</v>
      </c>
      <c r="J518" s="12" t="s">
        <v>2720</v>
      </c>
    </row>
    <row r="519" spans="1:10" ht="30" customHeight="1">
      <c r="A519" s="12" t="s">
        <v>2744</v>
      </c>
      <c r="B519" s="12" t="s">
        <v>417</v>
      </c>
      <c r="C519" s="12" t="s">
        <v>414</v>
      </c>
      <c r="D519" s="12" t="s">
        <v>374</v>
      </c>
      <c r="E519" s="12" t="s">
        <v>2345</v>
      </c>
      <c r="F519" s="12" t="s">
        <v>557</v>
      </c>
      <c r="G519" s="17">
        <v>372.27</v>
      </c>
      <c r="H519" s="17">
        <v>1178.3144</v>
      </c>
      <c r="I519" s="12" t="s">
        <v>416</v>
      </c>
      <c r="J519" s="12" t="s">
        <v>2728</v>
      </c>
    </row>
    <row r="520" spans="1:10" ht="30" customHeight="1">
      <c r="A520" s="12" t="s">
        <v>2745</v>
      </c>
      <c r="B520" s="12" t="s">
        <v>417</v>
      </c>
      <c r="C520" s="12" t="s">
        <v>414</v>
      </c>
      <c r="D520" s="12" t="s">
        <v>374</v>
      </c>
      <c r="E520" s="12" t="s">
        <v>2345</v>
      </c>
      <c r="F520" s="12" t="s">
        <v>558</v>
      </c>
      <c r="G520" s="17">
        <v>6420.77</v>
      </c>
      <c r="H520" s="17">
        <v>8294.8271</v>
      </c>
      <c r="I520" s="12" t="s">
        <v>416</v>
      </c>
      <c r="J520" s="12" t="s">
        <v>2728</v>
      </c>
    </row>
    <row r="521" spans="1:10" ht="30" customHeight="1">
      <c r="A521" s="12" t="s">
        <v>2746</v>
      </c>
      <c r="B521" s="12" t="s">
        <v>417</v>
      </c>
      <c r="C521" s="12" t="s">
        <v>414</v>
      </c>
      <c r="D521" s="12" t="s">
        <v>374</v>
      </c>
      <c r="E521" s="12" t="s">
        <v>2345</v>
      </c>
      <c r="F521" s="12" t="s">
        <v>559</v>
      </c>
      <c r="G521" s="17">
        <v>61.35</v>
      </c>
      <c r="H521" s="17">
        <v>298.1651</v>
      </c>
      <c r="I521" s="12" t="s">
        <v>416</v>
      </c>
      <c r="J521" s="12" t="s">
        <v>2728</v>
      </c>
    </row>
    <row r="522" spans="1:10" ht="30" customHeight="1">
      <c r="A522" s="12" t="s">
        <v>2747</v>
      </c>
      <c r="B522" s="12" t="s">
        <v>417</v>
      </c>
      <c r="C522" s="12" t="s">
        <v>414</v>
      </c>
      <c r="D522" s="12" t="s">
        <v>374</v>
      </c>
      <c r="E522" s="12" t="s">
        <v>2345</v>
      </c>
      <c r="F522" s="12" t="s">
        <v>561</v>
      </c>
      <c r="G522" s="17">
        <v>1431.74</v>
      </c>
      <c r="H522" s="17">
        <v>645.2515</v>
      </c>
      <c r="I522" s="12" t="s">
        <v>416</v>
      </c>
      <c r="J522" s="12" t="s">
        <v>2728</v>
      </c>
    </row>
    <row r="523" spans="1:10" ht="30" customHeight="1">
      <c r="A523" s="12" t="s">
        <v>2748</v>
      </c>
      <c r="B523" s="12" t="s">
        <v>417</v>
      </c>
      <c r="C523" s="12" t="s">
        <v>414</v>
      </c>
      <c r="D523" s="12" t="s">
        <v>374</v>
      </c>
      <c r="E523" s="12" t="s">
        <v>2345</v>
      </c>
      <c r="F523" s="12" t="s">
        <v>562</v>
      </c>
      <c r="G523" s="13"/>
      <c r="H523" s="17">
        <v>10.9078</v>
      </c>
      <c r="I523" s="12" t="s">
        <v>416</v>
      </c>
      <c r="J523" s="12" t="s">
        <v>2728</v>
      </c>
    </row>
    <row r="524" spans="1:10" ht="30" customHeight="1">
      <c r="A524" s="12" t="s">
        <v>2749</v>
      </c>
      <c r="B524" s="12" t="s">
        <v>417</v>
      </c>
      <c r="C524" s="12" t="s">
        <v>414</v>
      </c>
      <c r="D524" s="12" t="s">
        <v>374</v>
      </c>
      <c r="E524" s="12" t="s">
        <v>2345</v>
      </c>
      <c r="F524" s="12" t="s">
        <v>563</v>
      </c>
      <c r="G524" s="17">
        <v>0.0927</v>
      </c>
      <c r="H524" s="17">
        <v>0.01050344620556289</v>
      </c>
      <c r="I524" s="12" t="s">
        <v>416</v>
      </c>
      <c r="J524" s="12" t="s">
        <v>2728</v>
      </c>
    </row>
    <row r="525" spans="1:10" ht="30" customHeight="1">
      <c r="A525" s="12" t="s">
        <v>2750</v>
      </c>
      <c r="B525" s="12" t="s">
        <v>417</v>
      </c>
      <c r="C525" s="12" t="s">
        <v>414</v>
      </c>
      <c r="D525" s="12" t="s">
        <v>374</v>
      </c>
      <c r="E525" s="12" t="s">
        <v>2345</v>
      </c>
      <c r="F525" s="12" t="s">
        <v>564</v>
      </c>
      <c r="G525" s="13"/>
      <c r="H525" s="17">
        <v>18.1386</v>
      </c>
      <c r="I525" s="12" t="s">
        <v>416</v>
      </c>
      <c r="J525" s="12" t="s">
        <v>2728</v>
      </c>
    </row>
    <row r="526" spans="1:10" ht="30" customHeight="1">
      <c r="A526" s="12" t="s">
        <v>2751</v>
      </c>
      <c r="B526" s="12" t="s">
        <v>392</v>
      </c>
      <c r="C526" s="12" t="s">
        <v>388</v>
      </c>
      <c r="D526" s="12" t="s">
        <v>374</v>
      </c>
      <c r="E526" s="12" t="s">
        <v>2345</v>
      </c>
      <c r="F526" s="12" t="s">
        <v>557</v>
      </c>
      <c r="G526" s="17">
        <v>7993.66</v>
      </c>
      <c r="H526" s="17">
        <v>8194.0178</v>
      </c>
      <c r="I526" s="12" t="s">
        <v>391</v>
      </c>
      <c r="J526" s="12" t="s">
        <v>2728</v>
      </c>
    </row>
    <row r="527" spans="1:10" ht="30" customHeight="1">
      <c r="A527" s="12" t="s">
        <v>2752</v>
      </c>
      <c r="B527" s="12" t="s">
        <v>392</v>
      </c>
      <c r="C527" s="12" t="s">
        <v>388</v>
      </c>
      <c r="D527" s="12" t="s">
        <v>374</v>
      </c>
      <c r="E527" s="12" t="s">
        <v>2345</v>
      </c>
      <c r="F527" s="12" t="s">
        <v>558</v>
      </c>
      <c r="G527" s="17">
        <v>69475.37</v>
      </c>
      <c r="H527" s="17">
        <v>74874.773</v>
      </c>
      <c r="I527" s="12" t="s">
        <v>391</v>
      </c>
      <c r="J527" s="12" t="s">
        <v>2728</v>
      </c>
    </row>
    <row r="528" spans="1:10" ht="30" customHeight="1">
      <c r="A528" s="12" t="s">
        <v>2753</v>
      </c>
      <c r="B528" s="12" t="s">
        <v>392</v>
      </c>
      <c r="C528" s="12" t="s">
        <v>388</v>
      </c>
      <c r="D528" s="12" t="s">
        <v>374</v>
      </c>
      <c r="E528" s="12" t="s">
        <v>2345</v>
      </c>
      <c r="F528" s="12" t="s">
        <v>559</v>
      </c>
      <c r="G528" s="17">
        <v>4366.82</v>
      </c>
      <c r="H528" s="17">
        <v>4414.675</v>
      </c>
      <c r="I528" s="12" t="s">
        <v>391</v>
      </c>
      <c r="J528" s="12" t="s">
        <v>2728</v>
      </c>
    </row>
    <row r="529" spans="1:10" ht="30" customHeight="1">
      <c r="A529" s="12" t="s">
        <v>2754</v>
      </c>
      <c r="B529" s="12" t="s">
        <v>392</v>
      </c>
      <c r="C529" s="12" t="s">
        <v>388</v>
      </c>
      <c r="D529" s="12" t="s">
        <v>374</v>
      </c>
      <c r="E529" s="12" t="s">
        <v>2345</v>
      </c>
      <c r="F529" s="12" t="s">
        <v>561</v>
      </c>
      <c r="G529" s="17">
        <v>3854.03</v>
      </c>
      <c r="H529" s="17">
        <v>44.9476</v>
      </c>
      <c r="I529" s="12" t="s">
        <v>391</v>
      </c>
      <c r="J529" s="12" t="s">
        <v>2728</v>
      </c>
    </row>
    <row r="530" spans="1:10" ht="30" customHeight="1">
      <c r="A530" s="12" t="s">
        <v>2755</v>
      </c>
      <c r="B530" s="12" t="s">
        <v>392</v>
      </c>
      <c r="C530" s="12" t="s">
        <v>388</v>
      </c>
      <c r="D530" s="12" t="s">
        <v>374</v>
      </c>
      <c r="E530" s="12" t="s">
        <v>2345</v>
      </c>
      <c r="F530" s="12" t="s">
        <v>562</v>
      </c>
      <c r="G530" s="13"/>
      <c r="H530" s="17">
        <v>199.0747</v>
      </c>
      <c r="I530" s="12" t="s">
        <v>391</v>
      </c>
      <c r="J530" s="12" t="s">
        <v>2728</v>
      </c>
    </row>
    <row r="531" spans="1:10" ht="30" customHeight="1">
      <c r="A531" s="12" t="s">
        <v>2756</v>
      </c>
      <c r="B531" s="12" t="s">
        <v>392</v>
      </c>
      <c r="C531" s="12" t="s">
        <v>388</v>
      </c>
      <c r="D531" s="12" t="s">
        <v>374</v>
      </c>
      <c r="E531" s="12" t="s">
        <v>2345</v>
      </c>
      <c r="F531" s="12" t="s">
        <v>563</v>
      </c>
      <c r="G531" s="17">
        <v>0.094</v>
      </c>
      <c r="H531" s="17">
        <v>0.1021164620833426</v>
      </c>
      <c r="I531" s="12" t="s">
        <v>391</v>
      </c>
      <c r="J531" s="12" t="s">
        <v>2728</v>
      </c>
    </row>
    <row r="532" spans="1:10" ht="30" customHeight="1">
      <c r="A532" s="12" t="s">
        <v>2757</v>
      </c>
      <c r="B532" s="12" t="s">
        <v>392</v>
      </c>
      <c r="C532" s="12" t="s">
        <v>388</v>
      </c>
      <c r="D532" s="12" t="s">
        <v>374</v>
      </c>
      <c r="E532" s="12" t="s">
        <v>2345</v>
      </c>
      <c r="F532" s="12" t="s">
        <v>564</v>
      </c>
      <c r="G532" s="13"/>
      <c r="H532" s="17">
        <v>129.1947</v>
      </c>
      <c r="I532" s="12" t="s">
        <v>391</v>
      </c>
      <c r="J532" s="12" t="s">
        <v>2728</v>
      </c>
    </row>
    <row r="533" spans="1:10" ht="30" customHeight="1">
      <c r="A533" s="12" t="s">
        <v>2758</v>
      </c>
      <c r="B533" s="12" t="s">
        <v>407</v>
      </c>
      <c r="C533" s="12" t="s">
        <v>404</v>
      </c>
      <c r="D533" s="12" t="s">
        <v>374</v>
      </c>
      <c r="E533" s="12" t="s">
        <v>2345</v>
      </c>
      <c r="F533" s="12" t="s">
        <v>557</v>
      </c>
      <c r="G533" s="17">
        <v>255734.45</v>
      </c>
      <c r="H533" s="17">
        <v>285874.36</v>
      </c>
      <c r="I533" s="12" t="s">
        <v>406</v>
      </c>
      <c r="J533" s="12" t="s">
        <v>2728</v>
      </c>
    </row>
    <row r="534" spans="1:10" ht="30" customHeight="1">
      <c r="A534" s="12" t="s">
        <v>2759</v>
      </c>
      <c r="B534" s="12" t="s">
        <v>407</v>
      </c>
      <c r="C534" s="12" t="s">
        <v>404</v>
      </c>
      <c r="D534" s="12" t="s">
        <v>374</v>
      </c>
      <c r="E534" s="12" t="s">
        <v>2345</v>
      </c>
      <c r="F534" s="12" t="s">
        <v>558</v>
      </c>
      <c r="G534" s="17">
        <v>379524.1</v>
      </c>
      <c r="H534" s="17">
        <v>452549.88</v>
      </c>
      <c r="I534" s="12" t="s">
        <v>406</v>
      </c>
      <c r="J534" s="12" t="s">
        <v>2728</v>
      </c>
    </row>
    <row r="535" spans="1:10" ht="30" customHeight="1">
      <c r="A535" s="12" t="s">
        <v>2760</v>
      </c>
      <c r="B535" s="12" t="s">
        <v>407</v>
      </c>
      <c r="C535" s="12" t="s">
        <v>404</v>
      </c>
      <c r="D535" s="12" t="s">
        <v>374</v>
      </c>
      <c r="E535" s="12" t="s">
        <v>2345</v>
      </c>
      <c r="F535" s="12" t="s">
        <v>559</v>
      </c>
      <c r="G535" s="17">
        <v>17673.33</v>
      </c>
      <c r="H535" s="17">
        <v>18953.88</v>
      </c>
      <c r="I535" s="12" t="s">
        <v>406</v>
      </c>
      <c r="J535" s="12" t="s">
        <v>2728</v>
      </c>
    </row>
    <row r="536" spans="1:10" ht="30" customHeight="1">
      <c r="A536" s="12" t="s">
        <v>2761</v>
      </c>
      <c r="B536" s="12" t="s">
        <v>407</v>
      </c>
      <c r="C536" s="12" t="s">
        <v>404</v>
      </c>
      <c r="D536" s="12" t="s">
        <v>374</v>
      </c>
      <c r="E536" s="12" t="s">
        <v>2345</v>
      </c>
      <c r="F536" s="12" t="s">
        <v>561</v>
      </c>
      <c r="G536" s="17">
        <v>129559.34</v>
      </c>
      <c r="H536" s="17">
        <v>121683.02</v>
      </c>
      <c r="I536" s="12" t="s">
        <v>406</v>
      </c>
      <c r="J536" s="12" t="s">
        <v>2728</v>
      </c>
    </row>
    <row r="537" spans="1:10" ht="30" customHeight="1">
      <c r="A537" s="12" t="s">
        <v>2762</v>
      </c>
      <c r="B537" s="12" t="s">
        <v>407</v>
      </c>
      <c r="C537" s="12" t="s">
        <v>404</v>
      </c>
      <c r="D537" s="12" t="s">
        <v>374</v>
      </c>
      <c r="E537" s="12" t="s">
        <v>2345</v>
      </c>
      <c r="F537" s="12" t="s">
        <v>562</v>
      </c>
      <c r="G537" s="13"/>
      <c r="H537" s="17">
        <v>9844.16</v>
      </c>
      <c r="I537" s="12" t="s">
        <v>406</v>
      </c>
      <c r="J537" s="12" t="s">
        <v>2728</v>
      </c>
    </row>
    <row r="538" spans="1:10" ht="30" customHeight="1">
      <c r="A538" s="12" t="s">
        <v>2763</v>
      </c>
      <c r="B538" s="12" t="s">
        <v>407</v>
      </c>
      <c r="C538" s="12" t="s">
        <v>404</v>
      </c>
      <c r="D538" s="12" t="s">
        <v>374</v>
      </c>
      <c r="E538" s="12" t="s">
        <v>2345</v>
      </c>
      <c r="F538" s="12" t="s">
        <v>563</v>
      </c>
      <c r="G538" s="17">
        <v>0.0775</v>
      </c>
      <c r="H538" s="17">
        <v>0.07836385552181567</v>
      </c>
      <c r="I538" s="12" t="s">
        <v>406</v>
      </c>
      <c r="J538" s="12" t="s">
        <v>2728</v>
      </c>
    </row>
    <row r="539" spans="1:10" ht="30" customHeight="1">
      <c r="A539" s="12" t="s">
        <v>2764</v>
      </c>
      <c r="B539" s="12" t="s">
        <v>407</v>
      </c>
      <c r="C539" s="12" t="s">
        <v>404</v>
      </c>
      <c r="D539" s="12" t="s">
        <v>374</v>
      </c>
      <c r="E539" s="12" t="s">
        <v>2345</v>
      </c>
      <c r="F539" s="12" t="s">
        <v>564</v>
      </c>
      <c r="G539" s="13"/>
      <c r="H539" s="17">
        <v>4809.19</v>
      </c>
      <c r="I539" s="12" t="s">
        <v>406</v>
      </c>
      <c r="J539" s="12" t="s">
        <v>2728</v>
      </c>
    </row>
    <row r="540" spans="1:10" ht="30" customHeight="1">
      <c r="A540" s="12" t="s">
        <v>2765</v>
      </c>
      <c r="B540" s="12" t="s">
        <v>412</v>
      </c>
      <c r="C540" s="12" t="s">
        <v>409</v>
      </c>
      <c r="D540" s="12" t="s">
        <v>374</v>
      </c>
      <c r="E540" s="12" t="s">
        <v>2345</v>
      </c>
      <c r="F540" s="12" t="s">
        <v>557</v>
      </c>
      <c r="G540" s="17">
        <v>13779.5</v>
      </c>
      <c r="H540" s="17">
        <v>16676.2</v>
      </c>
      <c r="I540" s="12" t="s">
        <v>411</v>
      </c>
      <c r="J540" s="12" t="s">
        <v>2728</v>
      </c>
    </row>
    <row r="541" spans="1:10" ht="30" customHeight="1">
      <c r="A541" s="12" t="s">
        <v>2766</v>
      </c>
      <c r="B541" s="12" t="s">
        <v>412</v>
      </c>
      <c r="C541" s="12" t="s">
        <v>409</v>
      </c>
      <c r="D541" s="12" t="s">
        <v>374</v>
      </c>
      <c r="E541" s="12" t="s">
        <v>2345</v>
      </c>
      <c r="F541" s="12" t="s">
        <v>558</v>
      </c>
      <c r="G541" s="17">
        <v>49840.6</v>
      </c>
      <c r="H541" s="17">
        <v>58936.6</v>
      </c>
      <c r="I541" s="12" t="s">
        <v>411</v>
      </c>
      <c r="J541" s="12" t="s">
        <v>2728</v>
      </c>
    </row>
    <row r="542" spans="1:10" ht="30" customHeight="1">
      <c r="A542" s="12" t="s">
        <v>2767</v>
      </c>
      <c r="B542" s="12" t="s">
        <v>412</v>
      </c>
      <c r="C542" s="12" t="s">
        <v>409</v>
      </c>
      <c r="D542" s="12" t="s">
        <v>374</v>
      </c>
      <c r="E542" s="12" t="s">
        <v>2345</v>
      </c>
      <c r="F542" s="12" t="s">
        <v>559</v>
      </c>
      <c r="G542" s="17">
        <v>2766.6</v>
      </c>
      <c r="H542" s="17">
        <v>3430.7</v>
      </c>
      <c r="I542" s="12" t="s">
        <v>411</v>
      </c>
      <c r="J542" s="12" t="s">
        <v>2728</v>
      </c>
    </row>
    <row r="543" spans="1:10" ht="30" customHeight="1">
      <c r="A543" s="12" t="s">
        <v>2768</v>
      </c>
      <c r="B543" s="12" t="s">
        <v>412</v>
      </c>
      <c r="C543" s="12" t="s">
        <v>409</v>
      </c>
      <c r="D543" s="12" t="s">
        <v>374</v>
      </c>
      <c r="E543" s="12" t="s">
        <v>2345</v>
      </c>
      <c r="F543" s="12" t="s">
        <v>561</v>
      </c>
      <c r="G543" s="17">
        <v>7080.4</v>
      </c>
      <c r="H543" s="17">
        <v>9883.9</v>
      </c>
      <c r="I543" s="12" t="s">
        <v>411</v>
      </c>
      <c r="J543" s="12" t="s">
        <v>2728</v>
      </c>
    </row>
    <row r="544" spans="1:10" ht="30" customHeight="1">
      <c r="A544" s="12" t="s">
        <v>2769</v>
      </c>
      <c r="B544" s="12" t="s">
        <v>412</v>
      </c>
      <c r="C544" s="12" t="s">
        <v>409</v>
      </c>
      <c r="D544" s="12" t="s">
        <v>374</v>
      </c>
      <c r="E544" s="12" t="s">
        <v>2345</v>
      </c>
      <c r="F544" s="12" t="s">
        <v>562</v>
      </c>
      <c r="G544" s="13"/>
      <c r="H544" s="17">
        <v>656.7</v>
      </c>
      <c r="I544" s="12" t="s">
        <v>411</v>
      </c>
      <c r="J544" s="12" t="s">
        <v>2728</v>
      </c>
    </row>
    <row r="545" spans="1:10" ht="30" customHeight="1">
      <c r="A545" s="12" t="s">
        <v>2770</v>
      </c>
      <c r="B545" s="12" t="s">
        <v>412</v>
      </c>
      <c r="C545" s="12" t="s">
        <v>409</v>
      </c>
      <c r="D545" s="12" t="s">
        <v>374</v>
      </c>
      <c r="E545" s="12" t="s">
        <v>2345</v>
      </c>
      <c r="F545" s="12" t="s">
        <v>563</v>
      </c>
      <c r="G545" s="17">
        <v>0.0958</v>
      </c>
      <c r="H545" s="17">
        <v>0.07742140848723497</v>
      </c>
      <c r="I545" s="12" t="s">
        <v>411</v>
      </c>
      <c r="J545" s="12" t="s">
        <v>2728</v>
      </c>
    </row>
    <row r="546" spans="1:10" ht="30" customHeight="1">
      <c r="A546" s="12" t="s">
        <v>2771</v>
      </c>
      <c r="B546" s="12" t="s">
        <v>412</v>
      </c>
      <c r="C546" s="12" t="s">
        <v>409</v>
      </c>
      <c r="D546" s="12" t="s">
        <v>374</v>
      </c>
      <c r="E546" s="12" t="s">
        <v>2345</v>
      </c>
      <c r="F546" s="12" t="s">
        <v>564</v>
      </c>
      <c r="G546" s="13"/>
      <c r="H546" s="17">
        <v>250.2</v>
      </c>
      <c r="I546" s="12" t="s">
        <v>411</v>
      </c>
      <c r="J546" s="12" t="s">
        <v>2728</v>
      </c>
    </row>
    <row r="547" spans="1:10" ht="30" customHeight="1">
      <c r="A547" s="12" t="s">
        <v>2772</v>
      </c>
      <c r="B547" s="12" t="s">
        <v>397</v>
      </c>
      <c r="C547" s="12" t="s">
        <v>394</v>
      </c>
      <c r="D547" s="12" t="s">
        <v>374</v>
      </c>
      <c r="E547" s="12" t="s">
        <v>2345</v>
      </c>
      <c r="F547" s="12" t="s">
        <v>557</v>
      </c>
      <c r="G547" s="17">
        <v>4922.84</v>
      </c>
      <c r="H547" s="17">
        <v>5131.43</v>
      </c>
      <c r="I547" s="12" t="s">
        <v>396</v>
      </c>
      <c r="J547" s="12" t="s">
        <v>2728</v>
      </c>
    </row>
    <row r="548" spans="1:10" ht="30" customHeight="1">
      <c r="A548" s="12" t="s">
        <v>2773</v>
      </c>
      <c r="B548" s="12" t="s">
        <v>397</v>
      </c>
      <c r="C548" s="12" t="s">
        <v>394</v>
      </c>
      <c r="D548" s="12" t="s">
        <v>374</v>
      </c>
      <c r="E548" s="12" t="s">
        <v>2345</v>
      </c>
      <c r="F548" s="12" t="s">
        <v>558</v>
      </c>
      <c r="G548" s="17">
        <v>55465.52</v>
      </c>
      <c r="H548" s="17">
        <v>81894.42999999999</v>
      </c>
      <c r="I548" s="12" t="s">
        <v>396</v>
      </c>
      <c r="J548" s="12" t="s">
        <v>2728</v>
      </c>
    </row>
    <row r="549" spans="1:10" ht="30" customHeight="1">
      <c r="A549" s="12" t="s">
        <v>2774</v>
      </c>
      <c r="B549" s="12" t="s">
        <v>397</v>
      </c>
      <c r="C549" s="12" t="s">
        <v>394</v>
      </c>
      <c r="D549" s="12" t="s">
        <v>374</v>
      </c>
      <c r="E549" s="12" t="s">
        <v>2345</v>
      </c>
      <c r="F549" s="12" t="s">
        <v>559</v>
      </c>
      <c r="G549" s="17">
        <v>1389.23</v>
      </c>
      <c r="H549" s="17">
        <v>1840.66</v>
      </c>
      <c r="I549" s="12" t="s">
        <v>396</v>
      </c>
      <c r="J549" s="12" t="s">
        <v>2728</v>
      </c>
    </row>
    <row r="550" spans="1:10" ht="30" customHeight="1">
      <c r="A550" s="12" t="s">
        <v>2775</v>
      </c>
      <c r="B550" s="12" t="s">
        <v>397</v>
      </c>
      <c r="C550" s="12" t="s">
        <v>394</v>
      </c>
      <c r="D550" s="12" t="s">
        <v>374</v>
      </c>
      <c r="E550" s="12" t="s">
        <v>2345</v>
      </c>
      <c r="F550" s="12" t="s">
        <v>561</v>
      </c>
      <c r="G550" s="17">
        <v>12561.16</v>
      </c>
      <c r="H550" s="17">
        <v>15614.87</v>
      </c>
      <c r="I550" s="12" t="s">
        <v>396</v>
      </c>
      <c r="J550" s="12" t="s">
        <v>2728</v>
      </c>
    </row>
    <row r="551" spans="1:10" ht="30" customHeight="1">
      <c r="A551" s="12" t="s">
        <v>2776</v>
      </c>
      <c r="B551" s="12" t="s">
        <v>397</v>
      </c>
      <c r="C551" s="12" t="s">
        <v>394</v>
      </c>
      <c r="D551" s="12" t="s">
        <v>374</v>
      </c>
      <c r="E551" s="12" t="s">
        <v>2345</v>
      </c>
      <c r="F551" s="12" t="s">
        <v>562</v>
      </c>
      <c r="G551" s="13"/>
      <c r="H551" s="17">
        <v>136.86</v>
      </c>
      <c r="I551" s="12" t="s">
        <v>396</v>
      </c>
      <c r="J551" s="12" t="s">
        <v>2728</v>
      </c>
    </row>
    <row r="552" spans="1:10" ht="30" customHeight="1">
      <c r="A552" s="12" t="s">
        <v>2777</v>
      </c>
      <c r="B552" s="12" t="s">
        <v>397</v>
      </c>
      <c r="C552" s="12" t="s">
        <v>394</v>
      </c>
      <c r="D552" s="12" t="s">
        <v>374</v>
      </c>
      <c r="E552" s="12" t="s">
        <v>2345</v>
      </c>
      <c r="F552" s="12" t="s">
        <v>563</v>
      </c>
      <c r="G552" s="17">
        <v>0.0898</v>
      </c>
      <c r="H552" s="17">
        <v>0.009714640423083027</v>
      </c>
      <c r="I552" s="12" t="s">
        <v>396</v>
      </c>
      <c r="J552" s="12" t="s">
        <v>2728</v>
      </c>
    </row>
    <row r="553" spans="1:10" ht="30" customHeight="1">
      <c r="A553" s="12" t="s">
        <v>2778</v>
      </c>
      <c r="B553" s="12" t="s">
        <v>397</v>
      </c>
      <c r="C553" s="12" t="s">
        <v>394</v>
      </c>
      <c r="D553" s="12" t="s">
        <v>374</v>
      </c>
      <c r="E553" s="12" t="s">
        <v>2345</v>
      </c>
      <c r="F553" s="12" t="s">
        <v>564</v>
      </c>
      <c r="G553" s="13"/>
      <c r="H553" s="17">
        <v>406.04</v>
      </c>
      <c r="I553" s="12" t="s">
        <v>396</v>
      </c>
      <c r="J553" s="12" t="s">
        <v>2728</v>
      </c>
    </row>
    <row r="554" spans="1:10" ht="30" customHeight="1">
      <c r="A554" s="12" t="s">
        <v>2779</v>
      </c>
      <c r="B554" s="12" t="s">
        <v>427</v>
      </c>
      <c r="C554" s="12" t="s">
        <v>424</v>
      </c>
      <c r="D554" s="12" t="s">
        <v>374</v>
      </c>
      <c r="E554" s="12" t="s">
        <v>2345</v>
      </c>
      <c r="F554" s="12" t="s">
        <v>557</v>
      </c>
      <c r="G554" s="17">
        <v>22199.36</v>
      </c>
      <c r="H554" s="17">
        <v>20823</v>
      </c>
      <c r="I554" s="12" t="s">
        <v>426</v>
      </c>
      <c r="J554" s="12" t="s">
        <v>2728</v>
      </c>
    </row>
    <row r="555" spans="1:10" ht="30" customHeight="1">
      <c r="A555" s="12" t="s">
        <v>2780</v>
      </c>
      <c r="B555" s="12" t="s">
        <v>427</v>
      </c>
      <c r="C555" s="12" t="s">
        <v>424</v>
      </c>
      <c r="D555" s="12" t="s">
        <v>374</v>
      </c>
      <c r="E555" s="12" t="s">
        <v>2345</v>
      </c>
      <c r="F555" s="12" t="s">
        <v>558</v>
      </c>
      <c r="G555" s="17">
        <v>21006.38</v>
      </c>
      <c r="H555" s="17">
        <v>26006.07</v>
      </c>
      <c r="I555" s="12" t="s">
        <v>426</v>
      </c>
      <c r="J555" s="12" t="s">
        <v>2728</v>
      </c>
    </row>
    <row r="556" spans="1:10" ht="30" customHeight="1">
      <c r="A556" s="12" t="s">
        <v>2781</v>
      </c>
      <c r="B556" s="12" t="s">
        <v>427</v>
      </c>
      <c r="C556" s="12" t="s">
        <v>424</v>
      </c>
      <c r="D556" s="12" t="s">
        <v>374</v>
      </c>
      <c r="E556" s="12" t="s">
        <v>2345</v>
      </c>
      <c r="F556" s="12" t="s">
        <v>559</v>
      </c>
      <c r="G556" s="17">
        <v>868.25</v>
      </c>
      <c r="H556" s="17">
        <v>723.96</v>
      </c>
      <c r="I556" s="12" t="s">
        <v>426</v>
      </c>
      <c r="J556" s="12" t="s">
        <v>2728</v>
      </c>
    </row>
    <row r="557" spans="1:10" ht="30" customHeight="1">
      <c r="A557" s="12" t="s">
        <v>2782</v>
      </c>
      <c r="B557" s="12" t="s">
        <v>427</v>
      </c>
      <c r="C557" s="12" t="s">
        <v>424</v>
      </c>
      <c r="D557" s="12" t="s">
        <v>374</v>
      </c>
      <c r="E557" s="12" t="s">
        <v>2345</v>
      </c>
      <c r="F557" s="12" t="s">
        <v>561</v>
      </c>
      <c r="G557" s="17">
        <v>1593.58</v>
      </c>
      <c r="H557" s="17">
        <v>3457</v>
      </c>
      <c r="I557" s="12" t="s">
        <v>426</v>
      </c>
      <c r="J557" s="12" t="s">
        <v>2728</v>
      </c>
    </row>
    <row r="558" spans="1:10" ht="30" customHeight="1">
      <c r="A558" s="12" t="s">
        <v>2783</v>
      </c>
      <c r="B558" s="12" t="s">
        <v>427</v>
      </c>
      <c r="C558" s="12" t="s">
        <v>424</v>
      </c>
      <c r="D558" s="12" t="s">
        <v>374</v>
      </c>
      <c r="E558" s="12" t="s">
        <v>2345</v>
      </c>
      <c r="F558" s="12" t="s">
        <v>562</v>
      </c>
      <c r="G558" s="13"/>
      <c r="H558" s="17">
        <v>745.29</v>
      </c>
      <c r="I558" s="12" t="s">
        <v>426</v>
      </c>
      <c r="J558" s="12" t="s">
        <v>2728</v>
      </c>
    </row>
    <row r="559" spans="1:10" ht="30" customHeight="1">
      <c r="A559" s="12" t="s">
        <v>2784</v>
      </c>
      <c r="B559" s="12" t="s">
        <v>427</v>
      </c>
      <c r="C559" s="12" t="s">
        <v>424</v>
      </c>
      <c r="D559" s="12" t="s">
        <v>374</v>
      </c>
      <c r="E559" s="12" t="s">
        <v>2345</v>
      </c>
      <c r="F559" s="12" t="s">
        <v>563</v>
      </c>
      <c r="G559" s="17">
        <v>0.5285</v>
      </c>
      <c r="H559" s="17">
        <v>0.2951304602639697</v>
      </c>
      <c r="I559" s="12" t="s">
        <v>426</v>
      </c>
      <c r="J559" s="12" t="s">
        <v>2728</v>
      </c>
    </row>
    <row r="560" spans="1:10" ht="30" customHeight="1">
      <c r="A560" s="12" t="s">
        <v>2785</v>
      </c>
      <c r="B560" s="12" t="s">
        <v>427</v>
      </c>
      <c r="C560" s="12" t="s">
        <v>424</v>
      </c>
      <c r="D560" s="12" t="s">
        <v>374</v>
      </c>
      <c r="E560" s="12" t="s">
        <v>2345</v>
      </c>
      <c r="F560" s="12" t="s">
        <v>564</v>
      </c>
      <c r="G560" s="13"/>
      <c r="H560" s="17">
        <v>955.3099999999999</v>
      </c>
      <c r="I560" s="12" t="s">
        <v>426</v>
      </c>
      <c r="J560" s="12" t="s">
        <v>2728</v>
      </c>
    </row>
    <row r="561" spans="1:10" ht="30" customHeight="1">
      <c r="A561" s="12" t="s">
        <v>2786</v>
      </c>
      <c r="B561" s="12" t="s">
        <v>434</v>
      </c>
      <c r="C561" s="12" t="s">
        <v>429</v>
      </c>
      <c r="D561" s="12" t="s">
        <v>430</v>
      </c>
      <c r="E561" s="12" t="s">
        <v>2345</v>
      </c>
      <c r="F561" s="12" t="s">
        <v>557</v>
      </c>
      <c r="G561" s="13"/>
      <c r="H561" s="17">
        <v>30475.33</v>
      </c>
      <c r="I561" s="12" t="s">
        <v>433</v>
      </c>
      <c r="J561" s="12" t="s">
        <v>2549</v>
      </c>
    </row>
    <row r="562" spans="1:10" ht="30" customHeight="1">
      <c r="A562" s="12" t="s">
        <v>2787</v>
      </c>
      <c r="B562" s="12" t="s">
        <v>434</v>
      </c>
      <c r="C562" s="12" t="s">
        <v>429</v>
      </c>
      <c r="D562" s="12" t="s">
        <v>430</v>
      </c>
      <c r="E562" s="12" t="s">
        <v>2345</v>
      </c>
      <c r="F562" s="12" t="s">
        <v>558</v>
      </c>
      <c r="G562" s="13"/>
      <c r="H562" s="17">
        <v>135332.23</v>
      </c>
      <c r="I562" s="12" t="s">
        <v>433</v>
      </c>
      <c r="J562" s="12" t="s">
        <v>2549</v>
      </c>
    </row>
    <row r="563" spans="1:10" ht="30" customHeight="1">
      <c r="A563" s="12" t="s">
        <v>2788</v>
      </c>
      <c r="B563" s="12" t="s">
        <v>434</v>
      </c>
      <c r="C563" s="12" t="s">
        <v>429</v>
      </c>
      <c r="D563" s="12" t="s">
        <v>430</v>
      </c>
      <c r="E563" s="12" t="s">
        <v>2345</v>
      </c>
      <c r="F563" s="12" t="s">
        <v>559</v>
      </c>
      <c r="G563" s="13"/>
      <c r="H563" s="17">
        <v>11061.26</v>
      </c>
      <c r="I563" s="12" t="s">
        <v>433</v>
      </c>
      <c r="J563" s="12" t="s">
        <v>2549</v>
      </c>
    </row>
    <row r="564" spans="1:10" ht="30" customHeight="1">
      <c r="A564" s="12" t="s">
        <v>2789</v>
      </c>
      <c r="B564" s="12" t="s">
        <v>434</v>
      </c>
      <c r="C564" s="12" t="s">
        <v>429</v>
      </c>
      <c r="D564" s="12" t="s">
        <v>430</v>
      </c>
      <c r="E564" s="12" t="s">
        <v>2345</v>
      </c>
      <c r="F564" s="12" t="s">
        <v>561</v>
      </c>
      <c r="G564" s="13"/>
      <c r="H564" s="17">
        <v>45810.03</v>
      </c>
      <c r="I564" s="12" t="s">
        <v>433</v>
      </c>
      <c r="J564" s="12" t="s">
        <v>2549</v>
      </c>
    </row>
    <row r="565" spans="1:10" ht="30" customHeight="1">
      <c r="A565" s="12" t="s">
        <v>2790</v>
      </c>
      <c r="B565" s="12" t="s">
        <v>434</v>
      </c>
      <c r="C565" s="12" t="s">
        <v>429</v>
      </c>
      <c r="D565" s="12" t="s">
        <v>430</v>
      </c>
      <c r="E565" s="12" t="s">
        <v>2345</v>
      </c>
      <c r="F565" s="12" t="s">
        <v>562</v>
      </c>
      <c r="G565" s="13"/>
      <c r="H565" s="17">
        <v>2812.67</v>
      </c>
      <c r="I565" s="12" t="s">
        <v>433</v>
      </c>
      <c r="J565" s="12" t="s">
        <v>2549</v>
      </c>
    </row>
    <row r="566" spans="1:10" ht="30" customHeight="1">
      <c r="A566" s="12" t="s">
        <v>2791</v>
      </c>
      <c r="B566" s="12" t="s">
        <v>434</v>
      </c>
      <c r="C566" s="12" t="s">
        <v>429</v>
      </c>
      <c r="D566" s="12" t="s">
        <v>430</v>
      </c>
      <c r="E566" s="12" t="s">
        <v>2345</v>
      </c>
      <c r="F566" s="12" t="s">
        <v>563</v>
      </c>
      <c r="G566" s="17">
        <v>0.06809999999999999</v>
      </c>
      <c r="H566" s="17">
        <v>0.06108573355894053</v>
      </c>
      <c r="I566" s="12" t="s">
        <v>433</v>
      </c>
      <c r="J566" s="12" t="s">
        <v>2549</v>
      </c>
    </row>
    <row r="567" spans="1:10" ht="30" customHeight="1">
      <c r="A567" s="12" t="s">
        <v>2792</v>
      </c>
      <c r="B567" s="12" t="s">
        <v>434</v>
      </c>
      <c r="C567" s="12" t="s">
        <v>429</v>
      </c>
      <c r="D567" s="12" t="s">
        <v>430</v>
      </c>
      <c r="E567" s="12" t="s">
        <v>2345</v>
      </c>
      <c r="F567" s="12" t="s">
        <v>564</v>
      </c>
      <c r="G567" s="13"/>
      <c r="H567" s="17">
        <v>8048.92</v>
      </c>
      <c r="I567" s="12" t="s">
        <v>433</v>
      </c>
      <c r="J567" s="12" t="s">
        <v>2549</v>
      </c>
    </row>
    <row r="568" spans="1:10" ht="30" customHeight="1">
      <c r="A568" s="12" t="s">
        <v>2793</v>
      </c>
      <c r="B568" s="12" t="s">
        <v>469</v>
      </c>
      <c r="C568" s="12" t="s">
        <v>466</v>
      </c>
      <c r="D568" s="12" t="s">
        <v>430</v>
      </c>
      <c r="E568" s="12" t="s">
        <v>2345</v>
      </c>
      <c r="F568" s="12" t="s">
        <v>557</v>
      </c>
      <c r="G568" s="13"/>
      <c r="H568" s="17">
        <v>439695</v>
      </c>
      <c r="I568" s="12" t="s">
        <v>468</v>
      </c>
      <c r="J568" s="12" t="s">
        <v>2794</v>
      </c>
    </row>
    <row r="569" spans="1:10" ht="30" customHeight="1">
      <c r="A569" s="12" t="s">
        <v>2795</v>
      </c>
      <c r="B569" s="12" t="s">
        <v>469</v>
      </c>
      <c r="C569" s="12" t="s">
        <v>466</v>
      </c>
      <c r="D569" s="12" t="s">
        <v>430</v>
      </c>
      <c r="E569" s="12" t="s">
        <v>2345</v>
      </c>
      <c r="F569" s="12" t="s">
        <v>558</v>
      </c>
      <c r="G569" s="13"/>
      <c r="H569" s="17">
        <v>378642</v>
      </c>
      <c r="I569" s="12" t="s">
        <v>468</v>
      </c>
      <c r="J569" s="12" t="s">
        <v>2794</v>
      </c>
    </row>
    <row r="570" spans="1:10" ht="30" customHeight="1">
      <c r="A570" s="12" t="s">
        <v>2796</v>
      </c>
      <c r="B570" s="12" t="s">
        <v>469</v>
      </c>
      <c r="C570" s="12" t="s">
        <v>466</v>
      </c>
      <c r="D570" s="12" t="s">
        <v>430</v>
      </c>
      <c r="E570" s="12" t="s">
        <v>2345</v>
      </c>
      <c r="F570" s="12" t="s">
        <v>559</v>
      </c>
      <c r="G570" s="13"/>
      <c r="H570" s="17">
        <v>28149</v>
      </c>
      <c r="I570" s="12" t="s">
        <v>468</v>
      </c>
      <c r="J570" s="12" t="s">
        <v>2794</v>
      </c>
    </row>
    <row r="571" spans="1:10" ht="30" customHeight="1">
      <c r="A571" s="12" t="s">
        <v>2797</v>
      </c>
      <c r="B571" s="12" t="s">
        <v>469</v>
      </c>
      <c r="C571" s="12" t="s">
        <v>466</v>
      </c>
      <c r="D571" s="12" t="s">
        <v>430</v>
      </c>
      <c r="E571" s="12" t="s">
        <v>2345</v>
      </c>
      <c r="F571" s="12" t="s">
        <v>561</v>
      </c>
      <c r="G571" s="13"/>
      <c r="H571" s="17">
        <v>62499</v>
      </c>
      <c r="I571" s="12" t="s">
        <v>468</v>
      </c>
      <c r="J571" s="12" t="s">
        <v>2794</v>
      </c>
    </row>
    <row r="572" spans="1:10" ht="30" customHeight="1">
      <c r="A572" s="12" t="s">
        <v>2798</v>
      </c>
      <c r="B572" s="12" t="s">
        <v>469</v>
      </c>
      <c r="C572" s="12" t="s">
        <v>466</v>
      </c>
      <c r="D572" s="12" t="s">
        <v>430</v>
      </c>
      <c r="E572" s="12" t="s">
        <v>2345</v>
      </c>
      <c r="F572" s="12" t="s">
        <v>562</v>
      </c>
      <c r="G572" s="13"/>
      <c r="H572" s="17">
        <v>5083</v>
      </c>
      <c r="I572" s="12" t="s">
        <v>468</v>
      </c>
      <c r="J572" s="12" t="s">
        <v>2794</v>
      </c>
    </row>
    <row r="573" spans="1:10" ht="30" customHeight="1">
      <c r="A573" s="12" t="s">
        <v>2799</v>
      </c>
      <c r="B573" s="12" t="s">
        <v>469</v>
      </c>
      <c r="C573" s="12" t="s">
        <v>466</v>
      </c>
      <c r="D573" s="12" t="s">
        <v>430</v>
      </c>
      <c r="E573" s="12" t="s">
        <v>2345</v>
      </c>
      <c r="F573" s="12" t="s">
        <v>563</v>
      </c>
      <c r="G573" s="17">
        <v>0.0621</v>
      </c>
      <c r="H573" s="17">
        <v>0.06314285714285714</v>
      </c>
      <c r="I573" s="12" t="s">
        <v>468</v>
      </c>
      <c r="J573" s="12" t="s">
        <v>2794</v>
      </c>
    </row>
    <row r="574" spans="1:10" ht="30" customHeight="1">
      <c r="A574" s="12" t="s">
        <v>2800</v>
      </c>
      <c r="B574" s="12" t="s">
        <v>469</v>
      </c>
      <c r="C574" s="12" t="s">
        <v>466</v>
      </c>
      <c r="D574" s="12" t="s">
        <v>430</v>
      </c>
      <c r="E574" s="12" t="s">
        <v>2345</v>
      </c>
      <c r="F574" s="12" t="s">
        <v>564</v>
      </c>
      <c r="G574" s="13"/>
      <c r="H574" s="17">
        <v>38042</v>
      </c>
      <c r="I574" s="12" t="s">
        <v>468</v>
      </c>
      <c r="J574" s="12" t="s">
        <v>2794</v>
      </c>
    </row>
    <row r="575" spans="1:10" ht="30" customHeight="1">
      <c r="A575" s="12" t="s">
        <v>2801</v>
      </c>
      <c r="B575" s="12" t="s">
        <v>439</v>
      </c>
      <c r="C575" s="12" t="s">
        <v>436</v>
      </c>
      <c r="D575" s="12" t="s">
        <v>430</v>
      </c>
      <c r="E575" s="12" t="s">
        <v>2345</v>
      </c>
      <c r="F575" s="12" t="s">
        <v>557</v>
      </c>
      <c r="G575" s="13"/>
      <c r="H575" s="17">
        <v>42333.28</v>
      </c>
      <c r="I575" s="12" t="s">
        <v>438</v>
      </c>
      <c r="J575" s="12" t="s">
        <v>2549</v>
      </c>
    </row>
    <row r="576" spans="1:10" ht="30" customHeight="1">
      <c r="A576" s="12" t="s">
        <v>2802</v>
      </c>
      <c r="B576" s="12" t="s">
        <v>439</v>
      </c>
      <c r="C576" s="12" t="s">
        <v>436</v>
      </c>
      <c r="D576" s="12" t="s">
        <v>430</v>
      </c>
      <c r="E576" s="12" t="s">
        <v>2345</v>
      </c>
      <c r="F576" s="12" t="s">
        <v>558</v>
      </c>
      <c r="G576" s="13"/>
      <c r="H576" s="17">
        <v>81714.64</v>
      </c>
      <c r="I576" s="12" t="s">
        <v>438</v>
      </c>
      <c r="J576" s="12" t="s">
        <v>2549</v>
      </c>
    </row>
    <row r="577" spans="1:10" ht="30" customHeight="1">
      <c r="A577" s="12" t="s">
        <v>2803</v>
      </c>
      <c r="B577" s="12" t="s">
        <v>439</v>
      </c>
      <c r="C577" s="12" t="s">
        <v>436</v>
      </c>
      <c r="D577" s="12" t="s">
        <v>430</v>
      </c>
      <c r="E577" s="12" t="s">
        <v>2345</v>
      </c>
      <c r="F577" s="12" t="s">
        <v>559</v>
      </c>
      <c r="G577" s="13"/>
      <c r="H577" s="17">
        <v>3382.79</v>
      </c>
      <c r="I577" s="12" t="s">
        <v>438</v>
      </c>
      <c r="J577" s="12" t="s">
        <v>2549</v>
      </c>
    </row>
    <row r="578" spans="1:10" ht="30" customHeight="1">
      <c r="A578" s="12" t="s">
        <v>2804</v>
      </c>
      <c r="B578" s="12" t="s">
        <v>439</v>
      </c>
      <c r="C578" s="12" t="s">
        <v>436</v>
      </c>
      <c r="D578" s="12" t="s">
        <v>430</v>
      </c>
      <c r="E578" s="12" t="s">
        <v>2345</v>
      </c>
      <c r="F578" s="12" t="s">
        <v>561</v>
      </c>
      <c r="G578" s="13"/>
      <c r="H578" s="17">
        <v>49701.1</v>
      </c>
      <c r="I578" s="12" t="s">
        <v>438</v>
      </c>
      <c r="J578" s="12" t="s">
        <v>2549</v>
      </c>
    </row>
    <row r="579" spans="1:10" ht="30" customHeight="1">
      <c r="A579" s="12" t="s">
        <v>2805</v>
      </c>
      <c r="B579" s="12" t="s">
        <v>439</v>
      </c>
      <c r="C579" s="12" t="s">
        <v>436</v>
      </c>
      <c r="D579" s="12" t="s">
        <v>430</v>
      </c>
      <c r="E579" s="12" t="s">
        <v>2345</v>
      </c>
      <c r="F579" s="12" t="s">
        <v>562</v>
      </c>
      <c r="G579" s="13"/>
      <c r="H579" s="17">
        <v>3930.21</v>
      </c>
      <c r="I579" s="12" t="s">
        <v>438</v>
      </c>
      <c r="J579" s="12" t="s">
        <v>2549</v>
      </c>
    </row>
    <row r="580" spans="1:10" ht="30" customHeight="1">
      <c r="A580" s="12" t="s">
        <v>2806</v>
      </c>
      <c r="B580" s="12" t="s">
        <v>439</v>
      </c>
      <c r="C580" s="12" t="s">
        <v>436</v>
      </c>
      <c r="D580" s="12" t="s">
        <v>430</v>
      </c>
      <c r="E580" s="12" t="s">
        <v>2345</v>
      </c>
      <c r="F580" s="12" t="s">
        <v>563</v>
      </c>
      <c r="G580" s="17">
        <v>0.1649</v>
      </c>
      <c r="H580" s="17">
        <v>0.08708116860672258</v>
      </c>
      <c r="I580" s="12" t="s">
        <v>438</v>
      </c>
      <c r="J580" s="12" t="s">
        <v>2549</v>
      </c>
    </row>
    <row r="581" spans="1:10" ht="30" customHeight="1">
      <c r="A581" s="12" t="s">
        <v>2807</v>
      </c>
      <c r="B581" s="12" t="s">
        <v>439</v>
      </c>
      <c r="C581" s="12" t="s">
        <v>436</v>
      </c>
      <c r="D581" s="12" t="s">
        <v>430</v>
      </c>
      <c r="E581" s="12" t="s">
        <v>2345</v>
      </c>
      <c r="F581" s="12" t="s">
        <v>564</v>
      </c>
      <c r="G581" s="13"/>
      <c r="H581" s="17">
        <v>1648.08</v>
      </c>
      <c r="I581" s="12" t="s">
        <v>438</v>
      </c>
      <c r="J581" s="12" t="s">
        <v>2549</v>
      </c>
    </row>
    <row r="582" spans="1:10" ht="30" customHeight="1">
      <c r="A582" s="12" t="s">
        <v>2808</v>
      </c>
      <c r="B582" s="12" t="s">
        <v>464</v>
      </c>
      <c r="C582" s="12" t="s">
        <v>461</v>
      </c>
      <c r="D582" s="12" t="s">
        <v>430</v>
      </c>
      <c r="E582" s="12" t="s">
        <v>2345</v>
      </c>
      <c r="F582" s="12" t="s">
        <v>557</v>
      </c>
      <c r="G582" s="13"/>
      <c r="H582" s="17">
        <v>152913</v>
      </c>
      <c r="I582" s="12" t="s">
        <v>463</v>
      </c>
      <c r="J582" s="12" t="s">
        <v>2549</v>
      </c>
    </row>
    <row r="583" spans="1:10" ht="30" customHeight="1">
      <c r="A583" s="12" t="s">
        <v>2809</v>
      </c>
      <c r="B583" s="12" t="s">
        <v>464</v>
      </c>
      <c r="C583" s="12" t="s">
        <v>461</v>
      </c>
      <c r="D583" s="12" t="s">
        <v>430</v>
      </c>
      <c r="E583" s="12" t="s">
        <v>2345</v>
      </c>
      <c r="F583" s="12" t="s">
        <v>558</v>
      </c>
      <c r="G583" s="13"/>
      <c r="H583" s="17">
        <v>131971.8</v>
      </c>
      <c r="I583" s="12" t="s">
        <v>463</v>
      </c>
      <c r="J583" s="12" t="s">
        <v>2549</v>
      </c>
    </row>
    <row r="584" spans="1:10" ht="30" customHeight="1">
      <c r="A584" s="12" t="s">
        <v>2810</v>
      </c>
      <c r="B584" s="12" t="s">
        <v>464</v>
      </c>
      <c r="C584" s="12" t="s">
        <v>461</v>
      </c>
      <c r="D584" s="12" t="s">
        <v>430</v>
      </c>
      <c r="E584" s="12" t="s">
        <v>2345</v>
      </c>
      <c r="F584" s="12" t="s">
        <v>559</v>
      </c>
      <c r="G584" s="13"/>
      <c r="H584" s="17">
        <v>14500.2</v>
      </c>
      <c r="I584" s="12" t="s">
        <v>463</v>
      </c>
      <c r="J584" s="12" t="s">
        <v>2549</v>
      </c>
    </row>
    <row r="585" spans="1:10" ht="30" customHeight="1">
      <c r="A585" s="12" t="s">
        <v>2811</v>
      </c>
      <c r="B585" s="12" t="s">
        <v>464</v>
      </c>
      <c r="C585" s="12" t="s">
        <v>461</v>
      </c>
      <c r="D585" s="12" t="s">
        <v>430</v>
      </c>
      <c r="E585" s="12" t="s">
        <v>2345</v>
      </c>
      <c r="F585" s="12" t="s">
        <v>561</v>
      </c>
      <c r="G585" s="13"/>
      <c r="H585" s="17">
        <v>0</v>
      </c>
      <c r="I585" s="12" t="s">
        <v>463</v>
      </c>
      <c r="J585" s="12" t="s">
        <v>2549</v>
      </c>
    </row>
    <row r="586" spans="1:10" ht="30" customHeight="1">
      <c r="A586" s="12" t="s">
        <v>2812</v>
      </c>
      <c r="B586" s="12" t="s">
        <v>464</v>
      </c>
      <c r="C586" s="12" t="s">
        <v>461</v>
      </c>
      <c r="D586" s="12" t="s">
        <v>430</v>
      </c>
      <c r="E586" s="12" t="s">
        <v>2345</v>
      </c>
      <c r="F586" s="12" t="s">
        <v>562</v>
      </c>
      <c r="G586" s="13"/>
      <c r="H586" s="17">
        <v>194.2</v>
      </c>
      <c r="I586" s="12" t="s">
        <v>463</v>
      </c>
      <c r="J586" s="12" t="s">
        <v>2549</v>
      </c>
    </row>
    <row r="587" spans="1:10" ht="30" customHeight="1">
      <c r="A587" s="12" t="s">
        <v>2813</v>
      </c>
      <c r="B587" s="12" t="s">
        <v>464</v>
      </c>
      <c r="C587" s="12" t="s">
        <v>461</v>
      </c>
      <c r="D587" s="12" t="s">
        <v>430</v>
      </c>
      <c r="E587" s="12" t="s">
        <v>2345</v>
      </c>
      <c r="F587" s="12" t="s">
        <v>563</v>
      </c>
      <c r="G587" s="13"/>
      <c r="H587" s="17">
        <v>11.73413897280967</v>
      </c>
      <c r="I587" s="12" t="s">
        <v>463</v>
      </c>
      <c r="J587" s="12" t="s">
        <v>2549</v>
      </c>
    </row>
    <row r="588" spans="1:10" ht="30" customHeight="1">
      <c r="A588" s="12" t="s">
        <v>2814</v>
      </c>
      <c r="B588" s="12" t="s">
        <v>464</v>
      </c>
      <c r="C588" s="12" t="s">
        <v>461</v>
      </c>
      <c r="D588" s="12" t="s">
        <v>430</v>
      </c>
      <c r="E588" s="12" t="s">
        <v>2345</v>
      </c>
      <c r="F588" s="12" t="s">
        <v>564</v>
      </c>
      <c r="G588" s="13"/>
      <c r="H588" s="17">
        <v>10640.6</v>
      </c>
      <c r="I588" s="12" t="s">
        <v>463</v>
      </c>
      <c r="J588" s="12" t="s">
        <v>2549</v>
      </c>
    </row>
    <row r="589" spans="1:10" ht="30" customHeight="1">
      <c r="A589" s="12" t="s">
        <v>2815</v>
      </c>
      <c r="B589" s="12" t="s">
        <v>454</v>
      </c>
      <c r="C589" s="12" t="s">
        <v>451</v>
      </c>
      <c r="D589" s="12" t="s">
        <v>430</v>
      </c>
      <c r="E589" s="12" t="s">
        <v>2345</v>
      </c>
      <c r="F589" s="12" t="s">
        <v>557</v>
      </c>
      <c r="G589" s="13"/>
      <c r="H589" s="17">
        <v>8931.901</v>
      </c>
      <c r="I589" s="12" t="s">
        <v>453</v>
      </c>
      <c r="J589" s="12" t="s">
        <v>2549</v>
      </c>
    </row>
    <row r="590" spans="1:10" ht="30" customHeight="1">
      <c r="A590" s="12" t="s">
        <v>2816</v>
      </c>
      <c r="B590" s="12" t="s">
        <v>454</v>
      </c>
      <c r="C590" s="12" t="s">
        <v>451</v>
      </c>
      <c r="D590" s="12" t="s">
        <v>430</v>
      </c>
      <c r="E590" s="12" t="s">
        <v>2345</v>
      </c>
      <c r="F590" s="12" t="s">
        <v>558</v>
      </c>
      <c r="G590" s="13"/>
      <c r="H590" s="17">
        <v>12063.135</v>
      </c>
      <c r="I590" s="12" t="s">
        <v>453</v>
      </c>
      <c r="J590" s="12" t="s">
        <v>2549</v>
      </c>
    </row>
    <row r="591" spans="1:10" ht="30" customHeight="1">
      <c r="A591" s="12" t="s">
        <v>2817</v>
      </c>
      <c r="B591" s="12" t="s">
        <v>454</v>
      </c>
      <c r="C591" s="12" t="s">
        <v>451</v>
      </c>
      <c r="D591" s="12" t="s">
        <v>430</v>
      </c>
      <c r="E591" s="12" t="s">
        <v>2345</v>
      </c>
      <c r="F591" s="12" t="s">
        <v>559</v>
      </c>
      <c r="G591" s="13"/>
      <c r="H591" s="17">
        <v>162.11</v>
      </c>
      <c r="I591" s="12" t="s">
        <v>453</v>
      </c>
      <c r="J591" s="12" t="s">
        <v>2549</v>
      </c>
    </row>
    <row r="592" spans="1:10" ht="30" customHeight="1">
      <c r="A592" s="12" t="s">
        <v>2818</v>
      </c>
      <c r="B592" s="12" t="s">
        <v>454</v>
      </c>
      <c r="C592" s="12" t="s">
        <v>451</v>
      </c>
      <c r="D592" s="12" t="s">
        <v>430</v>
      </c>
      <c r="E592" s="12" t="s">
        <v>2345</v>
      </c>
      <c r="F592" s="12" t="s">
        <v>561</v>
      </c>
      <c r="G592" s="13"/>
      <c r="H592" s="17">
        <v>39.669</v>
      </c>
      <c r="I592" s="12" t="s">
        <v>453</v>
      </c>
      <c r="J592" s="12" t="s">
        <v>2549</v>
      </c>
    </row>
    <row r="593" spans="1:10" ht="30" customHeight="1">
      <c r="A593" s="12" t="s">
        <v>2819</v>
      </c>
      <c r="B593" s="12" t="s">
        <v>454</v>
      </c>
      <c r="C593" s="12" t="s">
        <v>451</v>
      </c>
      <c r="D593" s="12" t="s">
        <v>430</v>
      </c>
      <c r="E593" s="12" t="s">
        <v>2345</v>
      </c>
      <c r="F593" s="12" t="s">
        <v>562</v>
      </c>
      <c r="G593" s="13"/>
      <c r="H593" s="17">
        <v>125.787</v>
      </c>
      <c r="I593" s="12" t="s">
        <v>453</v>
      </c>
      <c r="J593" s="12" t="s">
        <v>2549</v>
      </c>
    </row>
    <row r="594" spans="1:10" ht="30" customHeight="1">
      <c r="A594" s="12" t="s">
        <v>2820</v>
      </c>
      <c r="B594" s="12" t="s">
        <v>454</v>
      </c>
      <c r="C594" s="12" t="s">
        <v>451</v>
      </c>
      <c r="D594" s="12" t="s">
        <v>430</v>
      </c>
      <c r="E594" s="12" t="s">
        <v>2345</v>
      </c>
      <c r="F594" s="12" t="s">
        <v>563</v>
      </c>
      <c r="G594" s="17">
        <v>1.5222</v>
      </c>
      <c r="H594" s="17">
        <v>1.52222766795549</v>
      </c>
      <c r="I594" s="12" t="s">
        <v>453</v>
      </c>
      <c r="J594" s="12" t="s">
        <v>2549</v>
      </c>
    </row>
    <row r="595" spans="1:10" ht="30" customHeight="1">
      <c r="A595" s="12" t="s">
        <v>2821</v>
      </c>
      <c r="B595" s="12" t="s">
        <v>454</v>
      </c>
      <c r="C595" s="12" t="s">
        <v>451</v>
      </c>
      <c r="D595" s="12" t="s">
        <v>430</v>
      </c>
      <c r="E595" s="12" t="s">
        <v>2345</v>
      </c>
      <c r="F595" s="12" t="s">
        <v>564</v>
      </c>
      <c r="G595" s="13"/>
      <c r="H595" s="17">
        <v>483.181</v>
      </c>
      <c r="I595" s="12" t="s">
        <v>453</v>
      </c>
      <c r="J595" s="12" t="s">
        <v>2549</v>
      </c>
    </row>
    <row r="596" spans="1:10" ht="30" customHeight="1">
      <c r="A596" s="12" t="s">
        <v>2822</v>
      </c>
      <c r="B596" s="12" t="s">
        <v>444</v>
      </c>
      <c r="C596" s="12" t="s">
        <v>441</v>
      </c>
      <c r="D596" s="12" t="s">
        <v>430</v>
      </c>
      <c r="E596" s="12" t="s">
        <v>2345</v>
      </c>
      <c r="F596" s="12" t="s">
        <v>557</v>
      </c>
      <c r="G596" s="13"/>
      <c r="H596" s="17">
        <v>5720.18</v>
      </c>
      <c r="I596" s="12" t="s">
        <v>443</v>
      </c>
      <c r="J596" s="12" t="s">
        <v>2549</v>
      </c>
    </row>
    <row r="597" spans="1:10" ht="30" customHeight="1">
      <c r="A597" s="12" t="s">
        <v>2823</v>
      </c>
      <c r="B597" s="12" t="s">
        <v>444</v>
      </c>
      <c r="C597" s="12" t="s">
        <v>441</v>
      </c>
      <c r="D597" s="12" t="s">
        <v>430</v>
      </c>
      <c r="E597" s="12" t="s">
        <v>2345</v>
      </c>
      <c r="F597" s="12" t="s">
        <v>558</v>
      </c>
      <c r="G597" s="13"/>
      <c r="H597" s="17">
        <v>3662.76</v>
      </c>
      <c r="I597" s="12" t="s">
        <v>443</v>
      </c>
      <c r="J597" s="12" t="s">
        <v>2549</v>
      </c>
    </row>
    <row r="598" spans="1:10" ht="30" customHeight="1">
      <c r="A598" s="12" t="s">
        <v>2824</v>
      </c>
      <c r="B598" s="12" t="s">
        <v>444</v>
      </c>
      <c r="C598" s="12" t="s">
        <v>441</v>
      </c>
      <c r="D598" s="12" t="s">
        <v>430</v>
      </c>
      <c r="E598" s="12" t="s">
        <v>2345</v>
      </c>
      <c r="F598" s="12" t="s">
        <v>559</v>
      </c>
      <c r="G598" s="13"/>
      <c r="H598" s="17">
        <v>252.42</v>
      </c>
      <c r="I598" s="12" t="s">
        <v>443</v>
      </c>
      <c r="J598" s="12" t="s">
        <v>2549</v>
      </c>
    </row>
    <row r="599" spans="1:10" ht="30" customHeight="1">
      <c r="A599" s="12" t="s">
        <v>2825</v>
      </c>
      <c r="B599" s="12" t="s">
        <v>444</v>
      </c>
      <c r="C599" s="12" t="s">
        <v>441</v>
      </c>
      <c r="D599" s="12" t="s">
        <v>430</v>
      </c>
      <c r="E599" s="12" t="s">
        <v>2345</v>
      </c>
      <c r="F599" s="12" t="s">
        <v>561</v>
      </c>
      <c r="G599" s="13"/>
      <c r="H599" s="17">
        <v>200</v>
      </c>
      <c r="I599" s="12" t="s">
        <v>443</v>
      </c>
      <c r="J599" s="12" t="s">
        <v>2549</v>
      </c>
    </row>
    <row r="600" spans="1:10" ht="30" customHeight="1">
      <c r="A600" s="12" t="s">
        <v>2826</v>
      </c>
      <c r="B600" s="12" t="s">
        <v>444</v>
      </c>
      <c r="C600" s="12" t="s">
        <v>441</v>
      </c>
      <c r="D600" s="12" t="s">
        <v>430</v>
      </c>
      <c r="E600" s="12" t="s">
        <v>2345</v>
      </c>
      <c r="F600" s="12" t="s">
        <v>562</v>
      </c>
      <c r="G600" s="13"/>
      <c r="H600" s="17">
        <v>82.39</v>
      </c>
      <c r="I600" s="12" t="s">
        <v>443</v>
      </c>
      <c r="J600" s="12" t="s">
        <v>2549</v>
      </c>
    </row>
    <row r="601" spans="1:10" ht="30" customHeight="1">
      <c r="A601" s="12" t="s">
        <v>2827</v>
      </c>
      <c r="B601" s="12" t="s">
        <v>444</v>
      </c>
      <c r="C601" s="12" t="s">
        <v>441</v>
      </c>
      <c r="D601" s="12" t="s">
        <v>430</v>
      </c>
      <c r="E601" s="12" t="s">
        <v>2345</v>
      </c>
      <c r="F601" s="12" t="s">
        <v>563</v>
      </c>
      <c r="G601" s="13"/>
      <c r="H601" s="17">
        <v>0.3624007565594141</v>
      </c>
      <c r="I601" s="12" t="s">
        <v>443</v>
      </c>
      <c r="J601" s="12" t="s">
        <v>2549</v>
      </c>
    </row>
    <row r="602" spans="1:10" ht="30" customHeight="1">
      <c r="A602" s="12" t="s">
        <v>2828</v>
      </c>
      <c r="B602" s="12" t="s">
        <v>444</v>
      </c>
      <c r="C602" s="12" t="s">
        <v>441</v>
      </c>
      <c r="D602" s="12" t="s">
        <v>430</v>
      </c>
      <c r="E602" s="12" t="s">
        <v>2345</v>
      </c>
      <c r="F602" s="12" t="s">
        <v>564</v>
      </c>
      <c r="G602" s="13"/>
      <c r="H602" s="17">
        <v>253.89</v>
      </c>
      <c r="I602" s="12" t="s">
        <v>443</v>
      </c>
      <c r="J602" s="12" t="s">
        <v>2549</v>
      </c>
    </row>
    <row r="603" spans="1:10" ht="30" customHeight="1">
      <c r="A603" s="12" t="s">
        <v>2829</v>
      </c>
      <c r="B603" s="12" t="s">
        <v>449</v>
      </c>
      <c r="C603" s="12" t="s">
        <v>446</v>
      </c>
      <c r="D603" s="12" t="s">
        <v>430</v>
      </c>
      <c r="E603" s="12" t="s">
        <v>2345</v>
      </c>
      <c r="F603" s="12" t="s">
        <v>557</v>
      </c>
      <c r="G603" s="13"/>
      <c r="H603" s="17">
        <v>8887.02</v>
      </c>
      <c r="I603" s="12" t="s">
        <v>448</v>
      </c>
      <c r="J603" s="12" t="s">
        <v>2549</v>
      </c>
    </row>
    <row r="604" spans="1:10" ht="30" customHeight="1">
      <c r="A604" s="12" t="s">
        <v>2830</v>
      </c>
      <c r="B604" s="12" t="s">
        <v>449</v>
      </c>
      <c r="C604" s="12" t="s">
        <v>446</v>
      </c>
      <c r="D604" s="12" t="s">
        <v>430</v>
      </c>
      <c r="E604" s="12" t="s">
        <v>2345</v>
      </c>
      <c r="F604" s="12" t="s">
        <v>558</v>
      </c>
      <c r="G604" s="13"/>
      <c r="H604" s="17">
        <v>14475.87</v>
      </c>
      <c r="I604" s="12" t="s">
        <v>448</v>
      </c>
      <c r="J604" s="12" t="s">
        <v>2549</v>
      </c>
    </row>
    <row r="605" spans="1:10" ht="30" customHeight="1">
      <c r="A605" s="12" t="s">
        <v>2831</v>
      </c>
      <c r="B605" s="12" t="s">
        <v>449</v>
      </c>
      <c r="C605" s="12" t="s">
        <v>446</v>
      </c>
      <c r="D605" s="12" t="s">
        <v>430</v>
      </c>
      <c r="E605" s="12" t="s">
        <v>2345</v>
      </c>
      <c r="F605" s="12" t="s">
        <v>559</v>
      </c>
      <c r="G605" s="13"/>
      <c r="H605" s="17">
        <v>1291.84</v>
      </c>
      <c r="I605" s="12" t="s">
        <v>448</v>
      </c>
      <c r="J605" s="12" t="s">
        <v>2549</v>
      </c>
    </row>
    <row r="606" spans="1:10" ht="30" customHeight="1">
      <c r="A606" s="12" t="s">
        <v>2832</v>
      </c>
      <c r="B606" s="12" t="s">
        <v>449</v>
      </c>
      <c r="C606" s="12" t="s">
        <v>446</v>
      </c>
      <c r="D606" s="12" t="s">
        <v>430</v>
      </c>
      <c r="E606" s="12" t="s">
        <v>2345</v>
      </c>
      <c r="F606" s="12" t="s">
        <v>561</v>
      </c>
      <c r="G606" s="13"/>
      <c r="H606" s="17">
        <v>24.25</v>
      </c>
      <c r="I606" s="12" t="s">
        <v>448</v>
      </c>
      <c r="J606" s="12" t="s">
        <v>2549</v>
      </c>
    </row>
    <row r="607" spans="1:10" ht="30" customHeight="1">
      <c r="A607" s="12" t="s">
        <v>2833</v>
      </c>
      <c r="B607" s="12" t="s">
        <v>449</v>
      </c>
      <c r="C607" s="12" t="s">
        <v>446</v>
      </c>
      <c r="D607" s="12" t="s">
        <v>430</v>
      </c>
      <c r="E607" s="12" t="s">
        <v>2345</v>
      </c>
      <c r="F607" s="12" t="s">
        <v>562</v>
      </c>
      <c r="G607" s="13"/>
      <c r="H607" s="17">
        <v>72.90000000000001</v>
      </c>
      <c r="I607" s="12" t="s">
        <v>448</v>
      </c>
      <c r="J607" s="12" t="s">
        <v>2549</v>
      </c>
    </row>
    <row r="608" spans="1:10" ht="30" customHeight="1">
      <c r="A608" s="12" t="s">
        <v>2834</v>
      </c>
      <c r="B608" s="12" t="s">
        <v>449</v>
      </c>
      <c r="C608" s="12" t="s">
        <v>446</v>
      </c>
      <c r="D608" s="12" t="s">
        <v>430</v>
      </c>
      <c r="E608" s="12" t="s">
        <v>2345</v>
      </c>
      <c r="F608" s="12" t="s">
        <v>563</v>
      </c>
      <c r="G608" s="13"/>
      <c r="H608" s="17">
        <v>2.888272583201268</v>
      </c>
      <c r="I608" s="12" t="s">
        <v>448</v>
      </c>
      <c r="J608" s="12" t="s">
        <v>2549</v>
      </c>
    </row>
    <row r="609" spans="1:10" ht="30" customHeight="1">
      <c r="A609" s="12" t="s">
        <v>2835</v>
      </c>
      <c r="B609" s="12" t="s">
        <v>449</v>
      </c>
      <c r="C609" s="12" t="s">
        <v>446</v>
      </c>
      <c r="D609" s="12" t="s">
        <v>430</v>
      </c>
      <c r="E609" s="12" t="s">
        <v>2345</v>
      </c>
      <c r="F609" s="12" t="s">
        <v>564</v>
      </c>
      <c r="G609" s="13"/>
      <c r="H609" s="17">
        <v>916.34</v>
      </c>
      <c r="I609" s="12" t="s">
        <v>448</v>
      </c>
      <c r="J609" s="12" t="s">
        <v>2549</v>
      </c>
    </row>
    <row r="610" spans="1:10" ht="30" customHeight="1">
      <c r="A610" s="12" t="s">
        <v>2836</v>
      </c>
      <c r="B610" s="12" t="s">
        <v>475</v>
      </c>
      <c r="C610" s="12" t="s">
        <v>472</v>
      </c>
      <c r="D610" s="12" t="s">
        <v>430</v>
      </c>
      <c r="E610" s="12" t="s">
        <v>2345</v>
      </c>
      <c r="F610" s="12" t="s">
        <v>557</v>
      </c>
      <c r="G610" s="13"/>
      <c r="H610" s="17">
        <v>4491.776</v>
      </c>
      <c r="I610" s="12" t="s">
        <v>474</v>
      </c>
      <c r="J610" s="12" t="s">
        <v>2549</v>
      </c>
    </row>
    <row r="611" spans="1:10" ht="30" customHeight="1">
      <c r="A611" s="12" t="s">
        <v>2837</v>
      </c>
      <c r="B611" s="12" t="s">
        <v>475</v>
      </c>
      <c r="C611" s="12" t="s">
        <v>472</v>
      </c>
      <c r="D611" s="12" t="s">
        <v>430</v>
      </c>
      <c r="E611" s="12" t="s">
        <v>2345</v>
      </c>
      <c r="F611" s="12" t="s">
        <v>558</v>
      </c>
      <c r="G611" s="13"/>
      <c r="H611" s="17">
        <v>2779.649</v>
      </c>
      <c r="I611" s="12" t="s">
        <v>474</v>
      </c>
      <c r="J611" s="12" t="s">
        <v>2549</v>
      </c>
    </row>
    <row r="612" spans="1:10" ht="30" customHeight="1">
      <c r="A612" s="12" t="s">
        <v>2838</v>
      </c>
      <c r="B612" s="12" t="s">
        <v>475</v>
      </c>
      <c r="C612" s="12" t="s">
        <v>472</v>
      </c>
      <c r="D612" s="12" t="s">
        <v>430</v>
      </c>
      <c r="E612" s="12" t="s">
        <v>2345</v>
      </c>
      <c r="F612" s="12" t="s">
        <v>559</v>
      </c>
      <c r="G612" s="13"/>
      <c r="H612" s="17">
        <v>416.011</v>
      </c>
      <c r="I612" s="12" t="s">
        <v>474</v>
      </c>
      <c r="J612" s="12" t="s">
        <v>2549</v>
      </c>
    </row>
    <row r="613" spans="1:10" ht="30" customHeight="1">
      <c r="A613" s="12" t="s">
        <v>2839</v>
      </c>
      <c r="B613" s="12" t="s">
        <v>475</v>
      </c>
      <c r="C613" s="12" t="s">
        <v>472</v>
      </c>
      <c r="D613" s="12" t="s">
        <v>430</v>
      </c>
      <c r="E613" s="12" t="s">
        <v>2345</v>
      </c>
      <c r="F613" s="12" t="s">
        <v>561</v>
      </c>
      <c r="G613" s="13"/>
      <c r="H613" s="17">
        <v>155.249</v>
      </c>
      <c r="I613" s="12" t="s">
        <v>474</v>
      </c>
      <c r="J613" s="12" t="s">
        <v>2549</v>
      </c>
    </row>
    <row r="614" spans="1:10" ht="30" customHeight="1">
      <c r="A614" s="12" t="s">
        <v>2840</v>
      </c>
      <c r="B614" s="12" t="s">
        <v>475</v>
      </c>
      <c r="C614" s="12" t="s">
        <v>472</v>
      </c>
      <c r="D614" s="12" t="s">
        <v>430</v>
      </c>
      <c r="E614" s="12" t="s">
        <v>2345</v>
      </c>
      <c r="F614" s="12" t="s">
        <v>562</v>
      </c>
      <c r="G614" s="13"/>
      <c r="H614" s="17">
        <v>20.156</v>
      </c>
      <c r="I614" s="12" t="s">
        <v>474</v>
      </c>
      <c r="J614" s="12" t="s">
        <v>2549</v>
      </c>
    </row>
    <row r="615" spans="1:10" ht="30" customHeight="1">
      <c r="A615" s="12" t="s">
        <v>2841</v>
      </c>
      <c r="B615" s="12" t="s">
        <v>475</v>
      </c>
      <c r="C615" s="12" t="s">
        <v>472</v>
      </c>
      <c r="D615" s="12" t="s">
        <v>430</v>
      </c>
      <c r="E615" s="12" t="s">
        <v>2345</v>
      </c>
      <c r="F615" s="12" t="s">
        <v>563</v>
      </c>
      <c r="G615" s="17">
        <v>0.4595</v>
      </c>
      <c r="H615" s="17">
        <v>0.1319179014608095</v>
      </c>
      <c r="I615" s="12" t="s">
        <v>474</v>
      </c>
      <c r="J615" s="12" t="s">
        <v>2549</v>
      </c>
    </row>
    <row r="616" spans="1:10" ht="30" customHeight="1">
      <c r="A616" s="12" t="s">
        <v>2842</v>
      </c>
      <c r="B616" s="12" t="s">
        <v>475</v>
      </c>
      <c r="C616" s="12" t="s">
        <v>472</v>
      </c>
      <c r="D616" s="12" t="s">
        <v>430</v>
      </c>
      <c r="E616" s="12" t="s">
        <v>2345</v>
      </c>
      <c r="F616" s="12" t="s">
        <v>564</v>
      </c>
      <c r="G616" s="13"/>
      <c r="H616" s="17">
        <v>354.031</v>
      </c>
      <c r="I616" s="12" t="s">
        <v>474</v>
      </c>
      <c r="J616" s="12" t="s">
        <v>2549</v>
      </c>
    </row>
    <row r="617" spans="1:10" ht="30" customHeight="1">
      <c r="A617" s="12" t="s">
        <v>2843</v>
      </c>
      <c r="B617" s="12" t="s">
        <v>480</v>
      </c>
      <c r="C617" s="12" t="s">
        <v>477</v>
      </c>
      <c r="D617" s="12" t="s">
        <v>430</v>
      </c>
      <c r="E617" s="12" t="s">
        <v>2345</v>
      </c>
      <c r="F617" s="12" t="s">
        <v>557</v>
      </c>
      <c r="G617" s="13"/>
      <c r="H617" s="17">
        <v>3160.948</v>
      </c>
      <c r="I617" s="12" t="s">
        <v>479</v>
      </c>
      <c r="J617" s="12" t="s">
        <v>2844</v>
      </c>
    </row>
    <row r="618" spans="1:10" ht="30" customHeight="1">
      <c r="A618" s="12" t="s">
        <v>2845</v>
      </c>
      <c r="B618" s="12" t="s">
        <v>480</v>
      </c>
      <c r="C618" s="12" t="s">
        <v>477</v>
      </c>
      <c r="D618" s="12" t="s">
        <v>430</v>
      </c>
      <c r="E618" s="12" t="s">
        <v>2345</v>
      </c>
      <c r="F618" s="12" t="s">
        <v>558</v>
      </c>
      <c r="G618" s="13"/>
      <c r="H618" s="17">
        <v>2585.68</v>
      </c>
      <c r="I618" s="12" t="s">
        <v>479</v>
      </c>
      <c r="J618" s="12" t="s">
        <v>2844</v>
      </c>
    </row>
    <row r="619" spans="1:10" ht="30" customHeight="1">
      <c r="A619" s="12" t="s">
        <v>2846</v>
      </c>
      <c r="B619" s="12" t="s">
        <v>480</v>
      </c>
      <c r="C619" s="12" t="s">
        <v>477</v>
      </c>
      <c r="D619" s="12" t="s">
        <v>430</v>
      </c>
      <c r="E619" s="12" t="s">
        <v>2345</v>
      </c>
      <c r="F619" s="12" t="s">
        <v>559</v>
      </c>
      <c r="G619" s="13"/>
      <c r="H619" s="17">
        <v>182.9329</v>
      </c>
      <c r="I619" s="12" t="s">
        <v>479</v>
      </c>
      <c r="J619" s="12" t="s">
        <v>2844</v>
      </c>
    </row>
    <row r="620" spans="1:10" ht="30" customHeight="1">
      <c r="A620" s="12" t="s">
        <v>2847</v>
      </c>
      <c r="B620" s="12" t="s">
        <v>480</v>
      </c>
      <c r="C620" s="12" t="s">
        <v>477</v>
      </c>
      <c r="D620" s="12" t="s">
        <v>430</v>
      </c>
      <c r="E620" s="12" t="s">
        <v>2345</v>
      </c>
      <c r="F620" s="12" t="s">
        <v>561</v>
      </c>
      <c r="G620" s="13"/>
      <c r="H620" s="17">
        <v>447.1176</v>
      </c>
      <c r="I620" s="12" t="s">
        <v>479</v>
      </c>
      <c r="J620" s="12" t="s">
        <v>2844</v>
      </c>
    </row>
    <row r="621" spans="1:10" ht="30" customHeight="1">
      <c r="A621" s="12" t="s">
        <v>2848</v>
      </c>
      <c r="B621" s="12" t="s">
        <v>480</v>
      </c>
      <c r="C621" s="12" t="s">
        <v>477</v>
      </c>
      <c r="D621" s="12" t="s">
        <v>430</v>
      </c>
      <c r="E621" s="12" t="s">
        <v>2345</v>
      </c>
      <c r="F621" s="12" t="s">
        <v>562</v>
      </c>
      <c r="G621" s="13"/>
      <c r="H621" s="17">
        <v>94.83750000000001</v>
      </c>
      <c r="I621" s="12" t="s">
        <v>479</v>
      </c>
      <c r="J621" s="12" t="s">
        <v>2844</v>
      </c>
    </row>
    <row r="622" spans="1:10" ht="30" customHeight="1">
      <c r="A622" s="12" t="s">
        <v>2849</v>
      </c>
      <c r="B622" s="12" t="s">
        <v>480</v>
      </c>
      <c r="C622" s="12" t="s">
        <v>477</v>
      </c>
      <c r="D622" s="12" t="s">
        <v>430</v>
      </c>
      <c r="E622" s="12" t="s">
        <v>2345</v>
      </c>
      <c r="F622" s="12" t="s">
        <v>563</v>
      </c>
      <c r="G622" s="17">
        <v>0.2611</v>
      </c>
      <c r="H622" s="17">
        <v>0.2611176869495259</v>
      </c>
      <c r="I622" s="12" t="s">
        <v>479</v>
      </c>
      <c r="J622" s="12" t="s">
        <v>2844</v>
      </c>
    </row>
    <row r="623" spans="1:10" ht="30" customHeight="1">
      <c r="A623" s="12" t="s">
        <v>2850</v>
      </c>
      <c r="B623" s="12" t="s">
        <v>480</v>
      </c>
      <c r="C623" s="12" t="s">
        <v>477</v>
      </c>
      <c r="D623" s="12" t="s">
        <v>430</v>
      </c>
      <c r="E623" s="12" t="s">
        <v>2345</v>
      </c>
      <c r="F623" s="12" t="s">
        <v>564</v>
      </c>
      <c r="G623" s="13"/>
      <c r="H623" s="17">
        <v>448.857</v>
      </c>
      <c r="I623" s="12" t="s">
        <v>479</v>
      </c>
      <c r="J623" s="12" t="s">
        <v>2844</v>
      </c>
    </row>
    <row r="624" spans="1:10" ht="30" customHeight="1">
      <c r="A624" s="12" t="s">
        <v>2851</v>
      </c>
      <c r="B624" s="12" t="s">
        <v>459</v>
      </c>
      <c r="C624" s="12" t="s">
        <v>456</v>
      </c>
      <c r="D624" s="12" t="s">
        <v>430</v>
      </c>
      <c r="E624" s="12" t="s">
        <v>2345</v>
      </c>
      <c r="F624" s="12" t="s">
        <v>557</v>
      </c>
      <c r="G624" s="13"/>
      <c r="H624" s="17">
        <v>1680.5553</v>
      </c>
      <c r="I624" s="12" t="s">
        <v>458</v>
      </c>
      <c r="J624" s="12" t="s">
        <v>2549</v>
      </c>
    </row>
    <row r="625" spans="1:10" ht="30" customHeight="1">
      <c r="A625" s="12" t="s">
        <v>2852</v>
      </c>
      <c r="B625" s="12" t="s">
        <v>459</v>
      </c>
      <c r="C625" s="12" t="s">
        <v>456</v>
      </c>
      <c r="D625" s="12" t="s">
        <v>430</v>
      </c>
      <c r="E625" s="12" t="s">
        <v>2345</v>
      </c>
      <c r="F625" s="12" t="s">
        <v>558</v>
      </c>
      <c r="G625" s="13"/>
      <c r="H625" s="17">
        <v>3456.9261</v>
      </c>
      <c r="I625" s="12" t="s">
        <v>458</v>
      </c>
      <c r="J625" s="12" t="s">
        <v>2549</v>
      </c>
    </row>
    <row r="626" spans="1:10" ht="30" customHeight="1">
      <c r="A626" s="12" t="s">
        <v>2853</v>
      </c>
      <c r="B626" s="12" t="s">
        <v>459</v>
      </c>
      <c r="C626" s="12" t="s">
        <v>456</v>
      </c>
      <c r="D626" s="12" t="s">
        <v>430</v>
      </c>
      <c r="E626" s="12" t="s">
        <v>2345</v>
      </c>
      <c r="F626" s="12" t="s">
        <v>559</v>
      </c>
      <c r="G626" s="13"/>
      <c r="H626" s="17">
        <v>373.756</v>
      </c>
      <c r="I626" s="12" t="s">
        <v>458</v>
      </c>
      <c r="J626" s="12" t="s">
        <v>2549</v>
      </c>
    </row>
    <row r="627" spans="1:10" ht="30" customHeight="1">
      <c r="A627" s="12" t="s">
        <v>2854</v>
      </c>
      <c r="B627" s="12" t="s">
        <v>459</v>
      </c>
      <c r="C627" s="12" t="s">
        <v>456</v>
      </c>
      <c r="D627" s="12" t="s">
        <v>430</v>
      </c>
      <c r="E627" s="12" t="s">
        <v>2345</v>
      </c>
      <c r="F627" s="12" t="s">
        <v>561</v>
      </c>
      <c r="G627" s="13"/>
      <c r="H627" s="17">
        <v>370.5991</v>
      </c>
      <c r="I627" s="12" t="s">
        <v>458</v>
      </c>
      <c r="J627" s="12" t="s">
        <v>2549</v>
      </c>
    </row>
    <row r="628" spans="1:10" ht="30" customHeight="1">
      <c r="A628" s="12" t="s">
        <v>2855</v>
      </c>
      <c r="B628" s="12" t="s">
        <v>459</v>
      </c>
      <c r="C628" s="12" t="s">
        <v>456</v>
      </c>
      <c r="D628" s="12" t="s">
        <v>430</v>
      </c>
      <c r="E628" s="12" t="s">
        <v>2345</v>
      </c>
      <c r="F628" s="12" t="s">
        <v>562</v>
      </c>
      <c r="G628" s="13"/>
      <c r="H628" s="17">
        <v>47.7698</v>
      </c>
      <c r="I628" s="12" t="s">
        <v>458</v>
      </c>
      <c r="J628" s="12" t="s">
        <v>2549</v>
      </c>
    </row>
    <row r="629" spans="1:10" ht="30" customHeight="1">
      <c r="A629" s="12" t="s">
        <v>2856</v>
      </c>
      <c r="B629" s="12" t="s">
        <v>459</v>
      </c>
      <c r="C629" s="12" t="s">
        <v>456</v>
      </c>
      <c r="D629" s="12" t="s">
        <v>430</v>
      </c>
      <c r="E629" s="12" t="s">
        <v>2345</v>
      </c>
      <c r="F629" s="12" t="s">
        <v>563</v>
      </c>
      <c r="G629" s="17">
        <v>0.1116</v>
      </c>
      <c r="H629" s="17">
        <v>0.1367901653844981</v>
      </c>
      <c r="I629" s="12" t="s">
        <v>458</v>
      </c>
      <c r="J629" s="12" t="s">
        <v>2549</v>
      </c>
    </row>
    <row r="630" spans="1:10" ht="30" customHeight="1">
      <c r="A630" s="12" t="s">
        <v>2857</v>
      </c>
      <c r="B630" s="12" t="s">
        <v>459</v>
      </c>
      <c r="C630" s="12" t="s">
        <v>456</v>
      </c>
      <c r="D630" s="12" t="s">
        <v>430</v>
      </c>
      <c r="E630" s="12" t="s">
        <v>2345</v>
      </c>
      <c r="F630" s="12" t="s">
        <v>564</v>
      </c>
      <c r="G630" s="13"/>
      <c r="H630" s="17">
        <v>16.092</v>
      </c>
      <c r="I630" s="12" t="s">
        <v>458</v>
      </c>
      <c r="J630" s="12" t="s">
        <v>2549</v>
      </c>
    </row>
    <row r="631" spans="1:10" ht="30" customHeight="1">
      <c r="A631" s="12" t="s">
        <v>2858</v>
      </c>
      <c r="B631" s="12" t="s">
        <v>510</v>
      </c>
      <c r="C631" s="12" t="s">
        <v>506</v>
      </c>
      <c r="D631" s="12" t="s">
        <v>484</v>
      </c>
      <c r="E631" s="12" t="s">
        <v>2345</v>
      </c>
      <c r="F631" s="12" t="s">
        <v>557</v>
      </c>
      <c r="G631" s="13"/>
      <c r="H631" s="17">
        <v>81612.78</v>
      </c>
      <c r="I631" s="12" t="s">
        <v>509</v>
      </c>
      <c r="J631" s="12" t="s">
        <v>2499</v>
      </c>
    </row>
    <row r="632" spans="1:10" ht="30" customHeight="1">
      <c r="A632" s="12" t="s">
        <v>2859</v>
      </c>
      <c r="B632" s="12" t="s">
        <v>510</v>
      </c>
      <c r="C632" s="12" t="s">
        <v>506</v>
      </c>
      <c r="D632" s="12" t="s">
        <v>484</v>
      </c>
      <c r="E632" s="12" t="s">
        <v>2345</v>
      </c>
      <c r="F632" s="12" t="s">
        <v>558</v>
      </c>
      <c r="G632" s="13"/>
      <c r="H632" s="17">
        <v>88090.67999999999</v>
      </c>
      <c r="I632" s="12" t="s">
        <v>509</v>
      </c>
      <c r="J632" s="12" t="s">
        <v>2499</v>
      </c>
    </row>
    <row r="633" spans="1:10" ht="30" customHeight="1">
      <c r="A633" s="12" t="s">
        <v>2860</v>
      </c>
      <c r="B633" s="12" t="s">
        <v>510</v>
      </c>
      <c r="C633" s="12" t="s">
        <v>506</v>
      </c>
      <c r="D633" s="12" t="s">
        <v>484</v>
      </c>
      <c r="E633" s="12" t="s">
        <v>2345</v>
      </c>
      <c r="F633" s="12" t="s">
        <v>559</v>
      </c>
      <c r="G633" s="13"/>
      <c r="H633" s="17">
        <v>35052.48</v>
      </c>
      <c r="I633" s="12" t="s">
        <v>509</v>
      </c>
      <c r="J633" s="12" t="s">
        <v>2499</v>
      </c>
    </row>
    <row r="634" spans="1:10" ht="30" customHeight="1">
      <c r="A634" s="12" t="s">
        <v>2861</v>
      </c>
      <c r="B634" s="12" t="s">
        <v>510</v>
      </c>
      <c r="C634" s="12" t="s">
        <v>506</v>
      </c>
      <c r="D634" s="12" t="s">
        <v>484</v>
      </c>
      <c r="E634" s="12" t="s">
        <v>2345</v>
      </c>
      <c r="F634" s="12" t="s">
        <v>561</v>
      </c>
      <c r="G634" s="13"/>
      <c r="H634" s="17">
        <v>91.26000000000001</v>
      </c>
      <c r="I634" s="12" t="s">
        <v>509</v>
      </c>
      <c r="J634" s="12" t="s">
        <v>2499</v>
      </c>
    </row>
    <row r="635" spans="1:10" ht="30" customHeight="1">
      <c r="A635" s="12" t="s">
        <v>2862</v>
      </c>
      <c r="B635" s="12" t="s">
        <v>510</v>
      </c>
      <c r="C635" s="12" t="s">
        <v>506</v>
      </c>
      <c r="D635" s="12" t="s">
        <v>484</v>
      </c>
      <c r="E635" s="12" t="s">
        <v>2345</v>
      </c>
      <c r="F635" s="12" t="s">
        <v>562</v>
      </c>
      <c r="G635" s="13"/>
      <c r="H635" s="17">
        <v>45.06</v>
      </c>
      <c r="I635" s="12" t="s">
        <v>509</v>
      </c>
      <c r="J635" s="12" t="s">
        <v>2499</v>
      </c>
    </row>
    <row r="636" spans="1:10" ht="30" customHeight="1">
      <c r="A636" s="12" t="s">
        <v>2863</v>
      </c>
      <c r="B636" s="12" t="s">
        <v>510</v>
      </c>
      <c r="C636" s="12" t="s">
        <v>506</v>
      </c>
      <c r="D636" s="12" t="s">
        <v>484</v>
      </c>
      <c r="E636" s="12" t="s">
        <v>2345</v>
      </c>
      <c r="F636" s="12" t="s">
        <v>563</v>
      </c>
      <c r="G636" s="13"/>
      <c r="H636" s="17">
        <v>0.8788765359859567</v>
      </c>
      <c r="I636" s="12" t="s">
        <v>509</v>
      </c>
      <c r="J636" s="12" t="s">
        <v>2499</v>
      </c>
    </row>
    <row r="637" spans="1:10" ht="30" customHeight="1">
      <c r="A637" s="12" t="s">
        <v>2864</v>
      </c>
      <c r="B637" s="12" t="s">
        <v>510</v>
      </c>
      <c r="C637" s="12" t="s">
        <v>506</v>
      </c>
      <c r="D637" s="12" t="s">
        <v>484</v>
      </c>
      <c r="E637" s="12" t="s">
        <v>2345</v>
      </c>
      <c r="F637" s="12" t="s">
        <v>564</v>
      </c>
      <c r="G637" s="13"/>
      <c r="H637" s="17">
        <v>2278.7</v>
      </c>
      <c r="I637" s="12" t="s">
        <v>509</v>
      </c>
      <c r="J637" s="12" t="s">
        <v>2499</v>
      </c>
    </row>
    <row r="638" spans="1:10" ht="30" customHeight="1">
      <c r="A638" s="12" t="s">
        <v>2865</v>
      </c>
      <c r="B638" s="12" t="s">
        <v>504</v>
      </c>
      <c r="C638" s="12" t="s">
        <v>500</v>
      </c>
      <c r="D638" s="12" t="s">
        <v>484</v>
      </c>
      <c r="E638" s="12" t="s">
        <v>2345</v>
      </c>
      <c r="F638" s="12" t="s">
        <v>557</v>
      </c>
      <c r="G638" s="13"/>
      <c r="H638" s="17">
        <v>10232.68</v>
      </c>
      <c r="I638" s="12" t="s">
        <v>503</v>
      </c>
      <c r="J638" s="12" t="s">
        <v>2866</v>
      </c>
    </row>
    <row r="639" spans="1:10" ht="30" customHeight="1">
      <c r="A639" s="12" t="s">
        <v>2867</v>
      </c>
      <c r="B639" s="12" t="s">
        <v>504</v>
      </c>
      <c r="C639" s="12" t="s">
        <v>500</v>
      </c>
      <c r="D639" s="12" t="s">
        <v>484</v>
      </c>
      <c r="E639" s="12" t="s">
        <v>2345</v>
      </c>
      <c r="F639" s="12" t="s">
        <v>558</v>
      </c>
      <c r="G639" s="13"/>
      <c r="H639" s="17">
        <v>6170.19</v>
      </c>
      <c r="I639" s="12" t="s">
        <v>503</v>
      </c>
      <c r="J639" s="12" t="s">
        <v>2866</v>
      </c>
    </row>
    <row r="640" spans="1:10" ht="30" customHeight="1">
      <c r="A640" s="12" t="s">
        <v>2868</v>
      </c>
      <c r="B640" s="12" t="s">
        <v>504</v>
      </c>
      <c r="C640" s="12" t="s">
        <v>500</v>
      </c>
      <c r="D640" s="12" t="s">
        <v>484</v>
      </c>
      <c r="E640" s="12" t="s">
        <v>2345</v>
      </c>
      <c r="F640" s="12" t="s">
        <v>559</v>
      </c>
      <c r="G640" s="13"/>
      <c r="H640" s="17">
        <v>445.18</v>
      </c>
      <c r="I640" s="12" t="s">
        <v>503</v>
      </c>
      <c r="J640" s="12" t="s">
        <v>2866</v>
      </c>
    </row>
    <row r="641" spans="1:10" ht="30" customHeight="1">
      <c r="A641" s="12" t="s">
        <v>2869</v>
      </c>
      <c r="B641" s="12" t="s">
        <v>504</v>
      </c>
      <c r="C641" s="12" t="s">
        <v>500</v>
      </c>
      <c r="D641" s="12" t="s">
        <v>484</v>
      </c>
      <c r="E641" s="12" t="s">
        <v>2345</v>
      </c>
      <c r="F641" s="12" t="s">
        <v>561</v>
      </c>
      <c r="G641" s="13"/>
      <c r="H641" s="17">
        <v>1468.43</v>
      </c>
      <c r="I641" s="12" t="s">
        <v>503</v>
      </c>
      <c r="J641" s="12" t="s">
        <v>2866</v>
      </c>
    </row>
    <row r="642" spans="1:10" ht="30" customHeight="1">
      <c r="A642" s="12" t="s">
        <v>2870</v>
      </c>
      <c r="B642" s="12" t="s">
        <v>504</v>
      </c>
      <c r="C642" s="12" t="s">
        <v>500</v>
      </c>
      <c r="D642" s="12" t="s">
        <v>484</v>
      </c>
      <c r="E642" s="12" t="s">
        <v>2345</v>
      </c>
      <c r="F642" s="12" t="s">
        <v>562</v>
      </c>
      <c r="G642" s="13"/>
      <c r="H642" s="17">
        <v>138.27</v>
      </c>
      <c r="I642" s="12" t="s">
        <v>503</v>
      </c>
      <c r="J642" s="12" t="s">
        <v>2866</v>
      </c>
    </row>
    <row r="643" spans="1:10" ht="30" customHeight="1">
      <c r="A643" s="12" t="s">
        <v>2871</v>
      </c>
      <c r="B643" s="12" t="s">
        <v>504</v>
      </c>
      <c r="C643" s="12" t="s">
        <v>500</v>
      </c>
      <c r="D643" s="12" t="s">
        <v>484</v>
      </c>
      <c r="E643" s="12" t="s">
        <v>2345</v>
      </c>
      <c r="F643" s="12" t="s">
        <v>563</v>
      </c>
      <c r="G643" s="13"/>
      <c r="H643" s="17">
        <v>0.1005782869612657</v>
      </c>
      <c r="I643" s="12" t="s">
        <v>503</v>
      </c>
      <c r="J643" s="12" t="s">
        <v>2866</v>
      </c>
    </row>
    <row r="644" spans="1:10" ht="30" customHeight="1">
      <c r="A644" s="12" t="s">
        <v>2872</v>
      </c>
      <c r="B644" s="12" t="s">
        <v>504</v>
      </c>
      <c r="C644" s="12" t="s">
        <v>500</v>
      </c>
      <c r="D644" s="12" t="s">
        <v>484</v>
      </c>
      <c r="E644" s="12" t="s">
        <v>2345</v>
      </c>
      <c r="F644" s="12" t="s">
        <v>564</v>
      </c>
      <c r="G644" s="13"/>
      <c r="H644" s="17">
        <v>296.68</v>
      </c>
      <c r="I644" s="12" t="s">
        <v>503</v>
      </c>
      <c r="J644" s="12" t="s">
        <v>2866</v>
      </c>
    </row>
    <row r="645" spans="1:10" ht="30" customHeight="1">
      <c r="A645" s="12" t="s">
        <v>2873</v>
      </c>
      <c r="B645" s="12" t="s">
        <v>525</v>
      </c>
      <c r="C645" s="12" t="s">
        <v>521</v>
      </c>
      <c r="D645" s="12" t="s">
        <v>484</v>
      </c>
      <c r="E645" s="12" t="s">
        <v>2345</v>
      </c>
      <c r="F645" s="12" t="s">
        <v>557</v>
      </c>
      <c r="G645" s="13"/>
      <c r="H645" s="17">
        <v>17618.3</v>
      </c>
      <c r="I645" s="12" t="s">
        <v>524</v>
      </c>
      <c r="J645" s="12" t="s">
        <v>2499</v>
      </c>
    </row>
    <row r="646" spans="1:10" ht="30" customHeight="1">
      <c r="A646" s="12" t="s">
        <v>2874</v>
      </c>
      <c r="B646" s="12" t="s">
        <v>525</v>
      </c>
      <c r="C646" s="12" t="s">
        <v>521</v>
      </c>
      <c r="D646" s="12" t="s">
        <v>484</v>
      </c>
      <c r="E646" s="12" t="s">
        <v>2345</v>
      </c>
      <c r="F646" s="12" t="s">
        <v>558</v>
      </c>
      <c r="G646" s="13"/>
      <c r="H646" s="17">
        <v>31977.68</v>
      </c>
      <c r="I646" s="12" t="s">
        <v>524</v>
      </c>
      <c r="J646" s="12" t="s">
        <v>2499</v>
      </c>
    </row>
    <row r="647" spans="1:10" ht="30" customHeight="1">
      <c r="A647" s="12" t="s">
        <v>2875</v>
      </c>
      <c r="B647" s="12" t="s">
        <v>525</v>
      </c>
      <c r="C647" s="12" t="s">
        <v>521</v>
      </c>
      <c r="D647" s="12" t="s">
        <v>484</v>
      </c>
      <c r="E647" s="12" t="s">
        <v>2345</v>
      </c>
      <c r="F647" s="12" t="s">
        <v>559</v>
      </c>
      <c r="G647" s="13"/>
      <c r="H647" s="17">
        <v>1287.1</v>
      </c>
      <c r="I647" s="12" t="s">
        <v>524</v>
      </c>
      <c r="J647" s="12" t="s">
        <v>2499</v>
      </c>
    </row>
    <row r="648" spans="1:10" ht="30" customHeight="1">
      <c r="A648" s="12" t="s">
        <v>2876</v>
      </c>
      <c r="B648" s="12" t="s">
        <v>525</v>
      </c>
      <c r="C648" s="12" t="s">
        <v>521</v>
      </c>
      <c r="D648" s="12" t="s">
        <v>484</v>
      </c>
      <c r="E648" s="12" t="s">
        <v>2345</v>
      </c>
      <c r="F648" s="12" t="s">
        <v>561</v>
      </c>
      <c r="G648" s="13"/>
      <c r="H648" s="17">
        <v>1848.65</v>
      </c>
      <c r="I648" s="12" t="s">
        <v>524</v>
      </c>
      <c r="J648" s="12" t="s">
        <v>2499</v>
      </c>
    </row>
    <row r="649" spans="1:10" ht="30" customHeight="1">
      <c r="A649" s="12" t="s">
        <v>2877</v>
      </c>
      <c r="B649" s="12" t="s">
        <v>525</v>
      </c>
      <c r="C649" s="12" t="s">
        <v>521</v>
      </c>
      <c r="D649" s="12" t="s">
        <v>484</v>
      </c>
      <c r="E649" s="12" t="s">
        <v>2345</v>
      </c>
      <c r="F649" s="12" t="s">
        <v>562</v>
      </c>
      <c r="G649" s="13"/>
      <c r="H649" s="17">
        <v>290.2</v>
      </c>
      <c r="I649" s="12" t="s">
        <v>524</v>
      </c>
      <c r="J649" s="12" t="s">
        <v>2499</v>
      </c>
    </row>
    <row r="650" spans="1:10" ht="30" customHeight="1">
      <c r="A650" s="12" t="s">
        <v>2878</v>
      </c>
      <c r="B650" s="12" t="s">
        <v>525</v>
      </c>
      <c r="C650" s="12" t="s">
        <v>521</v>
      </c>
      <c r="D650" s="12" t="s">
        <v>484</v>
      </c>
      <c r="E650" s="12" t="s">
        <v>2345</v>
      </c>
      <c r="F650" s="12" t="s">
        <v>563</v>
      </c>
      <c r="G650" s="13"/>
      <c r="H650" s="17">
        <v>0.1208537220197814</v>
      </c>
      <c r="I650" s="12" t="s">
        <v>524</v>
      </c>
      <c r="J650" s="12" t="s">
        <v>2499</v>
      </c>
    </row>
    <row r="651" spans="1:10" ht="30" customHeight="1">
      <c r="A651" s="12" t="s">
        <v>2879</v>
      </c>
      <c r="B651" s="12" t="s">
        <v>525</v>
      </c>
      <c r="C651" s="12" t="s">
        <v>521</v>
      </c>
      <c r="D651" s="12" t="s">
        <v>484</v>
      </c>
      <c r="E651" s="12" t="s">
        <v>2345</v>
      </c>
      <c r="F651" s="12" t="s">
        <v>564</v>
      </c>
      <c r="G651" s="13"/>
      <c r="H651" s="17">
        <v>459.54</v>
      </c>
      <c r="I651" s="12" t="s">
        <v>524</v>
      </c>
      <c r="J651" s="12" t="s">
        <v>2499</v>
      </c>
    </row>
    <row r="652" spans="1:10" ht="30" customHeight="1">
      <c r="A652" s="12" t="s">
        <v>2880</v>
      </c>
      <c r="B652" s="12" t="s">
        <v>516</v>
      </c>
      <c r="C652" s="12" t="s">
        <v>512</v>
      </c>
      <c r="D652" s="12" t="s">
        <v>484</v>
      </c>
      <c r="E652" s="12" t="s">
        <v>2345</v>
      </c>
      <c r="F652" s="12" t="s">
        <v>557</v>
      </c>
      <c r="G652" s="13"/>
      <c r="H652" s="17">
        <v>10831</v>
      </c>
      <c r="I652" s="12" t="s">
        <v>515</v>
      </c>
      <c r="J652" s="12" t="s">
        <v>2499</v>
      </c>
    </row>
    <row r="653" spans="1:10" ht="30" customHeight="1">
      <c r="A653" s="12" t="s">
        <v>2881</v>
      </c>
      <c r="B653" s="12" t="s">
        <v>516</v>
      </c>
      <c r="C653" s="12" t="s">
        <v>512</v>
      </c>
      <c r="D653" s="12" t="s">
        <v>484</v>
      </c>
      <c r="E653" s="12" t="s">
        <v>2345</v>
      </c>
      <c r="F653" s="12" t="s">
        <v>558</v>
      </c>
      <c r="G653" s="13"/>
      <c r="H653" s="17">
        <v>8338</v>
      </c>
      <c r="I653" s="12" t="s">
        <v>515</v>
      </c>
      <c r="J653" s="12" t="s">
        <v>2499</v>
      </c>
    </row>
    <row r="654" spans="1:10" ht="30" customHeight="1">
      <c r="A654" s="12" t="s">
        <v>2882</v>
      </c>
      <c r="B654" s="12" t="s">
        <v>516</v>
      </c>
      <c r="C654" s="12" t="s">
        <v>512</v>
      </c>
      <c r="D654" s="12" t="s">
        <v>484</v>
      </c>
      <c r="E654" s="12" t="s">
        <v>2345</v>
      </c>
      <c r="F654" s="12" t="s">
        <v>559</v>
      </c>
      <c r="G654" s="13"/>
      <c r="H654" s="17">
        <v>1658</v>
      </c>
      <c r="I654" s="12" t="s">
        <v>515</v>
      </c>
      <c r="J654" s="12" t="s">
        <v>2499</v>
      </c>
    </row>
    <row r="655" spans="1:10" ht="30" customHeight="1">
      <c r="A655" s="12" t="s">
        <v>2883</v>
      </c>
      <c r="B655" s="12" t="s">
        <v>516</v>
      </c>
      <c r="C655" s="12" t="s">
        <v>512</v>
      </c>
      <c r="D655" s="12" t="s">
        <v>484</v>
      </c>
      <c r="E655" s="12" t="s">
        <v>2345</v>
      </c>
      <c r="F655" s="12" t="s">
        <v>561</v>
      </c>
      <c r="G655" s="13"/>
      <c r="H655" s="17">
        <v>379</v>
      </c>
      <c r="I655" s="12" t="s">
        <v>515</v>
      </c>
      <c r="J655" s="12" t="s">
        <v>2499</v>
      </c>
    </row>
    <row r="656" spans="1:10" ht="30" customHeight="1">
      <c r="A656" s="12" t="s">
        <v>2884</v>
      </c>
      <c r="B656" s="12" t="s">
        <v>516</v>
      </c>
      <c r="C656" s="12" t="s">
        <v>512</v>
      </c>
      <c r="D656" s="12" t="s">
        <v>484</v>
      </c>
      <c r="E656" s="12" t="s">
        <v>2345</v>
      </c>
      <c r="F656" s="12" t="s">
        <v>562</v>
      </c>
      <c r="G656" s="13"/>
      <c r="H656" s="17">
        <v>53</v>
      </c>
      <c r="I656" s="12" t="s">
        <v>515</v>
      </c>
      <c r="J656" s="12" t="s">
        <v>2499</v>
      </c>
    </row>
    <row r="657" spans="1:10" ht="30" customHeight="1">
      <c r="A657" s="12" t="s">
        <v>2885</v>
      </c>
      <c r="B657" s="12" t="s">
        <v>516</v>
      </c>
      <c r="C657" s="12" t="s">
        <v>512</v>
      </c>
      <c r="D657" s="12" t="s">
        <v>484</v>
      </c>
      <c r="E657" s="12" t="s">
        <v>2345</v>
      </c>
      <c r="F657" s="12" t="s">
        <v>563</v>
      </c>
      <c r="G657" s="13"/>
      <c r="H657" s="17">
        <v>0.1391076115485564</v>
      </c>
      <c r="I657" s="12" t="s">
        <v>515</v>
      </c>
      <c r="J657" s="12" t="s">
        <v>2499</v>
      </c>
    </row>
    <row r="658" spans="1:10" ht="30" customHeight="1">
      <c r="A658" s="12" t="s">
        <v>2886</v>
      </c>
      <c r="B658" s="12" t="s">
        <v>516</v>
      </c>
      <c r="C658" s="12" t="s">
        <v>512</v>
      </c>
      <c r="D658" s="12" t="s">
        <v>484</v>
      </c>
      <c r="E658" s="12" t="s">
        <v>2345</v>
      </c>
      <c r="F658" s="12" t="s">
        <v>564</v>
      </c>
      <c r="G658" s="13"/>
      <c r="H658" s="17">
        <v>161</v>
      </c>
      <c r="I658" s="12" t="s">
        <v>515</v>
      </c>
      <c r="J658" s="12" t="s">
        <v>2499</v>
      </c>
    </row>
    <row r="659" spans="1:10" ht="30" customHeight="1">
      <c r="A659" s="12" t="s">
        <v>2887</v>
      </c>
      <c r="B659" s="12" t="s">
        <v>255</v>
      </c>
      <c r="C659" s="12" t="s">
        <v>251</v>
      </c>
      <c r="D659" s="12" t="s">
        <v>207</v>
      </c>
      <c r="E659" s="12" t="s">
        <v>2345</v>
      </c>
      <c r="F659" s="12" t="s">
        <v>557</v>
      </c>
      <c r="G659" s="17">
        <v>2418</v>
      </c>
      <c r="H659" s="17">
        <v>2418.0011</v>
      </c>
      <c r="I659" s="12" t="s">
        <v>254</v>
      </c>
      <c r="J659" s="12" t="s">
        <v>2888</v>
      </c>
    </row>
    <row r="660" spans="1:10" ht="30" customHeight="1">
      <c r="A660" s="12" t="s">
        <v>2889</v>
      </c>
      <c r="B660" s="12" t="s">
        <v>255</v>
      </c>
      <c r="C660" s="12" t="s">
        <v>251</v>
      </c>
      <c r="D660" s="12" t="s">
        <v>207</v>
      </c>
      <c r="E660" s="12" t="s">
        <v>2345</v>
      </c>
      <c r="F660" s="12" t="s">
        <v>558</v>
      </c>
      <c r="G660" s="13"/>
      <c r="H660" s="17">
        <v>1640.705</v>
      </c>
      <c r="I660" s="12" t="s">
        <v>254</v>
      </c>
      <c r="J660" s="12" t="s">
        <v>2888</v>
      </c>
    </row>
    <row r="661" spans="1:10" ht="30" customHeight="1">
      <c r="A661" s="12" t="s">
        <v>2890</v>
      </c>
      <c r="B661" s="12" t="s">
        <v>255</v>
      </c>
      <c r="C661" s="12" t="s">
        <v>251</v>
      </c>
      <c r="D661" s="12" t="s">
        <v>207</v>
      </c>
      <c r="E661" s="12" t="s">
        <v>2345</v>
      </c>
      <c r="F661" s="12" t="s">
        <v>559</v>
      </c>
      <c r="G661" s="17">
        <v>180.1</v>
      </c>
      <c r="H661" s="17">
        <v>180.1469</v>
      </c>
      <c r="I661" s="12" t="s">
        <v>254</v>
      </c>
      <c r="J661" s="12" t="s">
        <v>2888</v>
      </c>
    </row>
    <row r="662" spans="1:10" ht="30" customHeight="1">
      <c r="A662" s="12" t="s">
        <v>2891</v>
      </c>
      <c r="B662" s="12" t="s">
        <v>255</v>
      </c>
      <c r="C662" s="12" t="s">
        <v>251</v>
      </c>
      <c r="D662" s="12" t="s">
        <v>207</v>
      </c>
      <c r="E662" s="12" t="s">
        <v>2345</v>
      </c>
      <c r="F662" s="12" t="s">
        <v>561</v>
      </c>
      <c r="G662" s="13"/>
      <c r="H662" s="17">
        <v>732.5424</v>
      </c>
      <c r="I662" s="12" t="s">
        <v>254</v>
      </c>
      <c r="J662" s="12" t="s">
        <v>2888</v>
      </c>
    </row>
    <row r="663" spans="1:10" ht="30" customHeight="1">
      <c r="A663" s="12" t="s">
        <v>2892</v>
      </c>
      <c r="B663" s="12" t="s">
        <v>255</v>
      </c>
      <c r="C663" s="12" t="s">
        <v>251</v>
      </c>
      <c r="D663" s="12" t="s">
        <v>207</v>
      </c>
      <c r="E663" s="12" t="s">
        <v>2345</v>
      </c>
      <c r="F663" s="12" t="s">
        <v>562</v>
      </c>
      <c r="G663" s="13"/>
      <c r="H663" s="17">
        <v>38.7412</v>
      </c>
      <c r="I663" s="12" t="s">
        <v>254</v>
      </c>
      <c r="J663" s="12" t="s">
        <v>2888</v>
      </c>
    </row>
    <row r="664" spans="1:10" ht="30" customHeight="1">
      <c r="A664" s="12" t="s">
        <v>2893</v>
      </c>
      <c r="B664" s="12" t="s">
        <v>255</v>
      </c>
      <c r="C664" s="12" t="s">
        <v>251</v>
      </c>
      <c r="D664" s="12" t="s">
        <v>207</v>
      </c>
      <c r="E664" s="12" t="s">
        <v>2345</v>
      </c>
      <c r="F664" s="12" t="s">
        <v>563</v>
      </c>
      <c r="G664" s="13"/>
      <c r="H664" s="17">
        <v>0.06994133252164905</v>
      </c>
      <c r="I664" s="12" t="s">
        <v>254</v>
      </c>
      <c r="J664" s="12" t="s">
        <v>2888</v>
      </c>
    </row>
    <row r="665" spans="1:10" ht="30" customHeight="1">
      <c r="A665" s="12" t="s">
        <v>2894</v>
      </c>
      <c r="B665" s="12" t="s">
        <v>255</v>
      </c>
      <c r="C665" s="12" t="s">
        <v>251</v>
      </c>
      <c r="D665" s="12" t="s">
        <v>207</v>
      </c>
      <c r="E665" s="12" t="s">
        <v>2345</v>
      </c>
      <c r="F665" s="12" t="s">
        <v>564</v>
      </c>
      <c r="G665" s="13"/>
      <c r="H665" s="17">
        <v>113.3846</v>
      </c>
      <c r="I665" s="12" t="s">
        <v>254</v>
      </c>
      <c r="J665" s="12" t="s">
        <v>2888</v>
      </c>
    </row>
    <row r="666" spans="1:10" ht="30" customHeight="1">
      <c r="A666" s="12" t="s">
        <v>2895</v>
      </c>
      <c r="B666" s="12" t="s">
        <v>267</v>
      </c>
      <c r="C666" s="12" t="s">
        <v>264</v>
      </c>
      <c r="D666" s="12" t="s">
        <v>207</v>
      </c>
      <c r="E666" s="12" t="s">
        <v>2345</v>
      </c>
      <c r="F666" s="12" t="s">
        <v>557</v>
      </c>
      <c r="G666" s="13"/>
      <c r="H666" s="17">
        <v>2300.35</v>
      </c>
      <c r="I666" s="12" t="s">
        <v>266</v>
      </c>
      <c r="J666" s="12" t="s">
        <v>2888</v>
      </c>
    </row>
    <row r="667" spans="1:10" ht="30" customHeight="1">
      <c r="A667" s="12" t="s">
        <v>2896</v>
      </c>
      <c r="B667" s="12" t="s">
        <v>267</v>
      </c>
      <c r="C667" s="12" t="s">
        <v>264</v>
      </c>
      <c r="D667" s="12" t="s">
        <v>207</v>
      </c>
      <c r="E667" s="12" t="s">
        <v>2345</v>
      </c>
      <c r="F667" s="12" t="s">
        <v>558</v>
      </c>
      <c r="G667" s="13"/>
      <c r="H667" s="17">
        <v>2332.55</v>
      </c>
      <c r="I667" s="12" t="s">
        <v>266</v>
      </c>
      <c r="J667" s="12" t="s">
        <v>2888</v>
      </c>
    </row>
    <row r="668" spans="1:10" ht="30" customHeight="1">
      <c r="A668" s="12" t="s">
        <v>2897</v>
      </c>
      <c r="B668" s="12" t="s">
        <v>267</v>
      </c>
      <c r="C668" s="12" t="s">
        <v>264</v>
      </c>
      <c r="D668" s="12" t="s">
        <v>207</v>
      </c>
      <c r="E668" s="12" t="s">
        <v>2345</v>
      </c>
      <c r="F668" s="12" t="s">
        <v>559</v>
      </c>
      <c r="G668" s="13"/>
      <c r="H668" s="17">
        <v>80.42</v>
      </c>
      <c r="I668" s="12" t="s">
        <v>266</v>
      </c>
      <c r="J668" s="12" t="s">
        <v>2888</v>
      </c>
    </row>
    <row r="669" spans="1:10" ht="30" customHeight="1">
      <c r="A669" s="12" t="s">
        <v>2898</v>
      </c>
      <c r="B669" s="12" t="s">
        <v>267</v>
      </c>
      <c r="C669" s="12" t="s">
        <v>264</v>
      </c>
      <c r="D669" s="12" t="s">
        <v>207</v>
      </c>
      <c r="E669" s="12" t="s">
        <v>2345</v>
      </c>
      <c r="F669" s="12" t="s">
        <v>561</v>
      </c>
      <c r="G669" s="13"/>
      <c r="H669" s="17">
        <v>634.24</v>
      </c>
      <c r="I669" s="12" t="s">
        <v>266</v>
      </c>
      <c r="J669" s="12" t="s">
        <v>2888</v>
      </c>
    </row>
    <row r="670" spans="1:10" ht="30" customHeight="1">
      <c r="A670" s="12" t="s">
        <v>2899</v>
      </c>
      <c r="B670" s="12" t="s">
        <v>267</v>
      </c>
      <c r="C670" s="12" t="s">
        <v>264</v>
      </c>
      <c r="D670" s="12" t="s">
        <v>207</v>
      </c>
      <c r="E670" s="12" t="s">
        <v>2345</v>
      </c>
      <c r="F670" s="12" t="s">
        <v>562</v>
      </c>
      <c r="G670" s="13"/>
      <c r="H670" s="17">
        <v>58.85</v>
      </c>
      <c r="I670" s="12" t="s">
        <v>266</v>
      </c>
      <c r="J670" s="12" t="s">
        <v>2888</v>
      </c>
    </row>
    <row r="671" spans="1:10" ht="30" customHeight="1">
      <c r="A671" s="12" t="s">
        <v>2900</v>
      </c>
      <c r="B671" s="12" t="s">
        <v>267</v>
      </c>
      <c r="C671" s="12" t="s">
        <v>264</v>
      </c>
      <c r="D671" s="12" t="s">
        <v>207</v>
      </c>
      <c r="E671" s="12" t="s">
        <v>2345</v>
      </c>
      <c r="F671" s="12" t="s">
        <v>563</v>
      </c>
      <c r="G671" s="13"/>
      <c r="H671" s="17">
        <v>0.09065003080714726</v>
      </c>
      <c r="I671" s="12" t="s">
        <v>266</v>
      </c>
      <c r="J671" s="12" t="s">
        <v>2888</v>
      </c>
    </row>
    <row r="672" spans="1:10" ht="30" customHeight="1">
      <c r="A672" s="12" t="s">
        <v>2901</v>
      </c>
      <c r="B672" s="12" t="s">
        <v>267</v>
      </c>
      <c r="C672" s="12" t="s">
        <v>264</v>
      </c>
      <c r="D672" s="12" t="s">
        <v>207</v>
      </c>
      <c r="E672" s="12" t="s">
        <v>2345</v>
      </c>
      <c r="F672" s="12" t="s">
        <v>564</v>
      </c>
      <c r="G672" s="13"/>
      <c r="H672" s="17">
        <v>16.66</v>
      </c>
      <c r="I672" s="12" t="s">
        <v>266</v>
      </c>
      <c r="J672" s="12" t="s">
        <v>2888</v>
      </c>
    </row>
    <row r="673" spans="1:10" ht="30" customHeight="1">
      <c r="A673" s="12" t="s">
        <v>2902</v>
      </c>
      <c r="B673" s="12" t="s">
        <v>262</v>
      </c>
      <c r="C673" s="12" t="s">
        <v>259</v>
      </c>
      <c r="D673" s="12" t="s">
        <v>207</v>
      </c>
      <c r="E673" s="12" t="s">
        <v>2345</v>
      </c>
      <c r="F673" s="12" t="s">
        <v>557</v>
      </c>
      <c r="G673" s="17">
        <v>1867</v>
      </c>
      <c r="H673" s="17">
        <v>1866.9803</v>
      </c>
      <c r="I673" s="12" t="s">
        <v>261</v>
      </c>
      <c r="J673" s="12" t="s">
        <v>2888</v>
      </c>
    </row>
    <row r="674" spans="1:10" ht="30" customHeight="1">
      <c r="A674" s="12" t="s">
        <v>2903</v>
      </c>
      <c r="B674" s="12" t="s">
        <v>262</v>
      </c>
      <c r="C674" s="12" t="s">
        <v>259</v>
      </c>
      <c r="D674" s="12" t="s">
        <v>207</v>
      </c>
      <c r="E674" s="12" t="s">
        <v>2345</v>
      </c>
      <c r="F674" s="12" t="s">
        <v>558</v>
      </c>
      <c r="G674" s="13"/>
      <c r="H674" s="17">
        <v>1682.4324</v>
      </c>
      <c r="I674" s="12" t="s">
        <v>261</v>
      </c>
      <c r="J674" s="12" t="s">
        <v>2888</v>
      </c>
    </row>
    <row r="675" spans="1:10" ht="30" customHeight="1">
      <c r="A675" s="12" t="s">
        <v>2904</v>
      </c>
      <c r="B675" s="12" t="s">
        <v>262</v>
      </c>
      <c r="C675" s="12" t="s">
        <v>259</v>
      </c>
      <c r="D675" s="12" t="s">
        <v>207</v>
      </c>
      <c r="E675" s="12" t="s">
        <v>2345</v>
      </c>
      <c r="F675" s="12" t="s">
        <v>559</v>
      </c>
      <c r="G675" s="17">
        <v>150.2</v>
      </c>
      <c r="H675" s="17">
        <v>150.1824</v>
      </c>
      <c r="I675" s="12" t="s">
        <v>261</v>
      </c>
      <c r="J675" s="12" t="s">
        <v>2888</v>
      </c>
    </row>
    <row r="676" spans="1:10" ht="30" customHeight="1">
      <c r="A676" s="12" t="s">
        <v>2905</v>
      </c>
      <c r="B676" s="12" t="s">
        <v>262</v>
      </c>
      <c r="C676" s="12" t="s">
        <v>259</v>
      </c>
      <c r="D676" s="12" t="s">
        <v>207</v>
      </c>
      <c r="E676" s="12" t="s">
        <v>2345</v>
      </c>
      <c r="F676" s="12" t="s">
        <v>561</v>
      </c>
      <c r="G676" s="13"/>
      <c r="H676" s="17">
        <v>855.4053</v>
      </c>
      <c r="I676" s="12" t="s">
        <v>261</v>
      </c>
      <c r="J676" s="12" t="s">
        <v>2888</v>
      </c>
    </row>
    <row r="677" spans="1:10" ht="30" customHeight="1">
      <c r="A677" s="12" t="s">
        <v>2906</v>
      </c>
      <c r="B677" s="12" t="s">
        <v>262</v>
      </c>
      <c r="C677" s="12" t="s">
        <v>259</v>
      </c>
      <c r="D677" s="12" t="s">
        <v>207</v>
      </c>
      <c r="E677" s="12" t="s">
        <v>2345</v>
      </c>
      <c r="F677" s="12" t="s">
        <v>562</v>
      </c>
      <c r="G677" s="13"/>
      <c r="H677" s="17">
        <v>32.3653</v>
      </c>
      <c r="I677" s="12" t="s">
        <v>261</v>
      </c>
      <c r="J677" s="12" t="s">
        <v>2888</v>
      </c>
    </row>
    <row r="678" spans="1:10" ht="30" customHeight="1">
      <c r="A678" s="12" t="s">
        <v>2907</v>
      </c>
      <c r="B678" s="12" t="s">
        <v>262</v>
      </c>
      <c r="C678" s="12" t="s">
        <v>259</v>
      </c>
      <c r="D678" s="12" t="s">
        <v>207</v>
      </c>
      <c r="E678" s="12" t="s">
        <v>2345</v>
      </c>
      <c r="F678" s="12" t="s">
        <v>563</v>
      </c>
      <c r="G678" s="13"/>
      <c r="H678" s="17">
        <v>0.05517128637740406</v>
      </c>
      <c r="I678" s="12" t="s">
        <v>261</v>
      </c>
      <c r="J678" s="12" t="s">
        <v>2888</v>
      </c>
    </row>
    <row r="679" spans="1:10" ht="30" customHeight="1">
      <c r="A679" s="12" t="s">
        <v>2908</v>
      </c>
      <c r="B679" s="12" t="s">
        <v>262</v>
      </c>
      <c r="C679" s="12" t="s">
        <v>259</v>
      </c>
      <c r="D679" s="12" t="s">
        <v>207</v>
      </c>
      <c r="E679" s="12" t="s">
        <v>2345</v>
      </c>
      <c r="F679" s="12" t="s">
        <v>564</v>
      </c>
      <c r="G679" s="13"/>
      <c r="H679" s="17">
        <v>398.5561</v>
      </c>
      <c r="I679" s="12" t="s">
        <v>261</v>
      </c>
      <c r="J679" s="12" t="s">
        <v>2888</v>
      </c>
    </row>
    <row r="680" spans="1:10" ht="30" customHeight="1">
      <c r="A680" s="12" t="s">
        <v>2909</v>
      </c>
      <c r="B680" s="12" t="s">
        <v>284</v>
      </c>
      <c r="C680" s="12" t="s">
        <v>280</v>
      </c>
      <c r="D680" s="12" t="s">
        <v>484</v>
      </c>
      <c r="E680" s="12" t="s">
        <v>2345</v>
      </c>
      <c r="F680" s="12" t="s">
        <v>557</v>
      </c>
      <c r="G680" s="13"/>
      <c r="H680" s="17">
        <v>7977.8</v>
      </c>
      <c r="I680" s="12" t="s">
        <v>283</v>
      </c>
      <c r="J680" s="12" t="s">
        <v>2499</v>
      </c>
    </row>
    <row r="681" spans="1:10" ht="30" customHeight="1">
      <c r="A681" s="12" t="s">
        <v>2910</v>
      </c>
      <c r="B681" s="12" t="s">
        <v>284</v>
      </c>
      <c r="C681" s="12" t="s">
        <v>280</v>
      </c>
      <c r="D681" s="12" t="s">
        <v>484</v>
      </c>
      <c r="E681" s="12" t="s">
        <v>2345</v>
      </c>
      <c r="F681" s="12" t="s">
        <v>558</v>
      </c>
      <c r="G681" s="13"/>
      <c r="H681" s="17">
        <v>12276.7</v>
      </c>
      <c r="I681" s="12" t="s">
        <v>283</v>
      </c>
      <c r="J681" s="12" t="s">
        <v>2499</v>
      </c>
    </row>
    <row r="682" spans="1:10" ht="30" customHeight="1">
      <c r="A682" s="12" t="s">
        <v>2911</v>
      </c>
      <c r="B682" s="12" t="s">
        <v>284</v>
      </c>
      <c r="C682" s="12" t="s">
        <v>280</v>
      </c>
      <c r="D682" s="12" t="s">
        <v>484</v>
      </c>
      <c r="E682" s="12" t="s">
        <v>2345</v>
      </c>
      <c r="F682" s="12" t="s">
        <v>559</v>
      </c>
      <c r="G682" s="13"/>
      <c r="H682" s="17">
        <v>1660.2</v>
      </c>
      <c r="I682" s="12" t="s">
        <v>283</v>
      </c>
      <c r="J682" s="12" t="s">
        <v>2499</v>
      </c>
    </row>
    <row r="683" spans="1:10" ht="30" customHeight="1">
      <c r="A683" s="12" t="s">
        <v>2912</v>
      </c>
      <c r="B683" s="12" t="s">
        <v>284</v>
      </c>
      <c r="C683" s="12" t="s">
        <v>280</v>
      </c>
      <c r="D683" s="12" t="s">
        <v>484</v>
      </c>
      <c r="E683" s="12" t="s">
        <v>2345</v>
      </c>
      <c r="F683" s="12" t="s">
        <v>561</v>
      </c>
      <c r="G683" s="13"/>
      <c r="H683" s="17">
        <v>111.7</v>
      </c>
      <c r="I683" s="12" t="s">
        <v>283</v>
      </c>
      <c r="J683" s="12" t="s">
        <v>2499</v>
      </c>
    </row>
    <row r="684" spans="1:10" ht="30" customHeight="1">
      <c r="A684" s="12" t="s">
        <v>2913</v>
      </c>
      <c r="B684" s="12" t="s">
        <v>284</v>
      </c>
      <c r="C684" s="12" t="s">
        <v>280</v>
      </c>
      <c r="D684" s="12" t="s">
        <v>484</v>
      </c>
      <c r="E684" s="12" t="s">
        <v>2345</v>
      </c>
      <c r="F684" s="12" t="s">
        <v>562</v>
      </c>
      <c r="G684" s="13"/>
      <c r="H684" s="17">
        <v>33</v>
      </c>
      <c r="I684" s="12" t="s">
        <v>283</v>
      </c>
      <c r="J684" s="12" t="s">
        <v>2499</v>
      </c>
    </row>
    <row r="685" spans="1:10" ht="30" customHeight="1">
      <c r="A685" s="12" t="s">
        <v>2914</v>
      </c>
      <c r="B685" s="12" t="s">
        <v>284</v>
      </c>
      <c r="C685" s="12" t="s">
        <v>280</v>
      </c>
      <c r="D685" s="12" t="s">
        <v>484</v>
      </c>
      <c r="E685" s="12" t="s">
        <v>2345</v>
      </c>
      <c r="F685" s="12" t="s">
        <v>563</v>
      </c>
      <c r="G685" s="13"/>
      <c r="H685" s="17">
        <v>0.2754590984974958</v>
      </c>
      <c r="I685" s="12" t="s">
        <v>283</v>
      </c>
      <c r="J685" s="12" t="s">
        <v>2499</v>
      </c>
    </row>
    <row r="686" spans="1:10" ht="30" customHeight="1">
      <c r="A686" s="12" t="s">
        <v>2915</v>
      </c>
      <c r="B686" s="12" t="s">
        <v>284</v>
      </c>
      <c r="C686" s="12" t="s">
        <v>280</v>
      </c>
      <c r="D686" s="12" t="s">
        <v>484</v>
      </c>
      <c r="E686" s="12" t="s">
        <v>2345</v>
      </c>
      <c r="F686" s="12" t="s">
        <v>564</v>
      </c>
      <c r="G686" s="13"/>
      <c r="H686" s="17">
        <v>850</v>
      </c>
      <c r="I686" s="12" t="s">
        <v>283</v>
      </c>
      <c r="J686" s="12" t="s">
        <v>2499</v>
      </c>
    </row>
    <row r="687" spans="1:10" ht="30" customHeight="1">
      <c r="A687" s="12" t="s">
        <v>2916</v>
      </c>
      <c r="B687" s="12" t="s">
        <v>95</v>
      </c>
      <c r="C687" s="12" t="s">
        <v>92</v>
      </c>
      <c r="D687" s="12" t="s">
        <v>29</v>
      </c>
      <c r="E687" s="12" t="s">
        <v>2345</v>
      </c>
      <c r="F687" s="12" t="s">
        <v>554</v>
      </c>
      <c r="G687" s="17">
        <v>0.0332507103865143</v>
      </c>
      <c r="H687" s="13"/>
      <c r="I687" s="12" t="s">
        <v>94</v>
      </c>
      <c r="J687" s="12" t="s">
        <v>2917</v>
      </c>
    </row>
    <row r="688" spans="1:10" ht="30" customHeight="1">
      <c r="A688" s="12" t="s">
        <v>2918</v>
      </c>
      <c r="B688" s="12" t="s">
        <v>64</v>
      </c>
      <c r="C688" s="12" t="s">
        <v>60</v>
      </c>
      <c r="D688" s="12" t="s">
        <v>29</v>
      </c>
      <c r="E688" s="12" t="s">
        <v>2345</v>
      </c>
      <c r="F688" s="12" t="s">
        <v>554</v>
      </c>
      <c r="G688" s="17">
        <v>0.047558404018386</v>
      </c>
      <c r="H688" s="13"/>
      <c r="I688" s="12" t="s">
        <v>63</v>
      </c>
      <c r="J688" s="12" t="s">
        <v>2917</v>
      </c>
    </row>
    <row r="689" spans="1:10" ht="30" customHeight="1">
      <c r="A689" s="12" t="s">
        <v>2919</v>
      </c>
      <c r="B689" s="12" t="s">
        <v>90</v>
      </c>
      <c r="C689" s="12" t="s">
        <v>87</v>
      </c>
      <c r="D689" s="12" t="s">
        <v>29</v>
      </c>
      <c r="E689" s="12" t="s">
        <v>2345</v>
      </c>
      <c r="F689" s="12" t="s">
        <v>554</v>
      </c>
      <c r="G689" s="17">
        <v>0.00480127635905893</v>
      </c>
      <c r="H689" s="13"/>
      <c r="I689" s="12" t="s">
        <v>89</v>
      </c>
      <c r="J689" s="12" t="s">
        <v>2917</v>
      </c>
    </row>
    <row r="690" spans="1:10" ht="30" customHeight="1">
      <c r="A690" s="12" t="s">
        <v>2920</v>
      </c>
      <c r="B690" s="12" t="s">
        <v>58</v>
      </c>
      <c r="C690" s="12" t="s">
        <v>53</v>
      </c>
      <c r="D690" s="12" t="s">
        <v>29</v>
      </c>
      <c r="E690" s="12" t="s">
        <v>2345</v>
      </c>
      <c r="F690" s="12" t="s">
        <v>554</v>
      </c>
      <c r="G690" s="17">
        <v>0.0524516746793273</v>
      </c>
      <c r="H690" s="13"/>
      <c r="I690" s="12" t="s">
        <v>57</v>
      </c>
      <c r="J690" s="12" t="s">
        <v>2917</v>
      </c>
    </row>
    <row r="691" spans="1:10" ht="30" customHeight="1">
      <c r="A691" s="12" t="s">
        <v>2921</v>
      </c>
      <c r="B691" s="12" t="s">
        <v>51</v>
      </c>
      <c r="C691" s="12" t="s">
        <v>46</v>
      </c>
      <c r="D691" s="12" t="s">
        <v>29</v>
      </c>
      <c r="E691" s="12" t="s">
        <v>2345</v>
      </c>
      <c r="F691" s="12" t="s">
        <v>554</v>
      </c>
      <c r="G691" s="17">
        <v>0.147224511599512</v>
      </c>
      <c r="H691" s="13"/>
      <c r="I691" s="12" t="s">
        <v>50</v>
      </c>
      <c r="J691" s="12" t="s">
        <v>2917</v>
      </c>
    </row>
    <row r="692" spans="1:10" ht="30" customHeight="1">
      <c r="A692" s="12" t="s">
        <v>2922</v>
      </c>
      <c r="B692" s="12" t="s">
        <v>77</v>
      </c>
      <c r="C692" s="12" t="s">
        <v>72</v>
      </c>
      <c r="D692" s="12" t="s">
        <v>29</v>
      </c>
      <c r="E692" s="12" t="s">
        <v>2345</v>
      </c>
      <c r="F692" s="12" t="s">
        <v>554</v>
      </c>
      <c r="G692" s="17">
        <v>0</v>
      </c>
      <c r="H692" s="13"/>
      <c r="I692" s="12" t="s">
        <v>76</v>
      </c>
      <c r="J692" s="12" t="s">
        <v>2917</v>
      </c>
    </row>
    <row r="693" spans="1:10" ht="30" customHeight="1">
      <c r="A693" s="12" t="s">
        <v>2923</v>
      </c>
      <c r="B693" s="12" t="s">
        <v>85</v>
      </c>
      <c r="C693" s="12" t="s">
        <v>81</v>
      </c>
      <c r="D693" s="12" t="s">
        <v>29</v>
      </c>
      <c r="E693" s="12" t="s">
        <v>2345</v>
      </c>
      <c r="F693" s="12" t="s">
        <v>554</v>
      </c>
      <c r="G693" s="17">
        <v>0.00548685427401242</v>
      </c>
      <c r="H693" s="13"/>
      <c r="I693" s="12" t="s">
        <v>84</v>
      </c>
      <c r="J693" s="12" t="s">
        <v>2917</v>
      </c>
    </row>
    <row r="694" spans="1:10" ht="30" customHeight="1">
      <c r="A694" s="12" t="s">
        <v>2924</v>
      </c>
      <c r="B694" s="12" t="s">
        <v>39</v>
      </c>
      <c r="C694" s="12" t="s">
        <v>28</v>
      </c>
      <c r="D694" s="12" t="s">
        <v>29</v>
      </c>
      <c r="E694" s="12" t="s">
        <v>2345</v>
      </c>
      <c r="F694" s="12" t="s">
        <v>554</v>
      </c>
      <c r="G694" s="17">
        <v>0.0132986589728279</v>
      </c>
      <c r="H694" s="13"/>
      <c r="I694" s="12" t="s">
        <v>38</v>
      </c>
      <c r="J694" s="12" t="s">
        <v>2917</v>
      </c>
    </row>
    <row r="695" spans="1:10" ht="30" customHeight="1">
      <c r="A695" s="12" t="s">
        <v>2925</v>
      </c>
      <c r="B695" s="12" t="s">
        <v>70</v>
      </c>
      <c r="C695" s="12" t="s">
        <v>66</v>
      </c>
      <c r="D695" s="12" t="s">
        <v>29</v>
      </c>
      <c r="E695" s="12" t="s">
        <v>2345</v>
      </c>
      <c r="F695" s="12" t="s">
        <v>554</v>
      </c>
      <c r="G695" s="17">
        <v>0.00704793138244198</v>
      </c>
      <c r="H695" s="13"/>
      <c r="I695" s="12" t="s">
        <v>69</v>
      </c>
      <c r="J695" s="12" t="s">
        <v>2917</v>
      </c>
    </row>
    <row r="696" spans="1:10" ht="30" customHeight="1">
      <c r="A696" s="12" t="s">
        <v>2926</v>
      </c>
      <c r="B696" s="12" t="s">
        <v>133</v>
      </c>
      <c r="C696" s="12" t="s">
        <v>129</v>
      </c>
      <c r="D696" s="12" t="s">
        <v>98</v>
      </c>
      <c r="E696" s="12" t="s">
        <v>2345</v>
      </c>
      <c r="F696" s="12" t="s">
        <v>554</v>
      </c>
      <c r="G696" s="17">
        <v>0</v>
      </c>
      <c r="H696" s="13"/>
      <c r="I696" s="12" t="s">
        <v>132</v>
      </c>
      <c r="J696" s="12" t="s">
        <v>2917</v>
      </c>
    </row>
    <row r="697" spans="1:10" ht="30" customHeight="1">
      <c r="A697" s="12" t="s">
        <v>2927</v>
      </c>
      <c r="B697" s="12" t="s">
        <v>102</v>
      </c>
      <c r="C697" s="12" t="s">
        <v>97</v>
      </c>
      <c r="D697" s="12" t="s">
        <v>98</v>
      </c>
      <c r="E697" s="12" t="s">
        <v>2345</v>
      </c>
      <c r="F697" s="12" t="s">
        <v>554</v>
      </c>
      <c r="G697" s="17">
        <v>0</v>
      </c>
      <c r="H697" s="13"/>
      <c r="I697" s="12" t="s">
        <v>101</v>
      </c>
      <c r="J697" s="12" t="s">
        <v>2917</v>
      </c>
    </row>
    <row r="698" spans="1:10" ht="30" customHeight="1">
      <c r="A698" s="12" t="s">
        <v>2928</v>
      </c>
      <c r="B698" s="12" t="s">
        <v>139</v>
      </c>
      <c r="C698" s="12" t="s">
        <v>135</v>
      </c>
      <c r="D698" s="12" t="s">
        <v>98</v>
      </c>
      <c r="E698" s="12" t="s">
        <v>2345</v>
      </c>
      <c r="F698" s="12" t="s">
        <v>554</v>
      </c>
      <c r="G698" s="17">
        <v>0.0025</v>
      </c>
      <c r="H698" s="13"/>
      <c r="I698" s="12" t="s">
        <v>138</v>
      </c>
      <c r="J698" s="12" t="s">
        <v>2917</v>
      </c>
    </row>
    <row r="699" spans="1:10" ht="30" customHeight="1">
      <c r="A699" s="12" t="s">
        <v>2929</v>
      </c>
      <c r="B699" s="12" t="s">
        <v>109</v>
      </c>
      <c r="C699" s="12" t="s">
        <v>105</v>
      </c>
      <c r="D699" s="12" t="s">
        <v>98</v>
      </c>
      <c r="E699" s="12" t="s">
        <v>2345</v>
      </c>
      <c r="F699" s="12" t="s">
        <v>554</v>
      </c>
      <c r="G699" s="17">
        <v>0</v>
      </c>
      <c r="H699" s="13"/>
      <c r="I699" s="12" t="s">
        <v>108</v>
      </c>
      <c r="J699" s="12" t="s">
        <v>2917</v>
      </c>
    </row>
    <row r="700" spans="1:10" ht="30" customHeight="1">
      <c r="A700" s="12" t="s">
        <v>2930</v>
      </c>
      <c r="B700" s="12" t="s">
        <v>127</v>
      </c>
      <c r="C700" s="12" t="s">
        <v>123</v>
      </c>
      <c r="D700" s="12" t="s">
        <v>98</v>
      </c>
      <c r="E700" s="12" t="s">
        <v>2345</v>
      </c>
      <c r="F700" s="12" t="s">
        <v>554</v>
      </c>
      <c r="G700" s="17">
        <v>0</v>
      </c>
      <c r="H700" s="13"/>
      <c r="I700" s="12" t="s">
        <v>126</v>
      </c>
      <c r="J700" s="12" t="s">
        <v>2917</v>
      </c>
    </row>
    <row r="701" spans="1:10" ht="30" customHeight="1">
      <c r="A701" s="12" t="s">
        <v>2931</v>
      </c>
      <c r="B701" s="12" t="s">
        <v>379</v>
      </c>
      <c r="C701" s="12" t="s">
        <v>373</v>
      </c>
      <c r="D701" s="12" t="s">
        <v>374</v>
      </c>
      <c r="E701" s="12" t="s">
        <v>2345</v>
      </c>
      <c r="F701" s="12" t="s">
        <v>554</v>
      </c>
      <c r="G701" s="17">
        <v>0</v>
      </c>
      <c r="H701" s="13"/>
      <c r="I701" s="12" t="s">
        <v>378</v>
      </c>
      <c r="J701" s="12" t="s">
        <v>2917</v>
      </c>
    </row>
    <row r="702" spans="1:10" ht="30" customHeight="1">
      <c r="A702" s="12" t="s">
        <v>2932</v>
      </c>
      <c r="B702" s="12" t="s">
        <v>386</v>
      </c>
      <c r="C702" s="12" t="s">
        <v>382</v>
      </c>
      <c r="D702" s="12" t="s">
        <v>374</v>
      </c>
      <c r="E702" s="12" t="s">
        <v>2345</v>
      </c>
      <c r="F702" s="12" t="s">
        <v>554</v>
      </c>
      <c r="G702" s="17">
        <v>0.0756463891365476</v>
      </c>
      <c r="H702" s="13"/>
      <c r="I702" s="12" t="s">
        <v>385</v>
      </c>
      <c r="J702" s="12" t="s">
        <v>2917</v>
      </c>
    </row>
    <row r="703" spans="1:10" ht="30" customHeight="1">
      <c r="A703" s="12" t="s">
        <v>2933</v>
      </c>
      <c r="B703" s="12" t="s">
        <v>422</v>
      </c>
      <c r="C703" s="12" t="s">
        <v>419</v>
      </c>
      <c r="D703" s="12" t="s">
        <v>374</v>
      </c>
      <c r="E703" s="12" t="s">
        <v>2345</v>
      </c>
      <c r="F703" s="12" t="s">
        <v>554</v>
      </c>
      <c r="G703" s="17">
        <v>0.0459</v>
      </c>
      <c r="H703" s="13"/>
      <c r="I703" s="12" t="s">
        <v>421</v>
      </c>
      <c r="J703" s="12" t="s">
        <v>2917</v>
      </c>
    </row>
    <row r="704" spans="1:10" ht="30" customHeight="1">
      <c r="A704" s="12" t="s">
        <v>2934</v>
      </c>
      <c r="B704" s="12" t="s">
        <v>402</v>
      </c>
      <c r="C704" s="12" t="s">
        <v>399</v>
      </c>
      <c r="D704" s="12" t="s">
        <v>374</v>
      </c>
      <c r="E704" s="12" t="s">
        <v>2345</v>
      </c>
      <c r="F704" s="12" t="s">
        <v>554</v>
      </c>
      <c r="G704" s="17">
        <v>0.0118207492011987</v>
      </c>
      <c r="H704" s="13"/>
      <c r="I704" s="12" t="s">
        <v>401</v>
      </c>
      <c r="J704" s="12" t="s">
        <v>2917</v>
      </c>
    </row>
    <row r="705" spans="1:10" ht="30" customHeight="1">
      <c r="A705" s="12" t="s">
        <v>2935</v>
      </c>
      <c r="B705" s="12" t="s">
        <v>417</v>
      </c>
      <c r="C705" s="12" t="s">
        <v>414</v>
      </c>
      <c r="D705" s="12" t="s">
        <v>374</v>
      </c>
      <c r="E705" s="12" t="s">
        <v>2345</v>
      </c>
      <c r="F705" s="12" t="s">
        <v>554</v>
      </c>
      <c r="G705" s="17">
        <v>0</v>
      </c>
      <c r="H705" s="13"/>
      <c r="I705" s="12" t="s">
        <v>416</v>
      </c>
      <c r="J705" s="12" t="s">
        <v>2917</v>
      </c>
    </row>
    <row r="706" spans="1:10" ht="30" customHeight="1">
      <c r="A706" s="12" t="s">
        <v>2936</v>
      </c>
      <c r="B706" s="12" t="s">
        <v>392</v>
      </c>
      <c r="C706" s="12" t="s">
        <v>388</v>
      </c>
      <c r="D706" s="12" t="s">
        <v>374</v>
      </c>
      <c r="E706" s="12" t="s">
        <v>2345</v>
      </c>
      <c r="F706" s="12" t="s">
        <v>554</v>
      </c>
      <c r="G706" s="17">
        <v>0</v>
      </c>
      <c r="H706" s="13"/>
      <c r="I706" s="12" t="s">
        <v>391</v>
      </c>
      <c r="J706" s="12" t="s">
        <v>2917</v>
      </c>
    </row>
    <row r="707" spans="1:10" ht="30" customHeight="1">
      <c r="A707" s="12" t="s">
        <v>2937</v>
      </c>
      <c r="B707" s="12" t="s">
        <v>407</v>
      </c>
      <c r="C707" s="12" t="s">
        <v>404</v>
      </c>
      <c r="D707" s="12" t="s">
        <v>374</v>
      </c>
      <c r="E707" s="12" t="s">
        <v>2345</v>
      </c>
      <c r="F707" s="12" t="s">
        <v>554</v>
      </c>
      <c r="G707" s="17">
        <v>0.498821609681449</v>
      </c>
      <c r="H707" s="13"/>
      <c r="I707" s="12" t="s">
        <v>406</v>
      </c>
      <c r="J707" s="12" t="s">
        <v>2917</v>
      </c>
    </row>
    <row r="708" spans="1:10" ht="30" customHeight="1">
      <c r="A708" s="12" t="s">
        <v>2938</v>
      </c>
      <c r="B708" s="12" t="s">
        <v>412</v>
      </c>
      <c r="C708" s="12" t="s">
        <v>409</v>
      </c>
      <c r="D708" s="12" t="s">
        <v>374</v>
      </c>
      <c r="E708" s="12" t="s">
        <v>2345</v>
      </c>
      <c r="F708" s="12" t="s">
        <v>554</v>
      </c>
      <c r="G708" s="17">
        <v>0</v>
      </c>
      <c r="H708" s="13"/>
      <c r="I708" s="12" t="s">
        <v>411</v>
      </c>
      <c r="J708" s="12" t="s">
        <v>2917</v>
      </c>
    </row>
    <row r="709" spans="1:10" ht="30" customHeight="1">
      <c r="A709" s="12" t="s">
        <v>2939</v>
      </c>
      <c r="B709" s="12" t="s">
        <v>397</v>
      </c>
      <c r="C709" s="12" t="s">
        <v>394</v>
      </c>
      <c r="D709" s="12" t="s">
        <v>374</v>
      </c>
      <c r="E709" s="12" t="s">
        <v>2345</v>
      </c>
      <c r="F709" s="12" t="s">
        <v>554</v>
      </c>
      <c r="G709" s="17">
        <v>0</v>
      </c>
      <c r="H709" s="13"/>
      <c r="I709" s="12" t="s">
        <v>396</v>
      </c>
      <c r="J709" s="12" t="s">
        <v>2917</v>
      </c>
    </row>
    <row r="710" spans="1:10" ht="30" customHeight="1">
      <c r="A710" s="12" t="s">
        <v>2940</v>
      </c>
      <c r="B710" s="12" t="s">
        <v>427</v>
      </c>
      <c r="C710" s="12" t="s">
        <v>424</v>
      </c>
      <c r="D710" s="12" t="s">
        <v>374</v>
      </c>
      <c r="E710" s="12" t="s">
        <v>2345</v>
      </c>
      <c r="F710" s="12" t="s">
        <v>554</v>
      </c>
      <c r="G710" s="17">
        <v>0.00166040822798495</v>
      </c>
      <c r="H710" s="13"/>
      <c r="I710" s="12" t="s">
        <v>426</v>
      </c>
      <c r="J710" s="12" t="s">
        <v>2917</v>
      </c>
    </row>
    <row r="711" spans="1:10" ht="30" customHeight="1">
      <c r="A711" s="12" t="s">
        <v>2941</v>
      </c>
      <c r="B711" s="12" t="s">
        <v>77</v>
      </c>
      <c r="C711" s="12" t="s">
        <v>72</v>
      </c>
      <c r="D711" s="12" t="s">
        <v>29</v>
      </c>
      <c r="E711" s="12" t="s">
        <v>2942</v>
      </c>
      <c r="F711" s="12" t="s">
        <v>564</v>
      </c>
      <c r="G711" s="13"/>
      <c r="H711" s="12" t="s">
        <v>2943</v>
      </c>
      <c r="I711" s="12" t="s">
        <v>76</v>
      </c>
      <c r="J711" s="12" t="s">
        <v>2944</v>
      </c>
    </row>
    <row r="712" spans="1:10" ht="30" customHeight="1">
      <c r="A712" s="12" t="s">
        <v>2945</v>
      </c>
      <c r="B712" s="12" t="s">
        <v>240</v>
      </c>
      <c r="C712" s="12" t="s">
        <v>235</v>
      </c>
      <c r="D712" s="12" t="s">
        <v>207</v>
      </c>
      <c r="E712" s="12" t="s">
        <v>2942</v>
      </c>
      <c r="F712" s="12" t="s">
        <v>2946</v>
      </c>
      <c r="G712" s="13"/>
      <c r="H712" s="12" t="s">
        <v>2947</v>
      </c>
      <c r="I712" s="13"/>
      <c r="J712" s="12" t="s">
        <v>2944</v>
      </c>
    </row>
    <row r="713" spans="1:10" ht="30" customHeight="1">
      <c r="A713" s="12" t="s">
        <v>2948</v>
      </c>
      <c r="B713" s="12" t="s">
        <v>300</v>
      </c>
      <c r="C713" s="12" t="s">
        <v>296</v>
      </c>
      <c r="D713" s="12" t="s">
        <v>207</v>
      </c>
      <c r="E713" s="12" t="s">
        <v>2942</v>
      </c>
      <c r="F713" s="12" t="s">
        <v>2946</v>
      </c>
      <c r="G713" s="13"/>
      <c r="H713" s="12" t="s">
        <v>2949</v>
      </c>
      <c r="I713" s="12" t="s">
        <v>2950</v>
      </c>
      <c r="J713" s="12" t="s">
        <v>2944</v>
      </c>
    </row>
    <row r="714" spans="1:10" ht="30" customHeight="1">
      <c r="A714" s="12" t="s">
        <v>2951</v>
      </c>
      <c r="B714" s="12" t="s">
        <v>488</v>
      </c>
      <c r="C714" s="12" t="s">
        <v>483</v>
      </c>
      <c r="D714" s="12" t="s">
        <v>484</v>
      </c>
      <c r="E714" s="12" t="s">
        <v>2942</v>
      </c>
      <c r="F714" s="12" t="s">
        <v>2946</v>
      </c>
      <c r="G714" s="13"/>
      <c r="H714" s="12" t="s">
        <v>2952</v>
      </c>
      <c r="I714" s="13"/>
      <c r="J714" s="12" t="s">
        <v>2944</v>
      </c>
    </row>
    <row r="715" spans="1:10" ht="30" customHeight="1">
      <c r="A715" s="12" t="s">
        <v>2953</v>
      </c>
      <c r="B715" s="12" t="s">
        <v>155</v>
      </c>
      <c r="C715" s="12" t="s">
        <v>151</v>
      </c>
      <c r="D715" s="12" t="s">
        <v>142</v>
      </c>
      <c r="E715" s="12" t="s">
        <v>2942</v>
      </c>
      <c r="F715" s="12" t="s">
        <v>2946</v>
      </c>
      <c r="G715" s="13"/>
      <c r="H715" s="12" t="s">
        <v>2954</v>
      </c>
      <c r="I715" s="13"/>
      <c r="J715" s="12" t="s">
        <v>2944</v>
      </c>
    </row>
    <row r="716" spans="1:10" ht="30" customHeight="1">
      <c r="A716" s="12" t="s">
        <v>2955</v>
      </c>
      <c r="B716" s="12" t="s">
        <v>198</v>
      </c>
      <c r="C716" s="12" t="s">
        <v>196</v>
      </c>
      <c r="D716" s="12" t="s">
        <v>142</v>
      </c>
      <c r="E716" s="12" t="s">
        <v>2942</v>
      </c>
      <c r="F716" s="12" t="s">
        <v>2946</v>
      </c>
      <c r="G716" s="13"/>
      <c r="H716" s="12" t="s">
        <v>2956</v>
      </c>
      <c r="I716" s="13"/>
      <c r="J716" s="12" t="s">
        <v>2944</v>
      </c>
    </row>
    <row r="717" spans="1:10" ht="30" customHeight="1">
      <c r="A717" s="12" t="s">
        <v>2957</v>
      </c>
      <c r="B717" s="12" t="s">
        <v>145</v>
      </c>
      <c r="C717" s="12" t="s">
        <v>141</v>
      </c>
      <c r="D717" s="12" t="s">
        <v>142</v>
      </c>
      <c r="E717" s="12" t="s">
        <v>2942</v>
      </c>
      <c r="F717" s="12" t="s">
        <v>2946</v>
      </c>
      <c r="G717" s="13"/>
      <c r="H717" s="12" t="s">
        <v>2958</v>
      </c>
      <c r="I717" s="13"/>
      <c r="J717" s="12" t="s">
        <v>2944</v>
      </c>
    </row>
    <row r="718" spans="1:10" ht="30" customHeight="1">
      <c r="A718" s="12" t="s">
        <v>2959</v>
      </c>
      <c r="B718" s="12" t="s">
        <v>493</v>
      </c>
      <c r="C718" s="12" t="s">
        <v>490</v>
      </c>
      <c r="D718" s="12" t="s">
        <v>484</v>
      </c>
      <c r="E718" s="12" t="s">
        <v>2942</v>
      </c>
      <c r="F718" s="12" t="s">
        <v>2946</v>
      </c>
      <c r="G718" s="13"/>
      <c r="H718" s="12" t="s">
        <v>2960</v>
      </c>
      <c r="I718" s="13"/>
      <c r="J718" s="12" t="s">
        <v>2944</v>
      </c>
    </row>
    <row r="719" spans="1:10" ht="30" customHeight="1">
      <c r="A719" s="12" t="s">
        <v>2961</v>
      </c>
      <c r="B719" s="12" t="s">
        <v>498</v>
      </c>
      <c r="C719" s="12" t="s">
        <v>495</v>
      </c>
      <c r="D719" s="12" t="s">
        <v>484</v>
      </c>
      <c r="E719" s="12" t="s">
        <v>2942</v>
      </c>
      <c r="F719" s="12" t="s">
        <v>2946</v>
      </c>
      <c r="G719" s="13"/>
      <c r="H719" s="12" t="s">
        <v>2962</v>
      </c>
      <c r="I719" s="13"/>
      <c r="J719" s="12" t="s">
        <v>2944</v>
      </c>
    </row>
    <row r="720" spans="1:10" ht="30" customHeight="1">
      <c r="A720" s="12" t="s">
        <v>2963</v>
      </c>
      <c r="B720" s="12" t="s">
        <v>488</v>
      </c>
      <c r="C720" s="12" t="s">
        <v>483</v>
      </c>
      <c r="D720" s="12" t="s">
        <v>484</v>
      </c>
      <c r="E720" s="12" t="s">
        <v>2942</v>
      </c>
      <c r="F720" s="12" t="s">
        <v>2946</v>
      </c>
      <c r="G720" s="13"/>
      <c r="H720" s="12" t="s">
        <v>2964</v>
      </c>
      <c r="I720" s="12" t="s">
        <v>2965</v>
      </c>
      <c r="J720" s="12" t="s">
        <v>2944</v>
      </c>
    </row>
    <row r="721" spans="1:10" ht="30" customHeight="1">
      <c r="A721" s="12" t="s">
        <v>2966</v>
      </c>
      <c r="B721" s="12" t="s">
        <v>198</v>
      </c>
      <c r="C721" s="12" t="s">
        <v>196</v>
      </c>
      <c r="D721" s="12" t="s">
        <v>142</v>
      </c>
      <c r="E721" s="12" t="s">
        <v>2942</v>
      </c>
      <c r="F721" s="12" t="s">
        <v>2946</v>
      </c>
      <c r="G721" s="13"/>
      <c r="H721" s="12" t="s">
        <v>2967</v>
      </c>
      <c r="I721" s="12" t="s">
        <v>2968</v>
      </c>
      <c r="J721" s="12" t="s">
        <v>2944</v>
      </c>
    </row>
    <row r="722" spans="1:10" ht="30" customHeight="1">
      <c r="A722" s="12" t="s">
        <v>2969</v>
      </c>
      <c r="B722" s="12" t="s">
        <v>145</v>
      </c>
      <c r="C722" s="12" t="s">
        <v>141</v>
      </c>
      <c r="D722" s="12" t="s">
        <v>142</v>
      </c>
      <c r="E722" s="12" t="s">
        <v>2942</v>
      </c>
      <c r="F722" s="12" t="s">
        <v>2946</v>
      </c>
      <c r="G722" s="13"/>
      <c r="H722" s="12" t="s">
        <v>2970</v>
      </c>
      <c r="I722" s="12" t="s">
        <v>2971</v>
      </c>
      <c r="J722" s="12" t="s">
        <v>2944</v>
      </c>
    </row>
  </sheetData>
  <mergeCells count="2">
    <mergeCell ref="A1:I2"/>
    <mergeCell ref="A3:J3"/>
  </mergeCells>
  <pageMargins left="0.3" right="0.3" top="0.4" bottom="0.4" header="0.3" footer="0.3"/>
  <pageSetup paperSize="9"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10</vt:i4>
      </vt:variant>
    </vt:vector>
  </HeadingPairs>
  <TitlesOfParts>
    <vt:vector size="16" baseType="lpstr">
      <vt:lpstr>START_HERE</vt:lpstr>
      <vt:lpstr>Master_Panel</vt:lpstr>
      <vt:lpstr>Financial_Panel</vt:lpstr>
      <vt:lpstr>Evidence_Log</vt:lpstr>
      <vt:lpstr>Codebook</vt:lpstr>
      <vt:lpstr>Review_Issues</vt:lpstr>
      <vt:lpstr>Codebook!Print_Area</vt:lpstr>
      <vt:lpstr>Evidence_Log!Print_Area</vt:lpstr>
      <vt:lpstr>Financial_Panel!Print_Area</vt:lpstr>
      <vt:lpstr>Master_Panel!Print_Area</vt:lpstr>
      <vt:lpstr>Review_Issues!Print_Area</vt:lpstr>
      <vt:lpstr>Codebook!Print_Titles</vt:lpstr>
      <vt:lpstr>Evidence_Log!Print_Titles</vt:lpstr>
      <vt:lpstr>Financial_Panel!Print_Titles</vt:lpstr>
      <vt:lpstr>Master_Panel!Print_Titles</vt:lpstr>
      <vt:lpstr>Review_Issues!Print_Titles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Master Firm Panel — Transition Readiness</dc:title>
  <dc:subject>Consolidated firm-sector snapshot and observed financial panel</dc:subject>
  <dc:creator>Research workbook</dc:creator>
  <dc:description>Missing values remain blank. Sources are user-supplied research reports and workbooks.</dc:description>
  <cp:lastModifiedBy>Research workbook</cp:lastModifiedBy>
  <dcterms:created xsi:type="dcterms:W3CDTF">2026-10-24T07:14:44Z</dcterms:created>
  <dcterms:modified xsi:type="dcterms:W3CDTF">2026-10-24T07:14:44Z</dcterms:modified>
</cp:coreProperties>
</file>